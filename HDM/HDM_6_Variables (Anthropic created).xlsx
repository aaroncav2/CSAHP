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C:\Users\aaron\My Drive\PSU PhD\old classes\ETM 603 Dissertation (12 Credits) Part one survey work\HDM excel files\GitHub PhD\HDM\"/>
    </mc:Choice>
  </mc:AlternateContent>
  <xr:revisionPtr revIDLastSave="0" documentId="13_ncr:1_{0D29E392-C63C-4975-8564-AE7DA68A45DD}" xr6:coauthVersionLast="47" xr6:coauthVersionMax="47" xr10:uidLastSave="{00000000-0000-0000-0000-000000000000}"/>
  <bookViews>
    <workbookView xWindow="852" yWindow="228" windowWidth="22128" windowHeight="11952" xr2:uid="{00000000-000D-0000-FFFF-FFFF00000000}"/>
  </bookViews>
  <sheets>
    <sheet name="Note" sheetId="1" r:id="rId1"/>
    <sheet name="Permutations" sheetId="2" r:id="rId2"/>
    <sheet name="Input and Orientations" sheetId="3" r:id="rId3"/>
    <sheet name="Vlookup" sheetId="4" r:id="rId4"/>
    <sheet name="Rankings" sheetId="5" r:id="rId5"/>
    <sheet name="Rotations" sheetId="6" r:id="rId6"/>
    <sheet name="RSV lookup table by #Variables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441" i="6" l="1"/>
  <c r="K1441" i="6" s="1"/>
  <c r="H1439" i="6"/>
  <c r="L1439" i="6" s="1"/>
  <c r="H1437" i="6"/>
  <c r="K1437" i="6" s="1"/>
  <c r="H1435" i="6"/>
  <c r="M1435" i="6" s="1"/>
  <c r="H1433" i="6"/>
  <c r="L1433" i="6" s="1"/>
  <c r="H1431" i="6"/>
  <c r="M1431" i="6" s="1"/>
  <c r="H1429" i="6"/>
  <c r="K1429" i="6" s="1"/>
  <c r="H1427" i="6"/>
  <c r="L1427" i="6" s="1"/>
  <c r="H1425" i="6"/>
  <c r="K1425" i="6" s="1"/>
  <c r="H1423" i="6"/>
  <c r="N1423" i="6" s="1"/>
  <c r="H1421" i="6"/>
  <c r="L1421" i="6" s="1"/>
  <c r="H1419" i="6"/>
  <c r="N1419" i="6" s="1"/>
  <c r="H1417" i="6"/>
  <c r="K1417" i="6" s="1"/>
  <c r="H1415" i="6"/>
  <c r="M1415" i="6" s="1"/>
  <c r="H1413" i="6"/>
  <c r="K1413" i="6" s="1"/>
  <c r="H1411" i="6"/>
  <c r="N1411" i="6" s="1"/>
  <c r="H1409" i="6"/>
  <c r="M1409" i="6" s="1"/>
  <c r="H1407" i="6"/>
  <c r="N1407" i="6" s="1"/>
  <c r="H1405" i="6"/>
  <c r="L1405" i="6" s="1"/>
  <c r="H1403" i="6"/>
  <c r="M1403" i="6" s="1"/>
  <c r="H1401" i="6"/>
  <c r="L1401" i="6" s="1"/>
  <c r="H1399" i="6"/>
  <c r="N1399" i="6" s="1"/>
  <c r="H1397" i="6"/>
  <c r="M1397" i="6" s="1"/>
  <c r="H1395" i="6"/>
  <c r="N1395" i="6" s="1"/>
  <c r="H1393" i="6"/>
  <c r="K1393" i="6" s="1"/>
  <c r="H1391" i="6"/>
  <c r="L1391" i="6" s="1"/>
  <c r="H1389" i="6"/>
  <c r="K1389" i="6" s="1"/>
  <c r="H1387" i="6"/>
  <c r="M1387" i="6" s="1"/>
  <c r="H1385" i="6"/>
  <c r="L1385" i="6" s="1"/>
  <c r="H1383" i="6"/>
  <c r="M1383" i="6" s="1"/>
  <c r="H1381" i="6"/>
  <c r="K1381" i="6" s="1"/>
  <c r="H1379" i="6"/>
  <c r="L1379" i="6" s="1"/>
  <c r="H1377" i="6"/>
  <c r="K1377" i="6" s="1"/>
  <c r="H1375" i="6"/>
  <c r="O1375" i="6" s="1"/>
  <c r="H1373" i="6"/>
  <c r="L1373" i="6" s="1"/>
  <c r="H1371" i="6"/>
  <c r="O1371" i="6" s="1"/>
  <c r="H1369" i="6"/>
  <c r="K1369" i="6" s="1"/>
  <c r="H1367" i="6"/>
  <c r="M1367" i="6" s="1"/>
  <c r="H1365" i="6"/>
  <c r="K1365" i="6" s="1"/>
  <c r="H1363" i="6"/>
  <c r="O1363" i="6" s="1"/>
  <c r="H1361" i="6"/>
  <c r="M1361" i="6" s="1"/>
  <c r="H1359" i="6"/>
  <c r="O1359" i="6" s="1"/>
  <c r="H1357" i="6"/>
  <c r="L1357" i="6" s="1"/>
  <c r="H1355" i="6"/>
  <c r="M1355" i="6" s="1"/>
  <c r="H1353" i="6"/>
  <c r="L1353" i="6" s="1"/>
  <c r="H1351" i="6"/>
  <c r="O1351" i="6" s="1"/>
  <c r="H1349" i="6"/>
  <c r="M1349" i="6" s="1"/>
  <c r="H1347" i="6"/>
  <c r="O1347" i="6" s="1"/>
  <c r="H1345" i="6"/>
  <c r="K1345" i="6" s="1"/>
  <c r="H1343" i="6"/>
  <c r="L1343" i="6" s="1"/>
  <c r="H1341" i="6"/>
  <c r="K1341" i="6" s="1"/>
  <c r="H1339" i="6"/>
  <c r="N1339" i="6" s="1"/>
  <c r="H1337" i="6"/>
  <c r="L1337" i="6" s="1"/>
  <c r="H1335" i="6"/>
  <c r="N1335" i="6" s="1"/>
  <c r="H1333" i="6"/>
  <c r="K1333" i="6" s="1"/>
  <c r="H1331" i="6"/>
  <c r="L1331" i="6" s="1"/>
  <c r="H1329" i="6"/>
  <c r="K1329" i="6" s="1"/>
  <c r="H1327" i="6"/>
  <c r="O1327" i="6" s="1"/>
  <c r="H1325" i="6"/>
  <c r="L1325" i="6" s="1"/>
  <c r="H1323" i="6"/>
  <c r="O1323" i="6" s="1"/>
  <c r="H1321" i="6"/>
  <c r="K1321" i="6" s="1"/>
  <c r="H1319" i="6"/>
  <c r="N1319" i="6" s="1"/>
  <c r="H1317" i="6"/>
  <c r="K1317" i="6" s="1"/>
  <c r="H1315" i="6"/>
  <c r="O1315" i="6" s="1"/>
  <c r="H1313" i="6"/>
  <c r="N1313" i="6" s="1"/>
  <c r="H1311" i="6"/>
  <c r="O1311" i="6" s="1"/>
  <c r="H1309" i="6"/>
  <c r="L1309" i="6" s="1"/>
  <c r="H1307" i="6"/>
  <c r="N1307" i="6" s="1"/>
  <c r="H1305" i="6"/>
  <c r="L1305" i="6" s="1"/>
  <c r="H1303" i="6"/>
  <c r="O1303" i="6" s="1"/>
  <c r="H1301" i="6"/>
  <c r="N1301" i="6" s="1"/>
  <c r="H1299" i="6"/>
  <c r="O1299" i="6" s="1"/>
  <c r="H1297" i="6"/>
  <c r="K1297" i="6" s="1"/>
  <c r="H1295" i="6"/>
  <c r="M1295" i="6" s="1"/>
  <c r="H1293" i="6"/>
  <c r="K1293" i="6" s="1"/>
  <c r="H1291" i="6"/>
  <c r="N1291" i="6" s="1"/>
  <c r="H1289" i="6"/>
  <c r="M1289" i="6" s="1"/>
  <c r="H1287" i="6"/>
  <c r="N1287" i="6" s="1"/>
  <c r="H1285" i="6"/>
  <c r="K1285" i="6" s="1"/>
  <c r="H1283" i="6"/>
  <c r="M1283" i="6" s="1"/>
  <c r="H1281" i="6"/>
  <c r="K1281" i="6" s="1"/>
  <c r="H1279" i="6"/>
  <c r="O1279" i="6" s="1"/>
  <c r="H1277" i="6"/>
  <c r="M1277" i="6" s="1"/>
  <c r="H1275" i="6"/>
  <c r="O1275" i="6" s="1"/>
  <c r="H1273" i="6"/>
  <c r="K1273" i="6" s="1"/>
  <c r="H1271" i="6"/>
  <c r="N1271" i="6" s="1"/>
  <c r="H1269" i="6"/>
  <c r="K1269" i="6" s="1"/>
  <c r="H1267" i="6"/>
  <c r="O1267" i="6" s="1"/>
  <c r="H1265" i="6"/>
  <c r="N1265" i="6" s="1"/>
  <c r="H1263" i="6"/>
  <c r="O1263" i="6" s="1"/>
  <c r="H1261" i="6"/>
  <c r="M1261" i="6" s="1"/>
  <c r="H1259" i="6"/>
  <c r="N1259" i="6" s="1"/>
  <c r="H1257" i="6"/>
  <c r="M1257" i="6" s="1"/>
  <c r="H1255" i="6"/>
  <c r="O1255" i="6" s="1"/>
  <c r="H1253" i="6"/>
  <c r="N1253" i="6" s="1"/>
  <c r="H1251" i="6"/>
  <c r="O1251" i="6" s="1"/>
  <c r="H1249" i="6"/>
  <c r="L1249" i="6" s="1"/>
  <c r="H1247" i="6"/>
  <c r="M1247" i="6" s="1"/>
  <c r="H1245" i="6"/>
  <c r="L1245" i="6" s="1"/>
  <c r="H1243" i="6"/>
  <c r="N1243" i="6" s="1"/>
  <c r="H1241" i="6"/>
  <c r="M1241" i="6" s="1"/>
  <c r="H1239" i="6"/>
  <c r="N1239" i="6" s="1"/>
  <c r="H1237" i="6"/>
  <c r="L1237" i="6" s="1"/>
  <c r="H1235" i="6"/>
  <c r="M1235" i="6" s="1"/>
  <c r="H1233" i="6"/>
  <c r="L1233" i="6" s="1"/>
  <c r="H1231" i="6"/>
  <c r="O1231" i="6" s="1"/>
  <c r="H1229" i="6"/>
  <c r="M1229" i="6" s="1"/>
  <c r="H1227" i="6"/>
  <c r="O1227" i="6" s="1"/>
  <c r="H1225" i="6"/>
  <c r="L1225" i="6" s="1"/>
  <c r="H1223" i="6"/>
  <c r="N1223" i="6" s="1"/>
  <c r="H1221" i="6"/>
  <c r="L1221" i="6" s="1"/>
  <c r="H1219" i="6"/>
  <c r="O1219" i="6" s="1"/>
  <c r="H1217" i="6"/>
  <c r="N1217" i="6" s="1"/>
  <c r="H1215" i="6"/>
  <c r="O1215" i="6" s="1"/>
  <c r="H1213" i="6"/>
  <c r="M1213" i="6" s="1"/>
  <c r="H1211" i="6"/>
  <c r="N1211" i="6" s="1"/>
  <c r="H1209" i="6"/>
  <c r="M1209" i="6" s="1"/>
  <c r="H1207" i="6"/>
  <c r="O1207" i="6" s="1"/>
  <c r="H1205" i="6"/>
  <c r="N1205" i="6" s="1"/>
  <c r="H1203" i="6"/>
  <c r="O1203" i="6" s="1"/>
  <c r="H1201" i="6"/>
  <c r="K1201" i="6" s="1"/>
  <c r="H1199" i="6"/>
  <c r="L1199" i="6" s="1"/>
  <c r="H1197" i="6"/>
  <c r="K1197" i="6" s="1"/>
  <c r="H1195" i="6"/>
  <c r="M1195" i="6" s="1"/>
  <c r="H1193" i="6"/>
  <c r="L1193" i="6" s="1"/>
  <c r="H1191" i="6"/>
  <c r="M1191" i="6" s="1"/>
  <c r="H1189" i="6"/>
  <c r="K1189" i="6" s="1"/>
  <c r="H1187" i="6"/>
  <c r="L1187" i="6" s="1"/>
  <c r="H1185" i="6"/>
  <c r="K1185" i="6" s="1"/>
  <c r="H1183" i="6"/>
  <c r="N1183" i="6" s="1"/>
  <c r="H1181" i="6"/>
  <c r="L1181" i="6" s="1"/>
  <c r="H1179" i="6"/>
  <c r="N1179" i="6" s="1"/>
  <c r="H1177" i="6"/>
  <c r="K1177" i="6" s="1"/>
  <c r="H1175" i="6"/>
  <c r="M1175" i="6" s="1"/>
  <c r="H1173" i="6"/>
  <c r="K1173" i="6" s="1"/>
  <c r="H1171" i="6"/>
  <c r="N1171" i="6" s="1"/>
  <c r="H1169" i="6"/>
  <c r="M1169" i="6" s="1"/>
  <c r="H1167" i="6"/>
  <c r="N1167" i="6" s="1"/>
  <c r="H1165" i="6"/>
  <c r="L1165" i="6" s="1"/>
  <c r="H1163" i="6"/>
  <c r="M1163" i="6" s="1"/>
  <c r="H1161" i="6"/>
  <c r="L1161" i="6" s="1"/>
  <c r="H1159" i="6"/>
  <c r="N1159" i="6" s="1"/>
  <c r="H1157" i="6"/>
  <c r="M1157" i="6" s="1"/>
  <c r="H1155" i="6"/>
  <c r="N1155" i="6" s="1"/>
  <c r="H1153" i="6"/>
  <c r="K1153" i="6" s="1"/>
  <c r="H1151" i="6"/>
  <c r="L1151" i="6" s="1"/>
  <c r="H1149" i="6"/>
  <c r="K1149" i="6" s="1"/>
  <c r="H1147" i="6"/>
  <c r="M1147" i="6" s="1"/>
  <c r="H1145" i="6"/>
  <c r="L1145" i="6" s="1"/>
  <c r="H1143" i="6"/>
  <c r="M1143" i="6" s="1"/>
  <c r="H1141" i="6"/>
  <c r="K1141" i="6" s="1"/>
  <c r="H1139" i="6"/>
  <c r="L1139" i="6" s="1"/>
  <c r="H1137" i="6"/>
  <c r="K1137" i="6" s="1"/>
  <c r="H1135" i="6"/>
  <c r="P1135" i="6" s="1"/>
  <c r="H1133" i="6"/>
  <c r="L1133" i="6" s="1"/>
  <c r="H1131" i="6"/>
  <c r="P1131" i="6" s="1"/>
  <c r="H1129" i="6"/>
  <c r="K1129" i="6" s="1"/>
  <c r="H1127" i="6"/>
  <c r="M1127" i="6" s="1"/>
  <c r="H1125" i="6"/>
  <c r="K1125" i="6" s="1"/>
  <c r="H1123" i="6"/>
  <c r="P1123" i="6" s="1"/>
  <c r="H1121" i="6"/>
  <c r="M1121" i="6" s="1"/>
  <c r="H1119" i="6"/>
  <c r="P1119" i="6" s="1"/>
  <c r="H1117" i="6"/>
  <c r="L1117" i="6" s="1"/>
  <c r="H1115" i="6"/>
  <c r="M1115" i="6" s="1"/>
  <c r="H1113" i="6"/>
  <c r="L1113" i="6" s="1"/>
  <c r="H1111" i="6"/>
  <c r="P1111" i="6" s="1"/>
  <c r="H1109" i="6"/>
  <c r="M1109" i="6" s="1"/>
  <c r="H1107" i="6"/>
  <c r="P1107" i="6" s="1"/>
  <c r="H1105" i="6"/>
  <c r="K1105" i="6" s="1"/>
  <c r="H1103" i="6"/>
  <c r="L1103" i="6" s="1"/>
  <c r="H1101" i="6"/>
  <c r="K1101" i="6" s="1"/>
  <c r="H1099" i="6"/>
  <c r="N1099" i="6" s="1"/>
  <c r="H1097" i="6"/>
  <c r="L1097" i="6" s="1"/>
  <c r="H1095" i="6"/>
  <c r="N1095" i="6" s="1"/>
  <c r="H1093" i="6"/>
  <c r="K1093" i="6" s="1"/>
  <c r="H1091" i="6"/>
  <c r="L1091" i="6" s="1"/>
  <c r="H1089" i="6"/>
  <c r="K1089" i="6" s="1"/>
  <c r="H1087" i="6"/>
  <c r="P1087" i="6" s="1"/>
  <c r="H1085" i="6"/>
  <c r="L1085" i="6" s="1"/>
  <c r="H1083" i="6"/>
  <c r="P1083" i="6" s="1"/>
  <c r="H1081" i="6"/>
  <c r="K1081" i="6" s="1"/>
  <c r="H1079" i="6"/>
  <c r="N1079" i="6" s="1"/>
  <c r="H1077" i="6"/>
  <c r="K1077" i="6" s="1"/>
  <c r="H1075" i="6"/>
  <c r="P1075" i="6" s="1"/>
  <c r="H1073" i="6"/>
  <c r="N1073" i="6" s="1"/>
  <c r="H1071" i="6"/>
  <c r="P1071" i="6" s="1"/>
  <c r="H1069" i="6"/>
  <c r="L1069" i="6" s="1"/>
  <c r="H1067" i="6"/>
  <c r="N1067" i="6" s="1"/>
  <c r="H1065" i="6"/>
  <c r="L1065" i="6" s="1"/>
  <c r="H1063" i="6"/>
  <c r="P1063" i="6" s="1"/>
  <c r="H1061" i="6"/>
  <c r="N1061" i="6" s="1"/>
  <c r="H1059" i="6"/>
  <c r="P1059" i="6" s="1"/>
  <c r="H1057" i="6"/>
  <c r="K1057" i="6" s="1"/>
  <c r="H1055" i="6"/>
  <c r="M1055" i="6" s="1"/>
  <c r="H1053" i="6"/>
  <c r="K1053" i="6" s="1"/>
  <c r="H1051" i="6"/>
  <c r="N1051" i="6" s="1"/>
  <c r="H1049" i="6"/>
  <c r="M1049" i="6" s="1"/>
  <c r="H1047" i="6"/>
  <c r="N1047" i="6" s="1"/>
  <c r="H1045" i="6"/>
  <c r="K1045" i="6" s="1"/>
  <c r="H1043" i="6"/>
  <c r="M1043" i="6" s="1"/>
  <c r="H1041" i="6"/>
  <c r="K1041" i="6" s="1"/>
  <c r="H1039" i="6"/>
  <c r="P1039" i="6" s="1"/>
  <c r="H1037" i="6"/>
  <c r="M1037" i="6" s="1"/>
  <c r="H1035" i="6"/>
  <c r="P1035" i="6" s="1"/>
  <c r="H1033" i="6"/>
  <c r="K1033" i="6" s="1"/>
  <c r="H1031" i="6"/>
  <c r="N1031" i="6" s="1"/>
  <c r="H1029" i="6"/>
  <c r="K1029" i="6" s="1"/>
  <c r="H1027" i="6"/>
  <c r="P1027" i="6" s="1"/>
  <c r="H1025" i="6"/>
  <c r="N1025" i="6" s="1"/>
  <c r="H1023" i="6"/>
  <c r="P1023" i="6" s="1"/>
  <c r="H1021" i="6"/>
  <c r="M1021" i="6" s="1"/>
  <c r="H1019" i="6"/>
  <c r="N1019" i="6" s="1"/>
  <c r="H1017" i="6"/>
  <c r="M1017" i="6" s="1"/>
  <c r="H1015" i="6"/>
  <c r="P1015" i="6" s="1"/>
  <c r="H1013" i="6"/>
  <c r="N1013" i="6" s="1"/>
  <c r="H1011" i="6"/>
  <c r="P1011" i="6" s="1"/>
  <c r="H1009" i="6"/>
  <c r="L1009" i="6" s="1"/>
  <c r="H1007" i="6"/>
  <c r="M1007" i="6" s="1"/>
  <c r="H1005" i="6"/>
  <c r="L1005" i="6" s="1"/>
  <c r="H1003" i="6"/>
  <c r="N1003" i="6" s="1"/>
  <c r="H1001" i="6"/>
  <c r="M1001" i="6" s="1"/>
  <c r="H999" i="6"/>
  <c r="N999" i="6" s="1"/>
  <c r="H997" i="6"/>
  <c r="L997" i="6" s="1"/>
  <c r="H995" i="6"/>
  <c r="M995" i="6" s="1"/>
  <c r="H993" i="6"/>
  <c r="L993" i="6" s="1"/>
  <c r="H991" i="6"/>
  <c r="P991" i="6" s="1"/>
  <c r="H989" i="6"/>
  <c r="M989" i="6" s="1"/>
  <c r="H987" i="6"/>
  <c r="P987" i="6" s="1"/>
  <c r="H985" i="6"/>
  <c r="L985" i="6" s="1"/>
  <c r="H983" i="6"/>
  <c r="N983" i="6" s="1"/>
  <c r="H981" i="6"/>
  <c r="L981" i="6" s="1"/>
  <c r="H979" i="6"/>
  <c r="P979" i="6" s="1"/>
  <c r="H977" i="6"/>
  <c r="N977" i="6" s="1"/>
  <c r="H975" i="6"/>
  <c r="P975" i="6" s="1"/>
  <c r="H973" i="6"/>
  <c r="M973" i="6" s="1"/>
  <c r="H971" i="6"/>
  <c r="N971" i="6" s="1"/>
  <c r="H969" i="6"/>
  <c r="M969" i="6" s="1"/>
  <c r="H967" i="6"/>
  <c r="P967" i="6" s="1"/>
  <c r="H965" i="6"/>
  <c r="N965" i="6" s="1"/>
  <c r="H963" i="6"/>
  <c r="P963" i="6" s="1"/>
  <c r="H961" i="6"/>
  <c r="K961" i="6" s="1"/>
  <c r="H959" i="6"/>
  <c r="L959" i="6" s="1"/>
  <c r="H957" i="6"/>
  <c r="K957" i="6" s="1"/>
  <c r="H955" i="6"/>
  <c r="M955" i="6" s="1"/>
  <c r="H953" i="6"/>
  <c r="L953" i="6" s="1"/>
  <c r="H951" i="6"/>
  <c r="M951" i="6" s="1"/>
  <c r="H949" i="6"/>
  <c r="K949" i="6" s="1"/>
  <c r="H947" i="6"/>
  <c r="L947" i="6" s="1"/>
  <c r="H945" i="6"/>
  <c r="K945" i="6" s="1"/>
  <c r="H943" i="6"/>
  <c r="O943" i="6" s="1"/>
  <c r="H941" i="6"/>
  <c r="L941" i="6" s="1"/>
  <c r="H939" i="6"/>
  <c r="O939" i="6" s="1"/>
  <c r="H937" i="6"/>
  <c r="K937" i="6" s="1"/>
  <c r="H935" i="6"/>
  <c r="M935" i="6" s="1"/>
  <c r="H933" i="6"/>
  <c r="K933" i="6" s="1"/>
  <c r="H931" i="6"/>
  <c r="O931" i="6" s="1"/>
  <c r="H929" i="6"/>
  <c r="M929" i="6" s="1"/>
  <c r="H927" i="6"/>
  <c r="O927" i="6" s="1"/>
  <c r="H925" i="6"/>
  <c r="L925" i="6" s="1"/>
  <c r="H923" i="6"/>
  <c r="M923" i="6" s="1"/>
  <c r="H921" i="6"/>
  <c r="L921" i="6" s="1"/>
  <c r="H919" i="6"/>
  <c r="O919" i="6" s="1"/>
  <c r="H917" i="6"/>
  <c r="M917" i="6" s="1"/>
  <c r="H915" i="6"/>
  <c r="O915" i="6" s="1"/>
  <c r="H913" i="6"/>
  <c r="K913" i="6" s="1"/>
  <c r="H911" i="6"/>
  <c r="L911" i="6" s="1"/>
  <c r="H909" i="6"/>
  <c r="K909" i="6" s="1"/>
  <c r="H907" i="6"/>
  <c r="M907" i="6" s="1"/>
  <c r="H905" i="6"/>
  <c r="L905" i="6" s="1"/>
  <c r="H903" i="6"/>
  <c r="M903" i="6" s="1"/>
  <c r="H901" i="6"/>
  <c r="K901" i="6" s="1"/>
  <c r="H899" i="6"/>
  <c r="L899" i="6" s="1"/>
  <c r="H897" i="6"/>
  <c r="K897" i="6" s="1"/>
  <c r="H895" i="6"/>
  <c r="P895" i="6" s="1"/>
  <c r="H893" i="6"/>
  <c r="L893" i="6" s="1"/>
  <c r="H891" i="6"/>
  <c r="P891" i="6" s="1"/>
  <c r="H889" i="6"/>
  <c r="K889" i="6" s="1"/>
  <c r="H887" i="6"/>
  <c r="M887" i="6" s="1"/>
  <c r="H885" i="6"/>
  <c r="K885" i="6" s="1"/>
  <c r="H883" i="6"/>
  <c r="P883" i="6" s="1"/>
  <c r="H881" i="6"/>
  <c r="M881" i="6" s="1"/>
  <c r="H879" i="6"/>
  <c r="P879" i="6" s="1"/>
  <c r="H877" i="6"/>
  <c r="L877" i="6" s="1"/>
  <c r="H875" i="6"/>
  <c r="M875" i="6" s="1"/>
  <c r="H873" i="6"/>
  <c r="L873" i="6" s="1"/>
  <c r="H871" i="6"/>
  <c r="P871" i="6" s="1"/>
  <c r="H869" i="6"/>
  <c r="M869" i="6" s="1"/>
  <c r="H867" i="6"/>
  <c r="P867" i="6" s="1"/>
  <c r="H865" i="6"/>
  <c r="K865" i="6" s="1"/>
  <c r="H863" i="6"/>
  <c r="L863" i="6" s="1"/>
  <c r="H861" i="6"/>
  <c r="K861" i="6" s="1"/>
  <c r="H859" i="6"/>
  <c r="O859" i="6" s="1"/>
  <c r="H857" i="6"/>
  <c r="L857" i="6" s="1"/>
  <c r="H855" i="6"/>
  <c r="O855" i="6" s="1"/>
  <c r="H853" i="6"/>
  <c r="K853" i="6" s="1"/>
  <c r="H851" i="6"/>
  <c r="L851" i="6" s="1"/>
  <c r="H849" i="6"/>
  <c r="K849" i="6" s="1"/>
  <c r="H847" i="6"/>
  <c r="P847" i="6" s="1"/>
  <c r="H845" i="6"/>
  <c r="L845" i="6" s="1"/>
  <c r="H843" i="6"/>
  <c r="P843" i="6" s="1"/>
  <c r="H841" i="6"/>
  <c r="K841" i="6" s="1"/>
  <c r="H839" i="6"/>
  <c r="O839" i="6" s="1"/>
  <c r="H837" i="6"/>
  <c r="K837" i="6" s="1"/>
  <c r="H835" i="6"/>
  <c r="P835" i="6" s="1"/>
  <c r="H833" i="6"/>
  <c r="O833" i="6" s="1"/>
  <c r="H831" i="6"/>
  <c r="P831" i="6" s="1"/>
  <c r="H829" i="6"/>
  <c r="L829" i="6" s="1"/>
  <c r="H827" i="6"/>
  <c r="O827" i="6" s="1"/>
  <c r="H825" i="6"/>
  <c r="L825" i="6" s="1"/>
  <c r="H823" i="6"/>
  <c r="P823" i="6" s="1"/>
  <c r="H821" i="6"/>
  <c r="O821" i="6" s="1"/>
  <c r="H819" i="6"/>
  <c r="P819" i="6" s="1"/>
  <c r="H817" i="6"/>
  <c r="K817" i="6" s="1"/>
  <c r="H815" i="6"/>
  <c r="M815" i="6" s="1"/>
  <c r="H813" i="6"/>
  <c r="K813" i="6" s="1"/>
  <c r="H811" i="6"/>
  <c r="O811" i="6" s="1"/>
  <c r="H809" i="6"/>
  <c r="M809" i="6" s="1"/>
  <c r="H807" i="6"/>
  <c r="O807" i="6" s="1"/>
  <c r="H805" i="6"/>
  <c r="K805" i="6" s="1"/>
  <c r="H803" i="6"/>
  <c r="M803" i="6" s="1"/>
  <c r="H801" i="6"/>
  <c r="K801" i="6" s="1"/>
  <c r="H799" i="6"/>
  <c r="P799" i="6" s="1"/>
  <c r="H797" i="6"/>
  <c r="M797" i="6" s="1"/>
  <c r="H795" i="6"/>
  <c r="P795" i="6" s="1"/>
  <c r="H793" i="6"/>
  <c r="K793" i="6" s="1"/>
  <c r="H791" i="6"/>
  <c r="O791" i="6" s="1"/>
  <c r="H789" i="6"/>
  <c r="K789" i="6" s="1"/>
  <c r="H787" i="6"/>
  <c r="P787" i="6" s="1"/>
  <c r="H785" i="6"/>
  <c r="O785" i="6" s="1"/>
  <c r="H783" i="6"/>
  <c r="P783" i="6" s="1"/>
  <c r="H781" i="6"/>
  <c r="M781" i="6" s="1"/>
  <c r="H779" i="6"/>
  <c r="O779" i="6" s="1"/>
  <c r="H777" i="6"/>
  <c r="M777" i="6" s="1"/>
  <c r="H775" i="6"/>
  <c r="P775" i="6" s="1"/>
  <c r="H773" i="6"/>
  <c r="O773" i="6" s="1"/>
  <c r="H771" i="6"/>
  <c r="P771" i="6" s="1"/>
  <c r="H769" i="6"/>
  <c r="L769" i="6" s="1"/>
  <c r="H767" i="6"/>
  <c r="M767" i="6" s="1"/>
  <c r="H765" i="6"/>
  <c r="L765" i="6" s="1"/>
  <c r="H763" i="6"/>
  <c r="O763" i="6" s="1"/>
  <c r="H761" i="6"/>
  <c r="M761" i="6" s="1"/>
  <c r="H759" i="6"/>
  <c r="O759" i="6" s="1"/>
  <c r="H757" i="6"/>
  <c r="L757" i="6" s="1"/>
  <c r="H755" i="6"/>
  <c r="M755" i="6" s="1"/>
  <c r="H753" i="6"/>
  <c r="L753" i="6" s="1"/>
  <c r="H751" i="6"/>
  <c r="P751" i="6" s="1"/>
  <c r="H749" i="6"/>
  <c r="M749" i="6" s="1"/>
  <c r="H747" i="6"/>
  <c r="P747" i="6" s="1"/>
  <c r="H745" i="6"/>
  <c r="L745" i="6" s="1"/>
  <c r="H743" i="6"/>
  <c r="O743" i="6" s="1"/>
  <c r="H741" i="6"/>
  <c r="L741" i="6" s="1"/>
  <c r="H739" i="6"/>
  <c r="P739" i="6" s="1"/>
  <c r="H737" i="6"/>
  <c r="O737" i="6" s="1"/>
  <c r="H735" i="6"/>
  <c r="P735" i="6" s="1"/>
  <c r="H733" i="6"/>
  <c r="M733" i="6" s="1"/>
  <c r="O731" i="6"/>
  <c r="H731" i="6"/>
  <c r="H729" i="6"/>
  <c r="M729" i="6" s="1"/>
  <c r="H727" i="6"/>
  <c r="P727" i="6" s="1"/>
  <c r="H725" i="6"/>
  <c r="O725" i="6" s="1"/>
  <c r="H723" i="6"/>
  <c r="P723" i="6" s="1"/>
  <c r="H721" i="6"/>
  <c r="K721" i="6" s="1"/>
  <c r="H719" i="6"/>
  <c r="L719" i="6" s="1"/>
  <c r="H717" i="6"/>
  <c r="K717" i="6" s="1"/>
  <c r="H715" i="6"/>
  <c r="N715" i="6" s="1"/>
  <c r="H713" i="6"/>
  <c r="L713" i="6" s="1"/>
  <c r="H711" i="6"/>
  <c r="N711" i="6" s="1"/>
  <c r="H709" i="6"/>
  <c r="K709" i="6" s="1"/>
  <c r="H707" i="6"/>
  <c r="L707" i="6" s="1"/>
  <c r="H705" i="6"/>
  <c r="K705" i="6" s="1"/>
  <c r="H703" i="6"/>
  <c r="O703" i="6" s="1"/>
  <c r="H701" i="6"/>
  <c r="L701" i="6" s="1"/>
  <c r="H699" i="6"/>
  <c r="O699" i="6" s="1"/>
  <c r="H697" i="6"/>
  <c r="K697" i="6" s="1"/>
  <c r="H695" i="6"/>
  <c r="N695" i="6" s="1"/>
  <c r="H693" i="6"/>
  <c r="K693" i="6" s="1"/>
  <c r="H691" i="6"/>
  <c r="O691" i="6" s="1"/>
  <c r="H689" i="6"/>
  <c r="N689" i="6" s="1"/>
  <c r="H687" i="6"/>
  <c r="O687" i="6" s="1"/>
  <c r="H685" i="6"/>
  <c r="L685" i="6" s="1"/>
  <c r="H683" i="6"/>
  <c r="N683" i="6" s="1"/>
  <c r="H681" i="6"/>
  <c r="L681" i="6" s="1"/>
  <c r="H679" i="6"/>
  <c r="O679" i="6" s="1"/>
  <c r="H677" i="6"/>
  <c r="N677" i="6" s="1"/>
  <c r="H675" i="6"/>
  <c r="O675" i="6" s="1"/>
  <c r="H673" i="6"/>
  <c r="K673" i="6" s="1"/>
  <c r="L671" i="6"/>
  <c r="H671" i="6"/>
  <c r="H669" i="6"/>
  <c r="K669" i="6" s="1"/>
  <c r="H667" i="6"/>
  <c r="N667" i="6" s="1"/>
  <c r="H665" i="6"/>
  <c r="L665" i="6" s="1"/>
  <c r="H663" i="6"/>
  <c r="N663" i="6" s="1"/>
  <c r="H661" i="6"/>
  <c r="K661" i="6" s="1"/>
  <c r="H659" i="6"/>
  <c r="L659" i="6" s="1"/>
  <c r="H657" i="6"/>
  <c r="K657" i="6" s="1"/>
  <c r="H655" i="6"/>
  <c r="P655" i="6" s="1"/>
  <c r="H653" i="6"/>
  <c r="L653" i="6" s="1"/>
  <c r="H651" i="6"/>
  <c r="P651" i="6" s="1"/>
  <c r="H649" i="6"/>
  <c r="K649" i="6" s="1"/>
  <c r="H647" i="6"/>
  <c r="N647" i="6" s="1"/>
  <c r="H645" i="6"/>
  <c r="K645" i="6" s="1"/>
  <c r="H643" i="6"/>
  <c r="P643" i="6" s="1"/>
  <c r="H641" i="6"/>
  <c r="N641" i="6" s="1"/>
  <c r="H639" i="6"/>
  <c r="P639" i="6" s="1"/>
  <c r="H637" i="6"/>
  <c r="L637" i="6" s="1"/>
  <c r="H635" i="6"/>
  <c r="N635" i="6" s="1"/>
  <c r="H633" i="6"/>
  <c r="L633" i="6" s="1"/>
  <c r="H631" i="6"/>
  <c r="P631" i="6" s="1"/>
  <c r="H629" i="6"/>
  <c r="N629" i="6" s="1"/>
  <c r="H627" i="6"/>
  <c r="P627" i="6" s="1"/>
  <c r="H625" i="6"/>
  <c r="K625" i="6" s="1"/>
  <c r="H623" i="6"/>
  <c r="L623" i="6" s="1"/>
  <c r="H621" i="6"/>
  <c r="K621" i="6" s="1"/>
  <c r="H619" i="6"/>
  <c r="O619" i="6" s="1"/>
  <c r="H617" i="6"/>
  <c r="L617" i="6" s="1"/>
  <c r="H615" i="6"/>
  <c r="O615" i="6" s="1"/>
  <c r="H613" i="6"/>
  <c r="K613" i="6" s="1"/>
  <c r="H611" i="6"/>
  <c r="L611" i="6" s="1"/>
  <c r="H609" i="6"/>
  <c r="K609" i="6" s="1"/>
  <c r="H607" i="6"/>
  <c r="P607" i="6" s="1"/>
  <c r="H605" i="6"/>
  <c r="L605" i="6" s="1"/>
  <c r="H603" i="6"/>
  <c r="P603" i="6" s="1"/>
  <c r="H601" i="6"/>
  <c r="K601" i="6" s="1"/>
  <c r="H599" i="6"/>
  <c r="O599" i="6" s="1"/>
  <c r="H597" i="6"/>
  <c r="K597" i="6" s="1"/>
  <c r="H595" i="6"/>
  <c r="P595" i="6" s="1"/>
  <c r="H593" i="6"/>
  <c r="O593" i="6" s="1"/>
  <c r="H591" i="6"/>
  <c r="P591" i="6" s="1"/>
  <c r="H589" i="6"/>
  <c r="L589" i="6" s="1"/>
  <c r="H587" i="6"/>
  <c r="O587" i="6" s="1"/>
  <c r="H585" i="6"/>
  <c r="L585" i="6" s="1"/>
  <c r="H583" i="6"/>
  <c r="P583" i="6" s="1"/>
  <c r="H581" i="6"/>
  <c r="O581" i="6" s="1"/>
  <c r="H579" i="6"/>
  <c r="P579" i="6" s="1"/>
  <c r="H577" i="6"/>
  <c r="K577" i="6" s="1"/>
  <c r="H575" i="6"/>
  <c r="N575" i="6" s="1"/>
  <c r="H573" i="6"/>
  <c r="K573" i="6" s="1"/>
  <c r="H571" i="6"/>
  <c r="O571" i="6" s="1"/>
  <c r="H569" i="6"/>
  <c r="N569" i="6" s="1"/>
  <c r="H567" i="6"/>
  <c r="O567" i="6" s="1"/>
  <c r="H565" i="6"/>
  <c r="K565" i="6" s="1"/>
  <c r="H563" i="6"/>
  <c r="N563" i="6" s="1"/>
  <c r="H561" i="6"/>
  <c r="K561" i="6" s="1"/>
  <c r="H559" i="6"/>
  <c r="P559" i="6" s="1"/>
  <c r="H557" i="6"/>
  <c r="N557" i="6" s="1"/>
  <c r="H555" i="6"/>
  <c r="P555" i="6" s="1"/>
  <c r="H553" i="6"/>
  <c r="K553" i="6" s="1"/>
  <c r="H551" i="6"/>
  <c r="O551" i="6" s="1"/>
  <c r="H549" i="6"/>
  <c r="K549" i="6" s="1"/>
  <c r="H547" i="6"/>
  <c r="P547" i="6" s="1"/>
  <c r="H545" i="6"/>
  <c r="O545" i="6" s="1"/>
  <c r="H543" i="6"/>
  <c r="P543" i="6" s="1"/>
  <c r="H541" i="6"/>
  <c r="N541" i="6" s="1"/>
  <c r="H539" i="6"/>
  <c r="O539" i="6" s="1"/>
  <c r="H537" i="6"/>
  <c r="N537" i="6" s="1"/>
  <c r="H535" i="6"/>
  <c r="P535" i="6" s="1"/>
  <c r="H533" i="6"/>
  <c r="O533" i="6" s="1"/>
  <c r="H531" i="6"/>
  <c r="P531" i="6" s="1"/>
  <c r="H529" i="6"/>
  <c r="L529" i="6" s="1"/>
  <c r="H527" i="6"/>
  <c r="N527" i="6" s="1"/>
  <c r="H525" i="6"/>
  <c r="L525" i="6" s="1"/>
  <c r="H523" i="6"/>
  <c r="O523" i="6" s="1"/>
  <c r="H521" i="6"/>
  <c r="N521" i="6" s="1"/>
  <c r="H519" i="6"/>
  <c r="O519" i="6" s="1"/>
  <c r="H517" i="6"/>
  <c r="L517" i="6" s="1"/>
  <c r="H515" i="6"/>
  <c r="N515" i="6" s="1"/>
  <c r="H513" i="6"/>
  <c r="L513" i="6" s="1"/>
  <c r="H511" i="6"/>
  <c r="P511" i="6" s="1"/>
  <c r="H509" i="6"/>
  <c r="N509" i="6" s="1"/>
  <c r="H507" i="6"/>
  <c r="P507" i="6" s="1"/>
  <c r="H505" i="6"/>
  <c r="L505" i="6" s="1"/>
  <c r="H503" i="6"/>
  <c r="O503" i="6" s="1"/>
  <c r="H501" i="6"/>
  <c r="L501" i="6" s="1"/>
  <c r="H499" i="6"/>
  <c r="P499" i="6" s="1"/>
  <c r="H497" i="6"/>
  <c r="O497" i="6" s="1"/>
  <c r="H495" i="6"/>
  <c r="P495" i="6" s="1"/>
  <c r="H493" i="6"/>
  <c r="N493" i="6" s="1"/>
  <c r="H491" i="6"/>
  <c r="O491" i="6" s="1"/>
  <c r="H489" i="6"/>
  <c r="N489" i="6" s="1"/>
  <c r="H487" i="6"/>
  <c r="P487" i="6" s="1"/>
  <c r="H485" i="6"/>
  <c r="O485" i="6" s="1"/>
  <c r="H483" i="6"/>
  <c r="P483" i="6" s="1"/>
  <c r="H481" i="6"/>
  <c r="K481" i="6" s="1"/>
  <c r="H479" i="6"/>
  <c r="M479" i="6" s="1"/>
  <c r="H477" i="6"/>
  <c r="K477" i="6" s="1"/>
  <c r="H475" i="6"/>
  <c r="N475" i="6" s="1"/>
  <c r="H473" i="6"/>
  <c r="M473" i="6" s="1"/>
  <c r="H471" i="6"/>
  <c r="N471" i="6" s="1"/>
  <c r="H469" i="6"/>
  <c r="K469" i="6" s="1"/>
  <c r="H467" i="6"/>
  <c r="M467" i="6" s="1"/>
  <c r="H465" i="6"/>
  <c r="K465" i="6" s="1"/>
  <c r="H463" i="6"/>
  <c r="O463" i="6" s="1"/>
  <c r="H461" i="6"/>
  <c r="M461" i="6" s="1"/>
  <c r="H459" i="6"/>
  <c r="O459" i="6" s="1"/>
  <c r="H457" i="6"/>
  <c r="K457" i="6" s="1"/>
  <c r="H455" i="6"/>
  <c r="N455" i="6" s="1"/>
  <c r="H453" i="6"/>
  <c r="K453" i="6" s="1"/>
  <c r="H451" i="6"/>
  <c r="O451" i="6" s="1"/>
  <c r="H449" i="6"/>
  <c r="N449" i="6" s="1"/>
  <c r="H447" i="6"/>
  <c r="O447" i="6" s="1"/>
  <c r="H445" i="6"/>
  <c r="M445" i="6" s="1"/>
  <c r="H443" i="6"/>
  <c r="N443" i="6" s="1"/>
  <c r="H441" i="6"/>
  <c r="M441" i="6" s="1"/>
  <c r="H439" i="6"/>
  <c r="O439" i="6" s="1"/>
  <c r="H437" i="6"/>
  <c r="N437" i="6" s="1"/>
  <c r="H435" i="6"/>
  <c r="O435" i="6" s="1"/>
  <c r="H433" i="6"/>
  <c r="K433" i="6" s="1"/>
  <c r="H431" i="6"/>
  <c r="M431" i="6" s="1"/>
  <c r="H429" i="6"/>
  <c r="K429" i="6" s="1"/>
  <c r="H427" i="6"/>
  <c r="N427" i="6" s="1"/>
  <c r="H425" i="6"/>
  <c r="M425" i="6" s="1"/>
  <c r="H423" i="6"/>
  <c r="N423" i="6" s="1"/>
  <c r="H421" i="6"/>
  <c r="K421" i="6" s="1"/>
  <c r="H419" i="6"/>
  <c r="M419" i="6" s="1"/>
  <c r="H417" i="6"/>
  <c r="K417" i="6" s="1"/>
  <c r="H415" i="6"/>
  <c r="P415" i="6" s="1"/>
  <c r="H413" i="6"/>
  <c r="M413" i="6" s="1"/>
  <c r="H411" i="6"/>
  <c r="P411" i="6" s="1"/>
  <c r="H409" i="6"/>
  <c r="K409" i="6" s="1"/>
  <c r="H407" i="6"/>
  <c r="N407" i="6" s="1"/>
  <c r="H405" i="6"/>
  <c r="K405" i="6" s="1"/>
  <c r="H403" i="6"/>
  <c r="P403" i="6" s="1"/>
  <c r="H401" i="6"/>
  <c r="N401" i="6" s="1"/>
  <c r="H399" i="6"/>
  <c r="P399" i="6" s="1"/>
  <c r="H397" i="6"/>
  <c r="M397" i="6" s="1"/>
  <c r="H395" i="6"/>
  <c r="N395" i="6" s="1"/>
  <c r="H393" i="6"/>
  <c r="M393" i="6" s="1"/>
  <c r="H391" i="6"/>
  <c r="P391" i="6" s="1"/>
  <c r="H389" i="6"/>
  <c r="N389" i="6" s="1"/>
  <c r="H387" i="6"/>
  <c r="P387" i="6" s="1"/>
  <c r="H385" i="6"/>
  <c r="K385" i="6" s="1"/>
  <c r="H383" i="6"/>
  <c r="M383" i="6" s="1"/>
  <c r="H381" i="6"/>
  <c r="K381" i="6" s="1"/>
  <c r="H379" i="6"/>
  <c r="O379" i="6" s="1"/>
  <c r="H377" i="6"/>
  <c r="M377" i="6" s="1"/>
  <c r="H375" i="6"/>
  <c r="O375" i="6" s="1"/>
  <c r="H373" i="6"/>
  <c r="K373" i="6" s="1"/>
  <c r="H371" i="6"/>
  <c r="M371" i="6" s="1"/>
  <c r="H369" i="6"/>
  <c r="K369" i="6" s="1"/>
  <c r="H367" i="6"/>
  <c r="P367" i="6" s="1"/>
  <c r="H365" i="6"/>
  <c r="M365" i="6" s="1"/>
  <c r="H363" i="6"/>
  <c r="P363" i="6" s="1"/>
  <c r="H361" i="6"/>
  <c r="K361" i="6" s="1"/>
  <c r="H359" i="6"/>
  <c r="O359" i="6" s="1"/>
  <c r="H357" i="6"/>
  <c r="K357" i="6" s="1"/>
  <c r="H355" i="6"/>
  <c r="P355" i="6" s="1"/>
  <c r="H353" i="6"/>
  <c r="O353" i="6" s="1"/>
  <c r="H351" i="6"/>
  <c r="P351" i="6" s="1"/>
  <c r="H349" i="6"/>
  <c r="M349" i="6" s="1"/>
  <c r="H347" i="6"/>
  <c r="O347" i="6" s="1"/>
  <c r="H345" i="6"/>
  <c r="M345" i="6" s="1"/>
  <c r="H343" i="6"/>
  <c r="P343" i="6" s="1"/>
  <c r="H341" i="6"/>
  <c r="O341" i="6" s="1"/>
  <c r="H339" i="6"/>
  <c r="P339" i="6" s="1"/>
  <c r="H337" i="6"/>
  <c r="K337" i="6" s="1"/>
  <c r="H335" i="6"/>
  <c r="N335" i="6" s="1"/>
  <c r="H333" i="6"/>
  <c r="K333" i="6" s="1"/>
  <c r="H331" i="6"/>
  <c r="O331" i="6" s="1"/>
  <c r="H329" i="6"/>
  <c r="N329" i="6" s="1"/>
  <c r="H327" i="6"/>
  <c r="O327" i="6" s="1"/>
  <c r="H325" i="6"/>
  <c r="K325" i="6" s="1"/>
  <c r="H323" i="6"/>
  <c r="N323" i="6" s="1"/>
  <c r="H321" i="6"/>
  <c r="K321" i="6" s="1"/>
  <c r="H319" i="6"/>
  <c r="P319" i="6" s="1"/>
  <c r="H317" i="6"/>
  <c r="N317" i="6" s="1"/>
  <c r="H315" i="6"/>
  <c r="P315" i="6" s="1"/>
  <c r="H313" i="6"/>
  <c r="K313" i="6" s="1"/>
  <c r="H311" i="6"/>
  <c r="O311" i="6" s="1"/>
  <c r="H309" i="6"/>
  <c r="K309" i="6" s="1"/>
  <c r="H307" i="6"/>
  <c r="P307" i="6" s="1"/>
  <c r="H305" i="6"/>
  <c r="O305" i="6" s="1"/>
  <c r="H303" i="6"/>
  <c r="P303" i="6" s="1"/>
  <c r="H301" i="6"/>
  <c r="N301" i="6" s="1"/>
  <c r="H299" i="6"/>
  <c r="O299" i="6" s="1"/>
  <c r="H297" i="6"/>
  <c r="N297" i="6" s="1"/>
  <c r="H295" i="6"/>
  <c r="P295" i="6" s="1"/>
  <c r="H293" i="6"/>
  <c r="O293" i="6" s="1"/>
  <c r="H291" i="6"/>
  <c r="P291" i="6" s="1"/>
  <c r="H289" i="6"/>
  <c r="M289" i="6" s="1"/>
  <c r="H287" i="6"/>
  <c r="N287" i="6" s="1"/>
  <c r="H285" i="6"/>
  <c r="M285" i="6" s="1"/>
  <c r="H283" i="6"/>
  <c r="O283" i="6" s="1"/>
  <c r="H281" i="6"/>
  <c r="N281" i="6" s="1"/>
  <c r="H279" i="6"/>
  <c r="O279" i="6" s="1"/>
  <c r="H277" i="6"/>
  <c r="M277" i="6" s="1"/>
  <c r="H275" i="6"/>
  <c r="N275" i="6" s="1"/>
  <c r="H273" i="6"/>
  <c r="M273" i="6" s="1"/>
  <c r="H271" i="6"/>
  <c r="P271" i="6" s="1"/>
  <c r="H269" i="6"/>
  <c r="N269" i="6" s="1"/>
  <c r="H267" i="6"/>
  <c r="P267" i="6" s="1"/>
  <c r="H265" i="6"/>
  <c r="M265" i="6" s="1"/>
  <c r="H263" i="6"/>
  <c r="O263" i="6" s="1"/>
  <c r="H261" i="6"/>
  <c r="M261" i="6" s="1"/>
  <c r="H259" i="6"/>
  <c r="P259" i="6" s="1"/>
  <c r="H257" i="6"/>
  <c r="O257" i="6" s="1"/>
  <c r="H255" i="6"/>
  <c r="P255" i="6" s="1"/>
  <c r="H253" i="6"/>
  <c r="N253" i="6" s="1"/>
  <c r="H251" i="6"/>
  <c r="O251" i="6" s="1"/>
  <c r="H249" i="6"/>
  <c r="N249" i="6" s="1"/>
  <c r="H247" i="6"/>
  <c r="P247" i="6" s="1"/>
  <c r="H245" i="6"/>
  <c r="O245" i="6" s="1"/>
  <c r="H243" i="6"/>
  <c r="P243" i="6" s="1"/>
  <c r="H241" i="6"/>
  <c r="L241" i="6" s="1"/>
  <c r="H239" i="6"/>
  <c r="M239" i="6" s="1"/>
  <c r="H237" i="6"/>
  <c r="L237" i="6" s="1"/>
  <c r="H235" i="6"/>
  <c r="N235" i="6" s="1"/>
  <c r="H233" i="6"/>
  <c r="M233" i="6" s="1"/>
  <c r="H231" i="6"/>
  <c r="N231" i="6" s="1"/>
  <c r="H229" i="6"/>
  <c r="L229" i="6" s="1"/>
  <c r="H227" i="6"/>
  <c r="M227" i="6" s="1"/>
  <c r="H225" i="6"/>
  <c r="L225" i="6" s="1"/>
  <c r="H223" i="6"/>
  <c r="O223" i="6" s="1"/>
  <c r="H221" i="6"/>
  <c r="M221" i="6" s="1"/>
  <c r="H219" i="6"/>
  <c r="O219" i="6" s="1"/>
  <c r="H217" i="6"/>
  <c r="L217" i="6" s="1"/>
  <c r="H215" i="6"/>
  <c r="N215" i="6" s="1"/>
  <c r="H213" i="6"/>
  <c r="L213" i="6" s="1"/>
  <c r="H211" i="6"/>
  <c r="O211" i="6" s="1"/>
  <c r="H209" i="6"/>
  <c r="N209" i="6" s="1"/>
  <c r="H207" i="6"/>
  <c r="O207" i="6" s="1"/>
  <c r="H205" i="6"/>
  <c r="M205" i="6" s="1"/>
  <c r="H203" i="6"/>
  <c r="N203" i="6" s="1"/>
  <c r="H201" i="6"/>
  <c r="M201" i="6" s="1"/>
  <c r="H199" i="6"/>
  <c r="O199" i="6" s="1"/>
  <c r="H197" i="6"/>
  <c r="N197" i="6" s="1"/>
  <c r="H195" i="6"/>
  <c r="O195" i="6" s="1"/>
  <c r="H193" i="6"/>
  <c r="L193" i="6" s="1"/>
  <c r="H191" i="6"/>
  <c r="M191" i="6" s="1"/>
  <c r="L189" i="6"/>
  <c r="H189" i="6"/>
  <c r="H187" i="6"/>
  <c r="N187" i="6" s="1"/>
  <c r="H185" i="6"/>
  <c r="M185" i="6" s="1"/>
  <c r="H183" i="6"/>
  <c r="N183" i="6" s="1"/>
  <c r="H181" i="6"/>
  <c r="L181" i="6" s="1"/>
  <c r="H179" i="6"/>
  <c r="M179" i="6" s="1"/>
  <c r="H177" i="6"/>
  <c r="L177" i="6" s="1"/>
  <c r="H175" i="6"/>
  <c r="P175" i="6" s="1"/>
  <c r="H173" i="6"/>
  <c r="M173" i="6" s="1"/>
  <c r="H171" i="6"/>
  <c r="P171" i="6" s="1"/>
  <c r="H169" i="6"/>
  <c r="L169" i="6" s="1"/>
  <c r="H167" i="6"/>
  <c r="N167" i="6" s="1"/>
  <c r="H165" i="6"/>
  <c r="L165" i="6" s="1"/>
  <c r="H163" i="6"/>
  <c r="P163" i="6" s="1"/>
  <c r="H161" i="6"/>
  <c r="N161" i="6" s="1"/>
  <c r="H159" i="6"/>
  <c r="P159" i="6" s="1"/>
  <c r="H157" i="6"/>
  <c r="M157" i="6" s="1"/>
  <c r="H155" i="6"/>
  <c r="N155" i="6" s="1"/>
  <c r="H153" i="6"/>
  <c r="M153" i="6" s="1"/>
  <c r="H151" i="6"/>
  <c r="P151" i="6" s="1"/>
  <c r="H149" i="6"/>
  <c r="N149" i="6" s="1"/>
  <c r="H147" i="6"/>
  <c r="P147" i="6" s="1"/>
  <c r="H145" i="6"/>
  <c r="L145" i="6" s="1"/>
  <c r="H143" i="6"/>
  <c r="M143" i="6" s="1"/>
  <c r="H141" i="6"/>
  <c r="L141" i="6" s="1"/>
  <c r="H139" i="6"/>
  <c r="O139" i="6" s="1"/>
  <c r="H137" i="6"/>
  <c r="M137" i="6" s="1"/>
  <c r="H135" i="6"/>
  <c r="O135" i="6" s="1"/>
  <c r="H133" i="6"/>
  <c r="L133" i="6" s="1"/>
  <c r="H131" i="6"/>
  <c r="M131" i="6" s="1"/>
  <c r="H129" i="6"/>
  <c r="L129" i="6" s="1"/>
  <c r="H127" i="6"/>
  <c r="P127" i="6" s="1"/>
  <c r="H125" i="6"/>
  <c r="M125" i="6" s="1"/>
  <c r="H123" i="6"/>
  <c r="P123" i="6" s="1"/>
  <c r="H121" i="6"/>
  <c r="L121" i="6" s="1"/>
  <c r="H119" i="6"/>
  <c r="O119" i="6" s="1"/>
  <c r="H117" i="6"/>
  <c r="L117" i="6" s="1"/>
  <c r="H115" i="6"/>
  <c r="P115" i="6" s="1"/>
  <c r="H113" i="6"/>
  <c r="O113" i="6" s="1"/>
  <c r="H111" i="6"/>
  <c r="P111" i="6" s="1"/>
  <c r="H109" i="6"/>
  <c r="M109" i="6" s="1"/>
  <c r="H107" i="6"/>
  <c r="O107" i="6" s="1"/>
  <c r="H105" i="6"/>
  <c r="M105" i="6" s="1"/>
  <c r="H103" i="6"/>
  <c r="P103" i="6" s="1"/>
  <c r="H101" i="6"/>
  <c r="O101" i="6" s="1"/>
  <c r="H99" i="6"/>
  <c r="P99" i="6" s="1"/>
  <c r="H97" i="6"/>
  <c r="L97" i="6" s="1"/>
  <c r="H95" i="6"/>
  <c r="N95" i="6" s="1"/>
  <c r="H93" i="6"/>
  <c r="L93" i="6" s="1"/>
  <c r="H91" i="6"/>
  <c r="O91" i="6" s="1"/>
  <c r="H89" i="6"/>
  <c r="N89" i="6" s="1"/>
  <c r="H87" i="6"/>
  <c r="O87" i="6" s="1"/>
  <c r="H85" i="6"/>
  <c r="L85" i="6" s="1"/>
  <c r="H83" i="6"/>
  <c r="N83" i="6" s="1"/>
  <c r="H81" i="6"/>
  <c r="L81" i="6" s="1"/>
  <c r="H79" i="6"/>
  <c r="P79" i="6" s="1"/>
  <c r="H77" i="6"/>
  <c r="N77" i="6" s="1"/>
  <c r="H75" i="6"/>
  <c r="P75" i="6" s="1"/>
  <c r="H73" i="6"/>
  <c r="L73" i="6" s="1"/>
  <c r="H71" i="6"/>
  <c r="O71" i="6" s="1"/>
  <c r="H69" i="6"/>
  <c r="L69" i="6" s="1"/>
  <c r="H67" i="6"/>
  <c r="P67" i="6" s="1"/>
  <c r="H65" i="6"/>
  <c r="O65" i="6" s="1"/>
  <c r="H63" i="6"/>
  <c r="P63" i="6" s="1"/>
  <c r="H61" i="6"/>
  <c r="N61" i="6" s="1"/>
  <c r="H59" i="6"/>
  <c r="O59" i="6" s="1"/>
  <c r="H57" i="6"/>
  <c r="N57" i="6" s="1"/>
  <c r="H55" i="6"/>
  <c r="P55" i="6" s="1"/>
  <c r="H53" i="6"/>
  <c r="O53" i="6" s="1"/>
  <c r="H51" i="6"/>
  <c r="P51" i="6" s="1"/>
  <c r="H49" i="6"/>
  <c r="M49" i="6" s="1"/>
  <c r="H47" i="6"/>
  <c r="N47" i="6" s="1"/>
  <c r="H45" i="6"/>
  <c r="M45" i="6" s="1"/>
  <c r="H43" i="6"/>
  <c r="O43" i="6" s="1"/>
  <c r="H41" i="6"/>
  <c r="N41" i="6" s="1"/>
  <c r="H39" i="6"/>
  <c r="O39" i="6" s="1"/>
  <c r="H37" i="6"/>
  <c r="M37" i="6" s="1"/>
  <c r="H35" i="6"/>
  <c r="N35" i="6" s="1"/>
  <c r="H33" i="6"/>
  <c r="M33" i="6" s="1"/>
  <c r="H31" i="6"/>
  <c r="P31" i="6" s="1"/>
  <c r="H29" i="6"/>
  <c r="N29" i="6" s="1"/>
  <c r="H27" i="6"/>
  <c r="P27" i="6" s="1"/>
  <c r="H25" i="6"/>
  <c r="M25" i="6" s="1"/>
  <c r="H23" i="6"/>
  <c r="O23" i="6" s="1"/>
  <c r="H21" i="6"/>
  <c r="M21" i="6" s="1"/>
  <c r="H19" i="6"/>
  <c r="P19" i="6" s="1"/>
  <c r="H17" i="6"/>
  <c r="O17" i="6" s="1"/>
  <c r="H15" i="6"/>
  <c r="P15" i="6" s="1"/>
  <c r="H13" i="6"/>
  <c r="N13" i="6" s="1"/>
  <c r="H11" i="6"/>
  <c r="O11" i="6" s="1"/>
  <c r="H9" i="6"/>
  <c r="N9" i="6" s="1"/>
  <c r="H7" i="6"/>
  <c r="P7" i="6" s="1"/>
  <c r="H5" i="6"/>
  <c r="O5" i="6" s="1"/>
  <c r="H3" i="6"/>
  <c r="P3" i="6" s="1"/>
  <c r="F729" i="5"/>
  <c r="E729" i="5"/>
  <c r="D729" i="5"/>
  <c r="C729" i="5"/>
  <c r="B729" i="5"/>
  <c r="F728" i="5"/>
  <c r="E728" i="5"/>
  <c r="D728" i="5"/>
  <c r="C728" i="5"/>
  <c r="B728" i="5"/>
  <c r="F727" i="5"/>
  <c r="E727" i="5"/>
  <c r="D727" i="5"/>
  <c r="C727" i="5"/>
  <c r="B727" i="5"/>
  <c r="F726" i="5"/>
  <c r="E726" i="5"/>
  <c r="D726" i="5"/>
  <c r="C726" i="5"/>
  <c r="B726" i="5"/>
  <c r="F725" i="5"/>
  <c r="E725" i="5"/>
  <c r="D725" i="5"/>
  <c r="C725" i="5"/>
  <c r="B725" i="5"/>
  <c r="F724" i="5"/>
  <c r="E724" i="5"/>
  <c r="D724" i="5"/>
  <c r="C724" i="5"/>
  <c r="B724" i="5"/>
  <c r="F723" i="5"/>
  <c r="E723" i="5"/>
  <c r="D723" i="5"/>
  <c r="C723" i="5"/>
  <c r="B723" i="5"/>
  <c r="F722" i="5"/>
  <c r="E722" i="5"/>
  <c r="D722" i="5"/>
  <c r="C722" i="5"/>
  <c r="B722" i="5"/>
  <c r="F721" i="5"/>
  <c r="E721" i="5"/>
  <c r="D721" i="5"/>
  <c r="C721" i="5"/>
  <c r="B721" i="5"/>
  <c r="F720" i="5"/>
  <c r="E720" i="5"/>
  <c r="D720" i="5"/>
  <c r="C720" i="5"/>
  <c r="B720" i="5"/>
  <c r="F719" i="5"/>
  <c r="E719" i="5"/>
  <c r="D719" i="5"/>
  <c r="C719" i="5"/>
  <c r="B719" i="5"/>
  <c r="F718" i="5"/>
  <c r="E718" i="5"/>
  <c r="D718" i="5"/>
  <c r="C718" i="5"/>
  <c r="B718" i="5"/>
  <c r="F717" i="5"/>
  <c r="E717" i="5"/>
  <c r="D717" i="5"/>
  <c r="C717" i="5"/>
  <c r="B717" i="5"/>
  <c r="F716" i="5"/>
  <c r="E716" i="5"/>
  <c r="D716" i="5"/>
  <c r="C716" i="5"/>
  <c r="B716" i="5"/>
  <c r="F715" i="5"/>
  <c r="E715" i="5"/>
  <c r="D715" i="5"/>
  <c r="C715" i="5"/>
  <c r="B715" i="5"/>
  <c r="F714" i="5"/>
  <c r="E714" i="5"/>
  <c r="D714" i="5"/>
  <c r="C714" i="5"/>
  <c r="B714" i="5"/>
  <c r="F713" i="5"/>
  <c r="E713" i="5"/>
  <c r="D713" i="5"/>
  <c r="C713" i="5"/>
  <c r="B713" i="5"/>
  <c r="F712" i="5"/>
  <c r="E712" i="5"/>
  <c r="D712" i="5"/>
  <c r="C712" i="5"/>
  <c r="B712" i="5"/>
  <c r="F711" i="5"/>
  <c r="E711" i="5"/>
  <c r="D711" i="5"/>
  <c r="C711" i="5"/>
  <c r="B711" i="5"/>
  <c r="F710" i="5"/>
  <c r="E710" i="5"/>
  <c r="D710" i="5"/>
  <c r="C710" i="5"/>
  <c r="B710" i="5"/>
  <c r="F709" i="5"/>
  <c r="E709" i="5"/>
  <c r="D709" i="5"/>
  <c r="C709" i="5"/>
  <c r="B709" i="5"/>
  <c r="F708" i="5"/>
  <c r="E708" i="5"/>
  <c r="D708" i="5"/>
  <c r="C708" i="5"/>
  <c r="B708" i="5"/>
  <c r="F707" i="5"/>
  <c r="E707" i="5"/>
  <c r="D707" i="5"/>
  <c r="C707" i="5"/>
  <c r="B707" i="5"/>
  <c r="F706" i="5"/>
  <c r="E706" i="5"/>
  <c r="D706" i="5"/>
  <c r="C706" i="5"/>
  <c r="B706" i="5"/>
  <c r="F705" i="5"/>
  <c r="E705" i="5"/>
  <c r="D705" i="5"/>
  <c r="C705" i="5"/>
  <c r="B705" i="5"/>
  <c r="F704" i="5"/>
  <c r="E704" i="5"/>
  <c r="D704" i="5"/>
  <c r="C704" i="5"/>
  <c r="B704" i="5"/>
  <c r="F703" i="5"/>
  <c r="E703" i="5"/>
  <c r="D703" i="5"/>
  <c r="C703" i="5"/>
  <c r="B703" i="5"/>
  <c r="F702" i="5"/>
  <c r="E702" i="5"/>
  <c r="D702" i="5"/>
  <c r="C702" i="5"/>
  <c r="B702" i="5"/>
  <c r="F701" i="5"/>
  <c r="E701" i="5"/>
  <c r="D701" i="5"/>
  <c r="C701" i="5"/>
  <c r="B701" i="5"/>
  <c r="F700" i="5"/>
  <c r="E700" i="5"/>
  <c r="D700" i="5"/>
  <c r="C700" i="5"/>
  <c r="B700" i="5"/>
  <c r="F699" i="5"/>
  <c r="E699" i="5"/>
  <c r="D699" i="5"/>
  <c r="C699" i="5"/>
  <c r="B699" i="5"/>
  <c r="F698" i="5"/>
  <c r="E698" i="5"/>
  <c r="D698" i="5"/>
  <c r="C698" i="5"/>
  <c r="B698" i="5"/>
  <c r="F697" i="5"/>
  <c r="E697" i="5"/>
  <c r="D697" i="5"/>
  <c r="C697" i="5"/>
  <c r="B697" i="5"/>
  <c r="F696" i="5"/>
  <c r="E696" i="5"/>
  <c r="D696" i="5"/>
  <c r="C696" i="5"/>
  <c r="B696" i="5"/>
  <c r="F695" i="5"/>
  <c r="E695" i="5"/>
  <c r="D695" i="5"/>
  <c r="C695" i="5"/>
  <c r="B695" i="5"/>
  <c r="F694" i="5"/>
  <c r="E694" i="5"/>
  <c r="D694" i="5"/>
  <c r="C694" i="5"/>
  <c r="B694" i="5"/>
  <c r="F693" i="5"/>
  <c r="E693" i="5"/>
  <c r="D693" i="5"/>
  <c r="C693" i="5"/>
  <c r="B693" i="5"/>
  <c r="F692" i="5"/>
  <c r="E692" i="5"/>
  <c r="D692" i="5"/>
  <c r="C692" i="5"/>
  <c r="B692" i="5"/>
  <c r="F691" i="5"/>
  <c r="E691" i="5"/>
  <c r="D691" i="5"/>
  <c r="C691" i="5"/>
  <c r="B691" i="5"/>
  <c r="F690" i="5"/>
  <c r="E690" i="5"/>
  <c r="D690" i="5"/>
  <c r="C690" i="5"/>
  <c r="B690" i="5"/>
  <c r="F689" i="5"/>
  <c r="E689" i="5"/>
  <c r="D689" i="5"/>
  <c r="C689" i="5"/>
  <c r="B689" i="5"/>
  <c r="F688" i="5"/>
  <c r="E688" i="5"/>
  <c r="D688" i="5"/>
  <c r="C688" i="5"/>
  <c r="B688" i="5"/>
  <c r="F687" i="5"/>
  <c r="E687" i="5"/>
  <c r="D687" i="5"/>
  <c r="C687" i="5"/>
  <c r="B687" i="5"/>
  <c r="F686" i="5"/>
  <c r="E686" i="5"/>
  <c r="D686" i="5"/>
  <c r="C686" i="5"/>
  <c r="B686" i="5"/>
  <c r="F685" i="5"/>
  <c r="E685" i="5"/>
  <c r="D685" i="5"/>
  <c r="C685" i="5"/>
  <c r="B685" i="5"/>
  <c r="F684" i="5"/>
  <c r="E684" i="5"/>
  <c r="D684" i="5"/>
  <c r="C684" i="5"/>
  <c r="B684" i="5"/>
  <c r="F683" i="5"/>
  <c r="E683" i="5"/>
  <c r="D683" i="5"/>
  <c r="C683" i="5"/>
  <c r="B683" i="5"/>
  <c r="F682" i="5"/>
  <c r="E682" i="5"/>
  <c r="D682" i="5"/>
  <c r="C682" i="5"/>
  <c r="B682" i="5"/>
  <c r="F681" i="5"/>
  <c r="E681" i="5"/>
  <c r="D681" i="5"/>
  <c r="C681" i="5"/>
  <c r="B681" i="5"/>
  <c r="F680" i="5"/>
  <c r="E680" i="5"/>
  <c r="D680" i="5"/>
  <c r="C680" i="5"/>
  <c r="B680" i="5"/>
  <c r="F679" i="5"/>
  <c r="E679" i="5"/>
  <c r="D679" i="5"/>
  <c r="C679" i="5"/>
  <c r="B679" i="5"/>
  <c r="F678" i="5"/>
  <c r="E678" i="5"/>
  <c r="D678" i="5"/>
  <c r="C678" i="5"/>
  <c r="B678" i="5"/>
  <c r="F677" i="5"/>
  <c r="E677" i="5"/>
  <c r="D677" i="5"/>
  <c r="C677" i="5"/>
  <c r="B677" i="5"/>
  <c r="F676" i="5"/>
  <c r="E676" i="5"/>
  <c r="D676" i="5"/>
  <c r="C676" i="5"/>
  <c r="B676" i="5"/>
  <c r="F675" i="5"/>
  <c r="E675" i="5"/>
  <c r="D675" i="5"/>
  <c r="C675" i="5"/>
  <c r="B675" i="5"/>
  <c r="F674" i="5"/>
  <c r="E674" i="5"/>
  <c r="D674" i="5"/>
  <c r="C674" i="5"/>
  <c r="B674" i="5"/>
  <c r="F673" i="5"/>
  <c r="E673" i="5"/>
  <c r="D673" i="5"/>
  <c r="C673" i="5"/>
  <c r="B673" i="5"/>
  <c r="F672" i="5"/>
  <c r="E672" i="5"/>
  <c r="D672" i="5"/>
  <c r="C672" i="5"/>
  <c r="B672" i="5"/>
  <c r="F671" i="5"/>
  <c r="E671" i="5"/>
  <c r="D671" i="5"/>
  <c r="C671" i="5"/>
  <c r="B671" i="5"/>
  <c r="F670" i="5"/>
  <c r="E670" i="5"/>
  <c r="D670" i="5"/>
  <c r="C670" i="5"/>
  <c r="B670" i="5"/>
  <c r="F669" i="5"/>
  <c r="E669" i="5"/>
  <c r="D669" i="5"/>
  <c r="C669" i="5"/>
  <c r="B669" i="5"/>
  <c r="F668" i="5"/>
  <c r="E668" i="5"/>
  <c r="D668" i="5"/>
  <c r="C668" i="5"/>
  <c r="B668" i="5"/>
  <c r="F667" i="5"/>
  <c r="E667" i="5"/>
  <c r="D667" i="5"/>
  <c r="C667" i="5"/>
  <c r="B667" i="5"/>
  <c r="F666" i="5"/>
  <c r="E666" i="5"/>
  <c r="D666" i="5"/>
  <c r="C666" i="5"/>
  <c r="B666" i="5"/>
  <c r="F665" i="5"/>
  <c r="E665" i="5"/>
  <c r="D665" i="5"/>
  <c r="C665" i="5"/>
  <c r="B665" i="5"/>
  <c r="F664" i="5"/>
  <c r="E664" i="5"/>
  <c r="D664" i="5"/>
  <c r="C664" i="5"/>
  <c r="B664" i="5"/>
  <c r="F663" i="5"/>
  <c r="E663" i="5"/>
  <c r="D663" i="5"/>
  <c r="C663" i="5"/>
  <c r="B663" i="5"/>
  <c r="F662" i="5"/>
  <c r="E662" i="5"/>
  <c r="D662" i="5"/>
  <c r="C662" i="5"/>
  <c r="B662" i="5"/>
  <c r="F661" i="5"/>
  <c r="E661" i="5"/>
  <c r="D661" i="5"/>
  <c r="C661" i="5"/>
  <c r="B661" i="5"/>
  <c r="F660" i="5"/>
  <c r="E660" i="5"/>
  <c r="D660" i="5"/>
  <c r="C660" i="5"/>
  <c r="B660" i="5"/>
  <c r="F659" i="5"/>
  <c r="E659" i="5"/>
  <c r="D659" i="5"/>
  <c r="C659" i="5"/>
  <c r="B659" i="5"/>
  <c r="F658" i="5"/>
  <c r="E658" i="5"/>
  <c r="D658" i="5"/>
  <c r="C658" i="5"/>
  <c r="B658" i="5"/>
  <c r="F657" i="5"/>
  <c r="E657" i="5"/>
  <c r="D657" i="5"/>
  <c r="C657" i="5"/>
  <c r="B657" i="5"/>
  <c r="F656" i="5"/>
  <c r="E656" i="5"/>
  <c r="D656" i="5"/>
  <c r="C656" i="5"/>
  <c r="B656" i="5"/>
  <c r="F655" i="5"/>
  <c r="E655" i="5"/>
  <c r="D655" i="5"/>
  <c r="C655" i="5"/>
  <c r="B655" i="5"/>
  <c r="F654" i="5"/>
  <c r="E654" i="5"/>
  <c r="D654" i="5"/>
  <c r="C654" i="5"/>
  <c r="B654" i="5"/>
  <c r="F653" i="5"/>
  <c r="E653" i="5"/>
  <c r="D653" i="5"/>
  <c r="C653" i="5"/>
  <c r="B653" i="5"/>
  <c r="F652" i="5"/>
  <c r="E652" i="5"/>
  <c r="D652" i="5"/>
  <c r="C652" i="5"/>
  <c r="B652" i="5"/>
  <c r="F651" i="5"/>
  <c r="E651" i="5"/>
  <c r="D651" i="5"/>
  <c r="C651" i="5"/>
  <c r="B651" i="5"/>
  <c r="F650" i="5"/>
  <c r="E650" i="5"/>
  <c r="D650" i="5"/>
  <c r="C650" i="5"/>
  <c r="B650" i="5"/>
  <c r="F649" i="5"/>
  <c r="E649" i="5"/>
  <c r="D649" i="5"/>
  <c r="C649" i="5"/>
  <c r="B649" i="5"/>
  <c r="F648" i="5"/>
  <c r="E648" i="5"/>
  <c r="D648" i="5"/>
  <c r="C648" i="5"/>
  <c r="B648" i="5"/>
  <c r="F647" i="5"/>
  <c r="E647" i="5"/>
  <c r="D647" i="5"/>
  <c r="C647" i="5"/>
  <c r="B647" i="5"/>
  <c r="F646" i="5"/>
  <c r="E646" i="5"/>
  <c r="D646" i="5"/>
  <c r="C646" i="5"/>
  <c r="B646" i="5"/>
  <c r="F645" i="5"/>
  <c r="E645" i="5"/>
  <c r="D645" i="5"/>
  <c r="C645" i="5"/>
  <c r="B645" i="5"/>
  <c r="F644" i="5"/>
  <c r="E644" i="5"/>
  <c r="D644" i="5"/>
  <c r="C644" i="5"/>
  <c r="B644" i="5"/>
  <c r="F643" i="5"/>
  <c r="E643" i="5"/>
  <c r="D643" i="5"/>
  <c r="C643" i="5"/>
  <c r="B643" i="5"/>
  <c r="F642" i="5"/>
  <c r="E642" i="5"/>
  <c r="D642" i="5"/>
  <c r="C642" i="5"/>
  <c r="B642" i="5"/>
  <c r="F641" i="5"/>
  <c r="E641" i="5"/>
  <c r="D641" i="5"/>
  <c r="C641" i="5"/>
  <c r="B641" i="5"/>
  <c r="F640" i="5"/>
  <c r="E640" i="5"/>
  <c r="D640" i="5"/>
  <c r="C640" i="5"/>
  <c r="B640" i="5"/>
  <c r="F639" i="5"/>
  <c r="E639" i="5"/>
  <c r="D639" i="5"/>
  <c r="C639" i="5"/>
  <c r="B639" i="5"/>
  <c r="F638" i="5"/>
  <c r="E638" i="5"/>
  <c r="D638" i="5"/>
  <c r="C638" i="5"/>
  <c r="B638" i="5"/>
  <c r="F637" i="5"/>
  <c r="E637" i="5"/>
  <c r="D637" i="5"/>
  <c r="C637" i="5"/>
  <c r="B637" i="5"/>
  <c r="F636" i="5"/>
  <c r="E636" i="5"/>
  <c r="D636" i="5"/>
  <c r="C636" i="5"/>
  <c r="B636" i="5"/>
  <c r="F635" i="5"/>
  <c r="E635" i="5"/>
  <c r="D635" i="5"/>
  <c r="C635" i="5"/>
  <c r="B635" i="5"/>
  <c r="F634" i="5"/>
  <c r="E634" i="5"/>
  <c r="D634" i="5"/>
  <c r="C634" i="5"/>
  <c r="B634" i="5"/>
  <c r="F633" i="5"/>
  <c r="E633" i="5"/>
  <c r="D633" i="5"/>
  <c r="C633" i="5"/>
  <c r="B633" i="5"/>
  <c r="F632" i="5"/>
  <c r="E632" i="5"/>
  <c r="D632" i="5"/>
  <c r="C632" i="5"/>
  <c r="B632" i="5"/>
  <c r="F631" i="5"/>
  <c r="E631" i="5"/>
  <c r="D631" i="5"/>
  <c r="C631" i="5"/>
  <c r="B631" i="5"/>
  <c r="F630" i="5"/>
  <c r="E630" i="5"/>
  <c r="D630" i="5"/>
  <c r="C630" i="5"/>
  <c r="B630" i="5"/>
  <c r="F629" i="5"/>
  <c r="E629" i="5"/>
  <c r="D629" i="5"/>
  <c r="C629" i="5"/>
  <c r="B629" i="5"/>
  <c r="F628" i="5"/>
  <c r="E628" i="5"/>
  <c r="D628" i="5"/>
  <c r="C628" i="5"/>
  <c r="B628" i="5"/>
  <c r="F627" i="5"/>
  <c r="E627" i="5"/>
  <c r="D627" i="5"/>
  <c r="C627" i="5"/>
  <c r="B627" i="5"/>
  <c r="F626" i="5"/>
  <c r="E626" i="5"/>
  <c r="D626" i="5"/>
  <c r="C626" i="5"/>
  <c r="B626" i="5"/>
  <c r="F625" i="5"/>
  <c r="E625" i="5"/>
  <c r="D625" i="5"/>
  <c r="C625" i="5"/>
  <c r="B625" i="5"/>
  <c r="F624" i="5"/>
  <c r="E624" i="5"/>
  <c r="D624" i="5"/>
  <c r="C624" i="5"/>
  <c r="B624" i="5"/>
  <c r="F623" i="5"/>
  <c r="E623" i="5"/>
  <c r="D623" i="5"/>
  <c r="C623" i="5"/>
  <c r="B623" i="5"/>
  <c r="F622" i="5"/>
  <c r="E622" i="5"/>
  <c r="D622" i="5"/>
  <c r="C622" i="5"/>
  <c r="B622" i="5"/>
  <c r="F621" i="5"/>
  <c r="E621" i="5"/>
  <c r="D621" i="5"/>
  <c r="C621" i="5"/>
  <c r="B621" i="5"/>
  <c r="F620" i="5"/>
  <c r="E620" i="5"/>
  <c r="D620" i="5"/>
  <c r="C620" i="5"/>
  <c r="B620" i="5"/>
  <c r="F619" i="5"/>
  <c r="E619" i="5"/>
  <c r="D619" i="5"/>
  <c r="C619" i="5"/>
  <c r="B619" i="5"/>
  <c r="F618" i="5"/>
  <c r="E618" i="5"/>
  <c r="D618" i="5"/>
  <c r="C618" i="5"/>
  <c r="B618" i="5"/>
  <c r="F617" i="5"/>
  <c r="E617" i="5"/>
  <c r="D617" i="5"/>
  <c r="C617" i="5"/>
  <c r="B617" i="5"/>
  <c r="F616" i="5"/>
  <c r="E616" i="5"/>
  <c r="D616" i="5"/>
  <c r="C616" i="5"/>
  <c r="B616" i="5"/>
  <c r="F615" i="5"/>
  <c r="E615" i="5"/>
  <c r="D615" i="5"/>
  <c r="C615" i="5"/>
  <c r="B615" i="5"/>
  <c r="F614" i="5"/>
  <c r="E614" i="5"/>
  <c r="D614" i="5"/>
  <c r="C614" i="5"/>
  <c r="B614" i="5"/>
  <c r="F613" i="5"/>
  <c r="E613" i="5"/>
  <c r="D613" i="5"/>
  <c r="C613" i="5"/>
  <c r="B613" i="5"/>
  <c r="F612" i="5"/>
  <c r="E612" i="5"/>
  <c r="D612" i="5"/>
  <c r="C612" i="5"/>
  <c r="B612" i="5"/>
  <c r="F611" i="5"/>
  <c r="E611" i="5"/>
  <c r="D611" i="5"/>
  <c r="C611" i="5"/>
  <c r="B611" i="5"/>
  <c r="F610" i="5"/>
  <c r="E610" i="5"/>
  <c r="D610" i="5"/>
  <c r="C610" i="5"/>
  <c r="B610" i="5"/>
  <c r="F609" i="5"/>
  <c r="E609" i="5"/>
  <c r="D609" i="5"/>
  <c r="C609" i="5"/>
  <c r="B609" i="5"/>
  <c r="F608" i="5"/>
  <c r="E608" i="5"/>
  <c r="D608" i="5"/>
  <c r="C608" i="5"/>
  <c r="B608" i="5"/>
  <c r="F607" i="5"/>
  <c r="E607" i="5"/>
  <c r="D607" i="5"/>
  <c r="C607" i="5"/>
  <c r="B607" i="5"/>
  <c r="F606" i="5"/>
  <c r="E606" i="5"/>
  <c r="D606" i="5"/>
  <c r="C606" i="5"/>
  <c r="B606" i="5"/>
  <c r="F605" i="5"/>
  <c r="E605" i="5"/>
  <c r="D605" i="5"/>
  <c r="C605" i="5"/>
  <c r="B605" i="5"/>
  <c r="F604" i="5"/>
  <c r="E604" i="5"/>
  <c r="D604" i="5"/>
  <c r="C604" i="5"/>
  <c r="B604" i="5"/>
  <c r="F603" i="5"/>
  <c r="E603" i="5"/>
  <c r="D603" i="5"/>
  <c r="C603" i="5"/>
  <c r="B603" i="5"/>
  <c r="F602" i="5"/>
  <c r="E602" i="5"/>
  <c r="D602" i="5"/>
  <c r="C602" i="5"/>
  <c r="B602" i="5"/>
  <c r="F601" i="5"/>
  <c r="E601" i="5"/>
  <c r="D601" i="5"/>
  <c r="C601" i="5"/>
  <c r="B601" i="5"/>
  <c r="F600" i="5"/>
  <c r="E600" i="5"/>
  <c r="D600" i="5"/>
  <c r="C600" i="5"/>
  <c r="B600" i="5"/>
  <c r="F599" i="5"/>
  <c r="E599" i="5"/>
  <c r="D599" i="5"/>
  <c r="C599" i="5"/>
  <c r="B599" i="5"/>
  <c r="F598" i="5"/>
  <c r="E598" i="5"/>
  <c r="D598" i="5"/>
  <c r="C598" i="5"/>
  <c r="B598" i="5"/>
  <c r="F597" i="5"/>
  <c r="E597" i="5"/>
  <c r="D597" i="5"/>
  <c r="C597" i="5"/>
  <c r="B597" i="5"/>
  <c r="F596" i="5"/>
  <c r="E596" i="5"/>
  <c r="D596" i="5"/>
  <c r="C596" i="5"/>
  <c r="B596" i="5"/>
  <c r="F595" i="5"/>
  <c r="E595" i="5"/>
  <c r="D595" i="5"/>
  <c r="C595" i="5"/>
  <c r="B595" i="5"/>
  <c r="F594" i="5"/>
  <c r="E594" i="5"/>
  <c r="D594" i="5"/>
  <c r="C594" i="5"/>
  <c r="B594" i="5"/>
  <c r="F593" i="5"/>
  <c r="E593" i="5"/>
  <c r="D593" i="5"/>
  <c r="C593" i="5"/>
  <c r="B593" i="5"/>
  <c r="F592" i="5"/>
  <c r="E592" i="5"/>
  <c r="D592" i="5"/>
  <c r="C592" i="5"/>
  <c r="B592" i="5"/>
  <c r="F591" i="5"/>
  <c r="E591" i="5"/>
  <c r="D591" i="5"/>
  <c r="C591" i="5"/>
  <c r="B591" i="5"/>
  <c r="F590" i="5"/>
  <c r="E590" i="5"/>
  <c r="D590" i="5"/>
  <c r="C590" i="5"/>
  <c r="B590" i="5"/>
  <c r="F589" i="5"/>
  <c r="E589" i="5"/>
  <c r="D589" i="5"/>
  <c r="C589" i="5"/>
  <c r="B589" i="5"/>
  <c r="F588" i="5"/>
  <c r="E588" i="5"/>
  <c r="D588" i="5"/>
  <c r="C588" i="5"/>
  <c r="B588" i="5"/>
  <c r="F587" i="5"/>
  <c r="E587" i="5"/>
  <c r="D587" i="5"/>
  <c r="C587" i="5"/>
  <c r="B587" i="5"/>
  <c r="F586" i="5"/>
  <c r="E586" i="5"/>
  <c r="D586" i="5"/>
  <c r="C586" i="5"/>
  <c r="B586" i="5"/>
  <c r="F585" i="5"/>
  <c r="E585" i="5"/>
  <c r="D585" i="5"/>
  <c r="C585" i="5"/>
  <c r="B585" i="5"/>
  <c r="F584" i="5"/>
  <c r="E584" i="5"/>
  <c r="D584" i="5"/>
  <c r="C584" i="5"/>
  <c r="B584" i="5"/>
  <c r="F583" i="5"/>
  <c r="E583" i="5"/>
  <c r="D583" i="5"/>
  <c r="C583" i="5"/>
  <c r="B583" i="5"/>
  <c r="F582" i="5"/>
  <c r="E582" i="5"/>
  <c r="D582" i="5"/>
  <c r="C582" i="5"/>
  <c r="B582" i="5"/>
  <c r="F581" i="5"/>
  <c r="E581" i="5"/>
  <c r="D581" i="5"/>
  <c r="C581" i="5"/>
  <c r="B581" i="5"/>
  <c r="F580" i="5"/>
  <c r="E580" i="5"/>
  <c r="D580" i="5"/>
  <c r="C580" i="5"/>
  <c r="B580" i="5"/>
  <c r="F579" i="5"/>
  <c r="E579" i="5"/>
  <c r="D579" i="5"/>
  <c r="C579" i="5"/>
  <c r="B579" i="5"/>
  <c r="F578" i="5"/>
  <c r="E578" i="5"/>
  <c r="D578" i="5"/>
  <c r="C578" i="5"/>
  <c r="B578" i="5"/>
  <c r="F577" i="5"/>
  <c r="E577" i="5"/>
  <c r="D577" i="5"/>
  <c r="C577" i="5"/>
  <c r="B577" i="5"/>
  <c r="F576" i="5"/>
  <c r="E576" i="5"/>
  <c r="D576" i="5"/>
  <c r="C576" i="5"/>
  <c r="B576" i="5"/>
  <c r="F575" i="5"/>
  <c r="E575" i="5"/>
  <c r="D575" i="5"/>
  <c r="C575" i="5"/>
  <c r="B575" i="5"/>
  <c r="F574" i="5"/>
  <c r="E574" i="5"/>
  <c r="D574" i="5"/>
  <c r="C574" i="5"/>
  <c r="B574" i="5"/>
  <c r="F573" i="5"/>
  <c r="E573" i="5"/>
  <c r="D573" i="5"/>
  <c r="C573" i="5"/>
  <c r="B573" i="5"/>
  <c r="F572" i="5"/>
  <c r="E572" i="5"/>
  <c r="D572" i="5"/>
  <c r="C572" i="5"/>
  <c r="B572" i="5"/>
  <c r="F571" i="5"/>
  <c r="E571" i="5"/>
  <c r="D571" i="5"/>
  <c r="C571" i="5"/>
  <c r="B571" i="5"/>
  <c r="F570" i="5"/>
  <c r="E570" i="5"/>
  <c r="D570" i="5"/>
  <c r="C570" i="5"/>
  <c r="B570" i="5"/>
  <c r="F569" i="5"/>
  <c r="E569" i="5"/>
  <c r="D569" i="5"/>
  <c r="C569" i="5"/>
  <c r="B569" i="5"/>
  <c r="F568" i="5"/>
  <c r="E568" i="5"/>
  <c r="D568" i="5"/>
  <c r="C568" i="5"/>
  <c r="B568" i="5"/>
  <c r="F567" i="5"/>
  <c r="E567" i="5"/>
  <c r="D567" i="5"/>
  <c r="C567" i="5"/>
  <c r="B567" i="5"/>
  <c r="F566" i="5"/>
  <c r="E566" i="5"/>
  <c r="D566" i="5"/>
  <c r="C566" i="5"/>
  <c r="B566" i="5"/>
  <c r="F565" i="5"/>
  <c r="E565" i="5"/>
  <c r="D565" i="5"/>
  <c r="C565" i="5"/>
  <c r="B565" i="5"/>
  <c r="F564" i="5"/>
  <c r="E564" i="5"/>
  <c r="D564" i="5"/>
  <c r="C564" i="5"/>
  <c r="B564" i="5"/>
  <c r="F563" i="5"/>
  <c r="E563" i="5"/>
  <c r="D563" i="5"/>
  <c r="C563" i="5"/>
  <c r="B563" i="5"/>
  <c r="F562" i="5"/>
  <c r="E562" i="5"/>
  <c r="D562" i="5"/>
  <c r="C562" i="5"/>
  <c r="B562" i="5"/>
  <c r="F561" i="5"/>
  <c r="E561" i="5"/>
  <c r="D561" i="5"/>
  <c r="C561" i="5"/>
  <c r="B561" i="5"/>
  <c r="F560" i="5"/>
  <c r="E560" i="5"/>
  <c r="D560" i="5"/>
  <c r="C560" i="5"/>
  <c r="B560" i="5"/>
  <c r="F559" i="5"/>
  <c r="E559" i="5"/>
  <c r="D559" i="5"/>
  <c r="C559" i="5"/>
  <c r="B559" i="5"/>
  <c r="F558" i="5"/>
  <c r="E558" i="5"/>
  <c r="D558" i="5"/>
  <c r="C558" i="5"/>
  <c r="B558" i="5"/>
  <c r="F557" i="5"/>
  <c r="E557" i="5"/>
  <c r="D557" i="5"/>
  <c r="C557" i="5"/>
  <c r="B557" i="5"/>
  <c r="F556" i="5"/>
  <c r="E556" i="5"/>
  <c r="D556" i="5"/>
  <c r="C556" i="5"/>
  <c r="B556" i="5"/>
  <c r="F555" i="5"/>
  <c r="E555" i="5"/>
  <c r="D555" i="5"/>
  <c r="C555" i="5"/>
  <c r="B555" i="5"/>
  <c r="F554" i="5"/>
  <c r="E554" i="5"/>
  <c r="D554" i="5"/>
  <c r="C554" i="5"/>
  <c r="B554" i="5"/>
  <c r="F553" i="5"/>
  <c r="E553" i="5"/>
  <c r="D553" i="5"/>
  <c r="C553" i="5"/>
  <c r="B553" i="5"/>
  <c r="F552" i="5"/>
  <c r="E552" i="5"/>
  <c r="D552" i="5"/>
  <c r="C552" i="5"/>
  <c r="B552" i="5"/>
  <c r="F551" i="5"/>
  <c r="E551" i="5"/>
  <c r="D551" i="5"/>
  <c r="C551" i="5"/>
  <c r="B551" i="5"/>
  <c r="F550" i="5"/>
  <c r="E550" i="5"/>
  <c r="D550" i="5"/>
  <c r="C550" i="5"/>
  <c r="B550" i="5"/>
  <c r="F549" i="5"/>
  <c r="E549" i="5"/>
  <c r="D549" i="5"/>
  <c r="C549" i="5"/>
  <c r="B549" i="5"/>
  <c r="F548" i="5"/>
  <c r="E548" i="5"/>
  <c r="D548" i="5"/>
  <c r="C548" i="5"/>
  <c r="B548" i="5"/>
  <c r="F547" i="5"/>
  <c r="E547" i="5"/>
  <c r="D547" i="5"/>
  <c r="C547" i="5"/>
  <c r="B547" i="5"/>
  <c r="F546" i="5"/>
  <c r="E546" i="5"/>
  <c r="D546" i="5"/>
  <c r="C546" i="5"/>
  <c r="B546" i="5"/>
  <c r="F545" i="5"/>
  <c r="E545" i="5"/>
  <c r="D545" i="5"/>
  <c r="C545" i="5"/>
  <c r="B545" i="5"/>
  <c r="F544" i="5"/>
  <c r="E544" i="5"/>
  <c r="D544" i="5"/>
  <c r="C544" i="5"/>
  <c r="B544" i="5"/>
  <c r="F543" i="5"/>
  <c r="E543" i="5"/>
  <c r="D543" i="5"/>
  <c r="C543" i="5"/>
  <c r="B543" i="5"/>
  <c r="F542" i="5"/>
  <c r="E542" i="5"/>
  <c r="D542" i="5"/>
  <c r="C542" i="5"/>
  <c r="B542" i="5"/>
  <c r="F541" i="5"/>
  <c r="E541" i="5"/>
  <c r="D541" i="5"/>
  <c r="C541" i="5"/>
  <c r="B541" i="5"/>
  <c r="F540" i="5"/>
  <c r="E540" i="5"/>
  <c r="D540" i="5"/>
  <c r="C540" i="5"/>
  <c r="B540" i="5"/>
  <c r="F539" i="5"/>
  <c r="E539" i="5"/>
  <c r="D539" i="5"/>
  <c r="C539" i="5"/>
  <c r="B539" i="5"/>
  <c r="F538" i="5"/>
  <c r="E538" i="5"/>
  <c r="D538" i="5"/>
  <c r="C538" i="5"/>
  <c r="B538" i="5"/>
  <c r="F537" i="5"/>
  <c r="E537" i="5"/>
  <c r="D537" i="5"/>
  <c r="C537" i="5"/>
  <c r="B537" i="5"/>
  <c r="F536" i="5"/>
  <c r="E536" i="5"/>
  <c r="D536" i="5"/>
  <c r="C536" i="5"/>
  <c r="B536" i="5"/>
  <c r="F535" i="5"/>
  <c r="E535" i="5"/>
  <c r="D535" i="5"/>
  <c r="C535" i="5"/>
  <c r="B535" i="5"/>
  <c r="F534" i="5"/>
  <c r="E534" i="5"/>
  <c r="D534" i="5"/>
  <c r="C534" i="5"/>
  <c r="B534" i="5"/>
  <c r="F533" i="5"/>
  <c r="E533" i="5"/>
  <c r="D533" i="5"/>
  <c r="C533" i="5"/>
  <c r="B533" i="5"/>
  <c r="F532" i="5"/>
  <c r="E532" i="5"/>
  <c r="D532" i="5"/>
  <c r="C532" i="5"/>
  <c r="B532" i="5"/>
  <c r="F531" i="5"/>
  <c r="E531" i="5"/>
  <c r="D531" i="5"/>
  <c r="C531" i="5"/>
  <c r="B531" i="5"/>
  <c r="F530" i="5"/>
  <c r="E530" i="5"/>
  <c r="D530" i="5"/>
  <c r="C530" i="5"/>
  <c r="B530" i="5"/>
  <c r="F529" i="5"/>
  <c r="E529" i="5"/>
  <c r="D529" i="5"/>
  <c r="C529" i="5"/>
  <c r="B529" i="5"/>
  <c r="F528" i="5"/>
  <c r="E528" i="5"/>
  <c r="D528" i="5"/>
  <c r="C528" i="5"/>
  <c r="B528" i="5"/>
  <c r="F527" i="5"/>
  <c r="E527" i="5"/>
  <c r="D527" i="5"/>
  <c r="C527" i="5"/>
  <c r="B527" i="5"/>
  <c r="F526" i="5"/>
  <c r="E526" i="5"/>
  <c r="D526" i="5"/>
  <c r="C526" i="5"/>
  <c r="B526" i="5"/>
  <c r="F525" i="5"/>
  <c r="E525" i="5"/>
  <c r="D525" i="5"/>
  <c r="C525" i="5"/>
  <c r="B525" i="5"/>
  <c r="F524" i="5"/>
  <c r="E524" i="5"/>
  <c r="D524" i="5"/>
  <c r="C524" i="5"/>
  <c r="B524" i="5"/>
  <c r="F523" i="5"/>
  <c r="E523" i="5"/>
  <c r="D523" i="5"/>
  <c r="C523" i="5"/>
  <c r="B523" i="5"/>
  <c r="F522" i="5"/>
  <c r="E522" i="5"/>
  <c r="D522" i="5"/>
  <c r="C522" i="5"/>
  <c r="B522" i="5"/>
  <c r="F521" i="5"/>
  <c r="E521" i="5"/>
  <c r="D521" i="5"/>
  <c r="C521" i="5"/>
  <c r="B521" i="5"/>
  <c r="F520" i="5"/>
  <c r="E520" i="5"/>
  <c r="D520" i="5"/>
  <c r="C520" i="5"/>
  <c r="B520" i="5"/>
  <c r="F519" i="5"/>
  <c r="E519" i="5"/>
  <c r="D519" i="5"/>
  <c r="C519" i="5"/>
  <c r="B519" i="5"/>
  <c r="F518" i="5"/>
  <c r="E518" i="5"/>
  <c r="D518" i="5"/>
  <c r="C518" i="5"/>
  <c r="B518" i="5"/>
  <c r="F517" i="5"/>
  <c r="E517" i="5"/>
  <c r="D517" i="5"/>
  <c r="C517" i="5"/>
  <c r="B517" i="5"/>
  <c r="F516" i="5"/>
  <c r="E516" i="5"/>
  <c r="D516" i="5"/>
  <c r="C516" i="5"/>
  <c r="B516" i="5"/>
  <c r="F515" i="5"/>
  <c r="E515" i="5"/>
  <c r="D515" i="5"/>
  <c r="C515" i="5"/>
  <c r="B515" i="5"/>
  <c r="F514" i="5"/>
  <c r="E514" i="5"/>
  <c r="D514" i="5"/>
  <c r="C514" i="5"/>
  <c r="B514" i="5"/>
  <c r="F513" i="5"/>
  <c r="E513" i="5"/>
  <c r="D513" i="5"/>
  <c r="C513" i="5"/>
  <c r="B513" i="5"/>
  <c r="F512" i="5"/>
  <c r="E512" i="5"/>
  <c r="D512" i="5"/>
  <c r="C512" i="5"/>
  <c r="B512" i="5"/>
  <c r="F511" i="5"/>
  <c r="E511" i="5"/>
  <c r="D511" i="5"/>
  <c r="C511" i="5"/>
  <c r="B511" i="5"/>
  <c r="F510" i="5"/>
  <c r="E510" i="5"/>
  <c r="D510" i="5"/>
  <c r="C510" i="5"/>
  <c r="B510" i="5"/>
  <c r="F509" i="5"/>
  <c r="E509" i="5"/>
  <c r="D509" i="5"/>
  <c r="C509" i="5"/>
  <c r="B509" i="5"/>
  <c r="F508" i="5"/>
  <c r="E508" i="5"/>
  <c r="D508" i="5"/>
  <c r="C508" i="5"/>
  <c r="B508" i="5"/>
  <c r="F507" i="5"/>
  <c r="E507" i="5"/>
  <c r="D507" i="5"/>
  <c r="C507" i="5"/>
  <c r="B507" i="5"/>
  <c r="F506" i="5"/>
  <c r="E506" i="5"/>
  <c r="D506" i="5"/>
  <c r="C506" i="5"/>
  <c r="B506" i="5"/>
  <c r="F505" i="5"/>
  <c r="E505" i="5"/>
  <c r="D505" i="5"/>
  <c r="C505" i="5"/>
  <c r="B505" i="5"/>
  <c r="F504" i="5"/>
  <c r="E504" i="5"/>
  <c r="D504" i="5"/>
  <c r="C504" i="5"/>
  <c r="B504" i="5"/>
  <c r="F503" i="5"/>
  <c r="E503" i="5"/>
  <c r="D503" i="5"/>
  <c r="C503" i="5"/>
  <c r="B503" i="5"/>
  <c r="F502" i="5"/>
  <c r="E502" i="5"/>
  <c r="D502" i="5"/>
  <c r="C502" i="5"/>
  <c r="B502" i="5"/>
  <c r="F501" i="5"/>
  <c r="E501" i="5"/>
  <c r="D501" i="5"/>
  <c r="C501" i="5"/>
  <c r="B501" i="5"/>
  <c r="F500" i="5"/>
  <c r="E500" i="5"/>
  <c r="D500" i="5"/>
  <c r="C500" i="5"/>
  <c r="B500" i="5"/>
  <c r="F499" i="5"/>
  <c r="E499" i="5"/>
  <c r="D499" i="5"/>
  <c r="C499" i="5"/>
  <c r="B499" i="5"/>
  <c r="F498" i="5"/>
  <c r="E498" i="5"/>
  <c r="D498" i="5"/>
  <c r="C498" i="5"/>
  <c r="B498" i="5"/>
  <c r="F497" i="5"/>
  <c r="E497" i="5"/>
  <c r="D497" i="5"/>
  <c r="C497" i="5"/>
  <c r="B497" i="5"/>
  <c r="F496" i="5"/>
  <c r="E496" i="5"/>
  <c r="D496" i="5"/>
  <c r="C496" i="5"/>
  <c r="B496" i="5"/>
  <c r="F495" i="5"/>
  <c r="E495" i="5"/>
  <c r="D495" i="5"/>
  <c r="C495" i="5"/>
  <c r="B495" i="5"/>
  <c r="F494" i="5"/>
  <c r="E494" i="5"/>
  <c r="D494" i="5"/>
  <c r="C494" i="5"/>
  <c r="B494" i="5"/>
  <c r="F493" i="5"/>
  <c r="E493" i="5"/>
  <c r="D493" i="5"/>
  <c r="C493" i="5"/>
  <c r="B493" i="5"/>
  <c r="F492" i="5"/>
  <c r="E492" i="5"/>
  <c r="D492" i="5"/>
  <c r="C492" i="5"/>
  <c r="B492" i="5"/>
  <c r="F491" i="5"/>
  <c r="E491" i="5"/>
  <c r="D491" i="5"/>
  <c r="C491" i="5"/>
  <c r="B491" i="5"/>
  <c r="F490" i="5"/>
  <c r="E490" i="5"/>
  <c r="D490" i="5"/>
  <c r="C490" i="5"/>
  <c r="B490" i="5"/>
  <c r="F489" i="5"/>
  <c r="E489" i="5"/>
  <c r="D489" i="5"/>
  <c r="C489" i="5"/>
  <c r="B489" i="5"/>
  <c r="F488" i="5"/>
  <c r="E488" i="5"/>
  <c r="D488" i="5"/>
  <c r="C488" i="5"/>
  <c r="B488" i="5"/>
  <c r="F487" i="5"/>
  <c r="E487" i="5"/>
  <c r="D487" i="5"/>
  <c r="C487" i="5"/>
  <c r="B487" i="5"/>
  <c r="F486" i="5"/>
  <c r="E486" i="5"/>
  <c r="D486" i="5"/>
  <c r="C486" i="5"/>
  <c r="B486" i="5"/>
  <c r="F485" i="5"/>
  <c r="E485" i="5"/>
  <c r="D485" i="5"/>
  <c r="C485" i="5"/>
  <c r="B485" i="5"/>
  <c r="F484" i="5"/>
  <c r="E484" i="5"/>
  <c r="D484" i="5"/>
  <c r="C484" i="5"/>
  <c r="B484" i="5"/>
  <c r="F483" i="5"/>
  <c r="E483" i="5"/>
  <c r="D483" i="5"/>
  <c r="C483" i="5"/>
  <c r="B483" i="5"/>
  <c r="F482" i="5"/>
  <c r="E482" i="5"/>
  <c r="D482" i="5"/>
  <c r="C482" i="5"/>
  <c r="B482" i="5"/>
  <c r="F481" i="5"/>
  <c r="E481" i="5"/>
  <c r="D481" i="5"/>
  <c r="C481" i="5"/>
  <c r="B481" i="5"/>
  <c r="F480" i="5"/>
  <c r="E480" i="5"/>
  <c r="D480" i="5"/>
  <c r="C480" i="5"/>
  <c r="B480" i="5"/>
  <c r="F479" i="5"/>
  <c r="E479" i="5"/>
  <c r="D479" i="5"/>
  <c r="C479" i="5"/>
  <c r="B479" i="5"/>
  <c r="F478" i="5"/>
  <c r="E478" i="5"/>
  <c r="D478" i="5"/>
  <c r="C478" i="5"/>
  <c r="B478" i="5"/>
  <c r="F477" i="5"/>
  <c r="E477" i="5"/>
  <c r="D477" i="5"/>
  <c r="C477" i="5"/>
  <c r="B477" i="5"/>
  <c r="F476" i="5"/>
  <c r="E476" i="5"/>
  <c r="D476" i="5"/>
  <c r="C476" i="5"/>
  <c r="B476" i="5"/>
  <c r="F475" i="5"/>
  <c r="E475" i="5"/>
  <c r="D475" i="5"/>
  <c r="C475" i="5"/>
  <c r="B475" i="5"/>
  <c r="F474" i="5"/>
  <c r="E474" i="5"/>
  <c r="D474" i="5"/>
  <c r="C474" i="5"/>
  <c r="B474" i="5"/>
  <c r="F473" i="5"/>
  <c r="E473" i="5"/>
  <c r="D473" i="5"/>
  <c r="C473" i="5"/>
  <c r="B473" i="5"/>
  <c r="F472" i="5"/>
  <c r="E472" i="5"/>
  <c r="D472" i="5"/>
  <c r="C472" i="5"/>
  <c r="B472" i="5"/>
  <c r="F471" i="5"/>
  <c r="E471" i="5"/>
  <c r="D471" i="5"/>
  <c r="C471" i="5"/>
  <c r="B471" i="5"/>
  <c r="F470" i="5"/>
  <c r="E470" i="5"/>
  <c r="D470" i="5"/>
  <c r="C470" i="5"/>
  <c r="B470" i="5"/>
  <c r="F469" i="5"/>
  <c r="E469" i="5"/>
  <c r="D469" i="5"/>
  <c r="C469" i="5"/>
  <c r="B469" i="5"/>
  <c r="F468" i="5"/>
  <c r="E468" i="5"/>
  <c r="D468" i="5"/>
  <c r="C468" i="5"/>
  <c r="B468" i="5"/>
  <c r="F467" i="5"/>
  <c r="E467" i="5"/>
  <c r="D467" i="5"/>
  <c r="C467" i="5"/>
  <c r="B467" i="5"/>
  <c r="F466" i="5"/>
  <c r="E466" i="5"/>
  <c r="D466" i="5"/>
  <c r="C466" i="5"/>
  <c r="B466" i="5"/>
  <c r="F465" i="5"/>
  <c r="E465" i="5"/>
  <c r="D465" i="5"/>
  <c r="C465" i="5"/>
  <c r="B465" i="5"/>
  <c r="F464" i="5"/>
  <c r="E464" i="5"/>
  <c r="D464" i="5"/>
  <c r="C464" i="5"/>
  <c r="B464" i="5"/>
  <c r="F463" i="5"/>
  <c r="E463" i="5"/>
  <c r="D463" i="5"/>
  <c r="C463" i="5"/>
  <c r="B463" i="5"/>
  <c r="F462" i="5"/>
  <c r="E462" i="5"/>
  <c r="D462" i="5"/>
  <c r="C462" i="5"/>
  <c r="B462" i="5"/>
  <c r="F461" i="5"/>
  <c r="E461" i="5"/>
  <c r="D461" i="5"/>
  <c r="C461" i="5"/>
  <c r="B461" i="5"/>
  <c r="F460" i="5"/>
  <c r="E460" i="5"/>
  <c r="D460" i="5"/>
  <c r="C460" i="5"/>
  <c r="B460" i="5"/>
  <c r="F459" i="5"/>
  <c r="E459" i="5"/>
  <c r="D459" i="5"/>
  <c r="C459" i="5"/>
  <c r="B459" i="5"/>
  <c r="F458" i="5"/>
  <c r="E458" i="5"/>
  <c r="D458" i="5"/>
  <c r="C458" i="5"/>
  <c r="B458" i="5"/>
  <c r="F457" i="5"/>
  <c r="E457" i="5"/>
  <c r="D457" i="5"/>
  <c r="C457" i="5"/>
  <c r="B457" i="5"/>
  <c r="F456" i="5"/>
  <c r="E456" i="5"/>
  <c r="D456" i="5"/>
  <c r="C456" i="5"/>
  <c r="B456" i="5"/>
  <c r="F455" i="5"/>
  <c r="E455" i="5"/>
  <c r="D455" i="5"/>
  <c r="C455" i="5"/>
  <c r="B455" i="5"/>
  <c r="F454" i="5"/>
  <c r="E454" i="5"/>
  <c r="D454" i="5"/>
  <c r="C454" i="5"/>
  <c r="B454" i="5"/>
  <c r="F453" i="5"/>
  <c r="E453" i="5"/>
  <c r="D453" i="5"/>
  <c r="C453" i="5"/>
  <c r="B453" i="5"/>
  <c r="F452" i="5"/>
  <c r="E452" i="5"/>
  <c r="D452" i="5"/>
  <c r="C452" i="5"/>
  <c r="B452" i="5"/>
  <c r="F451" i="5"/>
  <c r="E451" i="5"/>
  <c r="D451" i="5"/>
  <c r="C451" i="5"/>
  <c r="B451" i="5"/>
  <c r="F450" i="5"/>
  <c r="E450" i="5"/>
  <c r="D450" i="5"/>
  <c r="C450" i="5"/>
  <c r="B450" i="5"/>
  <c r="F449" i="5"/>
  <c r="E449" i="5"/>
  <c r="D449" i="5"/>
  <c r="C449" i="5"/>
  <c r="B449" i="5"/>
  <c r="F448" i="5"/>
  <c r="E448" i="5"/>
  <c r="D448" i="5"/>
  <c r="C448" i="5"/>
  <c r="B448" i="5"/>
  <c r="F447" i="5"/>
  <c r="E447" i="5"/>
  <c r="D447" i="5"/>
  <c r="C447" i="5"/>
  <c r="B447" i="5"/>
  <c r="F446" i="5"/>
  <c r="E446" i="5"/>
  <c r="D446" i="5"/>
  <c r="C446" i="5"/>
  <c r="B446" i="5"/>
  <c r="F445" i="5"/>
  <c r="E445" i="5"/>
  <c r="D445" i="5"/>
  <c r="C445" i="5"/>
  <c r="B445" i="5"/>
  <c r="F444" i="5"/>
  <c r="E444" i="5"/>
  <c r="D444" i="5"/>
  <c r="C444" i="5"/>
  <c r="B444" i="5"/>
  <c r="F443" i="5"/>
  <c r="E443" i="5"/>
  <c r="D443" i="5"/>
  <c r="C443" i="5"/>
  <c r="B443" i="5"/>
  <c r="F442" i="5"/>
  <c r="E442" i="5"/>
  <c r="D442" i="5"/>
  <c r="C442" i="5"/>
  <c r="B442" i="5"/>
  <c r="F441" i="5"/>
  <c r="E441" i="5"/>
  <c r="D441" i="5"/>
  <c r="C441" i="5"/>
  <c r="B441" i="5"/>
  <c r="F440" i="5"/>
  <c r="E440" i="5"/>
  <c r="D440" i="5"/>
  <c r="C440" i="5"/>
  <c r="B440" i="5"/>
  <c r="F439" i="5"/>
  <c r="E439" i="5"/>
  <c r="D439" i="5"/>
  <c r="C439" i="5"/>
  <c r="B439" i="5"/>
  <c r="F438" i="5"/>
  <c r="E438" i="5"/>
  <c r="D438" i="5"/>
  <c r="C438" i="5"/>
  <c r="B438" i="5"/>
  <c r="F437" i="5"/>
  <c r="E437" i="5"/>
  <c r="D437" i="5"/>
  <c r="C437" i="5"/>
  <c r="B437" i="5"/>
  <c r="F436" i="5"/>
  <c r="E436" i="5"/>
  <c r="D436" i="5"/>
  <c r="C436" i="5"/>
  <c r="B436" i="5"/>
  <c r="F435" i="5"/>
  <c r="E435" i="5"/>
  <c r="D435" i="5"/>
  <c r="C435" i="5"/>
  <c r="B435" i="5"/>
  <c r="F434" i="5"/>
  <c r="E434" i="5"/>
  <c r="D434" i="5"/>
  <c r="C434" i="5"/>
  <c r="B434" i="5"/>
  <c r="F433" i="5"/>
  <c r="E433" i="5"/>
  <c r="D433" i="5"/>
  <c r="C433" i="5"/>
  <c r="B433" i="5"/>
  <c r="F432" i="5"/>
  <c r="E432" i="5"/>
  <c r="D432" i="5"/>
  <c r="C432" i="5"/>
  <c r="B432" i="5"/>
  <c r="F431" i="5"/>
  <c r="E431" i="5"/>
  <c r="D431" i="5"/>
  <c r="C431" i="5"/>
  <c r="B431" i="5"/>
  <c r="F430" i="5"/>
  <c r="E430" i="5"/>
  <c r="D430" i="5"/>
  <c r="C430" i="5"/>
  <c r="B430" i="5"/>
  <c r="F429" i="5"/>
  <c r="E429" i="5"/>
  <c r="D429" i="5"/>
  <c r="C429" i="5"/>
  <c r="B429" i="5"/>
  <c r="F428" i="5"/>
  <c r="E428" i="5"/>
  <c r="D428" i="5"/>
  <c r="C428" i="5"/>
  <c r="B428" i="5"/>
  <c r="F427" i="5"/>
  <c r="E427" i="5"/>
  <c r="D427" i="5"/>
  <c r="C427" i="5"/>
  <c r="B427" i="5"/>
  <c r="F426" i="5"/>
  <c r="E426" i="5"/>
  <c r="D426" i="5"/>
  <c r="C426" i="5"/>
  <c r="B426" i="5"/>
  <c r="F425" i="5"/>
  <c r="E425" i="5"/>
  <c r="D425" i="5"/>
  <c r="C425" i="5"/>
  <c r="B425" i="5"/>
  <c r="F424" i="5"/>
  <c r="E424" i="5"/>
  <c r="D424" i="5"/>
  <c r="C424" i="5"/>
  <c r="B424" i="5"/>
  <c r="F423" i="5"/>
  <c r="E423" i="5"/>
  <c r="D423" i="5"/>
  <c r="C423" i="5"/>
  <c r="B423" i="5"/>
  <c r="F422" i="5"/>
  <c r="E422" i="5"/>
  <c r="D422" i="5"/>
  <c r="C422" i="5"/>
  <c r="B422" i="5"/>
  <c r="F421" i="5"/>
  <c r="E421" i="5"/>
  <c r="D421" i="5"/>
  <c r="C421" i="5"/>
  <c r="B421" i="5"/>
  <c r="F420" i="5"/>
  <c r="E420" i="5"/>
  <c r="D420" i="5"/>
  <c r="C420" i="5"/>
  <c r="B420" i="5"/>
  <c r="F419" i="5"/>
  <c r="E419" i="5"/>
  <c r="D419" i="5"/>
  <c r="C419" i="5"/>
  <c r="B419" i="5"/>
  <c r="F418" i="5"/>
  <c r="E418" i="5"/>
  <c r="D418" i="5"/>
  <c r="C418" i="5"/>
  <c r="B418" i="5"/>
  <c r="F417" i="5"/>
  <c r="E417" i="5"/>
  <c r="D417" i="5"/>
  <c r="C417" i="5"/>
  <c r="B417" i="5"/>
  <c r="F416" i="5"/>
  <c r="E416" i="5"/>
  <c r="D416" i="5"/>
  <c r="C416" i="5"/>
  <c r="B416" i="5"/>
  <c r="F415" i="5"/>
  <c r="E415" i="5"/>
  <c r="D415" i="5"/>
  <c r="C415" i="5"/>
  <c r="B415" i="5"/>
  <c r="F414" i="5"/>
  <c r="E414" i="5"/>
  <c r="D414" i="5"/>
  <c r="C414" i="5"/>
  <c r="B414" i="5"/>
  <c r="F413" i="5"/>
  <c r="E413" i="5"/>
  <c r="D413" i="5"/>
  <c r="C413" i="5"/>
  <c r="B413" i="5"/>
  <c r="F412" i="5"/>
  <c r="E412" i="5"/>
  <c r="D412" i="5"/>
  <c r="C412" i="5"/>
  <c r="B412" i="5"/>
  <c r="F411" i="5"/>
  <c r="E411" i="5"/>
  <c r="D411" i="5"/>
  <c r="C411" i="5"/>
  <c r="B411" i="5"/>
  <c r="F410" i="5"/>
  <c r="E410" i="5"/>
  <c r="D410" i="5"/>
  <c r="C410" i="5"/>
  <c r="B410" i="5"/>
  <c r="F409" i="5"/>
  <c r="E409" i="5"/>
  <c r="D409" i="5"/>
  <c r="C409" i="5"/>
  <c r="B409" i="5"/>
  <c r="F408" i="5"/>
  <c r="E408" i="5"/>
  <c r="D408" i="5"/>
  <c r="C408" i="5"/>
  <c r="B408" i="5"/>
  <c r="F407" i="5"/>
  <c r="E407" i="5"/>
  <c r="D407" i="5"/>
  <c r="C407" i="5"/>
  <c r="B407" i="5"/>
  <c r="F406" i="5"/>
  <c r="E406" i="5"/>
  <c r="D406" i="5"/>
  <c r="C406" i="5"/>
  <c r="B406" i="5"/>
  <c r="F405" i="5"/>
  <c r="E405" i="5"/>
  <c r="D405" i="5"/>
  <c r="C405" i="5"/>
  <c r="B405" i="5"/>
  <c r="F404" i="5"/>
  <c r="E404" i="5"/>
  <c r="D404" i="5"/>
  <c r="C404" i="5"/>
  <c r="B404" i="5"/>
  <c r="F403" i="5"/>
  <c r="E403" i="5"/>
  <c r="D403" i="5"/>
  <c r="C403" i="5"/>
  <c r="B403" i="5"/>
  <c r="F402" i="5"/>
  <c r="E402" i="5"/>
  <c r="D402" i="5"/>
  <c r="C402" i="5"/>
  <c r="B402" i="5"/>
  <c r="F401" i="5"/>
  <c r="E401" i="5"/>
  <c r="D401" i="5"/>
  <c r="C401" i="5"/>
  <c r="B401" i="5"/>
  <c r="F400" i="5"/>
  <c r="E400" i="5"/>
  <c r="D400" i="5"/>
  <c r="C400" i="5"/>
  <c r="B400" i="5"/>
  <c r="F399" i="5"/>
  <c r="E399" i="5"/>
  <c r="D399" i="5"/>
  <c r="C399" i="5"/>
  <c r="B399" i="5"/>
  <c r="F398" i="5"/>
  <c r="E398" i="5"/>
  <c r="D398" i="5"/>
  <c r="C398" i="5"/>
  <c r="B398" i="5"/>
  <c r="F397" i="5"/>
  <c r="E397" i="5"/>
  <c r="D397" i="5"/>
  <c r="C397" i="5"/>
  <c r="B397" i="5"/>
  <c r="F396" i="5"/>
  <c r="E396" i="5"/>
  <c r="D396" i="5"/>
  <c r="C396" i="5"/>
  <c r="B396" i="5"/>
  <c r="F395" i="5"/>
  <c r="E395" i="5"/>
  <c r="D395" i="5"/>
  <c r="C395" i="5"/>
  <c r="B395" i="5"/>
  <c r="F394" i="5"/>
  <c r="E394" i="5"/>
  <c r="D394" i="5"/>
  <c r="C394" i="5"/>
  <c r="B394" i="5"/>
  <c r="F393" i="5"/>
  <c r="E393" i="5"/>
  <c r="D393" i="5"/>
  <c r="C393" i="5"/>
  <c r="B393" i="5"/>
  <c r="F392" i="5"/>
  <c r="E392" i="5"/>
  <c r="D392" i="5"/>
  <c r="C392" i="5"/>
  <c r="B392" i="5"/>
  <c r="F391" i="5"/>
  <c r="E391" i="5"/>
  <c r="D391" i="5"/>
  <c r="C391" i="5"/>
  <c r="B391" i="5"/>
  <c r="F390" i="5"/>
  <c r="E390" i="5"/>
  <c r="D390" i="5"/>
  <c r="C390" i="5"/>
  <c r="B390" i="5"/>
  <c r="F389" i="5"/>
  <c r="E389" i="5"/>
  <c r="D389" i="5"/>
  <c r="C389" i="5"/>
  <c r="B389" i="5"/>
  <c r="F388" i="5"/>
  <c r="E388" i="5"/>
  <c r="D388" i="5"/>
  <c r="C388" i="5"/>
  <c r="B388" i="5"/>
  <c r="F387" i="5"/>
  <c r="E387" i="5"/>
  <c r="D387" i="5"/>
  <c r="C387" i="5"/>
  <c r="B387" i="5"/>
  <c r="F386" i="5"/>
  <c r="E386" i="5"/>
  <c r="D386" i="5"/>
  <c r="C386" i="5"/>
  <c r="B386" i="5"/>
  <c r="F385" i="5"/>
  <c r="E385" i="5"/>
  <c r="D385" i="5"/>
  <c r="C385" i="5"/>
  <c r="B385" i="5"/>
  <c r="F384" i="5"/>
  <c r="E384" i="5"/>
  <c r="D384" i="5"/>
  <c r="C384" i="5"/>
  <c r="B384" i="5"/>
  <c r="F383" i="5"/>
  <c r="E383" i="5"/>
  <c r="D383" i="5"/>
  <c r="C383" i="5"/>
  <c r="B383" i="5"/>
  <c r="F382" i="5"/>
  <c r="E382" i="5"/>
  <c r="D382" i="5"/>
  <c r="C382" i="5"/>
  <c r="B382" i="5"/>
  <c r="F381" i="5"/>
  <c r="E381" i="5"/>
  <c r="D381" i="5"/>
  <c r="C381" i="5"/>
  <c r="B381" i="5"/>
  <c r="F380" i="5"/>
  <c r="E380" i="5"/>
  <c r="D380" i="5"/>
  <c r="C380" i="5"/>
  <c r="B380" i="5"/>
  <c r="F379" i="5"/>
  <c r="E379" i="5"/>
  <c r="D379" i="5"/>
  <c r="C379" i="5"/>
  <c r="B379" i="5"/>
  <c r="F378" i="5"/>
  <c r="E378" i="5"/>
  <c r="D378" i="5"/>
  <c r="C378" i="5"/>
  <c r="B378" i="5"/>
  <c r="F377" i="5"/>
  <c r="E377" i="5"/>
  <c r="D377" i="5"/>
  <c r="C377" i="5"/>
  <c r="B377" i="5"/>
  <c r="F376" i="5"/>
  <c r="E376" i="5"/>
  <c r="D376" i="5"/>
  <c r="C376" i="5"/>
  <c r="B376" i="5"/>
  <c r="F375" i="5"/>
  <c r="E375" i="5"/>
  <c r="D375" i="5"/>
  <c r="C375" i="5"/>
  <c r="B375" i="5"/>
  <c r="F374" i="5"/>
  <c r="E374" i="5"/>
  <c r="D374" i="5"/>
  <c r="C374" i="5"/>
  <c r="B374" i="5"/>
  <c r="F373" i="5"/>
  <c r="E373" i="5"/>
  <c r="D373" i="5"/>
  <c r="C373" i="5"/>
  <c r="B373" i="5"/>
  <c r="F372" i="5"/>
  <c r="E372" i="5"/>
  <c r="D372" i="5"/>
  <c r="C372" i="5"/>
  <c r="B372" i="5"/>
  <c r="F371" i="5"/>
  <c r="E371" i="5"/>
  <c r="D371" i="5"/>
  <c r="C371" i="5"/>
  <c r="B371" i="5"/>
  <c r="F370" i="5"/>
  <c r="E370" i="5"/>
  <c r="D370" i="5"/>
  <c r="C370" i="5"/>
  <c r="B370" i="5"/>
  <c r="F369" i="5"/>
  <c r="E369" i="5"/>
  <c r="D369" i="5"/>
  <c r="C369" i="5"/>
  <c r="B369" i="5"/>
  <c r="F368" i="5"/>
  <c r="E368" i="5"/>
  <c r="D368" i="5"/>
  <c r="C368" i="5"/>
  <c r="B368" i="5"/>
  <c r="F367" i="5"/>
  <c r="E367" i="5"/>
  <c r="D367" i="5"/>
  <c r="C367" i="5"/>
  <c r="B367" i="5"/>
  <c r="F366" i="5"/>
  <c r="E366" i="5"/>
  <c r="D366" i="5"/>
  <c r="C366" i="5"/>
  <c r="B366" i="5"/>
  <c r="F365" i="5"/>
  <c r="E365" i="5"/>
  <c r="D365" i="5"/>
  <c r="C365" i="5"/>
  <c r="B365" i="5"/>
  <c r="F364" i="5"/>
  <c r="E364" i="5"/>
  <c r="D364" i="5"/>
  <c r="C364" i="5"/>
  <c r="B364" i="5"/>
  <c r="F363" i="5"/>
  <c r="E363" i="5"/>
  <c r="D363" i="5"/>
  <c r="C363" i="5"/>
  <c r="B363" i="5"/>
  <c r="F362" i="5"/>
  <c r="E362" i="5"/>
  <c r="D362" i="5"/>
  <c r="C362" i="5"/>
  <c r="B362" i="5"/>
  <c r="F361" i="5"/>
  <c r="E361" i="5"/>
  <c r="D361" i="5"/>
  <c r="C361" i="5"/>
  <c r="B361" i="5"/>
  <c r="F360" i="5"/>
  <c r="E360" i="5"/>
  <c r="D360" i="5"/>
  <c r="C360" i="5"/>
  <c r="B360" i="5"/>
  <c r="F359" i="5"/>
  <c r="E359" i="5"/>
  <c r="D359" i="5"/>
  <c r="C359" i="5"/>
  <c r="B359" i="5"/>
  <c r="F358" i="5"/>
  <c r="E358" i="5"/>
  <c r="D358" i="5"/>
  <c r="C358" i="5"/>
  <c r="B358" i="5"/>
  <c r="F357" i="5"/>
  <c r="E357" i="5"/>
  <c r="D357" i="5"/>
  <c r="C357" i="5"/>
  <c r="B357" i="5"/>
  <c r="F356" i="5"/>
  <c r="E356" i="5"/>
  <c r="D356" i="5"/>
  <c r="C356" i="5"/>
  <c r="B356" i="5"/>
  <c r="F355" i="5"/>
  <c r="E355" i="5"/>
  <c r="D355" i="5"/>
  <c r="C355" i="5"/>
  <c r="B355" i="5"/>
  <c r="F354" i="5"/>
  <c r="E354" i="5"/>
  <c r="D354" i="5"/>
  <c r="C354" i="5"/>
  <c r="B354" i="5"/>
  <c r="F353" i="5"/>
  <c r="E353" i="5"/>
  <c r="D353" i="5"/>
  <c r="C353" i="5"/>
  <c r="B353" i="5"/>
  <c r="F352" i="5"/>
  <c r="E352" i="5"/>
  <c r="D352" i="5"/>
  <c r="C352" i="5"/>
  <c r="B352" i="5"/>
  <c r="F351" i="5"/>
  <c r="E351" i="5"/>
  <c r="D351" i="5"/>
  <c r="C351" i="5"/>
  <c r="B351" i="5"/>
  <c r="F350" i="5"/>
  <c r="E350" i="5"/>
  <c r="D350" i="5"/>
  <c r="C350" i="5"/>
  <c r="B350" i="5"/>
  <c r="F349" i="5"/>
  <c r="E349" i="5"/>
  <c r="D349" i="5"/>
  <c r="C349" i="5"/>
  <c r="B349" i="5"/>
  <c r="F348" i="5"/>
  <c r="E348" i="5"/>
  <c r="D348" i="5"/>
  <c r="C348" i="5"/>
  <c r="B348" i="5"/>
  <c r="F347" i="5"/>
  <c r="E347" i="5"/>
  <c r="D347" i="5"/>
  <c r="C347" i="5"/>
  <c r="B347" i="5"/>
  <c r="F346" i="5"/>
  <c r="E346" i="5"/>
  <c r="D346" i="5"/>
  <c r="C346" i="5"/>
  <c r="B346" i="5"/>
  <c r="F345" i="5"/>
  <c r="E345" i="5"/>
  <c r="D345" i="5"/>
  <c r="C345" i="5"/>
  <c r="B345" i="5"/>
  <c r="F344" i="5"/>
  <c r="E344" i="5"/>
  <c r="D344" i="5"/>
  <c r="C344" i="5"/>
  <c r="B344" i="5"/>
  <c r="F343" i="5"/>
  <c r="E343" i="5"/>
  <c r="D343" i="5"/>
  <c r="C343" i="5"/>
  <c r="B343" i="5"/>
  <c r="F342" i="5"/>
  <c r="E342" i="5"/>
  <c r="D342" i="5"/>
  <c r="C342" i="5"/>
  <c r="B342" i="5"/>
  <c r="F341" i="5"/>
  <c r="E341" i="5"/>
  <c r="D341" i="5"/>
  <c r="C341" i="5"/>
  <c r="B341" i="5"/>
  <c r="F340" i="5"/>
  <c r="E340" i="5"/>
  <c r="D340" i="5"/>
  <c r="C340" i="5"/>
  <c r="B340" i="5"/>
  <c r="F339" i="5"/>
  <c r="E339" i="5"/>
  <c r="D339" i="5"/>
  <c r="C339" i="5"/>
  <c r="B339" i="5"/>
  <c r="F338" i="5"/>
  <c r="E338" i="5"/>
  <c r="D338" i="5"/>
  <c r="C338" i="5"/>
  <c r="B338" i="5"/>
  <c r="F337" i="5"/>
  <c r="E337" i="5"/>
  <c r="D337" i="5"/>
  <c r="C337" i="5"/>
  <c r="B337" i="5"/>
  <c r="F336" i="5"/>
  <c r="E336" i="5"/>
  <c r="D336" i="5"/>
  <c r="C336" i="5"/>
  <c r="B336" i="5"/>
  <c r="F335" i="5"/>
  <c r="E335" i="5"/>
  <c r="D335" i="5"/>
  <c r="C335" i="5"/>
  <c r="B335" i="5"/>
  <c r="F334" i="5"/>
  <c r="E334" i="5"/>
  <c r="D334" i="5"/>
  <c r="C334" i="5"/>
  <c r="B334" i="5"/>
  <c r="F333" i="5"/>
  <c r="E333" i="5"/>
  <c r="D333" i="5"/>
  <c r="C333" i="5"/>
  <c r="B333" i="5"/>
  <c r="F332" i="5"/>
  <c r="E332" i="5"/>
  <c r="D332" i="5"/>
  <c r="C332" i="5"/>
  <c r="B332" i="5"/>
  <c r="F331" i="5"/>
  <c r="E331" i="5"/>
  <c r="D331" i="5"/>
  <c r="C331" i="5"/>
  <c r="B331" i="5"/>
  <c r="F330" i="5"/>
  <c r="E330" i="5"/>
  <c r="D330" i="5"/>
  <c r="C330" i="5"/>
  <c r="B330" i="5"/>
  <c r="F329" i="5"/>
  <c r="E329" i="5"/>
  <c r="D329" i="5"/>
  <c r="C329" i="5"/>
  <c r="B329" i="5"/>
  <c r="F328" i="5"/>
  <c r="E328" i="5"/>
  <c r="D328" i="5"/>
  <c r="C328" i="5"/>
  <c r="B328" i="5"/>
  <c r="F327" i="5"/>
  <c r="E327" i="5"/>
  <c r="D327" i="5"/>
  <c r="C327" i="5"/>
  <c r="B327" i="5"/>
  <c r="F326" i="5"/>
  <c r="E326" i="5"/>
  <c r="D326" i="5"/>
  <c r="C326" i="5"/>
  <c r="B326" i="5"/>
  <c r="F325" i="5"/>
  <c r="E325" i="5"/>
  <c r="D325" i="5"/>
  <c r="C325" i="5"/>
  <c r="B325" i="5"/>
  <c r="F324" i="5"/>
  <c r="E324" i="5"/>
  <c r="D324" i="5"/>
  <c r="C324" i="5"/>
  <c r="B324" i="5"/>
  <c r="F323" i="5"/>
  <c r="E323" i="5"/>
  <c r="D323" i="5"/>
  <c r="C323" i="5"/>
  <c r="B323" i="5"/>
  <c r="F322" i="5"/>
  <c r="E322" i="5"/>
  <c r="D322" i="5"/>
  <c r="C322" i="5"/>
  <c r="B322" i="5"/>
  <c r="F321" i="5"/>
  <c r="E321" i="5"/>
  <c r="D321" i="5"/>
  <c r="C321" i="5"/>
  <c r="B321" i="5"/>
  <c r="F320" i="5"/>
  <c r="E320" i="5"/>
  <c r="D320" i="5"/>
  <c r="C320" i="5"/>
  <c r="B320" i="5"/>
  <c r="F319" i="5"/>
  <c r="E319" i="5"/>
  <c r="D319" i="5"/>
  <c r="C319" i="5"/>
  <c r="B319" i="5"/>
  <c r="F318" i="5"/>
  <c r="E318" i="5"/>
  <c r="D318" i="5"/>
  <c r="C318" i="5"/>
  <c r="B318" i="5"/>
  <c r="F317" i="5"/>
  <c r="E317" i="5"/>
  <c r="D317" i="5"/>
  <c r="C317" i="5"/>
  <c r="B317" i="5"/>
  <c r="F316" i="5"/>
  <c r="E316" i="5"/>
  <c r="D316" i="5"/>
  <c r="C316" i="5"/>
  <c r="B316" i="5"/>
  <c r="F315" i="5"/>
  <c r="E315" i="5"/>
  <c r="D315" i="5"/>
  <c r="C315" i="5"/>
  <c r="B315" i="5"/>
  <c r="F314" i="5"/>
  <c r="E314" i="5"/>
  <c r="D314" i="5"/>
  <c r="C314" i="5"/>
  <c r="B314" i="5"/>
  <c r="F313" i="5"/>
  <c r="E313" i="5"/>
  <c r="D313" i="5"/>
  <c r="C313" i="5"/>
  <c r="B313" i="5"/>
  <c r="F312" i="5"/>
  <c r="E312" i="5"/>
  <c r="D312" i="5"/>
  <c r="C312" i="5"/>
  <c r="B312" i="5"/>
  <c r="F311" i="5"/>
  <c r="E311" i="5"/>
  <c r="D311" i="5"/>
  <c r="C311" i="5"/>
  <c r="B311" i="5"/>
  <c r="F310" i="5"/>
  <c r="E310" i="5"/>
  <c r="D310" i="5"/>
  <c r="C310" i="5"/>
  <c r="B310" i="5"/>
  <c r="F309" i="5"/>
  <c r="E309" i="5"/>
  <c r="D309" i="5"/>
  <c r="C309" i="5"/>
  <c r="B309" i="5"/>
  <c r="F308" i="5"/>
  <c r="E308" i="5"/>
  <c r="D308" i="5"/>
  <c r="C308" i="5"/>
  <c r="B308" i="5"/>
  <c r="F307" i="5"/>
  <c r="E307" i="5"/>
  <c r="D307" i="5"/>
  <c r="C307" i="5"/>
  <c r="B307" i="5"/>
  <c r="F306" i="5"/>
  <c r="E306" i="5"/>
  <c r="D306" i="5"/>
  <c r="C306" i="5"/>
  <c r="B306" i="5"/>
  <c r="F305" i="5"/>
  <c r="E305" i="5"/>
  <c r="D305" i="5"/>
  <c r="C305" i="5"/>
  <c r="B305" i="5"/>
  <c r="F304" i="5"/>
  <c r="E304" i="5"/>
  <c r="D304" i="5"/>
  <c r="C304" i="5"/>
  <c r="B304" i="5"/>
  <c r="F303" i="5"/>
  <c r="E303" i="5"/>
  <c r="D303" i="5"/>
  <c r="C303" i="5"/>
  <c r="B303" i="5"/>
  <c r="F302" i="5"/>
  <c r="E302" i="5"/>
  <c r="D302" i="5"/>
  <c r="C302" i="5"/>
  <c r="B302" i="5"/>
  <c r="F301" i="5"/>
  <c r="E301" i="5"/>
  <c r="D301" i="5"/>
  <c r="C301" i="5"/>
  <c r="B301" i="5"/>
  <c r="F300" i="5"/>
  <c r="E300" i="5"/>
  <c r="D300" i="5"/>
  <c r="C300" i="5"/>
  <c r="B300" i="5"/>
  <c r="F299" i="5"/>
  <c r="E299" i="5"/>
  <c r="D299" i="5"/>
  <c r="C299" i="5"/>
  <c r="B299" i="5"/>
  <c r="F298" i="5"/>
  <c r="E298" i="5"/>
  <c r="D298" i="5"/>
  <c r="C298" i="5"/>
  <c r="B298" i="5"/>
  <c r="F297" i="5"/>
  <c r="E297" i="5"/>
  <c r="D297" i="5"/>
  <c r="C297" i="5"/>
  <c r="B297" i="5"/>
  <c r="F296" i="5"/>
  <c r="E296" i="5"/>
  <c r="D296" i="5"/>
  <c r="C296" i="5"/>
  <c r="B296" i="5"/>
  <c r="F295" i="5"/>
  <c r="E295" i="5"/>
  <c r="D295" i="5"/>
  <c r="C295" i="5"/>
  <c r="B295" i="5"/>
  <c r="F294" i="5"/>
  <c r="E294" i="5"/>
  <c r="D294" i="5"/>
  <c r="C294" i="5"/>
  <c r="B294" i="5"/>
  <c r="F293" i="5"/>
  <c r="E293" i="5"/>
  <c r="D293" i="5"/>
  <c r="C293" i="5"/>
  <c r="B293" i="5"/>
  <c r="F292" i="5"/>
  <c r="E292" i="5"/>
  <c r="D292" i="5"/>
  <c r="C292" i="5"/>
  <c r="B292" i="5"/>
  <c r="F291" i="5"/>
  <c r="E291" i="5"/>
  <c r="D291" i="5"/>
  <c r="C291" i="5"/>
  <c r="B291" i="5"/>
  <c r="F290" i="5"/>
  <c r="E290" i="5"/>
  <c r="D290" i="5"/>
  <c r="C290" i="5"/>
  <c r="B290" i="5"/>
  <c r="F289" i="5"/>
  <c r="E289" i="5"/>
  <c r="D289" i="5"/>
  <c r="C289" i="5"/>
  <c r="B289" i="5"/>
  <c r="F288" i="5"/>
  <c r="E288" i="5"/>
  <c r="D288" i="5"/>
  <c r="C288" i="5"/>
  <c r="B288" i="5"/>
  <c r="F287" i="5"/>
  <c r="E287" i="5"/>
  <c r="D287" i="5"/>
  <c r="C287" i="5"/>
  <c r="B287" i="5"/>
  <c r="F286" i="5"/>
  <c r="E286" i="5"/>
  <c r="D286" i="5"/>
  <c r="C286" i="5"/>
  <c r="B286" i="5"/>
  <c r="F285" i="5"/>
  <c r="E285" i="5"/>
  <c r="D285" i="5"/>
  <c r="C285" i="5"/>
  <c r="B285" i="5"/>
  <c r="F284" i="5"/>
  <c r="E284" i="5"/>
  <c r="D284" i="5"/>
  <c r="C284" i="5"/>
  <c r="B284" i="5"/>
  <c r="F283" i="5"/>
  <c r="E283" i="5"/>
  <c r="D283" i="5"/>
  <c r="C283" i="5"/>
  <c r="B283" i="5"/>
  <c r="F282" i="5"/>
  <c r="E282" i="5"/>
  <c r="D282" i="5"/>
  <c r="C282" i="5"/>
  <c r="B282" i="5"/>
  <c r="F281" i="5"/>
  <c r="E281" i="5"/>
  <c r="D281" i="5"/>
  <c r="C281" i="5"/>
  <c r="B281" i="5"/>
  <c r="F280" i="5"/>
  <c r="E280" i="5"/>
  <c r="D280" i="5"/>
  <c r="C280" i="5"/>
  <c r="B280" i="5"/>
  <c r="F279" i="5"/>
  <c r="E279" i="5"/>
  <c r="D279" i="5"/>
  <c r="C279" i="5"/>
  <c r="B279" i="5"/>
  <c r="F278" i="5"/>
  <c r="E278" i="5"/>
  <c r="D278" i="5"/>
  <c r="C278" i="5"/>
  <c r="B278" i="5"/>
  <c r="F277" i="5"/>
  <c r="E277" i="5"/>
  <c r="D277" i="5"/>
  <c r="C277" i="5"/>
  <c r="B277" i="5"/>
  <c r="F276" i="5"/>
  <c r="E276" i="5"/>
  <c r="D276" i="5"/>
  <c r="C276" i="5"/>
  <c r="B276" i="5"/>
  <c r="F275" i="5"/>
  <c r="E275" i="5"/>
  <c r="D275" i="5"/>
  <c r="C275" i="5"/>
  <c r="B275" i="5"/>
  <c r="F274" i="5"/>
  <c r="E274" i="5"/>
  <c r="D274" i="5"/>
  <c r="C274" i="5"/>
  <c r="B274" i="5"/>
  <c r="F273" i="5"/>
  <c r="E273" i="5"/>
  <c r="D273" i="5"/>
  <c r="C273" i="5"/>
  <c r="B273" i="5"/>
  <c r="F272" i="5"/>
  <c r="E272" i="5"/>
  <c r="D272" i="5"/>
  <c r="C272" i="5"/>
  <c r="B272" i="5"/>
  <c r="F271" i="5"/>
  <c r="E271" i="5"/>
  <c r="D271" i="5"/>
  <c r="C271" i="5"/>
  <c r="B271" i="5"/>
  <c r="F270" i="5"/>
  <c r="E270" i="5"/>
  <c r="D270" i="5"/>
  <c r="C270" i="5"/>
  <c r="B270" i="5"/>
  <c r="F269" i="5"/>
  <c r="E269" i="5"/>
  <c r="D269" i="5"/>
  <c r="C269" i="5"/>
  <c r="B269" i="5"/>
  <c r="F268" i="5"/>
  <c r="E268" i="5"/>
  <c r="D268" i="5"/>
  <c r="C268" i="5"/>
  <c r="B268" i="5"/>
  <c r="F267" i="5"/>
  <c r="E267" i="5"/>
  <c r="D267" i="5"/>
  <c r="C267" i="5"/>
  <c r="B267" i="5"/>
  <c r="F266" i="5"/>
  <c r="E266" i="5"/>
  <c r="D266" i="5"/>
  <c r="C266" i="5"/>
  <c r="B266" i="5"/>
  <c r="F265" i="5"/>
  <c r="E265" i="5"/>
  <c r="D265" i="5"/>
  <c r="C265" i="5"/>
  <c r="B265" i="5"/>
  <c r="F264" i="5"/>
  <c r="E264" i="5"/>
  <c r="D264" i="5"/>
  <c r="C264" i="5"/>
  <c r="B264" i="5"/>
  <c r="F263" i="5"/>
  <c r="E263" i="5"/>
  <c r="D263" i="5"/>
  <c r="C263" i="5"/>
  <c r="B263" i="5"/>
  <c r="F262" i="5"/>
  <c r="E262" i="5"/>
  <c r="D262" i="5"/>
  <c r="C262" i="5"/>
  <c r="B262" i="5"/>
  <c r="F261" i="5"/>
  <c r="E261" i="5"/>
  <c r="D261" i="5"/>
  <c r="C261" i="5"/>
  <c r="B261" i="5"/>
  <c r="F260" i="5"/>
  <c r="E260" i="5"/>
  <c r="D260" i="5"/>
  <c r="C260" i="5"/>
  <c r="B260" i="5"/>
  <c r="F259" i="5"/>
  <c r="E259" i="5"/>
  <c r="D259" i="5"/>
  <c r="C259" i="5"/>
  <c r="B259" i="5"/>
  <c r="F258" i="5"/>
  <c r="E258" i="5"/>
  <c r="D258" i="5"/>
  <c r="C258" i="5"/>
  <c r="B258" i="5"/>
  <c r="F257" i="5"/>
  <c r="E257" i="5"/>
  <c r="D257" i="5"/>
  <c r="C257" i="5"/>
  <c r="B257" i="5"/>
  <c r="F256" i="5"/>
  <c r="E256" i="5"/>
  <c r="D256" i="5"/>
  <c r="C256" i="5"/>
  <c r="B256" i="5"/>
  <c r="F255" i="5"/>
  <c r="E255" i="5"/>
  <c r="D255" i="5"/>
  <c r="C255" i="5"/>
  <c r="B255" i="5"/>
  <c r="F254" i="5"/>
  <c r="E254" i="5"/>
  <c r="D254" i="5"/>
  <c r="C254" i="5"/>
  <c r="B254" i="5"/>
  <c r="F253" i="5"/>
  <c r="E253" i="5"/>
  <c r="D253" i="5"/>
  <c r="C253" i="5"/>
  <c r="B253" i="5"/>
  <c r="F252" i="5"/>
  <c r="E252" i="5"/>
  <c r="D252" i="5"/>
  <c r="C252" i="5"/>
  <c r="B252" i="5"/>
  <c r="F251" i="5"/>
  <c r="E251" i="5"/>
  <c r="D251" i="5"/>
  <c r="C251" i="5"/>
  <c r="B251" i="5"/>
  <c r="F250" i="5"/>
  <c r="E250" i="5"/>
  <c r="D250" i="5"/>
  <c r="C250" i="5"/>
  <c r="B250" i="5"/>
  <c r="F249" i="5"/>
  <c r="E249" i="5"/>
  <c r="D249" i="5"/>
  <c r="C249" i="5"/>
  <c r="B249" i="5"/>
  <c r="F248" i="5"/>
  <c r="E248" i="5"/>
  <c r="D248" i="5"/>
  <c r="C248" i="5"/>
  <c r="B248" i="5"/>
  <c r="F247" i="5"/>
  <c r="E247" i="5"/>
  <c r="D247" i="5"/>
  <c r="C247" i="5"/>
  <c r="B247" i="5"/>
  <c r="F246" i="5"/>
  <c r="E246" i="5"/>
  <c r="D246" i="5"/>
  <c r="C246" i="5"/>
  <c r="B246" i="5"/>
  <c r="F245" i="5"/>
  <c r="E245" i="5"/>
  <c r="D245" i="5"/>
  <c r="C245" i="5"/>
  <c r="B245" i="5"/>
  <c r="F244" i="5"/>
  <c r="E244" i="5"/>
  <c r="D244" i="5"/>
  <c r="C244" i="5"/>
  <c r="B244" i="5"/>
  <c r="F243" i="5"/>
  <c r="E243" i="5"/>
  <c r="D243" i="5"/>
  <c r="C243" i="5"/>
  <c r="B243" i="5"/>
  <c r="F242" i="5"/>
  <c r="E242" i="5"/>
  <c r="D242" i="5"/>
  <c r="C242" i="5"/>
  <c r="B242" i="5"/>
  <c r="F241" i="5"/>
  <c r="E241" i="5"/>
  <c r="D241" i="5"/>
  <c r="C241" i="5"/>
  <c r="B241" i="5"/>
  <c r="F240" i="5"/>
  <c r="E240" i="5"/>
  <c r="D240" i="5"/>
  <c r="C240" i="5"/>
  <c r="B240" i="5"/>
  <c r="F239" i="5"/>
  <c r="E239" i="5"/>
  <c r="D239" i="5"/>
  <c r="C239" i="5"/>
  <c r="B239" i="5"/>
  <c r="F238" i="5"/>
  <c r="E238" i="5"/>
  <c r="D238" i="5"/>
  <c r="C238" i="5"/>
  <c r="B238" i="5"/>
  <c r="F237" i="5"/>
  <c r="E237" i="5"/>
  <c r="D237" i="5"/>
  <c r="C237" i="5"/>
  <c r="B237" i="5"/>
  <c r="F236" i="5"/>
  <c r="E236" i="5"/>
  <c r="D236" i="5"/>
  <c r="C236" i="5"/>
  <c r="B236" i="5"/>
  <c r="F235" i="5"/>
  <c r="E235" i="5"/>
  <c r="D235" i="5"/>
  <c r="C235" i="5"/>
  <c r="B235" i="5"/>
  <c r="F234" i="5"/>
  <c r="E234" i="5"/>
  <c r="D234" i="5"/>
  <c r="C234" i="5"/>
  <c r="B234" i="5"/>
  <c r="F233" i="5"/>
  <c r="E233" i="5"/>
  <c r="D233" i="5"/>
  <c r="C233" i="5"/>
  <c r="B233" i="5"/>
  <c r="F232" i="5"/>
  <c r="E232" i="5"/>
  <c r="D232" i="5"/>
  <c r="C232" i="5"/>
  <c r="B232" i="5"/>
  <c r="F231" i="5"/>
  <c r="E231" i="5"/>
  <c r="D231" i="5"/>
  <c r="C231" i="5"/>
  <c r="B231" i="5"/>
  <c r="F230" i="5"/>
  <c r="E230" i="5"/>
  <c r="D230" i="5"/>
  <c r="C230" i="5"/>
  <c r="B230" i="5"/>
  <c r="F229" i="5"/>
  <c r="E229" i="5"/>
  <c r="D229" i="5"/>
  <c r="C229" i="5"/>
  <c r="B229" i="5"/>
  <c r="F228" i="5"/>
  <c r="E228" i="5"/>
  <c r="D228" i="5"/>
  <c r="C228" i="5"/>
  <c r="B228" i="5"/>
  <c r="F227" i="5"/>
  <c r="E227" i="5"/>
  <c r="D227" i="5"/>
  <c r="C227" i="5"/>
  <c r="B227" i="5"/>
  <c r="F226" i="5"/>
  <c r="E226" i="5"/>
  <c r="D226" i="5"/>
  <c r="C226" i="5"/>
  <c r="B226" i="5"/>
  <c r="F225" i="5"/>
  <c r="E225" i="5"/>
  <c r="D225" i="5"/>
  <c r="C225" i="5"/>
  <c r="B225" i="5"/>
  <c r="F224" i="5"/>
  <c r="E224" i="5"/>
  <c r="D224" i="5"/>
  <c r="C224" i="5"/>
  <c r="B224" i="5"/>
  <c r="F223" i="5"/>
  <c r="E223" i="5"/>
  <c r="D223" i="5"/>
  <c r="C223" i="5"/>
  <c r="B223" i="5"/>
  <c r="F222" i="5"/>
  <c r="E222" i="5"/>
  <c r="D222" i="5"/>
  <c r="C222" i="5"/>
  <c r="B222" i="5"/>
  <c r="F221" i="5"/>
  <c r="E221" i="5"/>
  <c r="D221" i="5"/>
  <c r="C221" i="5"/>
  <c r="B221" i="5"/>
  <c r="F220" i="5"/>
  <c r="E220" i="5"/>
  <c r="D220" i="5"/>
  <c r="C220" i="5"/>
  <c r="B220" i="5"/>
  <c r="F219" i="5"/>
  <c r="E219" i="5"/>
  <c r="D219" i="5"/>
  <c r="C219" i="5"/>
  <c r="B219" i="5"/>
  <c r="F218" i="5"/>
  <c r="E218" i="5"/>
  <c r="D218" i="5"/>
  <c r="C218" i="5"/>
  <c r="B218" i="5"/>
  <c r="F217" i="5"/>
  <c r="E217" i="5"/>
  <c r="D217" i="5"/>
  <c r="C217" i="5"/>
  <c r="B217" i="5"/>
  <c r="F216" i="5"/>
  <c r="E216" i="5"/>
  <c r="D216" i="5"/>
  <c r="C216" i="5"/>
  <c r="B216" i="5"/>
  <c r="F215" i="5"/>
  <c r="E215" i="5"/>
  <c r="D215" i="5"/>
  <c r="C215" i="5"/>
  <c r="B215" i="5"/>
  <c r="F214" i="5"/>
  <c r="E214" i="5"/>
  <c r="D214" i="5"/>
  <c r="C214" i="5"/>
  <c r="B214" i="5"/>
  <c r="F213" i="5"/>
  <c r="E213" i="5"/>
  <c r="D213" i="5"/>
  <c r="C213" i="5"/>
  <c r="B213" i="5"/>
  <c r="F212" i="5"/>
  <c r="E212" i="5"/>
  <c r="D212" i="5"/>
  <c r="C212" i="5"/>
  <c r="B212" i="5"/>
  <c r="F211" i="5"/>
  <c r="E211" i="5"/>
  <c r="D211" i="5"/>
  <c r="C211" i="5"/>
  <c r="B211" i="5"/>
  <c r="F210" i="5"/>
  <c r="E210" i="5"/>
  <c r="D210" i="5"/>
  <c r="C210" i="5"/>
  <c r="B210" i="5"/>
  <c r="F209" i="5"/>
  <c r="E209" i="5"/>
  <c r="D209" i="5"/>
  <c r="C209" i="5"/>
  <c r="B209" i="5"/>
  <c r="F208" i="5"/>
  <c r="E208" i="5"/>
  <c r="D208" i="5"/>
  <c r="C208" i="5"/>
  <c r="B208" i="5"/>
  <c r="F207" i="5"/>
  <c r="E207" i="5"/>
  <c r="D207" i="5"/>
  <c r="C207" i="5"/>
  <c r="B207" i="5"/>
  <c r="F206" i="5"/>
  <c r="E206" i="5"/>
  <c r="D206" i="5"/>
  <c r="C206" i="5"/>
  <c r="B206" i="5"/>
  <c r="F205" i="5"/>
  <c r="E205" i="5"/>
  <c r="D205" i="5"/>
  <c r="C205" i="5"/>
  <c r="B205" i="5"/>
  <c r="F204" i="5"/>
  <c r="E204" i="5"/>
  <c r="D204" i="5"/>
  <c r="C204" i="5"/>
  <c r="B204" i="5"/>
  <c r="F203" i="5"/>
  <c r="E203" i="5"/>
  <c r="D203" i="5"/>
  <c r="C203" i="5"/>
  <c r="B203" i="5"/>
  <c r="F202" i="5"/>
  <c r="E202" i="5"/>
  <c r="D202" i="5"/>
  <c r="C202" i="5"/>
  <c r="B202" i="5"/>
  <c r="F201" i="5"/>
  <c r="E201" i="5"/>
  <c r="D201" i="5"/>
  <c r="C201" i="5"/>
  <c r="B201" i="5"/>
  <c r="F200" i="5"/>
  <c r="E200" i="5"/>
  <c r="D200" i="5"/>
  <c r="C200" i="5"/>
  <c r="B200" i="5"/>
  <c r="F199" i="5"/>
  <c r="E199" i="5"/>
  <c r="D199" i="5"/>
  <c r="C199" i="5"/>
  <c r="B199" i="5"/>
  <c r="F198" i="5"/>
  <c r="E198" i="5"/>
  <c r="D198" i="5"/>
  <c r="C198" i="5"/>
  <c r="B198" i="5"/>
  <c r="F197" i="5"/>
  <c r="E197" i="5"/>
  <c r="D197" i="5"/>
  <c r="C197" i="5"/>
  <c r="B197" i="5"/>
  <c r="F196" i="5"/>
  <c r="E196" i="5"/>
  <c r="D196" i="5"/>
  <c r="C196" i="5"/>
  <c r="B196" i="5"/>
  <c r="F195" i="5"/>
  <c r="E195" i="5"/>
  <c r="D195" i="5"/>
  <c r="C195" i="5"/>
  <c r="B195" i="5"/>
  <c r="F194" i="5"/>
  <c r="E194" i="5"/>
  <c r="D194" i="5"/>
  <c r="C194" i="5"/>
  <c r="B194" i="5"/>
  <c r="F193" i="5"/>
  <c r="E193" i="5"/>
  <c r="D193" i="5"/>
  <c r="C193" i="5"/>
  <c r="B193" i="5"/>
  <c r="F192" i="5"/>
  <c r="E192" i="5"/>
  <c r="D192" i="5"/>
  <c r="C192" i="5"/>
  <c r="B192" i="5"/>
  <c r="F191" i="5"/>
  <c r="E191" i="5"/>
  <c r="D191" i="5"/>
  <c r="C191" i="5"/>
  <c r="B191" i="5"/>
  <c r="F190" i="5"/>
  <c r="E190" i="5"/>
  <c r="D190" i="5"/>
  <c r="C190" i="5"/>
  <c r="B190" i="5"/>
  <c r="F189" i="5"/>
  <c r="E189" i="5"/>
  <c r="D189" i="5"/>
  <c r="C189" i="5"/>
  <c r="B189" i="5"/>
  <c r="F188" i="5"/>
  <c r="E188" i="5"/>
  <c r="D188" i="5"/>
  <c r="C188" i="5"/>
  <c r="B188" i="5"/>
  <c r="F187" i="5"/>
  <c r="E187" i="5"/>
  <c r="D187" i="5"/>
  <c r="C187" i="5"/>
  <c r="B187" i="5"/>
  <c r="F186" i="5"/>
  <c r="E186" i="5"/>
  <c r="D186" i="5"/>
  <c r="C186" i="5"/>
  <c r="B186" i="5"/>
  <c r="F185" i="5"/>
  <c r="E185" i="5"/>
  <c r="D185" i="5"/>
  <c r="C185" i="5"/>
  <c r="B185" i="5"/>
  <c r="F184" i="5"/>
  <c r="E184" i="5"/>
  <c r="D184" i="5"/>
  <c r="C184" i="5"/>
  <c r="B184" i="5"/>
  <c r="F183" i="5"/>
  <c r="E183" i="5"/>
  <c r="D183" i="5"/>
  <c r="C183" i="5"/>
  <c r="B183" i="5"/>
  <c r="F182" i="5"/>
  <c r="E182" i="5"/>
  <c r="D182" i="5"/>
  <c r="C182" i="5"/>
  <c r="B182" i="5"/>
  <c r="F181" i="5"/>
  <c r="E181" i="5"/>
  <c r="D181" i="5"/>
  <c r="C181" i="5"/>
  <c r="B181" i="5"/>
  <c r="F180" i="5"/>
  <c r="E180" i="5"/>
  <c r="D180" i="5"/>
  <c r="C180" i="5"/>
  <c r="B180" i="5"/>
  <c r="F179" i="5"/>
  <c r="E179" i="5"/>
  <c r="D179" i="5"/>
  <c r="C179" i="5"/>
  <c r="B179" i="5"/>
  <c r="F178" i="5"/>
  <c r="E178" i="5"/>
  <c r="D178" i="5"/>
  <c r="C178" i="5"/>
  <c r="B178" i="5"/>
  <c r="F177" i="5"/>
  <c r="E177" i="5"/>
  <c r="D177" i="5"/>
  <c r="C177" i="5"/>
  <c r="B177" i="5"/>
  <c r="F176" i="5"/>
  <c r="E176" i="5"/>
  <c r="D176" i="5"/>
  <c r="C176" i="5"/>
  <c r="B176" i="5"/>
  <c r="F175" i="5"/>
  <c r="E175" i="5"/>
  <c r="D175" i="5"/>
  <c r="C175" i="5"/>
  <c r="B175" i="5"/>
  <c r="F174" i="5"/>
  <c r="E174" i="5"/>
  <c r="D174" i="5"/>
  <c r="C174" i="5"/>
  <c r="B174" i="5"/>
  <c r="F173" i="5"/>
  <c r="E173" i="5"/>
  <c r="D173" i="5"/>
  <c r="C173" i="5"/>
  <c r="B173" i="5"/>
  <c r="F172" i="5"/>
  <c r="E172" i="5"/>
  <c r="D172" i="5"/>
  <c r="C172" i="5"/>
  <c r="B172" i="5"/>
  <c r="F171" i="5"/>
  <c r="E171" i="5"/>
  <c r="D171" i="5"/>
  <c r="C171" i="5"/>
  <c r="B171" i="5"/>
  <c r="F170" i="5"/>
  <c r="E170" i="5"/>
  <c r="D170" i="5"/>
  <c r="C170" i="5"/>
  <c r="B170" i="5"/>
  <c r="F169" i="5"/>
  <c r="E169" i="5"/>
  <c r="D169" i="5"/>
  <c r="C169" i="5"/>
  <c r="B169" i="5"/>
  <c r="F168" i="5"/>
  <c r="E168" i="5"/>
  <c r="D168" i="5"/>
  <c r="C168" i="5"/>
  <c r="B168" i="5"/>
  <c r="F167" i="5"/>
  <c r="E167" i="5"/>
  <c r="D167" i="5"/>
  <c r="C167" i="5"/>
  <c r="B167" i="5"/>
  <c r="F166" i="5"/>
  <c r="E166" i="5"/>
  <c r="D166" i="5"/>
  <c r="C166" i="5"/>
  <c r="B166" i="5"/>
  <c r="F165" i="5"/>
  <c r="E165" i="5"/>
  <c r="D165" i="5"/>
  <c r="C165" i="5"/>
  <c r="B165" i="5"/>
  <c r="F164" i="5"/>
  <c r="E164" i="5"/>
  <c r="D164" i="5"/>
  <c r="C164" i="5"/>
  <c r="B164" i="5"/>
  <c r="F163" i="5"/>
  <c r="E163" i="5"/>
  <c r="D163" i="5"/>
  <c r="C163" i="5"/>
  <c r="B163" i="5"/>
  <c r="F162" i="5"/>
  <c r="E162" i="5"/>
  <c r="D162" i="5"/>
  <c r="C162" i="5"/>
  <c r="B162" i="5"/>
  <c r="F161" i="5"/>
  <c r="E161" i="5"/>
  <c r="D161" i="5"/>
  <c r="C161" i="5"/>
  <c r="B161" i="5"/>
  <c r="F160" i="5"/>
  <c r="E160" i="5"/>
  <c r="D160" i="5"/>
  <c r="C160" i="5"/>
  <c r="B160" i="5"/>
  <c r="F159" i="5"/>
  <c r="E159" i="5"/>
  <c r="D159" i="5"/>
  <c r="C159" i="5"/>
  <c r="B159" i="5"/>
  <c r="F158" i="5"/>
  <c r="E158" i="5"/>
  <c r="D158" i="5"/>
  <c r="C158" i="5"/>
  <c r="B158" i="5"/>
  <c r="F157" i="5"/>
  <c r="E157" i="5"/>
  <c r="D157" i="5"/>
  <c r="C157" i="5"/>
  <c r="B157" i="5"/>
  <c r="F156" i="5"/>
  <c r="E156" i="5"/>
  <c r="D156" i="5"/>
  <c r="C156" i="5"/>
  <c r="B156" i="5"/>
  <c r="F155" i="5"/>
  <c r="E155" i="5"/>
  <c r="D155" i="5"/>
  <c r="C155" i="5"/>
  <c r="B155" i="5"/>
  <c r="F154" i="5"/>
  <c r="E154" i="5"/>
  <c r="D154" i="5"/>
  <c r="C154" i="5"/>
  <c r="B154" i="5"/>
  <c r="F153" i="5"/>
  <c r="E153" i="5"/>
  <c r="D153" i="5"/>
  <c r="C153" i="5"/>
  <c r="B153" i="5"/>
  <c r="F152" i="5"/>
  <c r="E152" i="5"/>
  <c r="D152" i="5"/>
  <c r="C152" i="5"/>
  <c r="B152" i="5"/>
  <c r="F151" i="5"/>
  <c r="E151" i="5"/>
  <c r="D151" i="5"/>
  <c r="C151" i="5"/>
  <c r="B151" i="5"/>
  <c r="F150" i="5"/>
  <c r="E150" i="5"/>
  <c r="D150" i="5"/>
  <c r="C150" i="5"/>
  <c r="B150" i="5"/>
  <c r="F149" i="5"/>
  <c r="E149" i="5"/>
  <c r="D149" i="5"/>
  <c r="C149" i="5"/>
  <c r="B149" i="5"/>
  <c r="F148" i="5"/>
  <c r="E148" i="5"/>
  <c r="D148" i="5"/>
  <c r="C148" i="5"/>
  <c r="B148" i="5"/>
  <c r="F147" i="5"/>
  <c r="E147" i="5"/>
  <c r="D147" i="5"/>
  <c r="C147" i="5"/>
  <c r="B147" i="5"/>
  <c r="F146" i="5"/>
  <c r="E146" i="5"/>
  <c r="D146" i="5"/>
  <c r="C146" i="5"/>
  <c r="B146" i="5"/>
  <c r="F145" i="5"/>
  <c r="E145" i="5"/>
  <c r="D145" i="5"/>
  <c r="C145" i="5"/>
  <c r="B145" i="5"/>
  <c r="F144" i="5"/>
  <c r="E144" i="5"/>
  <c r="D144" i="5"/>
  <c r="C144" i="5"/>
  <c r="B144" i="5"/>
  <c r="F143" i="5"/>
  <c r="E143" i="5"/>
  <c r="D143" i="5"/>
  <c r="C143" i="5"/>
  <c r="B143" i="5"/>
  <c r="F142" i="5"/>
  <c r="E142" i="5"/>
  <c r="D142" i="5"/>
  <c r="C142" i="5"/>
  <c r="B142" i="5"/>
  <c r="F141" i="5"/>
  <c r="E141" i="5"/>
  <c r="D141" i="5"/>
  <c r="C141" i="5"/>
  <c r="B141" i="5"/>
  <c r="F140" i="5"/>
  <c r="E140" i="5"/>
  <c r="D140" i="5"/>
  <c r="C140" i="5"/>
  <c r="B140" i="5"/>
  <c r="F139" i="5"/>
  <c r="E139" i="5"/>
  <c r="D139" i="5"/>
  <c r="C139" i="5"/>
  <c r="B139" i="5"/>
  <c r="F138" i="5"/>
  <c r="E138" i="5"/>
  <c r="D138" i="5"/>
  <c r="C138" i="5"/>
  <c r="B138" i="5"/>
  <c r="F137" i="5"/>
  <c r="E137" i="5"/>
  <c r="D137" i="5"/>
  <c r="C137" i="5"/>
  <c r="B137" i="5"/>
  <c r="F136" i="5"/>
  <c r="E136" i="5"/>
  <c r="D136" i="5"/>
  <c r="C136" i="5"/>
  <c r="B136" i="5"/>
  <c r="F135" i="5"/>
  <c r="E135" i="5"/>
  <c r="D135" i="5"/>
  <c r="C135" i="5"/>
  <c r="B135" i="5"/>
  <c r="F134" i="5"/>
  <c r="E134" i="5"/>
  <c r="D134" i="5"/>
  <c r="C134" i="5"/>
  <c r="B134" i="5"/>
  <c r="F133" i="5"/>
  <c r="E133" i="5"/>
  <c r="D133" i="5"/>
  <c r="C133" i="5"/>
  <c r="B133" i="5"/>
  <c r="F132" i="5"/>
  <c r="E132" i="5"/>
  <c r="D132" i="5"/>
  <c r="C132" i="5"/>
  <c r="B132" i="5"/>
  <c r="F131" i="5"/>
  <c r="E131" i="5"/>
  <c r="D131" i="5"/>
  <c r="C131" i="5"/>
  <c r="B131" i="5"/>
  <c r="F130" i="5"/>
  <c r="E130" i="5"/>
  <c r="D130" i="5"/>
  <c r="C130" i="5"/>
  <c r="B130" i="5"/>
  <c r="F129" i="5"/>
  <c r="E129" i="5"/>
  <c r="D129" i="5"/>
  <c r="C129" i="5"/>
  <c r="B129" i="5"/>
  <c r="F128" i="5"/>
  <c r="E128" i="5"/>
  <c r="D128" i="5"/>
  <c r="C128" i="5"/>
  <c r="B128" i="5"/>
  <c r="F127" i="5"/>
  <c r="E127" i="5"/>
  <c r="D127" i="5"/>
  <c r="C127" i="5"/>
  <c r="B127" i="5"/>
  <c r="F126" i="5"/>
  <c r="E126" i="5"/>
  <c r="D126" i="5"/>
  <c r="C126" i="5"/>
  <c r="B126" i="5"/>
  <c r="F125" i="5"/>
  <c r="E125" i="5"/>
  <c r="D125" i="5"/>
  <c r="C125" i="5"/>
  <c r="B125" i="5"/>
  <c r="F124" i="5"/>
  <c r="E124" i="5"/>
  <c r="D124" i="5"/>
  <c r="C124" i="5"/>
  <c r="B124" i="5"/>
  <c r="F123" i="5"/>
  <c r="E123" i="5"/>
  <c r="D123" i="5"/>
  <c r="C123" i="5"/>
  <c r="B123" i="5"/>
  <c r="F122" i="5"/>
  <c r="E122" i="5"/>
  <c r="D122" i="5"/>
  <c r="C122" i="5"/>
  <c r="B122" i="5"/>
  <c r="F121" i="5"/>
  <c r="E121" i="5"/>
  <c r="D121" i="5"/>
  <c r="C121" i="5"/>
  <c r="B121" i="5"/>
  <c r="F120" i="5"/>
  <c r="E120" i="5"/>
  <c r="D120" i="5"/>
  <c r="C120" i="5"/>
  <c r="B120" i="5"/>
  <c r="F119" i="5"/>
  <c r="E119" i="5"/>
  <c r="D119" i="5"/>
  <c r="C119" i="5"/>
  <c r="B119" i="5"/>
  <c r="F118" i="5"/>
  <c r="E118" i="5"/>
  <c r="D118" i="5"/>
  <c r="C118" i="5"/>
  <c r="B118" i="5"/>
  <c r="F117" i="5"/>
  <c r="E117" i="5"/>
  <c r="D117" i="5"/>
  <c r="C117" i="5"/>
  <c r="B117" i="5"/>
  <c r="F116" i="5"/>
  <c r="E116" i="5"/>
  <c r="D116" i="5"/>
  <c r="C116" i="5"/>
  <c r="B116" i="5"/>
  <c r="F115" i="5"/>
  <c r="E115" i="5"/>
  <c r="D115" i="5"/>
  <c r="C115" i="5"/>
  <c r="B115" i="5"/>
  <c r="F114" i="5"/>
  <c r="E114" i="5"/>
  <c r="D114" i="5"/>
  <c r="C114" i="5"/>
  <c r="B114" i="5"/>
  <c r="F113" i="5"/>
  <c r="E113" i="5"/>
  <c r="D113" i="5"/>
  <c r="C113" i="5"/>
  <c r="B113" i="5"/>
  <c r="F112" i="5"/>
  <c r="E112" i="5"/>
  <c r="D112" i="5"/>
  <c r="C112" i="5"/>
  <c r="B112" i="5"/>
  <c r="F111" i="5"/>
  <c r="E111" i="5"/>
  <c r="D111" i="5"/>
  <c r="C111" i="5"/>
  <c r="B111" i="5"/>
  <c r="F110" i="5"/>
  <c r="E110" i="5"/>
  <c r="D110" i="5"/>
  <c r="C110" i="5"/>
  <c r="B110" i="5"/>
  <c r="F109" i="5"/>
  <c r="E109" i="5"/>
  <c r="D109" i="5"/>
  <c r="C109" i="5"/>
  <c r="B109" i="5"/>
  <c r="F108" i="5"/>
  <c r="E108" i="5"/>
  <c r="D108" i="5"/>
  <c r="C108" i="5"/>
  <c r="B108" i="5"/>
  <c r="F107" i="5"/>
  <c r="E107" i="5"/>
  <c r="D107" i="5"/>
  <c r="C107" i="5"/>
  <c r="B107" i="5"/>
  <c r="F106" i="5"/>
  <c r="E106" i="5"/>
  <c r="D106" i="5"/>
  <c r="C106" i="5"/>
  <c r="B106" i="5"/>
  <c r="F105" i="5"/>
  <c r="E105" i="5"/>
  <c r="D105" i="5"/>
  <c r="C105" i="5"/>
  <c r="B105" i="5"/>
  <c r="F104" i="5"/>
  <c r="E104" i="5"/>
  <c r="D104" i="5"/>
  <c r="C104" i="5"/>
  <c r="B104" i="5"/>
  <c r="F103" i="5"/>
  <c r="E103" i="5"/>
  <c r="D103" i="5"/>
  <c r="C103" i="5"/>
  <c r="B103" i="5"/>
  <c r="F102" i="5"/>
  <c r="E102" i="5"/>
  <c r="D102" i="5"/>
  <c r="C102" i="5"/>
  <c r="B102" i="5"/>
  <c r="F101" i="5"/>
  <c r="E101" i="5"/>
  <c r="D101" i="5"/>
  <c r="C101" i="5"/>
  <c r="B101" i="5"/>
  <c r="F100" i="5"/>
  <c r="E100" i="5"/>
  <c r="D100" i="5"/>
  <c r="C100" i="5"/>
  <c r="B100" i="5"/>
  <c r="F99" i="5"/>
  <c r="E99" i="5"/>
  <c r="D99" i="5"/>
  <c r="C99" i="5"/>
  <c r="B99" i="5"/>
  <c r="F98" i="5"/>
  <c r="E98" i="5"/>
  <c r="D98" i="5"/>
  <c r="C98" i="5"/>
  <c r="B98" i="5"/>
  <c r="F97" i="5"/>
  <c r="E97" i="5"/>
  <c r="D97" i="5"/>
  <c r="C97" i="5"/>
  <c r="B97" i="5"/>
  <c r="F96" i="5"/>
  <c r="E96" i="5"/>
  <c r="D96" i="5"/>
  <c r="C96" i="5"/>
  <c r="B96" i="5"/>
  <c r="F95" i="5"/>
  <c r="E95" i="5"/>
  <c r="D95" i="5"/>
  <c r="C95" i="5"/>
  <c r="B95" i="5"/>
  <c r="F94" i="5"/>
  <c r="E94" i="5"/>
  <c r="D94" i="5"/>
  <c r="C94" i="5"/>
  <c r="B94" i="5"/>
  <c r="F93" i="5"/>
  <c r="E93" i="5"/>
  <c r="D93" i="5"/>
  <c r="C93" i="5"/>
  <c r="B93" i="5"/>
  <c r="F92" i="5"/>
  <c r="E92" i="5"/>
  <c r="D92" i="5"/>
  <c r="C92" i="5"/>
  <c r="B92" i="5"/>
  <c r="F91" i="5"/>
  <c r="E91" i="5"/>
  <c r="D91" i="5"/>
  <c r="C91" i="5"/>
  <c r="B91" i="5"/>
  <c r="F90" i="5"/>
  <c r="E90" i="5"/>
  <c r="D90" i="5"/>
  <c r="C90" i="5"/>
  <c r="B90" i="5"/>
  <c r="F89" i="5"/>
  <c r="E89" i="5"/>
  <c r="D89" i="5"/>
  <c r="C89" i="5"/>
  <c r="B89" i="5"/>
  <c r="F88" i="5"/>
  <c r="E88" i="5"/>
  <c r="D88" i="5"/>
  <c r="C88" i="5"/>
  <c r="B88" i="5"/>
  <c r="F87" i="5"/>
  <c r="E87" i="5"/>
  <c r="D87" i="5"/>
  <c r="C87" i="5"/>
  <c r="B87" i="5"/>
  <c r="F86" i="5"/>
  <c r="E86" i="5"/>
  <c r="D86" i="5"/>
  <c r="C86" i="5"/>
  <c r="B86" i="5"/>
  <c r="F85" i="5"/>
  <c r="E85" i="5"/>
  <c r="D85" i="5"/>
  <c r="C85" i="5"/>
  <c r="B85" i="5"/>
  <c r="F84" i="5"/>
  <c r="E84" i="5"/>
  <c r="D84" i="5"/>
  <c r="C84" i="5"/>
  <c r="B84" i="5"/>
  <c r="F83" i="5"/>
  <c r="E83" i="5"/>
  <c r="D83" i="5"/>
  <c r="C83" i="5"/>
  <c r="B83" i="5"/>
  <c r="F82" i="5"/>
  <c r="E82" i="5"/>
  <c r="D82" i="5"/>
  <c r="C82" i="5"/>
  <c r="B82" i="5"/>
  <c r="F81" i="5"/>
  <c r="E81" i="5"/>
  <c r="D81" i="5"/>
  <c r="C81" i="5"/>
  <c r="B81" i="5"/>
  <c r="F80" i="5"/>
  <c r="E80" i="5"/>
  <c r="D80" i="5"/>
  <c r="C80" i="5"/>
  <c r="B80" i="5"/>
  <c r="F79" i="5"/>
  <c r="E79" i="5"/>
  <c r="D79" i="5"/>
  <c r="C79" i="5"/>
  <c r="B79" i="5"/>
  <c r="F78" i="5"/>
  <c r="E78" i="5"/>
  <c r="D78" i="5"/>
  <c r="C78" i="5"/>
  <c r="B78" i="5"/>
  <c r="F77" i="5"/>
  <c r="E77" i="5"/>
  <c r="D77" i="5"/>
  <c r="C77" i="5"/>
  <c r="B77" i="5"/>
  <c r="F76" i="5"/>
  <c r="E76" i="5"/>
  <c r="D76" i="5"/>
  <c r="C76" i="5"/>
  <c r="B76" i="5"/>
  <c r="F75" i="5"/>
  <c r="E75" i="5"/>
  <c r="D75" i="5"/>
  <c r="C75" i="5"/>
  <c r="B75" i="5"/>
  <c r="F74" i="5"/>
  <c r="E74" i="5"/>
  <c r="D74" i="5"/>
  <c r="C74" i="5"/>
  <c r="B74" i="5"/>
  <c r="F73" i="5"/>
  <c r="E73" i="5"/>
  <c r="D73" i="5"/>
  <c r="C73" i="5"/>
  <c r="B73" i="5"/>
  <c r="F72" i="5"/>
  <c r="E72" i="5"/>
  <c r="D72" i="5"/>
  <c r="C72" i="5"/>
  <c r="B72" i="5"/>
  <c r="F71" i="5"/>
  <c r="E71" i="5"/>
  <c r="D71" i="5"/>
  <c r="C71" i="5"/>
  <c r="B71" i="5"/>
  <c r="F70" i="5"/>
  <c r="E70" i="5"/>
  <c r="D70" i="5"/>
  <c r="C70" i="5"/>
  <c r="B70" i="5"/>
  <c r="F69" i="5"/>
  <c r="E69" i="5"/>
  <c r="D69" i="5"/>
  <c r="C69" i="5"/>
  <c r="B69" i="5"/>
  <c r="F68" i="5"/>
  <c r="E68" i="5"/>
  <c r="D68" i="5"/>
  <c r="C68" i="5"/>
  <c r="B68" i="5"/>
  <c r="F67" i="5"/>
  <c r="E67" i="5"/>
  <c r="D67" i="5"/>
  <c r="C67" i="5"/>
  <c r="B67" i="5"/>
  <c r="F66" i="5"/>
  <c r="E66" i="5"/>
  <c r="D66" i="5"/>
  <c r="C66" i="5"/>
  <c r="B66" i="5"/>
  <c r="F65" i="5"/>
  <c r="E65" i="5"/>
  <c r="D65" i="5"/>
  <c r="C65" i="5"/>
  <c r="B65" i="5"/>
  <c r="F64" i="5"/>
  <c r="E64" i="5"/>
  <c r="D64" i="5"/>
  <c r="C64" i="5"/>
  <c r="B64" i="5"/>
  <c r="F63" i="5"/>
  <c r="E63" i="5"/>
  <c r="D63" i="5"/>
  <c r="C63" i="5"/>
  <c r="B63" i="5"/>
  <c r="F62" i="5"/>
  <c r="E62" i="5"/>
  <c r="D62" i="5"/>
  <c r="C62" i="5"/>
  <c r="B62" i="5"/>
  <c r="F61" i="5"/>
  <c r="E61" i="5"/>
  <c r="D61" i="5"/>
  <c r="C61" i="5"/>
  <c r="B61" i="5"/>
  <c r="F60" i="5"/>
  <c r="E60" i="5"/>
  <c r="D60" i="5"/>
  <c r="C60" i="5"/>
  <c r="B60" i="5"/>
  <c r="F59" i="5"/>
  <c r="E59" i="5"/>
  <c r="D59" i="5"/>
  <c r="C59" i="5"/>
  <c r="B59" i="5"/>
  <c r="F58" i="5"/>
  <c r="E58" i="5"/>
  <c r="D58" i="5"/>
  <c r="C58" i="5"/>
  <c r="B58" i="5"/>
  <c r="F57" i="5"/>
  <c r="E57" i="5"/>
  <c r="D57" i="5"/>
  <c r="C57" i="5"/>
  <c r="B57" i="5"/>
  <c r="F56" i="5"/>
  <c r="E56" i="5"/>
  <c r="D56" i="5"/>
  <c r="C56" i="5"/>
  <c r="B56" i="5"/>
  <c r="F55" i="5"/>
  <c r="E55" i="5"/>
  <c r="D55" i="5"/>
  <c r="C55" i="5"/>
  <c r="B55" i="5"/>
  <c r="F54" i="5"/>
  <c r="E54" i="5"/>
  <c r="D54" i="5"/>
  <c r="C54" i="5"/>
  <c r="B54" i="5"/>
  <c r="F53" i="5"/>
  <c r="E53" i="5"/>
  <c r="D53" i="5"/>
  <c r="C53" i="5"/>
  <c r="B53" i="5"/>
  <c r="F52" i="5"/>
  <c r="E52" i="5"/>
  <c r="D52" i="5"/>
  <c r="C52" i="5"/>
  <c r="B52" i="5"/>
  <c r="F51" i="5"/>
  <c r="E51" i="5"/>
  <c r="D51" i="5"/>
  <c r="C51" i="5"/>
  <c r="B51" i="5"/>
  <c r="F50" i="5"/>
  <c r="E50" i="5"/>
  <c r="D50" i="5"/>
  <c r="C50" i="5"/>
  <c r="B50" i="5"/>
  <c r="F49" i="5"/>
  <c r="E49" i="5"/>
  <c r="D49" i="5"/>
  <c r="C49" i="5"/>
  <c r="B49" i="5"/>
  <c r="F48" i="5"/>
  <c r="E48" i="5"/>
  <c r="D48" i="5"/>
  <c r="C48" i="5"/>
  <c r="B48" i="5"/>
  <c r="F47" i="5"/>
  <c r="E47" i="5"/>
  <c r="D47" i="5"/>
  <c r="C47" i="5"/>
  <c r="B47" i="5"/>
  <c r="F46" i="5"/>
  <c r="E46" i="5"/>
  <c r="D46" i="5"/>
  <c r="C46" i="5"/>
  <c r="B46" i="5"/>
  <c r="F45" i="5"/>
  <c r="E45" i="5"/>
  <c r="D45" i="5"/>
  <c r="C45" i="5"/>
  <c r="B45" i="5"/>
  <c r="F44" i="5"/>
  <c r="E44" i="5"/>
  <c r="D44" i="5"/>
  <c r="C44" i="5"/>
  <c r="B44" i="5"/>
  <c r="F43" i="5"/>
  <c r="E43" i="5"/>
  <c r="D43" i="5"/>
  <c r="C43" i="5"/>
  <c r="B43" i="5"/>
  <c r="F42" i="5"/>
  <c r="E42" i="5"/>
  <c r="D42" i="5"/>
  <c r="C42" i="5"/>
  <c r="B42" i="5"/>
  <c r="F41" i="5"/>
  <c r="E41" i="5"/>
  <c r="D41" i="5"/>
  <c r="C41" i="5"/>
  <c r="B41" i="5"/>
  <c r="F40" i="5"/>
  <c r="E40" i="5"/>
  <c r="D40" i="5"/>
  <c r="C40" i="5"/>
  <c r="B40" i="5"/>
  <c r="F39" i="5"/>
  <c r="E39" i="5"/>
  <c r="D39" i="5"/>
  <c r="C39" i="5"/>
  <c r="B39" i="5"/>
  <c r="F38" i="5"/>
  <c r="E38" i="5"/>
  <c r="D38" i="5"/>
  <c r="C38" i="5"/>
  <c r="B38" i="5"/>
  <c r="F37" i="5"/>
  <c r="E37" i="5"/>
  <c r="D37" i="5"/>
  <c r="C37" i="5"/>
  <c r="B37" i="5"/>
  <c r="F36" i="5"/>
  <c r="E36" i="5"/>
  <c r="D36" i="5"/>
  <c r="C36" i="5"/>
  <c r="B36" i="5"/>
  <c r="F35" i="5"/>
  <c r="E35" i="5"/>
  <c r="D35" i="5"/>
  <c r="C35" i="5"/>
  <c r="B35" i="5"/>
  <c r="F34" i="5"/>
  <c r="E34" i="5"/>
  <c r="D34" i="5"/>
  <c r="C34" i="5"/>
  <c r="B34" i="5"/>
  <c r="F33" i="5"/>
  <c r="E33" i="5"/>
  <c r="D33" i="5"/>
  <c r="C33" i="5"/>
  <c r="B33" i="5"/>
  <c r="F32" i="5"/>
  <c r="E32" i="5"/>
  <c r="D32" i="5"/>
  <c r="C32" i="5"/>
  <c r="B32" i="5"/>
  <c r="F31" i="5"/>
  <c r="E31" i="5"/>
  <c r="D31" i="5"/>
  <c r="C31" i="5"/>
  <c r="B31" i="5"/>
  <c r="F30" i="5"/>
  <c r="E30" i="5"/>
  <c r="D30" i="5"/>
  <c r="C30" i="5"/>
  <c r="B30" i="5"/>
  <c r="F29" i="5"/>
  <c r="E29" i="5"/>
  <c r="D29" i="5"/>
  <c r="C29" i="5"/>
  <c r="B29" i="5"/>
  <c r="F28" i="5"/>
  <c r="E28" i="5"/>
  <c r="D28" i="5"/>
  <c r="C28" i="5"/>
  <c r="B28" i="5"/>
  <c r="F27" i="5"/>
  <c r="E27" i="5"/>
  <c r="D27" i="5"/>
  <c r="C27" i="5"/>
  <c r="B27" i="5"/>
  <c r="F26" i="5"/>
  <c r="E26" i="5"/>
  <c r="D26" i="5"/>
  <c r="C26" i="5"/>
  <c r="B26" i="5"/>
  <c r="F25" i="5"/>
  <c r="E25" i="5"/>
  <c r="D25" i="5"/>
  <c r="C25" i="5"/>
  <c r="B25" i="5"/>
  <c r="F24" i="5"/>
  <c r="E24" i="5"/>
  <c r="D24" i="5"/>
  <c r="C24" i="5"/>
  <c r="B24" i="5"/>
  <c r="F23" i="5"/>
  <c r="E23" i="5"/>
  <c r="D23" i="5"/>
  <c r="C23" i="5"/>
  <c r="B23" i="5"/>
  <c r="F22" i="5"/>
  <c r="E22" i="5"/>
  <c r="D22" i="5"/>
  <c r="C22" i="5"/>
  <c r="B22" i="5"/>
  <c r="F21" i="5"/>
  <c r="E21" i="5"/>
  <c r="D21" i="5"/>
  <c r="C21" i="5"/>
  <c r="B21" i="5"/>
  <c r="F20" i="5"/>
  <c r="E20" i="5"/>
  <c r="D20" i="5"/>
  <c r="C20" i="5"/>
  <c r="B20" i="5"/>
  <c r="F19" i="5"/>
  <c r="E19" i="5"/>
  <c r="D19" i="5"/>
  <c r="C19" i="5"/>
  <c r="B19" i="5"/>
  <c r="F18" i="5"/>
  <c r="E18" i="5"/>
  <c r="D18" i="5"/>
  <c r="C18" i="5"/>
  <c r="B18" i="5"/>
  <c r="F17" i="5"/>
  <c r="E17" i="5"/>
  <c r="D17" i="5"/>
  <c r="C17" i="5"/>
  <c r="B17" i="5"/>
  <c r="F16" i="5"/>
  <c r="E16" i="5"/>
  <c r="D16" i="5"/>
  <c r="C16" i="5"/>
  <c r="B16" i="5"/>
  <c r="F15" i="5"/>
  <c r="E15" i="5"/>
  <c r="D15" i="5"/>
  <c r="C15" i="5"/>
  <c r="B15" i="5"/>
  <c r="F14" i="5"/>
  <c r="E14" i="5"/>
  <c r="D14" i="5"/>
  <c r="C14" i="5"/>
  <c r="B14" i="5"/>
  <c r="F13" i="5"/>
  <c r="E13" i="5"/>
  <c r="D13" i="5"/>
  <c r="C13" i="5"/>
  <c r="B13" i="5"/>
  <c r="F12" i="5"/>
  <c r="E12" i="5"/>
  <c r="D12" i="5"/>
  <c r="C12" i="5"/>
  <c r="B12" i="5"/>
  <c r="F11" i="5"/>
  <c r="E11" i="5"/>
  <c r="D11" i="5"/>
  <c r="C11" i="5"/>
  <c r="B11" i="5"/>
  <c r="F10" i="5"/>
  <c r="E10" i="5"/>
  <c r="D10" i="5"/>
  <c r="C10" i="5"/>
  <c r="B10" i="5"/>
  <c r="H7" i="5"/>
  <c r="G6" i="5"/>
  <c r="F5" i="5"/>
  <c r="E4" i="5"/>
  <c r="D3" i="5"/>
  <c r="C2" i="5"/>
  <c r="A30" i="4"/>
  <c r="A29" i="4"/>
  <c r="A28" i="4"/>
  <c r="A27" i="4"/>
  <c r="A26" i="4"/>
  <c r="A25" i="4"/>
  <c r="A24" i="4"/>
  <c r="A23" i="4"/>
  <c r="A22" i="4"/>
  <c r="A21" i="4"/>
  <c r="A20" i="4"/>
  <c r="A19" i="4"/>
  <c r="A18" i="4"/>
  <c r="A17" i="4"/>
  <c r="A16" i="4"/>
  <c r="A15" i="4"/>
  <c r="A14" i="4"/>
  <c r="A13" i="4"/>
  <c r="A12" i="4"/>
  <c r="A11" i="4"/>
  <c r="A10" i="4"/>
  <c r="A9" i="4"/>
  <c r="A8" i="4"/>
  <c r="A7" i="4"/>
  <c r="A6" i="4"/>
  <c r="A5" i="4"/>
  <c r="A4" i="4"/>
  <c r="A3" i="4"/>
  <c r="A2" i="4"/>
  <c r="A1" i="4"/>
  <c r="P53" i="3"/>
  <c r="U52" i="3"/>
  <c r="T51" i="3"/>
  <c r="S50" i="3"/>
  <c r="R49" i="3"/>
  <c r="Q48" i="3"/>
  <c r="U44" i="3"/>
  <c r="P43" i="3"/>
  <c r="T42" i="3"/>
  <c r="S41" i="3"/>
  <c r="R40" i="3"/>
  <c r="Q39" i="3"/>
  <c r="U35" i="3"/>
  <c r="T34" i="3"/>
  <c r="P33" i="3"/>
  <c r="S32" i="3"/>
  <c r="R31" i="3"/>
  <c r="Q30" i="3"/>
  <c r="U26" i="3"/>
  <c r="T25" i="3"/>
  <c r="S24" i="3"/>
  <c r="P23" i="3"/>
  <c r="R22" i="3"/>
  <c r="Q21" i="3"/>
  <c r="U17" i="3"/>
  <c r="T16" i="3"/>
  <c r="S15" i="3"/>
  <c r="R14" i="3"/>
  <c r="P13" i="3"/>
  <c r="Q12" i="3"/>
  <c r="L8" i="3"/>
  <c r="K8" i="3"/>
  <c r="M6" i="3" s="1"/>
  <c r="U6" i="3" s="1"/>
  <c r="J8" i="3"/>
  <c r="I8" i="3"/>
  <c r="H8" i="3"/>
  <c r="M7" i="3"/>
  <c r="U7" i="3" s="1"/>
  <c r="K7" i="3"/>
  <c r="J7" i="3"/>
  <c r="I7" i="3"/>
  <c r="H7" i="3"/>
  <c r="L6" i="3"/>
  <c r="T6" i="3" s="1"/>
  <c r="J6" i="3"/>
  <c r="K5" i="3" s="1"/>
  <c r="S5" i="3" s="1"/>
  <c r="I6" i="3"/>
  <c r="H6" i="3"/>
  <c r="M5" i="3"/>
  <c r="U5" i="3" s="1"/>
  <c r="L5" i="3"/>
  <c r="T5" i="3" s="1"/>
  <c r="I5" i="3"/>
  <c r="H5" i="3"/>
  <c r="M4" i="3"/>
  <c r="U4" i="3" s="1"/>
  <c r="L4" i="3"/>
  <c r="T4" i="3" s="1"/>
  <c r="K4" i="3"/>
  <c r="S4" i="3" s="1"/>
  <c r="J4" i="3"/>
  <c r="R4" i="3" s="1"/>
  <c r="H4" i="3"/>
  <c r="I3" i="3" s="1"/>
  <c r="M3" i="3"/>
  <c r="U3" i="3" s="1"/>
  <c r="L3" i="3"/>
  <c r="T3" i="3" s="1"/>
  <c r="K3" i="3"/>
  <c r="S3" i="3" s="1"/>
  <c r="J3" i="3"/>
  <c r="R3" i="3" s="1"/>
  <c r="U2" i="3"/>
  <c r="T2" i="3"/>
  <c r="S2" i="3"/>
  <c r="R2" i="3"/>
  <c r="Q2" i="3"/>
  <c r="P2" i="3"/>
  <c r="T8" i="3" l="1"/>
  <c r="S8" i="3"/>
  <c r="S7" i="3"/>
  <c r="R8" i="3"/>
  <c r="R7" i="3"/>
  <c r="R6" i="3"/>
  <c r="Q8" i="3"/>
  <c r="Q7" i="3"/>
  <c r="Q6" i="3"/>
  <c r="Q5" i="3"/>
  <c r="P8" i="3"/>
  <c r="P7" i="3"/>
  <c r="P6" i="3"/>
  <c r="P5" i="3"/>
  <c r="P4" i="3"/>
  <c r="Q3" i="3"/>
  <c r="T17" i="3"/>
  <c r="T26" i="3"/>
  <c r="T35" i="3"/>
  <c r="P44" i="3"/>
  <c r="U53" i="3"/>
  <c r="AA53" i="3" s="1"/>
  <c r="G7" i="5"/>
  <c r="S17" i="3"/>
  <c r="S26" i="3"/>
  <c r="P35" i="3"/>
  <c r="T44" i="3"/>
  <c r="T53" i="3"/>
  <c r="Z53" i="3" s="1"/>
  <c r="F7" i="5"/>
  <c r="R26" i="3"/>
  <c r="R35" i="3"/>
  <c r="R44" i="3"/>
  <c r="R53" i="3"/>
  <c r="X53" i="3" s="1"/>
  <c r="D7" i="5"/>
  <c r="P17" i="3"/>
  <c r="U16" i="3"/>
  <c r="U25" i="3"/>
  <c r="U34" i="3"/>
  <c r="U43" i="3"/>
  <c r="AA43" i="3" s="1"/>
  <c r="P52" i="3"/>
  <c r="H6" i="5"/>
  <c r="S25" i="3"/>
  <c r="P34" i="3"/>
  <c r="T43" i="3"/>
  <c r="Z43" i="3" s="1"/>
  <c r="T52" i="3"/>
  <c r="F6" i="5"/>
  <c r="S16" i="3"/>
  <c r="P16" i="3"/>
  <c r="R25" i="3"/>
  <c r="R34" i="3"/>
  <c r="R43" i="3"/>
  <c r="X43" i="3" s="1"/>
  <c r="R52" i="3"/>
  <c r="D6" i="5"/>
  <c r="Z7" i="3"/>
  <c r="Q16" i="3"/>
  <c r="W7" i="3"/>
  <c r="Y7" i="3"/>
  <c r="AA7" i="3"/>
  <c r="Q25" i="3"/>
  <c r="Q34" i="3"/>
  <c r="Q43" i="3"/>
  <c r="W43" i="3" s="1"/>
  <c r="Q52" i="3"/>
  <c r="C6" i="5"/>
  <c r="U24" i="3"/>
  <c r="U33" i="3"/>
  <c r="AA33" i="3" s="1"/>
  <c r="U42" i="3"/>
  <c r="P51" i="3"/>
  <c r="H5" i="5"/>
  <c r="U15" i="3"/>
  <c r="T15" i="3"/>
  <c r="T24" i="3"/>
  <c r="T33" i="3"/>
  <c r="Z33" i="3" s="1"/>
  <c r="P42" i="3"/>
  <c r="U51" i="3"/>
  <c r="G5" i="5"/>
  <c r="P24" i="3"/>
  <c r="S33" i="3"/>
  <c r="Y33" i="3" s="1"/>
  <c r="S42" i="3"/>
  <c r="S51" i="3"/>
  <c r="E5" i="5"/>
  <c r="R15" i="3"/>
  <c r="X6" i="3"/>
  <c r="Z6" i="3"/>
  <c r="AA6" i="3"/>
  <c r="Q15" i="3"/>
  <c r="Y6" i="3"/>
  <c r="Q24" i="3"/>
  <c r="Q33" i="3"/>
  <c r="W33" i="3" s="1"/>
  <c r="Q42" i="3"/>
  <c r="Q51" i="3"/>
  <c r="C5" i="5"/>
  <c r="U14" i="3"/>
  <c r="U32" i="3"/>
  <c r="U41" i="3"/>
  <c r="P50" i="3"/>
  <c r="H4" i="5"/>
  <c r="U23" i="3"/>
  <c r="AA23" i="3" s="1"/>
  <c r="T14" i="3"/>
  <c r="T23" i="3"/>
  <c r="Z23" i="3" s="1"/>
  <c r="T32" i="3"/>
  <c r="P41" i="3"/>
  <c r="U50" i="3"/>
  <c r="G4" i="5"/>
  <c r="S14" i="3"/>
  <c r="S23" i="3"/>
  <c r="Y23" i="3" s="1"/>
  <c r="P32" i="3"/>
  <c r="T41" i="3"/>
  <c r="T50" i="3"/>
  <c r="F4" i="5"/>
  <c r="Y5" i="3"/>
  <c r="Z5" i="3"/>
  <c r="AA5" i="3"/>
  <c r="Q14" i="3"/>
  <c r="Q23" i="3"/>
  <c r="W23" i="3" s="1"/>
  <c r="Q32" i="3"/>
  <c r="Q41" i="3"/>
  <c r="Q50" i="3"/>
  <c r="C4" i="5"/>
  <c r="X5" i="3"/>
  <c r="U13" i="3"/>
  <c r="AA13" i="3" s="1"/>
  <c r="U22" i="3"/>
  <c r="U31" i="3"/>
  <c r="U40" i="3"/>
  <c r="P49" i="3"/>
  <c r="H3" i="5"/>
  <c r="T13" i="3"/>
  <c r="Z13" i="3" s="1"/>
  <c r="T22" i="3"/>
  <c r="T31" i="3"/>
  <c r="P40" i="3"/>
  <c r="U49" i="3"/>
  <c r="G3" i="5"/>
  <c r="S13" i="3"/>
  <c r="Y13" i="3" s="1"/>
  <c r="S22" i="3"/>
  <c r="P31" i="3"/>
  <c r="T40" i="3"/>
  <c r="T49" i="3"/>
  <c r="F3" i="5"/>
  <c r="P22" i="3"/>
  <c r="S31" i="3"/>
  <c r="S40" i="3"/>
  <c r="S49" i="3"/>
  <c r="E3" i="5"/>
  <c r="R13" i="3"/>
  <c r="X13" i="3" s="1"/>
  <c r="AA3" i="3"/>
  <c r="U30" i="3"/>
  <c r="U39" i="3"/>
  <c r="P48" i="3"/>
  <c r="H2" i="5"/>
  <c r="U12" i="3"/>
  <c r="U21" i="3"/>
  <c r="Z3" i="3"/>
  <c r="T21" i="3"/>
  <c r="T12" i="3"/>
  <c r="T30" i="3"/>
  <c r="P39" i="3"/>
  <c r="U48" i="3"/>
  <c r="G2" i="5"/>
  <c r="Y3" i="3"/>
  <c r="P30" i="3"/>
  <c r="T39" i="3"/>
  <c r="T48" i="3"/>
  <c r="F2" i="5"/>
  <c r="S12" i="3"/>
  <c r="S21" i="3"/>
  <c r="P21" i="3"/>
  <c r="X3" i="3"/>
  <c r="R12" i="3"/>
  <c r="S30" i="3"/>
  <c r="S39" i="3"/>
  <c r="S48" i="3"/>
  <c r="E2" i="5"/>
  <c r="U20" i="3"/>
  <c r="U38" i="3"/>
  <c r="U11" i="3"/>
  <c r="P47" i="3"/>
  <c r="H1" i="5"/>
  <c r="U29" i="3"/>
  <c r="G1" i="5"/>
  <c r="P38" i="3"/>
  <c r="T20" i="3"/>
  <c r="U47" i="3"/>
  <c r="T29" i="3"/>
  <c r="T11" i="3"/>
  <c r="T38" i="3"/>
  <c r="S11" i="3"/>
  <c r="T47" i="3"/>
  <c r="S20" i="3"/>
  <c r="P29" i="3"/>
  <c r="F1" i="5"/>
  <c r="S38" i="3"/>
  <c r="R11" i="3"/>
  <c r="S47" i="3"/>
  <c r="S29" i="3"/>
  <c r="E1" i="5"/>
  <c r="P20" i="3"/>
  <c r="R38" i="3"/>
  <c r="P11" i="3"/>
  <c r="R47" i="3"/>
  <c r="R20" i="3"/>
  <c r="R29" i="3"/>
  <c r="D1" i="5"/>
  <c r="Q38" i="3"/>
  <c r="Q11" i="3"/>
  <c r="Q47" i="3"/>
  <c r="Q20" i="3"/>
  <c r="Q29" i="3"/>
  <c r="C1" i="5"/>
  <c r="R17" i="3" l="1"/>
  <c r="X17" i="3" s="1"/>
  <c r="P26" i="3"/>
  <c r="S35" i="3"/>
  <c r="Y35" i="3" s="1"/>
  <c r="S44" i="3"/>
  <c r="Y44" i="3" s="1"/>
  <c r="S53" i="3"/>
  <c r="Y53" i="3" s="1"/>
  <c r="E7" i="5"/>
  <c r="P25" i="3"/>
  <c r="S34" i="3"/>
  <c r="Y34" i="3" s="1"/>
  <c r="S43" i="3"/>
  <c r="Y43" i="3" s="1"/>
  <c r="S52" i="3"/>
  <c r="Y52" i="3" s="1"/>
  <c r="E6" i="5"/>
  <c r="I6" i="5" s="1"/>
  <c r="R16" i="3"/>
  <c r="X7" i="3"/>
  <c r="R24" i="3"/>
  <c r="X24" i="3" s="1"/>
  <c r="R33" i="3"/>
  <c r="X33" i="3" s="1"/>
  <c r="R42" i="3"/>
  <c r="X42" i="3" s="1"/>
  <c r="R51" i="3"/>
  <c r="X51" i="3" s="1"/>
  <c r="D5" i="5"/>
  <c r="I5" i="5" s="1"/>
  <c r="P15" i="3"/>
  <c r="W6" i="3"/>
  <c r="R23" i="3"/>
  <c r="X23" i="3" s="1"/>
  <c r="P14" i="3"/>
  <c r="R32" i="3"/>
  <c r="X32" i="3" s="1"/>
  <c r="R41" i="3"/>
  <c r="X41" i="3" s="1"/>
  <c r="R50" i="3"/>
  <c r="X50" i="3" s="1"/>
  <c r="D4" i="5"/>
  <c r="I4" i="5" s="1"/>
  <c r="W5" i="3"/>
  <c r="W8" i="3"/>
  <c r="Y8" i="3"/>
  <c r="Z8" i="3"/>
  <c r="AA8" i="3"/>
  <c r="X8" i="3"/>
  <c r="Q17" i="3"/>
  <c r="Q26" i="3"/>
  <c r="Q35" i="3"/>
  <c r="Q44" i="3"/>
  <c r="Q53" i="3"/>
  <c r="W53" i="3" s="1"/>
  <c r="C7" i="5"/>
  <c r="X4" i="3"/>
  <c r="X9" i="3" s="1"/>
  <c r="B2" i="4" s="1"/>
  <c r="AA4" i="3"/>
  <c r="AA9" i="3" s="1"/>
  <c r="B5" i="4" s="1"/>
  <c r="W4" i="3"/>
  <c r="Y4" i="3"/>
  <c r="Y9" i="3" s="1"/>
  <c r="B3" i="4" s="1"/>
  <c r="Z4" i="3"/>
  <c r="Z9" i="3" s="1"/>
  <c r="B4" i="4" s="1"/>
  <c r="Q13" i="3"/>
  <c r="W13" i="3" s="1"/>
  <c r="Q22" i="3"/>
  <c r="Q31" i="3"/>
  <c r="Q40" i="3"/>
  <c r="Q49" i="3"/>
  <c r="C3" i="5"/>
  <c r="I3" i="5" s="1"/>
  <c r="P12" i="3"/>
  <c r="R30" i="3"/>
  <c r="R39" i="3"/>
  <c r="R48" i="3"/>
  <c r="D2" i="5"/>
  <c r="I2" i="5" s="1"/>
  <c r="W3" i="3"/>
  <c r="W9" i="3" s="1"/>
  <c r="B1" i="4" s="1"/>
  <c r="R21" i="3"/>
  <c r="W44" i="3"/>
  <c r="X44" i="3"/>
  <c r="Z44" i="3"/>
  <c r="AA44" i="3"/>
  <c r="W35" i="3"/>
  <c r="X35" i="3"/>
  <c r="Z35" i="3"/>
  <c r="AA35" i="3"/>
  <c r="W17" i="3"/>
  <c r="Y17" i="3"/>
  <c r="Z17" i="3"/>
  <c r="AA17" i="3"/>
  <c r="W52" i="3"/>
  <c r="X52" i="3"/>
  <c r="Z52" i="3"/>
  <c r="AA52" i="3"/>
  <c r="W34" i="3"/>
  <c r="X34" i="3"/>
  <c r="Z34" i="3"/>
  <c r="AA34" i="3"/>
  <c r="W16" i="3"/>
  <c r="Y16" i="3"/>
  <c r="AA16" i="3"/>
  <c r="X16" i="3"/>
  <c r="Z16" i="3"/>
  <c r="W51" i="3"/>
  <c r="Y51" i="3"/>
  <c r="Z51" i="3"/>
  <c r="AA51" i="3"/>
  <c r="W42" i="3"/>
  <c r="Y42" i="3"/>
  <c r="Z42" i="3"/>
  <c r="AA42" i="3"/>
  <c r="W24" i="3"/>
  <c r="Y24" i="3"/>
  <c r="Z24" i="3"/>
  <c r="AA24" i="3"/>
  <c r="W50" i="3"/>
  <c r="Y50" i="3"/>
  <c r="Z50" i="3"/>
  <c r="AA50" i="3"/>
  <c r="W41" i="3"/>
  <c r="Y41" i="3"/>
  <c r="Z41" i="3"/>
  <c r="AA41" i="3"/>
  <c r="W32" i="3"/>
  <c r="Y32" i="3"/>
  <c r="Z32" i="3"/>
  <c r="AA32" i="3"/>
  <c r="W49" i="3"/>
  <c r="X49" i="3"/>
  <c r="Y49" i="3"/>
  <c r="Z49" i="3"/>
  <c r="AA49" i="3"/>
  <c r="W40" i="3"/>
  <c r="X40" i="3"/>
  <c r="Y40" i="3"/>
  <c r="Z40" i="3"/>
  <c r="AA40" i="3"/>
  <c r="W31" i="3"/>
  <c r="X31" i="3"/>
  <c r="Y31" i="3"/>
  <c r="Z31" i="3"/>
  <c r="AA31" i="3"/>
  <c r="W22" i="3"/>
  <c r="Y22" i="3"/>
  <c r="X22" i="3"/>
  <c r="Z22" i="3"/>
  <c r="AA22" i="3"/>
  <c r="W48" i="3"/>
  <c r="X48" i="3"/>
  <c r="Y48" i="3"/>
  <c r="Z48" i="3"/>
  <c r="Z54" i="3" s="1"/>
  <c r="B29" i="4" s="1"/>
  <c r="AA48" i="3"/>
  <c r="AA54" i="3" s="1"/>
  <c r="B30" i="4" s="1"/>
  <c r="W39" i="3"/>
  <c r="X39" i="3"/>
  <c r="Y39" i="3"/>
  <c r="Z39" i="3"/>
  <c r="Z45" i="3" s="1"/>
  <c r="B24" i="4" s="1"/>
  <c r="AA39" i="3"/>
  <c r="AA45" i="3" s="1"/>
  <c r="B25" i="4" s="1"/>
  <c r="W30" i="3"/>
  <c r="X30" i="3"/>
  <c r="Y30" i="3"/>
  <c r="Z30" i="3"/>
  <c r="Z36" i="3" s="1"/>
  <c r="B19" i="4" s="1"/>
  <c r="AA30" i="3"/>
  <c r="AA36" i="3" s="1"/>
  <c r="B20" i="4" s="1"/>
  <c r="W21" i="3"/>
  <c r="X21" i="3"/>
  <c r="Y21" i="3"/>
  <c r="Z21" i="3"/>
  <c r="AA21" i="3"/>
  <c r="Y36" i="3" l="1"/>
  <c r="B18" i="4" s="1"/>
  <c r="I7" i="5"/>
  <c r="X26" i="3"/>
  <c r="W26" i="3"/>
  <c r="Y26" i="3"/>
  <c r="Z26" i="3"/>
  <c r="AA26" i="3"/>
  <c r="W25" i="3"/>
  <c r="X25" i="3"/>
  <c r="Y25" i="3"/>
  <c r="Y27" i="3" s="1"/>
  <c r="B13" i="4" s="1"/>
  <c r="Z25" i="3"/>
  <c r="Z27" i="3" s="1"/>
  <c r="B14" i="4" s="1"/>
  <c r="AA25" i="3"/>
  <c r="Y54" i="3"/>
  <c r="B28" i="4" s="1"/>
  <c r="Y45" i="3"/>
  <c r="B23" i="4" s="1"/>
  <c r="X36" i="3"/>
  <c r="B17" i="4" s="1"/>
  <c r="AA27" i="3"/>
  <c r="B15" i="4" s="1"/>
  <c r="Y15" i="3"/>
  <c r="AA15" i="3"/>
  <c r="W15" i="3"/>
  <c r="X15" i="3"/>
  <c r="Z15" i="3"/>
  <c r="X45" i="3"/>
  <c r="B22" i="4" s="1"/>
  <c r="X27" i="3"/>
  <c r="B12" i="4" s="1"/>
  <c r="Y14" i="3"/>
  <c r="Z14" i="3"/>
  <c r="X14" i="3"/>
  <c r="AA14" i="3"/>
  <c r="W14" i="3"/>
  <c r="W45" i="3"/>
  <c r="B21" i="4" s="1"/>
  <c r="W36" i="3"/>
  <c r="B16" i="4" s="1"/>
  <c r="W27" i="3"/>
  <c r="B11" i="4" s="1"/>
  <c r="H497" i="5"/>
  <c r="H616" i="5"/>
  <c r="J701" i="5"/>
  <c r="G38" i="5"/>
  <c r="G41" i="5"/>
  <c r="G43" i="5"/>
  <c r="G46" i="5"/>
  <c r="G49" i="5"/>
  <c r="H496" i="5"/>
  <c r="H617" i="5"/>
  <c r="K702" i="5"/>
  <c r="P702" i="5" s="1"/>
  <c r="G1387" i="6" s="1"/>
  <c r="K1387" i="6" s="1"/>
  <c r="G36" i="5"/>
  <c r="G40" i="5"/>
  <c r="G44" i="5"/>
  <c r="G47" i="5"/>
  <c r="H499" i="5"/>
  <c r="J526" i="5"/>
  <c r="J646" i="5"/>
  <c r="G35" i="5"/>
  <c r="G37" i="5"/>
  <c r="G39" i="5"/>
  <c r="G42" i="5"/>
  <c r="G45" i="5"/>
  <c r="G48" i="5"/>
  <c r="G50" i="5"/>
  <c r="G51" i="5"/>
  <c r="G52" i="5"/>
  <c r="G53" i="5"/>
  <c r="G54" i="5"/>
  <c r="G55" i="5"/>
  <c r="G56" i="5"/>
  <c r="G57" i="5"/>
  <c r="I514" i="5"/>
  <c r="J532" i="5"/>
  <c r="K650" i="5"/>
  <c r="P650" i="5" s="1"/>
  <c r="G1283" i="6" s="1"/>
  <c r="K1283" i="6" s="1"/>
  <c r="K692" i="5"/>
  <c r="P692" i="5" s="1"/>
  <c r="G1367" i="6" s="1"/>
  <c r="K1367" i="6" s="1"/>
  <c r="G34" i="5"/>
  <c r="H500" i="5"/>
  <c r="H501" i="5"/>
  <c r="I565" i="5"/>
  <c r="J568" i="5"/>
  <c r="J605" i="5"/>
  <c r="I226" i="5"/>
  <c r="H618" i="5"/>
  <c r="J238" i="5"/>
  <c r="J244" i="5"/>
  <c r="H498" i="5"/>
  <c r="K596" i="5"/>
  <c r="P596" i="5" s="1"/>
  <c r="G1175" i="6" s="1"/>
  <c r="K1175" i="6" s="1"/>
  <c r="I685" i="5"/>
  <c r="H376" i="5"/>
  <c r="H378" i="5"/>
  <c r="H380" i="5"/>
  <c r="K572" i="5"/>
  <c r="P572" i="5" s="1"/>
  <c r="G1127" i="6" s="1"/>
  <c r="K1127" i="6" s="1"/>
  <c r="H131" i="5"/>
  <c r="J406" i="5"/>
  <c r="J412" i="5"/>
  <c r="K530" i="5"/>
  <c r="P530" i="5" s="1"/>
  <c r="G1043" i="6" s="1"/>
  <c r="K1043" i="6" s="1"/>
  <c r="H134" i="5"/>
  <c r="I394" i="5"/>
  <c r="I445" i="5"/>
  <c r="J448" i="5"/>
  <c r="J461" i="5"/>
  <c r="I635" i="5"/>
  <c r="I469" i="5"/>
  <c r="K476" i="5"/>
  <c r="P476" i="5" s="1"/>
  <c r="G935" i="6" s="1"/>
  <c r="K935" i="6" s="1"/>
  <c r="K486" i="5"/>
  <c r="P486" i="5" s="1"/>
  <c r="G955" i="6" s="1"/>
  <c r="K955" i="6" s="1"/>
  <c r="J581" i="5"/>
  <c r="I588" i="5"/>
  <c r="I564" i="5"/>
  <c r="I709" i="5"/>
  <c r="J712" i="5"/>
  <c r="J725" i="5"/>
  <c r="I202" i="5"/>
  <c r="I708" i="5"/>
  <c r="K716" i="5"/>
  <c r="P716" i="5" s="1"/>
  <c r="G1415" i="6" s="1"/>
  <c r="K1415" i="6" s="1"/>
  <c r="K726" i="5"/>
  <c r="P726" i="5" s="1"/>
  <c r="G1435" i="6" s="1"/>
  <c r="K1435" i="6" s="1"/>
  <c r="I684" i="5"/>
  <c r="K606" i="5"/>
  <c r="P606" i="5" s="1"/>
  <c r="G1195" i="6" s="1"/>
  <c r="K1195" i="6" s="1"/>
  <c r="H619" i="5"/>
  <c r="H620" i="5"/>
  <c r="H621" i="5"/>
  <c r="K656" i="5"/>
  <c r="P656" i="5" s="1"/>
  <c r="G1295" i="6" s="1"/>
  <c r="K1295" i="6" s="1"/>
  <c r="H130" i="5"/>
  <c r="H132" i="5"/>
  <c r="I178" i="5"/>
  <c r="I179" i="5"/>
  <c r="J190" i="5"/>
  <c r="K194" i="5"/>
  <c r="P194" i="5" s="1"/>
  <c r="G371" i="6" s="1"/>
  <c r="K371" i="6" s="1"/>
  <c r="J196" i="5"/>
  <c r="K200" i="5"/>
  <c r="P200" i="5" s="1"/>
  <c r="G383" i="6" s="1"/>
  <c r="K383" i="6" s="1"/>
  <c r="I203" i="5"/>
  <c r="J214" i="5"/>
  <c r="K218" i="5"/>
  <c r="P218" i="5" s="1"/>
  <c r="G419" i="6" s="1"/>
  <c r="K419" i="6" s="1"/>
  <c r="J220" i="5"/>
  <c r="K224" i="5"/>
  <c r="P224" i="5" s="1"/>
  <c r="G431" i="6" s="1"/>
  <c r="K431" i="6" s="1"/>
  <c r="I227" i="5"/>
  <c r="H133" i="5"/>
  <c r="K242" i="5"/>
  <c r="P242" i="5" s="1"/>
  <c r="G467" i="6" s="1"/>
  <c r="K467" i="6" s="1"/>
  <c r="K248" i="5"/>
  <c r="P248" i="5" s="1"/>
  <c r="G479" i="6" s="1"/>
  <c r="K479" i="6" s="1"/>
  <c r="I515" i="5"/>
  <c r="J652" i="5"/>
  <c r="J688" i="5"/>
  <c r="H377" i="5"/>
  <c r="H379" i="5"/>
  <c r="H381" i="5"/>
  <c r="I634" i="5"/>
  <c r="I395" i="5"/>
  <c r="K410" i="5"/>
  <c r="P410" i="5" s="1"/>
  <c r="G803" i="6" s="1"/>
  <c r="K803" i="6" s="1"/>
  <c r="K416" i="5"/>
  <c r="P416" i="5" s="1"/>
  <c r="G815" i="6" s="1"/>
  <c r="K815" i="6" s="1"/>
  <c r="J592" i="5"/>
  <c r="H135" i="5"/>
  <c r="I444" i="5"/>
  <c r="K452" i="5"/>
  <c r="P452" i="5" s="1"/>
  <c r="G887" i="6" s="1"/>
  <c r="K887" i="6" s="1"/>
  <c r="K462" i="5"/>
  <c r="P462" i="5" s="1"/>
  <c r="G907" i="6" s="1"/>
  <c r="K907" i="6" s="1"/>
  <c r="I468" i="5"/>
  <c r="J472" i="5"/>
  <c r="J485" i="5"/>
  <c r="K536" i="5"/>
  <c r="P536" i="5" s="1"/>
  <c r="G1055" i="6" s="1"/>
  <c r="K1055" i="6" s="1"/>
  <c r="K582" i="5"/>
  <c r="P582" i="5" s="1"/>
  <c r="G1147" i="6" s="1"/>
  <c r="K1147" i="6" s="1"/>
  <c r="I589" i="5"/>
  <c r="X12" i="3"/>
  <c r="AA12" i="3"/>
  <c r="Z12" i="3"/>
  <c r="Y12" i="3"/>
  <c r="W12" i="3"/>
  <c r="W18" i="3" s="1"/>
  <c r="B6" i="4" s="1"/>
  <c r="J495" i="5"/>
  <c r="G685" i="5"/>
  <c r="G688" i="5"/>
  <c r="G692" i="5"/>
  <c r="G698" i="5"/>
  <c r="G704" i="5"/>
  <c r="K13" i="5"/>
  <c r="P13" i="5" s="1"/>
  <c r="G9" i="6" s="1"/>
  <c r="P9" i="6" s="1"/>
  <c r="J14" i="5"/>
  <c r="K23" i="5"/>
  <c r="P23" i="5" s="1"/>
  <c r="G29" i="6" s="1"/>
  <c r="P29" i="6" s="1"/>
  <c r="J27" i="5"/>
  <c r="I31" i="5"/>
  <c r="K37" i="5"/>
  <c r="P37" i="5" s="1"/>
  <c r="G57" i="6" s="1"/>
  <c r="P57" i="6" s="1"/>
  <c r="J38" i="5"/>
  <c r="K47" i="5"/>
  <c r="P47" i="5" s="1"/>
  <c r="G77" i="6" s="1"/>
  <c r="P77" i="6" s="1"/>
  <c r="J51" i="5"/>
  <c r="I54" i="5"/>
  <c r="I55" i="5"/>
  <c r="I536" i="5"/>
  <c r="K539" i="5"/>
  <c r="P539" i="5" s="1"/>
  <c r="G1061" i="6" s="1"/>
  <c r="P1061" i="6" s="1"/>
  <c r="H604" i="5"/>
  <c r="G684" i="5"/>
  <c r="G699" i="5"/>
  <c r="G701" i="5"/>
  <c r="G702" i="5"/>
  <c r="G705" i="5"/>
  <c r="I30" i="5"/>
  <c r="K83" i="5"/>
  <c r="P83" i="5" s="1"/>
  <c r="G149" i="6" s="1"/>
  <c r="P149" i="6" s="1"/>
  <c r="J87" i="5"/>
  <c r="K89" i="5"/>
  <c r="P89" i="5" s="1"/>
  <c r="G161" i="6" s="1"/>
  <c r="P161" i="6" s="1"/>
  <c r="J93" i="5"/>
  <c r="I104" i="5"/>
  <c r="I105" i="5"/>
  <c r="H118" i="5"/>
  <c r="H119" i="5"/>
  <c r="H120" i="5"/>
  <c r="H121" i="5"/>
  <c r="H122" i="5"/>
  <c r="H123" i="5"/>
  <c r="J519" i="5"/>
  <c r="I560" i="5"/>
  <c r="G691" i="5"/>
  <c r="G694" i="5"/>
  <c r="G696" i="5"/>
  <c r="K143" i="5"/>
  <c r="P143" i="5" s="1"/>
  <c r="G269" i="6" s="1"/>
  <c r="P269" i="6" s="1"/>
  <c r="I150" i="5"/>
  <c r="I151" i="5"/>
  <c r="K157" i="5"/>
  <c r="P157" i="5" s="1"/>
  <c r="G297" i="6" s="1"/>
  <c r="P297" i="6" s="1"/>
  <c r="K167" i="5"/>
  <c r="P167" i="5" s="1"/>
  <c r="G317" i="6" s="1"/>
  <c r="P317" i="6" s="1"/>
  <c r="J171" i="5"/>
  <c r="I174" i="5"/>
  <c r="I175" i="5"/>
  <c r="K203" i="5"/>
  <c r="P203" i="5" s="1"/>
  <c r="G389" i="6" s="1"/>
  <c r="P389" i="6" s="1"/>
  <c r="J207" i="5"/>
  <c r="K209" i="5"/>
  <c r="P209" i="5" s="1"/>
  <c r="G401" i="6" s="1"/>
  <c r="P401" i="6" s="1"/>
  <c r="J213" i="5"/>
  <c r="I224" i="5"/>
  <c r="I225" i="5"/>
  <c r="I513" i="5"/>
  <c r="K515" i="5"/>
  <c r="P515" i="5" s="1"/>
  <c r="G1013" i="6" s="1"/>
  <c r="P1013" i="6" s="1"/>
  <c r="K545" i="5"/>
  <c r="P545" i="5" s="1"/>
  <c r="G1073" i="6" s="1"/>
  <c r="P1073" i="6" s="1"/>
  <c r="J549" i="5"/>
  <c r="G683" i="5"/>
  <c r="G693" i="5"/>
  <c r="J147" i="5"/>
  <c r="H238" i="5"/>
  <c r="H239" i="5"/>
  <c r="H240" i="5"/>
  <c r="H241" i="5"/>
  <c r="H242" i="5"/>
  <c r="H243" i="5"/>
  <c r="K253" i="5"/>
  <c r="P253" i="5" s="1"/>
  <c r="G489" i="6" s="1"/>
  <c r="P489" i="6" s="1"/>
  <c r="J254" i="5"/>
  <c r="K263" i="5"/>
  <c r="P263" i="5" s="1"/>
  <c r="G509" i="6" s="1"/>
  <c r="P509" i="6" s="1"/>
  <c r="J267" i="5"/>
  <c r="I270" i="5"/>
  <c r="I271" i="5"/>
  <c r="K277" i="5"/>
  <c r="P277" i="5" s="1"/>
  <c r="G537" i="6" s="1"/>
  <c r="P537" i="6" s="1"/>
  <c r="J278" i="5"/>
  <c r="K287" i="5"/>
  <c r="P287" i="5" s="1"/>
  <c r="G557" i="6" s="1"/>
  <c r="P557" i="6" s="1"/>
  <c r="J291" i="5"/>
  <c r="I294" i="5"/>
  <c r="I295" i="5"/>
  <c r="K491" i="5"/>
  <c r="P491" i="5" s="1"/>
  <c r="G965" i="6" s="1"/>
  <c r="P965" i="6" s="1"/>
  <c r="H608" i="5"/>
  <c r="G687" i="5"/>
  <c r="G690" i="5"/>
  <c r="G695" i="5"/>
  <c r="K133" i="5"/>
  <c r="P133" i="5" s="1"/>
  <c r="G249" i="6" s="1"/>
  <c r="P249" i="6" s="1"/>
  <c r="J134" i="5"/>
  <c r="K323" i="5"/>
  <c r="P323" i="5" s="1"/>
  <c r="G629" i="6" s="1"/>
  <c r="P629" i="6" s="1"/>
  <c r="J327" i="5"/>
  <c r="K329" i="5"/>
  <c r="P329" i="5" s="1"/>
  <c r="G641" i="6" s="1"/>
  <c r="P641" i="6" s="1"/>
  <c r="J333" i="5"/>
  <c r="I344" i="5"/>
  <c r="I345" i="5"/>
  <c r="H358" i="5"/>
  <c r="H359" i="5"/>
  <c r="H360" i="5"/>
  <c r="H361" i="5"/>
  <c r="H362" i="5"/>
  <c r="H363" i="5"/>
  <c r="J501" i="5"/>
  <c r="I512" i="5"/>
  <c r="J543" i="5"/>
  <c r="H607" i="5"/>
  <c r="H609" i="5"/>
  <c r="G682" i="5"/>
  <c r="G686" i="5"/>
  <c r="G689" i="5"/>
  <c r="K521" i="5"/>
  <c r="P521" i="5" s="1"/>
  <c r="G1025" i="6" s="1"/>
  <c r="P1025" i="6" s="1"/>
  <c r="I561" i="5"/>
  <c r="H605" i="5"/>
  <c r="J525" i="5"/>
  <c r="K497" i="5"/>
  <c r="P497" i="5" s="1"/>
  <c r="G977" i="6" s="1"/>
  <c r="P977" i="6" s="1"/>
  <c r="I537" i="5"/>
  <c r="H606" i="5"/>
  <c r="G697" i="5"/>
  <c r="G700" i="5"/>
  <c r="G703" i="5"/>
  <c r="J158" i="5"/>
  <c r="G728" i="5"/>
  <c r="K11" i="5"/>
  <c r="P11" i="5" s="1"/>
  <c r="G5" i="6" s="1"/>
  <c r="P5" i="6" s="1"/>
  <c r="K17" i="5"/>
  <c r="P17" i="5" s="1"/>
  <c r="G17" i="6" s="1"/>
  <c r="P17" i="6" s="1"/>
  <c r="I32" i="5"/>
  <c r="I33" i="5"/>
  <c r="K35" i="5"/>
  <c r="P35" i="5" s="1"/>
  <c r="G53" i="6" s="1"/>
  <c r="P53" i="6" s="1"/>
  <c r="J39" i="5"/>
  <c r="K41" i="5"/>
  <c r="P41" i="5" s="1"/>
  <c r="G65" i="6" s="1"/>
  <c r="P65" i="6" s="1"/>
  <c r="J45" i="5"/>
  <c r="I56" i="5"/>
  <c r="I57" i="5"/>
  <c r="K59" i="5"/>
  <c r="P59" i="5" s="1"/>
  <c r="G101" i="6" s="1"/>
  <c r="P101" i="6" s="1"/>
  <c r="J63" i="5"/>
  <c r="K65" i="5"/>
  <c r="P65" i="5" s="1"/>
  <c r="G113" i="6" s="1"/>
  <c r="P113" i="6" s="1"/>
  <c r="J69" i="5"/>
  <c r="J15" i="5"/>
  <c r="J21" i="5"/>
  <c r="I80" i="5"/>
  <c r="I81" i="5"/>
  <c r="H124" i="5"/>
  <c r="H125" i="5"/>
  <c r="H126" i="5"/>
  <c r="H127" i="5"/>
  <c r="H128" i="5"/>
  <c r="H129" i="5"/>
  <c r="K131" i="5"/>
  <c r="P131" i="5" s="1"/>
  <c r="G245" i="6" s="1"/>
  <c r="P245" i="6" s="1"/>
  <c r="I153" i="5"/>
  <c r="K155" i="5"/>
  <c r="P155" i="5" s="1"/>
  <c r="G293" i="6" s="1"/>
  <c r="P293" i="6" s="1"/>
  <c r="J159" i="5"/>
  <c r="K161" i="5"/>
  <c r="P161" i="5" s="1"/>
  <c r="G305" i="6" s="1"/>
  <c r="P305" i="6" s="1"/>
  <c r="J165" i="5"/>
  <c r="I176" i="5"/>
  <c r="I177" i="5"/>
  <c r="K179" i="5"/>
  <c r="P179" i="5" s="1"/>
  <c r="G341" i="6" s="1"/>
  <c r="P341" i="6" s="1"/>
  <c r="J183" i="5"/>
  <c r="K185" i="5"/>
  <c r="P185" i="5" s="1"/>
  <c r="G353" i="6" s="1"/>
  <c r="P353" i="6" s="1"/>
  <c r="J189" i="5"/>
  <c r="I200" i="5"/>
  <c r="I201" i="5"/>
  <c r="K137" i="5"/>
  <c r="P137" i="5" s="1"/>
  <c r="G257" i="6" s="1"/>
  <c r="P257" i="6" s="1"/>
  <c r="I152" i="5"/>
  <c r="H244" i="5"/>
  <c r="H245" i="5"/>
  <c r="H246" i="5"/>
  <c r="H247" i="5"/>
  <c r="H248" i="5"/>
  <c r="H249" i="5"/>
  <c r="K251" i="5"/>
  <c r="P251" i="5" s="1"/>
  <c r="G485" i="6" s="1"/>
  <c r="P485" i="6" s="1"/>
  <c r="J255" i="5"/>
  <c r="K257" i="5"/>
  <c r="P257" i="5" s="1"/>
  <c r="G497" i="6" s="1"/>
  <c r="P497" i="6" s="1"/>
  <c r="J261" i="5"/>
  <c r="I272" i="5"/>
  <c r="I273" i="5"/>
  <c r="K275" i="5"/>
  <c r="P275" i="5" s="1"/>
  <c r="G533" i="6" s="1"/>
  <c r="P533" i="6" s="1"/>
  <c r="J279" i="5"/>
  <c r="K281" i="5"/>
  <c r="P281" i="5" s="1"/>
  <c r="G545" i="6" s="1"/>
  <c r="P545" i="6" s="1"/>
  <c r="J285" i="5"/>
  <c r="I296" i="5"/>
  <c r="I297" i="5"/>
  <c r="K299" i="5"/>
  <c r="P299" i="5" s="1"/>
  <c r="G581" i="6" s="1"/>
  <c r="P581" i="6" s="1"/>
  <c r="J303" i="5"/>
  <c r="K305" i="5"/>
  <c r="P305" i="5" s="1"/>
  <c r="G593" i="6" s="1"/>
  <c r="P593" i="6" s="1"/>
  <c r="H489" i="5"/>
  <c r="J141" i="5"/>
  <c r="J309" i="5"/>
  <c r="I320" i="5"/>
  <c r="I321" i="5"/>
  <c r="H364" i="5"/>
  <c r="H365" i="5"/>
  <c r="H366" i="5"/>
  <c r="H367" i="5"/>
  <c r="H368" i="5"/>
  <c r="H369" i="5"/>
  <c r="K371" i="5"/>
  <c r="P371" i="5" s="1"/>
  <c r="G725" i="6" s="1"/>
  <c r="P725" i="6" s="1"/>
  <c r="J375" i="5"/>
  <c r="K377" i="5"/>
  <c r="P377" i="5" s="1"/>
  <c r="G737" i="6" s="1"/>
  <c r="P737" i="6" s="1"/>
  <c r="J381" i="5"/>
  <c r="J135" i="5"/>
  <c r="I393" i="5"/>
  <c r="K395" i="5"/>
  <c r="P395" i="5" s="1"/>
  <c r="G773" i="6" s="1"/>
  <c r="P773" i="6" s="1"/>
  <c r="J399" i="5"/>
  <c r="J405" i="5"/>
  <c r="I416" i="5"/>
  <c r="I417" i="5"/>
  <c r="K419" i="5"/>
  <c r="P419" i="5" s="1"/>
  <c r="G821" i="6" s="1"/>
  <c r="P821" i="6" s="1"/>
  <c r="J423" i="5"/>
  <c r="K425" i="5"/>
  <c r="P425" i="5" s="1"/>
  <c r="G833" i="6" s="1"/>
  <c r="P833" i="6" s="1"/>
  <c r="J429" i="5"/>
  <c r="I392" i="5"/>
  <c r="K401" i="5"/>
  <c r="P401" i="5" s="1"/>
  <c r="G785" i="6" s="1"/>
  <c r="P785" i="6" s="1"/>
  <c r="I440" i="5"/>
  <c r="I441" i="5"/>
  <c r="H484" i="5"/>
  <c r="H485" i="5"/>
  <c r="H486" i="5"/>
  <c r="H487" i="5"/>
  <c r="H488" i="5"/>
  <c r="G706" i="5"/>
  <c r="G707" i="5"/>
  <c r="G708" i="5"/>
  <c r="G709" i="5"/>
  <c r="G710" i="5"/>
  <c r="G711" i="5"/>
  <c r="G712" i="5"/>
  <c r="G713" i="5"/>
  <c r="G714" i="5"/>
  <c r="G715" i="5"/>
  <c r="G716" i="5"/>
  <c r="G717" i="5"/>
  <c r="G718" i="5"/>
  <c r="G719" i="5"/>
  <c r="G720" i="5"/>
  <c r="G721" i="5"/>
  <c r="G722" i="5"/>
  <c r="G723" i="5"/>
  <c r="G724" i="5"/>
  <c r="G725" i="5"/>
  <c r="G726" i="5"/>
  <c r="G727" i="5"/>
  <c r="G729" i="5"/>
  <c r="H728" i="5"/>
  <c r="G568" i="5"/>
  <c r="J645" i="5"/>
  <c r="I657" i="5"/>
  <c r="J663" i="5"/>
  <c r="J12" i="5"/>
  <c r="K15" i="5"/>
  <c r="P15" i="5" s="1"/>
  <c r="G13" i="6" s="1"/>
  <c r="O13" i="6" s="1"/>
  <c r="K29" i="5"/>
  <c r="P29" i="5" s="1"/>
  <c r="G41" i="6" s="1"/>
  <c r="O41" i="6" s="1"/>
  <c r="J36" i="5"/>
  <c r="K39" i="5"/>
  <c r="P39" i="5" s="1"/>
  <c r="G61" i="6" s="1"/>
  <c r="O61" i="6" s="1"/>
  <c r="I48" i="5"/>
  <c r="I49" i="5"/>
  <c r="K53" i="5"/>
  <c r="P53" i="5" s="1"/>
  <c r="G89" i="6" s="1"/>
  <c r="O89" i="6" s="1"/>
  <c r="J57" i="5"/>
  <c r="G570" i="5"/>
  <c r="J621" i="5"/>
  <c r="K641" i="5"/>
  <c r="P641" i="5" s="1"/>
  <c r="G1265" i="6" s="1"/>
  <c r="O1265" i="6" s="1"/>
  <c r="I24" i="5"/>
  <c r="I25" i="5"/>
  <c r="J33" i="5"/>
  <c r="H94" i="5"/>
  <c r="H95" i="5"/>
  <c r="H96" i="5"/>
  <c r="H97" i="5"/>
  <c r="H98" i="5"/>
  <c r="H99" i="5"/>
  <c r="K107" i="5"/>
  <c r="P107" i="5" s="1"/>
  <c r="G197" i="6" s="1"/>
  <c r="O197" i="6" s="1"/>
  <c r="J111" i="5"/>
  <c r="K113" i="5"/>
  <c r="P113" i="5" s="1"/>
  <c r="G209" i="6" s="1"/>
  <c r="O209" i="6" s="1"/>
  <c r="J117" i="5"/>
  <c r="I128" i="5"/>
  <c r="I129" i="5"/>
  <c r="G564" i="5"/>
  <c r="I633" i="5"/>
  <c r="K135" i="5"/>
  <c r="P135" i="5" s="1"/>
  <c r="G253" i="6" s="1"/>
  <c r="O253" i="6" s="1"/>
  <c r="I144" i="5"/>
  <c r="K159" i="5"/>
  <c r="P159" i="5" s="1"/>
  <c r="G301" i="6" s="1"/>
  <c r="O301" i="6" s="1"/>
  <c r="I168" i="5"/>
  <c r="I169" i="5"/>
  <c r="K173" i="5"/>
  <c r="P173" i="5" s="1"/>
  <c r="G329" i="6" s="1"/>
  <c r="O329" i="6" s="1"/>
  <c r="J177" i="5"/>
  <c r="H214" i="5"/>
  <c r="H215" i="5"/>
  <c r="H216" i="5"/>
  <c r="H217" i="5"/>
  <c r="H218" i="5"/>
  <c r="H219" i="5"/>
  <c r="K227" i="5"/>
  <c r="P227" i="5" s="1"/>
  <c r="G437" i="6" s="1"/>
  <c r="O437" i="6" s="1"/>
  <c r="J231" i="5"/>
  <c r="G578" i="5"/>
  <c r="K611" i="5"/>
  <c r="P611" i="5" s="1"/>
  <c r="G1205" i="6" s="1"/>
  <c r="O1205" i="6" s="1"/>
  <c r="K659" i="5"/>
  <c r="P659" i="5" s="1"/>
  <c r="G1301" i="6" s="1"/>
  <c r="O1301" i="6" s="1"/>
  <c r="J669" i="5"/>
  <c r="I681" i="5"/>
  <c r="J132" i="5"/>
  <c r="K149" i="5"/>
  <c r="P149" i="5" s="1"/>
  <c r="G281" i="6" s="1"/>
  <c r="O281" i="6" s="1"/>
  <c r="J153" i="5"/>
  <c r="J156" i="5"/>
  <c r="K233" i="5"/>
  <c r="P233" i="5" s="1"/>
  <c r="G449" i="6" s="1"/>
  <c r="O449" i="6" s="1"/>
  <c r="J237" i="5"/>
  <c r="I248" i="5"/>
  <c r="I249" i="5"/>
  <c r="J252" i="5"/>
  <c r="K255" i="5"/>
  <c r="P255" i="5" s="1"/>
  <c r="G493" i="6" s="1"/>
  <c r="O493" i="6" s="1"/>
  <c r="I264" i="5"/>
  <c r="I265" i="5"/>
  <c r="K269" i="5"/>
  <c r="P269" i="5" s="1"/>
  <c r="G521" i="6" s="1"/>
  <c r="O521" i="6" s="1"/>
  <c r="J273" i="5"/>
  <c r="J276" i="5"/>
  <c r="K279" i="5"/>
  <c r="P279" i="5" s="1"/>
  <c r="G541" i="6" s="1"/>
  <c r="O541" i="6" s="1"/>
  <c r="I288" i="5"/>
  <c r="I289" i="5"/>
  <c r="K293" i="5"/>
  <c r="P293" i="5" s="1"/>
  <c r="G569" i="6" s="1"/>
  <c r="O569" i="6" s="1"/>
  <c r="J297" i="5"/>
  <c r="G562" i="5"/>
  <c r="G571" i="5"/>
  <c r="G575" i="5"/>
  <c r="G579" i="5"/>
  <c r="J615" i="5"/>
  <c r="K665" i="5"/>
  <c r="P665" i="5" s="1"/>
  <c r="G1313" i="6" s="1"/>
  <c r="O1313" i="6" s="1"/>
  <c r="I680" i="5"/>
  <c r="I145" i="5"/>
  <c r="H334" i="5"/>
  <c r="H335" i="5"/>
  <c r="H336" i="5"/>
  <c r="H337" i="5"/>
  <c r="H338" i="5"/>
  <c r="H339" i="5"/>
  <c r="K347" i="5"/>
  <c r="P347" i="5" s="1"/>
  <c r="G677" i="6" s="1"/>
  <c r="O677" i="6" s="1"/>
  <c r="J351" i="5"/>
  <c r="K353" i="5"/>
  <c r="P353" i="5" s="1"/>
  <c r="G689" i="6" s="1"/>
  <c r="O689" i="6" s="1"/>
  <c r="J357" i="5"/>
  <c r="I368" i="5"/>
  <c r="I369" i="5"/>
  <c r="G567" i="5"/>
  <c r="I632" i="5"/>
  <c r="K635" i="5"/>
  <c r="P635" i="5" s="1"/>
  <c r="G1253" i="6" s="1"/>
  <c r="O1253" i="6" s="1"/>
  <c r="G563" i="5"/>
  <c r="G565" i="5"/>
  <c r="G569" i="5"/>
  <c r="G577" i="5"/>
  <c r="J639" i="5"/>
  <c r="G573" i="5"/>
  <c r="G580" i="5"/>
  <c r="G581" i="5"/>
  <c r="G582" i="5"/>
  <c r="G583" i="5"/>
  <c r="G584" i="5"/>
  <c r="G585" i="5"/>
  <c r="G566" i="5"/>
  <c r="G572" i="5"/>
  <c r="G574" i="5"/>
  <c r="G576" i="5"/>
  <c r="K617" i="5"/>
  <c r="P617" i="5" s="1"/>
  <c r="G1217" i="6" s="1"/>
  <c r="O1217" i="6" s="1"/>
  <c r="I656" i="5"/>
  <c r="H724" i="5"/>
  <c r="H725" i="5"/>
  <c r="H726" i="5"/>
  <c r="H727" i="5"/>
  <c r="H729" i="5"/>
  <c r="G592" i="5"/>
  <c r="G602" i="5"/>
  <c r="G606" i="5"/>
  <c r="G608" i="5"/>
  <c r="I26" i="5"/>
  <c r="J37" i="5"/>
  <c r="K40" i="5"/>
  <c r="P40" i="5" s="1"/>
  <c r="G63" i="6" s="1"/>
  <c r="O63" i="6" s="1"/>
  <c r="J43" i="5"/>
  <c r="I50" i="5"/>
  <c r="I51" i="5"/>
  <c r="K58" i="5"/>
  <c r="P58" i="5" s="1"/>
  <c r="G99" i="6" s="1"/>
  <c r="O99" i="6" s="1"/>
  <c r="J61" i="5"/>
  <c r="K64" i="5"/>
  <c r="P64" i="5" s="1"/>
  <c r="G111" i="6" s="1"/>
  <c r="O111" i="6" s="1"/>
  <c r="J67" i="5"/>
  <c r="I74" i="5"/>
  <c r="I75" i="5"/>
  <c r="G593" i="5"/>
  <c r="K10" i="5"/>
  <c r="P10" i="5" s="1"/>
  <c r="G3" i="6" s="1"/>
  <c r="O3" i="6" s="1"/>
  <c r="J13" i="5"/>
  <c r="K16" i="5"/>
  <c r="P16" i="5" s="1"/>
  <c r="G15" i="6" s="1"/>
  <c r="O15" i="6" s="1"/>
  <c r="J19" i="5"/>
  <c r="I27" i="5"/>
  <c r="K34" i="5"/>
  <c r="P34" i="5" s="1"/>
  <c r="G51" i="6" s="1"/>
  <c r="O51" i="6" s="1"/>
  <c r="H100" i="5"/>
  <c r="H101" i="5"/>
  <c r="H102" i="5"/>
  <c r="H103" i="5"/>
  <c r="H104" i="5"/>
  <c r="H105" i="5"/>
  <c r="G591" i="5"/>
  <c r="G594" i="5"/>
  <c r="G599" i="5"/>
  <c r="K130" i="5"/>
  <c r="P130" i="5" s="1"/>
  <c r="G243" i="6" s="1"/>
  <c r="O243" i="6" s="1"/>
  <c r="J133" i="5"/>
  <c r="J157" i="5"/>
  <c r="K160" i="5"/>
  <c r="P160" i="5" s="1"/>
  <c r="G303" i="6" s="1"/>
  <c r="O303" i="6" s="1"/>
  <c r="J163" i="5"/>
  <c r="I170" i="5"/>
  <c r="I171" i="5"/>
  <c r="K178" i="5"/>
  <c r="P178" i="5" s="1"/>
  <c r="G339" i="6" s="1"/>
  <c r="O339" i="6" s="1"/>
  <c r="J181" i="5"/>
  <c r="K184" i="5"/>
  <c r="P184" i="5" s="1"/>
  <c r="G351" i="6" s="1"/>
  <c r="O351" i="6" s="1"/>
  <c r="J187" i="5"/>
  <c r="I194" i="5"/>
  <c r="I195" i="5"/>
  <c r="H220" i="5"/>
  <c r="H221" i="5"/>
  <c r="H222" i="5"/>
  <c r="H223" i="5"/>
  <c r="H224" i="5"/>
  <c r="H225" i="5"/>
  <c r="G595" i="5"/>
  <c r="G600" i="5"/>
  <c r="G604" i="5"/>
  <c r="J139" i="5"/>
  <c r="I146" i="5"/>
  <c r="K154" i="5"/>
  <c r="P154" i="5" s="1"/>
  <c r="G291" i="6" s="1"/>
  <c r="O291" i="6" s="1"/>
  <c r="K250" i="5"/>
  <c r="P250" i="5" s="1"/>
  <c r="G483" i="6" s="1"/>
  <c r="O483" i="6" s="1"/>
  <c r="J253" i="5"/>
  <c r="K256" i="5"/>
  <c r="P256" i="5" s="1"/>
  <c r="G495" i="6" s="1"/>
  <c r="O495" i="6" s="1"/>
  <c r="J259" i="5"/>
  <c r="I266" i="5"/>
  <c r="I267" i="5"/>
  <c r="K274" i="5"/>
  <c r="P274" i="5" s="1"/>
  <c r="G531" i="6" s="1"/>
  <c r="O531" i="6" s="1"/>
  <c r="J277" i="5"/>
  <c r="K280" i="5"/>
  <c r="P280" i="5" s="1"/>
  <c r="G543" i="6" s="1"/>
  <c r="O543" i="6" s="1"/>
  <c r="J283" i="5"/>
  <c r="I290" i="5"/>
  <c r="I291" i="5"/>
  <c r="K298" i="5"/>
  <c r="P298" i="5" s="1"/>
  <c r="G579" i="6" s="1"/>
  <c r="O579" i="6" s="1"/>
  <c r="J301" i="5"/>
  <c r="K304" i="5"/>
  <c r="P304" i="5" s="1"/>
  <c r="G591" i="6" s="1"/>
  <c r="O591" i="6" s="1"/>
  <c r="J307" i="5"/>
  <c r="G598" i="5"/>
  <c r="G603" i="5"/>
  <c r="G605" i="5"/>
  <c r="G609" i="5"/>
  <c r="K136" i="5"/>
  <c r="P136" i="5" s="1"/>
  <c r="G255" i="6" s="1"/>
  <c r="O255" i="6" s="1"/>
  <c r="I147" i="5"/>
  <c r="I314" i="5"/>
  <c r="I315" i="5"/>
  <c r="H340" i="5"/>
  <c r="H341" i="5"/>
  <c r="H342" i="5"/>
  <c r="H343" i="5"/>
  <c r="H344" i="5"/>
  <c r="H345" i="5"/>
  <c r="K370" i="5"/>
  <c r="P370" i="5" s="1"/>
  <c r="G723" i="6" s="1"/>
  <c r="O723" i="6" s="1"/>
  <c r="J373" i="5"/>
  <c r="K376" i="5"/>
  <c r="P376" i="5" s="1"/>
  <c r="G735" i="6" s="1"/>
  <c r="O735" i="6" s="1"/>
  <c r="J379" i="5"/>
  <c r="G597" i="5"/>
  <c r="G601" i="5"/>
  <c r="G607" i="5"/>
  <c r="I386" i="5"/>
  <c r="J397" i="5"/>
  <c r="K400" i="5"/>
  <c r="P400" i="5" s="1"/>
  <c r="G783" i="6" s="1"/>
  <c r="O783" i="6" s="1"/>
  <c r="J403" i="5"/>
  <c r="I410" i="5"/>
  <c r="I411" i="5"/>
  <c r="K418" i="5"/>
  <c r="P418" i="5" s="1"/>
  <c r="G819" i="6" s="1"/>
  <c r="O819" i="6" s="1"/>
  <c r="K424" i="5"/>
  <c r="P424" i="5" s="1"/>
  <c r="G831" i="6" s="1"/>
  <c r="O831" i="6" s="1"/>
  <c r="J427" i="5"/>
  <c r="I434" i="5"/>
  <c r="I435" i="5"/>
  <c r="G596" i="5"/>
  <c r="I387" i="5"/>
  <c r="K394" i="5"/>
  <c r="P394" i="5" s="1"/>
  <c r="G771" i="6" s="1"/>
  <c r="O771" i="6" s="1"/>
  <c r="H460" i="5"/>
  <c r="H461" i="5"/>
  <c r="H462" i="5"/>
  <c r="H463" i="5"/>
  <c r="H464" i="5"/>
  <c r="G586" i="5"/>
  <c r="G587" i="5"/>
  <c r="G588" i="5"/>
  <c r="G589" i="5"/>
  <c r="G590" i="5"/>
  <c r="H465" i="5"/>
  <c r="J421" i="5"/>
  <c r="K501" i="5"/>
  <c r="P501" i="5" s="1"/>
  <c r="G985" i="6" s="1"/>
  <c r="N985" i="6" s="1"/>
  <c r="K511" i="5"/>
  <c r="P511" i="5" s="1"/>
  <c r="G1005" i="6" s="1"/>
  <c r="N1005" i="6" s="1"/>
  <c r="K543" i="5"/>
  <c r="P543" i="5" s="1"/>
  <c r="G1069" i="6" s="1"/>
  <c r="N1069" i="6" s="1"/>
  <c r="I552" i="5"/>
  <c r="H570" i="5"/>
  <c r="H572" i="5"/>
  <c r="J618" i="5"/>
  <c r="K631" i="5"/>
  <c r="P631" i="5" s="1"/>
  <c r="G1245" i="6" s="1"/>
  <c r="N1245" i="6" s="1"/>
  <c r="J681" i="5"/>
  <c r="H693" i="5"/>
  <c r="I40" i="5"/>
  <c r="I41" i="5"/>
  <c r="J48" i="5"/>
  <c r="K51" i="5"/>
  <c r="P51" i="5" s="1"/>
  <c r="G85" i="6" s="1"/>
  <c r="N85" i="6" s="1"/>
  <c r="J54" i="5"/>
  <c r="K57" i="5"/>
  <c r="P57" i="5" s="1"/>
  <c r="G97" i="6" s="1"/>
  <c r="N97" i="6" s="1"/>
  <c r="H58" i="5"/>
  <c r="H59" i="5"/>
  <c r="H60" i="5"/>
  <c r="H61" i="5"/>
  <c r="H62" i="5"/>
  <c r="H63" i="5"/>
  <c r="K599" i="5"/>
  <c r="P599" i="5" s="1"/>
  <c r="G1181" i="6" s="1"/>
  <c r="N1181" i="6" s="1"/>
  <c r="K677" i="5"/>
  <c r="P677" i="5" s="1"/>
  <c r="G1337" i="6" s="1"/>
  <c r="N1337" i="6" s="1"/>
  <c r="H689" i="5"/>
  <c r="J90" i="5"/>
  <c r="K93" i="5"/>
  <c r="P93" i="5" s="1"/>
  <c r="G169" i="6" s="1"/>
  <c r="N169" i="6" s="1"/>
  <c r="I94" i="5"/>
  <c r="I95" i="5"/>
  <c r="K103" i="5"/>
  <c r="P103" i="5" s="1"/>
  <c r="G189" i="6" s="1"/>
  <c r="N189" i="6" s="1"/>
  <c r="J104" i="5"/>
  <c r="J114" i="5"/>
  <c r="K117" i="5"/>
  <c r="P117" i="5" s="1"/>
  <c r="G217" i="6" s="1"/>
  <c r="N217" i="6" s="1"/>
  <c r="I118" i="5"/>
  <c r="I119" i="5"/>
  <c r="K127" i="5"/>
  <c r="P127" i="5" s="1"/>
  <c r="G237" i="6" s="1"/>
  <c r="N237" i="6" s="1"/>
  <c r="J128" i="5"/>
  <c r="J512" i="5"/>
  <c r="H571" i="5"/>
  <c r="I502" i="5"/>
  <c r="K557" i="5"/>
  <c r="P557" i="5" s="1"/>
  <c r="G1097" i="6" s="1"/>
  <c r="N1097" i="6" s="1"/>
  <c r="J561" i="5"/>
  <c r="I607" i="5"/>
  <c r="K663" i="5"/>
  <c r="P663" i="5" s="1"/>
  <c r="G1309" i="6" s="1"/>
  <c r="N1309" i="6" s="1"/>
  <c r="I672" i="5"/>
  <c r="I673" i="5"/>
  <c r="I256" i="5"/>
  <c r="I257" i="5"/>
  <c r="J264" i="5"/>
  <c r="K267" i="5"/>
  <c r="P267" i="5" s="1"/>
  <c r="G517" i="6" s="1"/>
  <c r="N517" i="6" s="1"/>
  <c r="J270" i="5"/>
  <c r="K273" i="5"/>
  <c r="P273" i="5" s="1"/>
  <c r="G529" i="6" s="1"/>
  <c r="N529" i="6" s="1"/>
  <c r="H304" i="5"/>
  <c r="H305" i="5"/>
  <c r="H306" i="5"/>
  <c r="H307" i="5"/>
  <c r="H308" i="5"/>
  <c r="H309" i="5"/>
  <c r="H569" i="5"/>
  <c r="H573" i="5"/>
  <c r="I606" i="5"/>
  <c r="J632" i="5"/>
  <c r="H691" i="5"/>
  <c r="J324" i="5"/>
  <c r="K327" i="5"/>
  <c r="P327" i="5" s="1"/>
  <c r="G637" i="6" s="1"/>
  <c r="N637" i="6" s="1"/>
  <c r="I336" i="5"/>
  <c r="I337" i="5"/>
  <c r="K341" i="5"/>
  <c r="P341" i="5" s="1"/>
  <c r="G665" i="6" s="1"/>
  <c r="N665" i="6" s="1"/>
  <c r="J345" i="5"/>
  <c r="J348" i="5"/>
  <c r="K351" i="5"/>
  <c r="P351" i="5" s="1"/>
  <c r="G685" i="6" s="1"/>
  <c r="N685" i="6" s="1"/>
  <c r="I360" i="5"/>
  <c r="I361" i="5"/>
  <c r="K365" i="5"/>
  <c r="P365" i="5" s="1"/>
  <c r="G713" i="6" s="1"/>
  <c r="N713" i="6" s="1"/>
  <c r="J369" i="5"/>
  <c r="J540" i="5"/>
  <c r="I622" i="5"/>
  <c r="H690" i="5"/>
  <c r="G395" i="5"/>
  <c r="G397" i="5"/>
  <c r="G398" i="5"/>
  <c r="G399" i="5"/>
  <c r="G400" i="5"/>
  <c r="G402" i="5"/>
  <c r="G404" i="5"/>
  <c r="G406" i="5"/>
  <c r="G407" i="5"/>
  <c r="G408" i="5"/>
  <c r="G409" i="5"/>
  <c r="G410" i="5"/>
  <c r="G411" i="5"/>
  <c r="G412" i="5"/>
  <c r="G413" i="5"/>
  <c r="G414" i="5"/>
  <c r="G415" i="5"/>
  <c r="G416" i="5"/>
  <c r="G417" i="5"/>
  <c r="J498" i="5"/>
  <c r="I503" i="5"/>
  <c r="G394" i="5"/>
  <c r="G396" i="5"/>
  <c r="G401" i="5"/>
  <c r="G403" i="5"/>
  <c r="G405" i="5"/>
  <c r="I553" i="5"/>
  <c r="K589" i="5"/>
  <c r="P589" i="5" s="1"/>
  <c r="G1161" i="6" s="1"/>
  <c r="N1161" i="6" s="1"/>
  <c r="J590" i="5"/>
  <c r="H568" i="5"/>
  <c r="J603" i="5"/>
  <c r="K621" i="5"/>
  <c r="P621" i="5" s="1"/>
  <c r="G1225" i="6" s="1"/>
  <c r="N1225" i="6" s="1"/>
  <c r="I623" i="5"/>
  <c r="J660" i="5"/>
  <c r="H688" i="5"/>
  <c r="H692" i="5"/>
  <c r="K709" i="5"/>
  <c r="P709" i="5" s="1"/>
  <c r="G1401" i="6" s="1"/>
  <c r="N1401" i="6" s="1"/>
  <c r="J710" i="5"/>
  <c r="K719" i="5"/>
  <c r="P719" i="5" s="1"/>
  <c r="G1421" i="6" s="1"/>
  <c r="N1421" i="6" s="1"/>
  <c r="J723" i="5"/>
  <c r="I726" i="5"/>
  <c r="I727" i="5"/>
  <c r="K519" i="5"/>
  <c r="P519" i="5" s="1"/>
  <c r="G1021" i="6" s="1"/>
  <c r="N1021" i="6" s="1"/>
  <c r="J537" i="5"/>
  <c r="K593" i="5"/>
  <c r="P593" i="5" s="1"/>
  <c r="G1169" i="6" s="1"/>
  <c r="N1169" i="6" s="1"/>
  <c r="K707" i="5"/>
  <c r="P707" i="5" s="1"/>
  <c r="G1397" i="6" s="1"/>
  <c r="N1397" i="6" s="1"/>
  <c r="J24" i="5"/>
  <c r="J30" i="5"/>
  <c r="K33" i="5"/>
  <c r="P33" i="5" s="1"/>
  <c r="G49" i="6" s="1"/>
  <c r="N49" i="6" s="1"/>
  <c r="H64" i="5"/>
  <c r="H65" i="5"/>
  <c r="H66" i="5"/>
  <c r="H67" i="5"/>
  <c r="H68" i="5"/>
  <c r="H69" i="5"/>
  <c r="I505" i="5"/>
  <c r="I624" i="5"/>
  <c r="J633" i="5"/>
  <c r="H695" i="5"/>
  <c r="H699" i="5"/>
  <c r="I16" i="5"/>
  <c r="I17" i="5"/>
  <c r="K27" i="5"/>
  <c r="P27" i="5" s="1"/>
  <c r="G37" i="6" s="1"/>
  <c r="N37" i="6" s="1"/>
  <c r="J84" i="5"/>
  <c r="K87" i="5"/>
  <c r="P87" i="5" s="1"/>
  <c r="G157" i="6" s="1"/>
  <c r="N157" i="6" s="1"/>
  <c r="I96" i="5"/>
  <c r="I97" i="5"/>
  <c r="K101" i="5"/>
  <c r="P101" i="5" s="1"/>
  <c r="G185" i="6" s="1"/>
  <c r="N185" i="6" s="1"/>
  <c r="J105" i="5"/>
  <c r="J108" i="5"/>
  <c r="K111" i="5"/>
  <c r="P111" i="5" s="1"/>
  <c r="G205" i="6" s="1"/>
  <c r="N205" i="6" s="1"/>
  <c r="I120" i="5"/>
  <c r="I121" i="5"/>
  <c r="K125" i="5"/>
  <c r="P125" i="5" s="1"/>
  <c r="G233" i="6" s="1"/>
  <c r="N233" i="6" s="1"/>
  <c r="J129" i="5"/>
  <c r="K509" i="5"/>
  <c r="P509" i="5" s="1"/>
  <c r="G1001" i="6" s="1"/>
  <c r="N1001" i="6" s="1"/>
  <c r="K533" i="5"/>
  <c r="P533" i="5" s="1"/>
  <c r="G1049" i="6" s="1"/>
  <c r="N1049" i="6" s="1"/>
  <c r="J597" i="5"/>
  <c r="K615" i="5"/>
  <c r="P615" i="5" s="1"/>
  <c r="G1213" i="6" s="1"/>
  <c r="N1213" i="6" s="1"/>
  <c r="J636" i="5"/>
  <c r="K639" i="5"/>
  <c r="P639" i="5" s="1"/>
  <c r="G1261" i="6" s="1"/>
  <c r="N1261" i="6" s="1"/>
  <c r="H697" i="5"/>
  <c r="I136" i="5"/>
  <c r="K147" i="5"/>
  <c r="P147" i="5" s="1"/>
  <c r="G277" i="6" s="1"/>
  <c r="N277" i="6" s="1"/>
  <c r="K153" i="5"/>
  <c r="P153" i="5" s="1"/>
  <c r="G289" i="6" s="1"/>
  <c r="N289" i="6" s="1"/>
  <c r="H184" i="5"/>
  <c r="H185" i="5"/>
  <c r="H186" i="5"/>
  <c r="H187" i="5"/>
  <c r="H188" i="5"/>
  <c r="H189" i="5"/>
  <c r="J204" i="5"/>
  <c r="K207" i="5"/>
  <c r="P207" i="5" s="1"/>
  <c r="G397" i="6" s="1"/>
  <c r="N397" i="6" s="1"/>
  <c r="I216" i="5"/>
  <c r="I217" i="5"/>
  <c r="K221" i="5"/>
  <c r="P221" i="5" s="1"/>
  <c r="G425" i="6" s="1"/>
  <c r="N425" i="6" s="1"/>
  <c r="J225" i="5"/>
  <c r="J228" i="5"/>
  <c r="K231" i="5"/>
  <c r="P231" i="5" s="1"/>
  <c r="G445" i="6" s="1"/>
  <c r="N445" i="6" s="1"/>
  <c r="H575" i="5"/>
  <c r="H579" i="5"/>
  <c r="I609" i="5"/>
  <c r="J657" i="5"/>
  <c r="H694" i="5"/>
  <c r="J144" i="5"/>
  <c r="J150" i="5"/>
  <c r="I240" i="5"/>
  <c r="I241" i="5"/>
  <c r="K245" i="5"/>
  <c r="P245" i="5" s="1"/>
  <c r="G473" i="6" s="1"/>
  <c r="N473" i="6" s="1"/>
  <c r="J249" i="5"/>
  <c r="K495" i="5"/>
  <c r="P495" i="5" s="1"/>
  <c r="G973" i="6" s="1"/>
  <c r="N973" i="6" s="1"/>
  <c r="J513" i="5"/>
  <c r="I529" i="5"/>
  <c r="J591" i="5"/>
  <c r="H696" i="5"/>
  <c r="I137" i="5"/>
  <c r="H576" i="5"/>
  <c r="J612" i="5"/>
  <c r="I625" i="5"/>
  <c r="I648" i="5"/>
  <c r="G418" i="5"/>
  <c r="G419" i="5"/>
  <c r="G420" i="5"/>
  <c r="G421" i="5"/>
  <c r="G422" i="5"/>
  <c r="G423" i="5"/>
  <c r="G424" i="5"/>
  <c r="G425" i="5"/>
  <c r="G426" i="5"/>
  <c r="G427" i="5"/>
  <c r="G428" i="5"/>
  <c r="G429" i="5"/>
  <c r="G430" i="5"/>
  <c r="G431" i="5"/>
  <c r="G432" i="5"/>
  <c r="G433" i="5"/>
  <c r="G434" i="5"/>
  <c r="G435" i="5"/>
  <c r="G436" i="5"/>
  <c r="G437" i="5"/>
  <c r="I528" i="5"/>
  <c r="I649" i="5"/>
  <c r="G438" i="5"/>
  <c r="G439" i="5"/>
  <c r="G440" i="5"/>
  <c r="G441" i="5"/>
  <c r="I504" i="5"/>
  <c r="J516" i="5"/>
  <c r="H574" i="5"/>
  <c r="H578" i="5"/>
  <c r="K587" i="5"/>
  <c r="P587" i="5" s="1"/>
  <c r="G1157" i="6" s="1"/>
  <c r="N1157" i="6" s="1"/>
  <c r="J492" i="5"/>
  <c r="H577" i="5"/>
  <c r="I608" i="5"/>
  <c r="K629" i="5"/>
  <c r="P629" i="5" s="1"/>
  <c r="G1241" i="6" s="1"/>
  <c r="N1241" i="6" s="1"/>
  <c r="K653" i="5"/>
  <c r="P653" i="5" s="1"/>
  <c r="G1289" i="6" s="1"/>
  <c r="N1289" i="6" s="1"/>
  <c r="H698" i="5"/>
  <c r="J711" i="5"/>
  <c r="K713" i="5"/>
  <c r="P713" i="5" s="1"/>
  <c r="G1409" i="6" s="1"/>
  <c r="N1409" i="6" s="1"/>
  <c r="J717" i="5"/>
  <c r="I728" i="5"/>
  <c r="I729" i="5"/>
  <c r="J613" i="5"/>
  <c r="I650" i="5"/>
  <c r="K658" i="5"/>
  <c r="P658" i="5" s="1"/>
  <c r="G1299" i="6" s="1"/>
  <c r="N1299" i="6" s="1"/>
  <c r="H700" i="5"/>
  <c r="H702" i="5"/>
  <c r="H705" i="5"/>
  <c r="J10" i="5"/>
  <c r="I18" i="5"/>
  <c r="I19" i="5"/>
  <c r="K28" i="5"/>
  <c r="P28" i="5" s="1"/>
  <c r="G39" i="6" s="1"/>
  <c r="N39" i="6" s="1"/>
  <c r="J34" i="5"/>
  <c r="K38" i="5"/>
  <c r="P38" i="5" s="1"/>
  <c r="G59" i="6" s="1"/>
  <c r="N59" i="6" s="1"/>
  <c r="I42" i="5"/>
  <c r="I43" i="5"/>
  <c r="K52" i="5"/>
  <c r="P52" i="5" s="1"/>
  <c r="G87" i="6" s="1"/>
  <c r="N87" i="6" s="1"/>
  <c r="J55" i="5"/>
  <c r="H70" i="5"/>
  <c r="H71" i="5"/>
  <c r="H72" i="5"/>
  <c r="H73" i="5"/>
  <c r="H74" i="5"/>
  <c r="H75" i="5"/>
  <c r="K610" i="5"/>
  <c r="P610" i="5" s="1"/>
  <c r="G1203" i="6" s="1"/>
  <c r="N1203" i="6" s="1"/>
  <c r="I627" i="5"/>
  <c r="J643" i="5"/>
  <c r="H703" i="5"/>
  <c r="K14" i="5"/>
  <c r="P14" i="5" s="1"/>
  <c r="G11" i="6" s="1"/>
  <c r="N11" i="6" s="1"/>
  <c r="J31" i="5"/>
  <c r="K106" i="5"/>
  <c r="P106" i="5" s="1"/>
  <c r="G195" i="6" s="1"/>
  <c r="N195" i="6" s="1"/>
  <c r="J109" i="5"/>
  <c r="K112" i="5"/>
  <c r="P112" i="5" s="1"/>
  <c r="G207" i="6" s="1"/>
  <c r="N207" i="6" s="1"/>
  <c r="J115" i="5"/>
  <c r="I122" i="5"/>
  <c r="I123" i="5"/>
  <c r="I651" i="5"/>
  <c r="J667" i="5"/>
  <c r="K134" i="5"/>
  <c r="P134" i="5" s="1"/>
  <c r="G251" i="6" s="1"/>
  <c r="N251" i="6" s="1"/>
  <c r="I139" i="5"/>
  <c r="K148" i="5"/>
  <c r="P148" i="5" s="1"/>
  <c r="G279" i="6" s="1"/>
  <c r="N279" i="6" s="1"/>
  <c r="J154" i="5"/>
  <c r="I162" i="5"/>
  <c r="I163" i="5"/>
  <c r="K172" i="5"/>
  <c r="P172" i="5" s="1"/>
  <c r="G327" i="6" s="1"/>
  <c r="N327" i="6" s="1"/>
  <c r="J175" i="5"/>
  <c r="H190" i="5"/>
  <c r="H191" i="5"/>
  <c r="H192" i="5"/>
  <c r="H193" i="5"/>
  <c r="H194" i="5"/>
  <c r="H195" i="5"/>
  <c r="K226" i="5"/>
  <c r="P226" i="5" s="1"/>
  <c r="G435" i="6" s="1"/>
  <c r="N435" i="6" s="1"/>
  <c r="J229" i="5"/>
  <c r="K232" i="5"/>
  <c r="P232" i="5" s="1"/>
  <c r="G447" i="6" s="1"/>
  <c r="N447" i="6" s="1"/>
  <c r="K616" i="5"/>
  <c r="P616" i="5" s="1"/>
  <c r="G1215" i="6" s="1"/>
  <c r="N1215" i="6" s="1"/>
  <c r="J619" i="5"/>
  <c r="K634" i="5"/>
  <c r="P634" i="5" s="1"/>
  <c r="G1251" i="6" s="1"/>
  <c r="N1251" i="6" s="1"/>
  <c r="K664" i="5"/>
  <c r="P664" i="5" s="1"/>
  <c r="G1311" i="6" s="1"/>
  <c r="N1311" i="6" s="1"/>
  <c r="I675" i="5"/>
  <c r="I138" i="5"/>
  <c r="J151" i="5"/>
  <c r="J235" i="5"/>
  <c r="I242" i="5"/>
  <c r="I243" i="5"/>
  <c r="J250" i="5"/>
  <c r="K254" i="5"/>
  <c r="P254" i="5" s="1"/>
  <c r="G491" i="6" s="1"/>
  <c r="N491" i="6" s="1"/>
  <c r="I258" i="5"/>
  <c r="I259" i="5"/>
  <c r="K268" i="5"/>
  <c r="P268" i="5" s="1"/>
  <c r="G519" i="6" s="1"/>
  <c r="N519" i="6" s="1"/>
  <c r="J271" i="5"/>
  <c r="J274" i="5"/>
  <c r="K278" i="5"/>
  <c r="P278" i="5" s="1"/>
  <c r="G539" i="6" s="1"/>
  <c r="N539" i="6" s="1"/>
  <c r="I282" i="5"/>
  <c r="I283" i="5"/>
  <c r="K292" i="5"/>
  <c r="P292" i="5" s="1"/>
  <c r="G567" i="6" s="1"/>
  <c r="N567" i="6" s="1"/>
  <c r="J295" i="5"/>
  <c r="J637" i="5"/>
  <c r="J130" i="5"/>
  <c r="H310" i="5"/>
  <c r="H311" i="5"/>
  <c r="H312" i="5"/>
  <c r="H313" i="5"/>
  <c r="H314" i="5"/>
  <c r="H315" i="5"/>
  <c r="K346" i="5"/>
  <c r="P346" i="5" s="1"/>
  <c r="G675" i="6" s="1"/>
  <c r="N675" i="6" s="1"/>
  <c r="J349" i="5"/>
  <c r="K352" i="5"/>
  <c r="P352" i="5" s="1"/>
  <c r="G687" i="6" s="1"/>
  <c r="N687" i="6" s="1"/>
  <c r="J355" i="5"/>
  <c r="I362" i="5"/>
  <c r="I363" i="5"/>
  <c r="J661" i="5"/>
  <c r="G442" i="5"/>
  <c r="G443" i="5"/>
  <c r="G444" i="5"/>
  <c r="G445" i="5"/>
  <c r="G446" i="5"/>
  <c r="G447" i="5"/>
  <c r="G448" i="5"/>
  <c r="G449" i="5"/>
  <c r="G450" i="5"/>
  <c r="G451" i="5"/>
  <c r="G452" i="5"/>
  <c r="G453" i="5"/>
  <c r="G454" i="5"/>
  <c r="G455" i="5"/>
  <c r="G456" i="5"/>
  <c r="G457" i="5"/>
  <c r="G458" i="5"/>
  <c r="G459" i="5"/>
  <c r="G460" i="5"/>
  <c r="G461" i="5"/>
  <c r="G462" i="5"/>
  <c r="G463" i="5"/>
  <c r="G464" i="5"/>
  <c r="I626" i="5"/>
  <c r="K640" i="5"/>
  <c r="P640" i="5" s="1"/>
  <c r="G1263" i="6" s="1"/>
  <c r="N1263" i="6" s="1"/>
  <c r="I674" i="5"/>
  <c r="H701" i="5"/>
  <c r="H704" i="5"/>
  <c r="G465" i="5"/>
  <c r="K158" i="5"/>
  <c r="P158" i="5" s="1"/>
  <c r="G299" i="6" s="1"/>
  <c r="N299" i="6" s="1"/>
  <c r="I507" i="5"/>
  <c r="I531" i="5"/>
  <c r="I21" i="5"/>
  <c r="J25" i="5"/>
  <c r="K36" i="5"/>
  <c r="P36" i="5" s="1"/>
  <c r="G55" i="6" s="1"/>
  <c r="N55" i="6" s="1"/>
  <c r="I44" i="5"/>
  <c r="I45" i="5"/>
  <c r="K46" i="5"/>
  <c r="P46" i="5" s="1"/>
  <c r="G75" i="6" s="1"/>
  <c r="N75" i="6" s="1"/>
  <c r="J49" i="5"/>
  <c r="H76" i="5"/>
  <c r="H77" i="5"/>
  <c r="H78" i="5"/>
  <c r="H79" i="5"/>
  <c r="J541" i="5"/>
  <c r="I555" i="5"/>
  <c r="J11" i="5"/>
  <c r="K12" i="5"/>
  <c r="P12" i="5" s="1"/>
  <c r="G7" i="6" s="1"/>
  <c r="N7" i="6" s="1"/>
  <c r="I20" i="5"/>
  <c r="K22" i="5"/>
  <c r="P22" i="5" s="1"/>
  <c r="G27" i="6" s="1"/>
  <c r="N27" i="6" s="1"/>
  <c r="J35" i="5"/>
  <c r="H80" i="5"/>
  <c r="H81" i="5"/>
  <c r="K82" i="5"/>
  <c r="P82" i="5" s="1"/>
  <c r="G147" i="6" s="1"/>
  <c r="N147" i="6" s="1"/>
  <c r="J85" i="5"/>
  <c r="K88" i="5"/>
  <c r="P88" i="5" s="1"/>
  <c r="G159" i="6" s="1"/>
  <c r="N159" i="6" s="1"/>
  <c r="J91" i="5"/>
  <c r="I98" i="5"/>
  <c r="I99" i="5"/>
  <c r="K490" i="5"/>
  <c r="P490" i="5" s="1"/>
  <c r="G963" i="6" s="1"/>
  <c r="N963" i="6" s="1"/>
  <c r="I141" i="5"/>
  <c r="K156" i="5"/>
  <c r="P156" i="5" s="1"/>
  <c r="G295" i="6" s="1"/>
  <c r="N295" i="6" s="1"/>
  <c r="I164" i="5"/>
  <c r="I165" i="5"/>
  <c r="K166" i="5"/>
  <c r="P166" i="5" s="1"/>
  <c r="G315" i="6" s="1"/>
  <c r="N315" i="6" s="1"/>
  <c r="J169" i="5"/>
  <c r="H196" i="5"/>
  <c r="H197" i="5"/>
  <c r="H198" i="5"/>
  <c r="H199" i="5"/>
  <c r="H200" i="5"/>
  <c r="H201" i="5"/>
  <c r="K202" i="5"/>
  <c r="P202" i="5" s="1"/>
  <c r="G387" i="6" s="1"/>
  <c r="N387" i="6" s="1"/>
  <c r="J205" i="5"/>
  <c r="K208" i="5"/>
  <c r="P208" i="5" s="1"/>
  <c r="G399" i="6" s="1"/>
  <c r="N399" i="6" s="1"/>
  <c r="J211" i="5"/>
  <c r="I218" i="5"/>
  <c r="I219" i="5"/>
  <c r="G489" i="5"/>
  <c r="K496" i="5"/>
  <c r="P496" i="5" s="1"/>
  <c r="G975" i="6" s="1"/>
  <c r="N975" i="6" s="1"/>
  <c r="J517" i="5"/>
  <c r="K520" i="5"/>
  <c r="P520" i="5" s="1"/>
  <c r="G1023" i="6" s="1"/>
  <c r="N1023" i="6" s="1"/>
  <c r="I530" i="5"/>
  <c r="K544" i="5"/>
  <c r="P544" i="5" s="1"/>
  <c r="G1071" i="6" s="1"/>
  <c r="N1071" i="6" s="1"/>
  <c r="I140" i="5"/>
  <c r="K142" i="5"/>
  <c r="P142" i="5" s="1"/>
  <c r="G267" i="6" s="1"/>
  <c r="N267" i="6" s="1"/>
  <c r="J145" i="5"/>
  <c r="J155" i="5"/>
  <c r="J251" i="5"/>
  <c r="K252" i="5"/>
  <c r="P252" i="5" s="1"/>
  <c r="G487" i="6" s="1"/>
  <c r="N487" i="6" s="1"/>
  <c r="I260" i="5"/>
  <c r="I261" i="5"/>
  <c r="K262" i="5"/>
  <c r="P262" i="5" s="1"/>
  <c r="G507" i="6" s="1"/>
  <c r="N507" i="6" s="1"/>
  <c r="J265" i="5"/>
  <c r="J275" i="5"/>
  <c r="K276" i="5"/>
  <c r="P276" i="5" s="1"/>
  <c r="G535" i="6" s="1"/>
  <c r="N535" i="6" s="1"/>
  <c r="I284" i="5"/>
  <c r="I285" i="5"/>
  <c r="K286" i="5"/>
  <c r="P286" i="5" s="1"/>
  <c r="G555" i="6" s="1"/>
  <c r="N555" i="6" s="1"/>
  <c r="J289" i="5"/>
  <c r="J493" i="5"/>
  <c r="J499" i="5"/>
  <c r="J131" i="5"/>
  <c r="K132" i="5"/>
  <c r="P132" i="5" s="1"/>
  <c r="G247" i="6" s="1"/>
  <c r="N247" i="6" s="1"/>
  <c r="H316" i="5"/>
  <c r="H317" i="5"/>
  <c r="H318" i="5"/>
  <c r="H319" i="5"/>
  <c r="H320" i="5"/>
  <c r="H321" i="5"/>
  <c r="K322" i="5"/>
  <c r="P322" i="5" s="1"/>
  <c r="G627" i="6" s="1"/>
  <c r="N627" i="6" s="1"/>
  <c r="J325" i="5"/>
  <c r="K328" i="5"/>
  <c r="P328" i="5" s="1"/>
  <c r="G639" i="6" s="1"/>
  <c r="N639" i="6" s="1"/>
  <c r="J331" i="5"/>
  <c r="I338" i="5"/>
  <c r="I339" i="5"/>
  <c r="I506" i="5"/>
  <c r="I554" i="5"/>
  <c r="G466" i="5"/>
  <c r="G467" i="5"/>
  <c r="G468" i="5"/>
  <c r="G469" i="5"/>
  <c r="G470" i="5"/>
  <c r="G471" i="5"/>
  <c r="G472" i="5"/>
  <c r="G473" i="5"/>
  <c r="G474" i="5"/>
  <c r="G475" i="5"/>
  <c r="G476" i="5"/>
  <c r="G477" i="5"/>
  <c r="G478" i="5"/>
  <c r="G479" i="5"/>
  <c r="G480" i="5"/>
  <c r="G481" i="5"/>
  <c r="G482" i="5"/>
  <c r="G483" i="5"/>
  <c r="G484" i="5"/>
  <c r="G485" i="5"/>
  <c r="G486" i="5"/>
  <c r="G487" i="5"/>
  <c r="G488" i="5"/>
  <c r="K514" i="5"/>
  <c r="P514" i="5" s="1"/>
  <c r="G1011" i="6" s="1"/>
  <c r="N1011" i="6" s="1"/>
  <c r="H580" i="5"/>
  <c r="H581" i="5"/>
  <c r="H582" i="5"/>
  <c r="H583" i="5"/>
  <c r="H584" i="5"/>
  <c r="H585" i="5"/>
  <c r="J523" i="5"/>
  <c r="K538" i="5"/>
  <c r="P538" i="5" s="1"/>
  <c r="G1059" i="6" s="1"/>
  <c r="N1059" i="6" s="1"/>
  <c r="J547" i="5"/>
  <c r="I158" i="5"/>
  <c r="K570" i="5"/>
  <c r="P570" i="5" s="1"/>
  <c r="G1123" i="6" s="1"/>
  <c r="K1123" i="6" s="1"/>
  <c r="I543" i="5"/>
  <c r="J521" i="5"/>
  <c r="I519" i="5"/>
  <c r="I567" i="5"/>
  <c r="I518" i="5"/>
  <c r="H512" i="5"/>
  <c r="I542" i="5"/>
  <c r="K528" i="5"/>
  <c r="P528" i="5" s="1"/>
  <c r="G1039" i="6" s="1"/>
  <c r="K1039" i="6" s="1"/>
  <c r="K522" i="5"/>
  <c r="P522" i="5" s="1"/>
  <c r="G1027" i="6" s="1"/>
  <c r="K1027" i="6" s="1"/>
  <c r="K456" i="5"/>
  <c r="P456" i="5" s="1"/>
  <c r="G895" i="6" s="1"/>
  <c r="K895" i="6" s="1"/>
  <c r="J455" i="5"/>
  <c r="K450" i="5"/>
  <c r="P450" i="5" s="1"/>
  <c r="G883" i="6" s="1"/>
  <c r="K883" i="6" s="1"/>
  <c r="J449" i="5"/>
  <c r="I447" i="5"/>
  <c r="I446" i="5"/>
  <c r="I399" i="5"/>
  <c r="H393" i="5"/>
  <c r="H390" i="5"/>
  <c r="H388" i="5"/>
  <c r="J575" i="5"/>
  <c r="K432" i="5"/>
  <c r="P432" i="5" s="1"/>
  <c r="G847" i="6" s="1"/>
  <c r="K847" i="6" s="1"/>
  <c r="J431" i="5"/>
  <c r="K426" i="5"/>
  <c r="P426" i="5" s="1"/>
  <c r="G835" i="6" s="1"/>
  <c r="K835" i="6" s="1"/>
  <c r="J425" i="5"/>
  <c r="I423" i="5"/>
  <c r="I422" i="5"/>
  <c r="K408" i="5"/>
  <c r="P408" i="5" s="1"/>
  <c r="G799" i="6" s="1"/>
  <c r="K799" i="6" s="1"/>
  <c r="J407" i="5"/>
  <c r="K402" i="5"/>
  <c r="P402" i="5" s="1"/>
  <c r="G787" i="6" s="1"/>
  <c r="K787" i="6" s="1"/>
  <c r="J401" i="5"/>
  <c r="I398" i="5"/>
  <c r="H392" i="5"/>
  <c r="H391" i="5"/>
  <c r="H389" i="5"/>
  <c r="H510" i="5"/>
  <c r="K336" i="5"/>
  <c r="P336" i="5" s="1"/>
  <c r="G655" i="6" s="1"/>
  <c r="K655" i="6" s="1"/>
  <c r="J335" i="5"/>
  <c r="K330" i="5"/>
  <c r="P330" i="5" s="1"/>
  <c r="G643" i="6" s="1"/>
  <c r="K643" i="6" s="1"/>
  <c r="J329" i="5"/>
  <c r="I327" i="5"/>
  <c r="I326" i="5"/>
  <c r="K312" i="5"/>
  <c r="P312" i="5" s="1"/>
  <c r="G607" i="6" s="1"/>
  <c r="K607" i="6" s="1"/>
  <c r="J311" i="5"/>
  <c r="J551" i="5"/>
  <c r="K306" i="5"/>
  <c r="P306" i="5" s="1"/>
  <c r="G595" i="6" s="1"/>
  <c r="K595" i="6" s="1"/>
  <c r="J305" i="5"/>
  <c r="I303" i="5"/>
  <c r="I302" i="5"/>
  <c r="K288" i="5"/>
  <c r="P288" i="5" s="1"/>
  <c r="G559" i="6" s="1"/>
  <c r="K559" i="6" s="1"/>
  <c r="J287" i="5"/>
  <c r="K282" i="5"/>
  <c r="P282" i="5" s="1"/>
  <c r="G547" i="6" s="1"/>
  <c r="K547" i="6" s="1"/>
  <c r="J281" i="5"/>
  <c r="I279" i="5"/>
  <c r="I278" i="5"/>
  <c r="H273" i="5"/>
  <c r="H272" i="5"/>
  <c r="H271" i="5"/>
  <c r="H270" i="5"/>
  <c r="H269" i="5"/>
  <c r="H268" i="5"/>
  <c r="H153" i="5"/>
  <c r="H151" i="5"/>
  <c r="H150" i="5"/>
  <c r="H148" i="5"/>
  <c r="J569" i="5"/>
  <c r="H508" i="5"/>
  <c r="K216" i="5"/>
  <c r="P216" i="5" s="1"/>
  <c r="G415" i="6" s="1"/>
  <c r="K415" i="6" s="1"/>
  <c r="J215" i="5"/>
  <c r="K210" i="5"/>
  <c r="P210" i="5" s="1"/>
  <c r="G403" i="6" s="1"/>
  <c r="K403" i="6" s="1"/>
  <c r="J209" i="5"/>
  <c r="I207" i="5"/>
  <c r="I206" i="5"/>
  <c r="K192" i="5"/>
  <c r="P192" i="5" s="1"/>
  <c r="G367" i="6" s="1"/>
  <c r="K367" i="6" s="1"/>
  <c r="J191" i="5"/>
  <c r="K186" i="5"/>
  <c r="P186" i="5" s="1"/>
  <c r="G355" i="6" s="1"/>
  <c r="K355" i="6" s="1"/>
  <c r="J185" i="5"/>
  <c r="I183" i="5"/>
  <c r="I182" i="5"/>
  <c r="K168" i="5"/>
  <c r="P168" i="5" s="1"/>
  <c r="G319" i="6" s="1"/>
  <c r="K319" i="6" s="1"/>
  <c r="J167" i="5"/>
  <c r="K162" i="5"/>
  <c r="P162" i="5" s="1"/>
  <c r="G307" i="6" s="1"/>
  <c r="K307" i="6" s="1"/>
  <c r="J161" i="5"/>
  <c r="I159" i="5"/>
  <c r="H152" i="5"/>
  <c r="H149" i="5"/>
  <c r="K546" i="5"/>
  <c r="P546" i="5" s="1"/>
  <c r="G1075" i="6" s="1"/>
  <c r="K1075" i="6" s="1"/>
  <c r="H513" i="5"/>
  <c r="H511" i="5"/>
  <c r="G129" i="5"/>
  <c r="G128" i="5"/>
  <c r="G127" i="5"/>
  <c r="G126" i="5"/>
  <c r="G125" i="5"/>
  <c r="G124" i="5"/>
  <c r="G123" i="5"/>
  <c r="G122" i="5"/>
  <c r="G121" i="5"/>
  <c r="G120" i="5"/>
  <c r="G119" i="5"/>
  <c r="G118" i="5"/>
  <c r="G117" i="5"/>
  <c r="G116" i="5"/>
  <c r="G115" i="5"/>
  <c r="G114" i="5"/>
  <c r="G113" i="5"/>
  <c r="G112" i="5"/>
  <c r="G111" i="5"/>
  <c r="G110" i="5"/>
  <c r="G109" i="5"/>
  <c r="G108" i="5"/>
  <c r="G107" i="5"/>
  <c r="G106" i="5"/>
  <c r="K576" i="5"/>
  <c r="P576" i="5" s="1"/>
  <c r="G1135" i="6" s="1"/>
  <c r="K1135" i="6" s="1"/>
  <c r="I566" i="5"/>
  <c r="K552" i="5"/>
  <c r="P552" i="5" s="1"/>
  <c r="G1087" i="6" s="1"/>
  <c r="K1087" i="6" s="1"/>
  <c r="J545" i="5"/>
  <c r="H509" i="5"/>
  <c r="J527" i="5"/>
  <c r="I421" i="5"/>
  <c r="J695" i="5"/>
  <c r="K690" i="5"/>
  <c r="P690" i="5" s="1"/>
  <c r="G1363" i="6" s="1"/>
  <c r="K1363" i="6" s="1"/>
  <c r="I663" i="5"/>
  <c r="J641" i="5"/>
  <c r="K480" i="5"/>
  <c r="P480" i="5" s="1"/>
  <c r="G943" i="6" s="1"/>
  <c r="K943" i="6" s="1"/>
  <c r="J479" i="5"/>
  <c r="K474" i="5"/>
  <c r="P474" i="5" s="1"/>
  <c r="G931" i="6" s="1"/>
  <c r="K931" i="6" s="1"/>
  <c r="J473" i="5"/>
  <c r="I471" i="5"/>
  <c r="I470" i="5"/>
  <c r="H632" i="5"/>
  <c r="K438" i="5"/>
  <c r="P438" i="5" s="1"/>
  <c r="G859" i="6" s="1"/>
  <c r="K859" i="6" s="1"/>
  <c r="J437" i="5"/>
  <c r="J400" i="5"/>
  <c r="I397" i="5"/>
  <c r="I396" i="5"/>
  <c r="H386" i="5"/>
  <c r="J671" i="5"/>
  <c r="K666" i="5"/>
  <c r="P666" i="5" s="1"/>
  <c r="G1315" i="6" s="1"/>
  <c r="K1315" i="6" s="1"/>
  <c r="K428" i="5"/>
  <c r="P428" i="5" s="1"/>
  <c r="G839" i="6" s="1"/>
  <c r="K839" i="6" s="1"/>
  <c r="J424" i="5"/>
  <c r="I420" i="5"/>
  <c r="K414" i="5"/>
  <c r="P414" i="5" s="1"/>
  <c r="G811" i="6" s="1"/>
  <c r="K811" i="6" s="1"/>
  <c r="J413" i="5"/>
  <c r="K404" i="5"/>
  <c r="P404" i="5" s="1"/>
  <c r="G791" i="6" s="1"/>
  <c r="K791" i="6" s="1"/>
  <c r="H387" i="5"/>
  <c r="H385" i="5"/>
  <c r="H384" i="5"/>
  <c r="H383" i="5"/>
  <c r="H382" i="5"/>
  <c r="K360" i="5"/>
  <c r="P360" i="5" s="1"/>
  <c r="G703" i="6" s="1"/>
  <c r="K703" i="6" s="1"/>
  <c r="J359" i="5"/>
  <c r="K354" i="5"/>
  <c r="P354" i="5" s="1"/>
  <c r="G691" i="6" s="1"/>
  <c r="K691" i="6" s="1"/>
  <c r="J353" i="5"/>
  <c r="I351" i="5"/>
  <c r="I350" i="5"/>
  <c r="K318" i="5"/>
  <c r="P318" i="5" s="1"/>
  <c r="G619" i="6" s="1"/>
  <c r="K619" i="6" s="1"/>
  <c r="J317" i="5"/>
  <c r="H144" i="5"/>
  <c r="K642" i="5"/>
  <c r="P642" i="5" s="1"/>
  <c r="G1267" i="6" s="1"/>
  <c r="K1267" i="6" s="1"/>
  <c r="H631" i="5"/>
  <c r="H628" i="5"/>
  <c r="K308" i="5"/>
  <c r="P308" i="5" s="1"/>
  <c r="G599" i="6" s="1"/>
  <c r="K599" i="6" s="1"/>
  <c r="J304" i="5"/>
  <c r="I301" i="5"/>
  <c r="I300" i="5"/>
  <c r="K294" i="5"/>
  <c r="P294" i="5" s="1"/>
  <c r="G571" i="6" s="1"/>
  <c r="K571" i="6" s="1"/>
  <c r="J293" i="5"/>
  <c r="K284" i="5"/>
  <c r="P284" i="5" s="1"/>
  <c r="G551" i="6" s="1"/>
  <c r="K551" i="6" s="1"/>
  <c r="J280" i="5"/>
  <c r="I277" i="5"/>
  <c r="I276" i="5"/>
  <c r="H267" i="5"/>
  <c r="H266" i="5"/>
  <c r="H265" i="5"/>
  <c r="H264" i="5"/>
  <c r="H263" i="5"/>
  <c r="H262" i="5"/>
  <c r="K240" i="5"/>
  <c r="P240" i="5" s="1"/>
  <c r="G463" i="6" s="1"/>
  <c r="K463" i="6" s="1"/>
  <c r="J239" i="5"/>
  <c r="K234" i="5"/>
  <c r="P234" i="5" s="1"/>
  <c r="G451" i="6" s="1"/>
  <c r="K451" i="6" s="1"/>
  <c r="J233" i="5"/>
  <c r="H142" i="5"/>
  <c r="I687" i="5"/>
  <c r="I686" i="5"/>
  <c r="I662" i="5"/>
  <c r="I638" i="5"/>
  <c r="H633" i="5"/>
  <c r="I231" i="5"/>
  <c r="I230" i="5"/>
  <c r="K198" i="5"/>
  <c r="P198" i="5" s="1"/>
  <c r="G379" i="6" s="1"/>
  <c r="K379" i="6" s="1"/>
  <c r="J197" i="5"/>
  <c r="K188" i="5"/>
  <c r="P188" i="5" s="1"/>
  <c r="G359" i="6" s="1"/>
  <c r="K359" i="6" s="1"/>
  <c r="J184" i="5"/>
  <c r="I181" i="5"/>
  <c r="I180" i="5"/>
  <c r="K174" i="5"/>
  <c r="P174" i="5" s="1"/>
  <c r="G331" i="6" s="1"/>
  <c r="K331" i="6" s="1"/>
  <c r="J173" i="5"/>
  <c r="K164" i="5"/>
  <c r="P164" i="5" s="1"/>
  <c r="G311" i="6" s="1"/>
  <c r="K311" i="6" s="1"/>
  <c r="J160" i="5"/>
  <c r="I157" i="5"/>
  <c r="I156" i="5"/>
  <c r="H147" i="5"/>
  <c r="H146" i="5"/>
  <c r="H145" i="5"/>
  <c r="H143" i="5"/>
  <c r="J689" i="5"/>
  <c r="K648" i="5"/>
  <c r="P648" i="5" s="1"/>
  <c r="G1279" i="6" s="1"/>
  <c r="K1279" i="6" s="1"/>
  <c r="G105" i="5"/>
  <c r="G104" i="5"/>
  <c r="G103" i="5"/>
  <c r="G102" i="5"/>
  <c r="G101" i="5"/>
  <c r="G100" i="5"/>
  <c r="G99" i="5"/>
  <c r="G98" i="5"/>
  <c r="G97" i="5"/>
  <c r="G96" i="5"/>
  <c r="G95" i="5"/>
  <c r="G94" i="5"/>
  <c r="G93" i="5"/>
  <c r="G92" i="5"/>
  <c r="G91" i="5"/>
  <c r="G90" i="5"/>
  <c r="G89" i="5"/>
  <c r="G88" i="5"/>
  <c r="G87" i="5"/>
  <c r="G86" i="5"/>
  <c r="G85" i="5"/>
  <c r="G84" i="5"/>
  <c r="G83" i="5"/>
  <c r="G82" i="5"/>
  <c r="K672" i="5"/>
  <c r="P672" i="5" s="1"/>
  <c r="G1327" i="6" s="1"/>
  <c r="K1327" i="6" s="1"/>
  <c r="J647" i="5"/>
  <c r="I639" i="5"/>
  <c r="K696" i="5"/>
  <c r="P696" i="5" s="1"/>
  <c r="G1375" i="6" s="1"/>
  <c r="K1375" i="6" s="1"/>
  <c r="J665" i="5"/>
  <c r="H630" i="5"/>
  <c r="H629" i="5"/>
  <c r="K720" i="5"/>
  <c r="P720" i="5" s="1"/>
  <c r="G1423" i="6" s="1"/>
  <c r="K1423" i="6" s="1"/>
  <c r="J719" i="5"/>
  <c r="K714" i="5"/>
  <c r="P714" i="5" s="1"/>
  <c r="G1411" i="6" s="1"/>
  <c r="K1411" i="6" s="1"/>
  <c r="J713" i="5"/>
  <c r="I711" i="5"/>
  <c r="I710" i="5"/>
  <c r="K654" i="5"/>
  <c r="P654" i="5" s="1"/>
  <c r="G1291" i="6" s="1"/>
  <c r="K1291" i="6" s="1"/>
  <c r="I591" i="5"/>
  <c r="K558" i="5"/>
  <c r="P558" i="5" s="1"/>
  <c r="G1099" i="6" s="1"/>
  <c r="K1099" i="6" s="1"/>
  <c r="J544" i="5"/>
  <c r="K524" i="5"/>
  <c r="P524" i="5" s="1"/>
  <c r="G1031" i="6" s="1"/>
  <c r="K1031" i="6" s="1"/>
  <c r="I590" i="5"/>
  <c r="I516" i="5"/>
  <c r="I636" i="5"/>
  <c r="K594" i="5"/>
  <c r="P594" i="5" s="1"/>
  <c r="G1171" i="6" s="1"/>
  <c r="K1171" i="6" s="1"/>
  <c r="J593" i="5"/>
  <c r="J557" i="5"/>
  <c r="K678" i="5"/>
  <c r="P678" i="5" s="1"/>
  <c r="G1339" i="6" s="1"/>
  <c r="K1339" i="6" s="1"/>
  <c r="K644" i="5"/>
  <c r="P644" i="5" s="1"/>
  <c r="G1271" i="6" s="1"/>
  <c r="K1271" i="6" s="1"/>
  <c r="J520" i="5"/>
  <c r="J653" i="5"/>
  <c r="H505" i="5"/>
  <c r="K366" i="5"/>
  <c r="P366" i="5" s="1"/>
  <c r="G715" i="6" s="1"/>
  <c r="K715" i="6" s="1"/>
  <c r="J365" i="5"/>
  <c r="K356" i="5"/>
  <c r="P356" i="5" s="1"/>
  <c r="G695" i="6" s="1"/>
  <c r="K695" i="6" s="1"/>
  <c r="J352" i="5"/>
  <c r="I349" i="5"/>
  <c r="I348" i="5"/>
  <c r="K342" i="5"/>
  <c r="P342" i="5" s="1"/>
  <c r="G667" i="6" s="1"/>
  <c r="K667" i="6" s="1"/>
  <c r="J341" i="5"/>
  <c r="K332" i="5"/>
  <c r="P332" i="5" s="1"/>
  <c r="G647" i="6" s="1"/>
  <c r="K647" i="6" s="1"/>
  <c r="J328" i="5"/>
  <c r="I325" i="5"/>
  <c r="I324" i="5"/>
  <c r="H140" i="5"/>
  <c r="H139" i="5"/>
  <c r="H136" i="5"/>
  <c r="J677" i="5"/>
  <c r="J664" i="5"/>
  <c r="I661" i="5"/>
  <c r="I660" i="5"/>
  <c r="H625" i="5"/>
  <c r="J599" i="5"/>
  <c r="K534" i="5"/>
  <c r="P534" i="5" s="1"/>
  <c r="G1051" i="6" s="1"/>
  <c r="K1051" i="6" s="1"/>
  <c r="I517" i="5"/>
  <c r="K296" i="5"/>
  <c r="P296" i="5" s="1"/>
  <c r="G575" i="6" s="1"/>
  <c r="K575" i="6" s="1"/>
  <c r="J292" i="5"/>
  <c r="K290" i="5"/>
  <c r="P290" i="5" s="1"/>
  <c r="G563" i="6" s="1"/>
  <c r="K563" i="6" s="1"/>
  <c r="J286" i="5"/>
  <c r="I275" i="5"/>
  <c r="I274" i="5"/>
  <c r="H261" i="5"/>
  <c r="H260" i="5"/>
  <c r="H259" i="5"/>
  <c r="H258" i="5"/>
  <c r="H257" i="5"/>
  <c r="H256" i="5"/>
  <c r="K246" i="5"/>
  <c r="P246" i="5" s="1"/>
  <c r="G475" i="6" s="1"/>
  <c r="K475" i="6" s="1"/>
  <c r="J245" i="5"/>
  <c r="K236" i="5"/>
  <c r="P236" i="5" s="1"/>
  <c r="G455" i="6" s="1"/>
  <c r="K455" i="6" s="1"/>
  <c r="I154" i="5"/>
  <c r="I637" i="5"/>
  <c r="H622" i="5"/>
  <c r="J533" i="5"/>
  <c r="H507" i="5"/>
  <c r="H506" i="5"/>
  <c r="J232" i="5"/>
  <c r="I229" i="5"/>
  <c r="I228" i="5"/>
  <c r="K222" i="5"/>
  <c r="P222" i="5" s="1"/>
  <c r="G427" i="6" s="1"/>
  <c r="K427" i="6" s="1"/>
  <c r="J221" i="5"/>
  <c r="K212" i="5"/>
  <c r="P212" i="5" s="1"/>
  <c r="G407" i="6" s="1"/>
  <c r="K407" i="6" s="1"/>
  <c r="J208" i="5"/>
  <c r="I205" i="5"/>
  <c r="I204" i="5"/>
  <c r="K176" i="5"/>
  <c r="P176" i="5" s="1"/>
  <c r="G335" i="6" s="1"/>
  <c r="K335" i="6" s="1"/>
  <c r="J172" i="5"/>
  <c r="K170" i="5"/>
  <c r="P170" i="5" s="1"/>
  <c r="G323" i="6" s="1"/>
  <c r="K323" i="6" s="1"/>
  <c r="J166" i="5"/>
  <c r="I155" i="5"/>
  <c r="H141" i="5"/>
  <c r="H138" i="5"/>
  <c r="H137" i="5"/>
  <c r="H627" i="5"/>
  <c r="H626" i="5"/>
  <c r="H624" i="5"/>
  <c r="H504" i="5"/>
  <c r="H502" i="5"/>
  <c r="G81" i="5"/>
  <c r="K600" i="5"/>
  <c r="P600" i="5" s="1"/>
  <c r="G1183" i="6" s="1"/>
  <c r="K1183" i="6" s="1"/>
  <c r="K548" i="5"/>
  <c r="P548" i="5" s="1"/>
  <c r="G1079" i="6" s="1"/>
  <c r="K1079" i="6" s="1"/>
  <c r="G80" i="5"/>
  <c r="G79" i="5"/>
  <c r="G78" i="5"/>
  <c r="G77" i="5"/>
  <c r="G76" i="5"/>
  <c r="G75" i="5"/>
  <c r="G74" i="5"/>
  <c r="G73" i="5"/>
  <c r="G72" i="5"/>
  <c r="G71" i="5"/>
  <c r="G70" i="5"/>
  <c r="G69" i="5"/>
  <c r="G68" i="5"/>
  <c r="G67" i="5"/>
  <c r="G66" i="5"/>
  <c r="G65" i="5"/>
  <c r="G64" i="5"/>
  <c r="G63" i="5"/>
  <c r="G62" i="5"/>
  <c r="G61" i="5"/>
  <c r="G60" i="5"/>
  <c r="G59" i="5"/>
  <c r="G58" i="5"/>
  <c r="K668" i="5"/>
  <c r="P668" i="5" s="1"/>
  <c r="G1319" i="6" s="1"/>
  <c r="K1319" i="6" s="1"/>
  <c r="J640" i="5"/>
  <c r="H623" i="5"/>
  <c r="I541" i="5"/>
  <c r="I540" i="5"/>
  <c r="H503" i="5"/>
  <c r="K728" i="5"/>
  <c r="P728" i="5" s="1"/>
  <c r="G1439" i="6" s="1"/>
  <c r="K1439" i="6" s="1"/>
  <c r="J724" i="5"/>
  <c r="K722" i="5"/>
  <c r="P722" i="5" s="1"/>
  <c r="G1427" i="6" s="1"/>
  <c r="K1427" i="6" s="1"/>
  <c r="J718" i="5"/>
  <c r="I706" i="5"/>
  <c r="K704" i="5"/>
  <c r="P704" i="5" s="1"/>
  <c r="G1391" i="6" s="1"/>
  <c r="K1391" i="6" s="1"/>
  <c r="J700" i="5"/>
  <c r="K698" i="5"/>
  <c r="P698" i="5" s="1"/>
  <c r="G1379" i="6" s="1"/>
  <c r="K1379" i="6" s="1"/>
  <c r="J694" i="5"/>
  <c r="I683" i="5"/>
  <c r="K680" i="5"/>
  <c r="P680" i="5" s="1"/>
  <c r="G1343" i="6" s="1"/>
  <c r="K1343" i="6" s="1"/>
  <c r="J676" i="5"/>
  <c r="J670" i="5"/>
  <c r="K578" i="5"/>
  <c r="P578" i="5" s="1"/>
  <c r="G1139" i="6" s="1"/>
  <c r="K1139" i="6" s="1"/>
  <c r="I563" i="5"/>
  <c r="I587" i="5"/>
  <c r="I586" i="5"/>
  <c r="K584" i="5"/>
  <c r="P584" i="5" s="1"/>
  <c r="G1151" i="6" s="1"/>
  <c r="K1151" i="6" s="1"/>
  <c r="J580" i="5"/>
  <c r="K488" i="5"/>
  <c r="P488" i="5" s="1"/>
  <c r="G959" i="6" s="1"/>
  <c r="K959" i="6" s="1"/>
  <c r="J484" i="5"/>
  <c r="K482" i="5"/>
  <c r="P482" i="5" s="1"/>
  <c r="G947" i="6" s="1"/>
  <c r="K947" i="6" s="1"/>
  <c r="J478" i="5"/>
  <c r="I467" i="5"/>
  <c r="I466" i="5"/>
  <c r="K464" i="5"/>
  <c r="P464" i="5" s="1"/>
  <c r="G911" i="6" s="1"/>
  <c r="K911" i="6" s="1"/>
  <c r="H610" i="5"/>
  <c r="J460" i="5"/>
  <c r="K458" i="5"/>
  <c r="P458" i="5" s="1"/>
  <c r="G899" i="6" s="1"/>
  <c r="K899" i="6" s="1"/>
  <c r="J454" i="5"/>
  <c r="I443" i="5"/>
  <c r="I442" i="5"/>
  <c r="K440" i="5"/>
  <c r="P440" i="5" s="1"/>
  <c r="G863" i="6" s="1"/>
  <c r="K863" i="6" s="1"/>
  <c r="H612" i="5"/>
  <c r="H490" i="5"/>
  <c r="J436" i="5"/>
  <c r="K434" i="5"/>
  <c r="P434" i="5" s="1"/>
  <c r="G851" i="6" s="1"/>
  <c r="K851" i="6" s="1"/>
  <c r="J430" i="5"/>
  <c r="I419" i="5"/>
  <c r="I418" i="5"/>
  <c r="H615" i="5"/>
  <c r="H493" i="5"/>
  <c r="H375" i="5"/>
  <c r="H374" i="5"/>
  <c r="H373" i="5"/>
  <c r="H372" i="5"/>
  <c r="H371" i="5"/>
  <c r="H370" i="5"/>
  <c r="K368" i="5"/>
  <c r="P368" i="5" s="1"/>
  <c r="G719" i="6" s="1"/>
  <c r="K719" i="6" s="1"/>
  <c r="J364" i="5"/>
  <c r="K362" i="5"/>
  <c r="P362" i="5" s="1"/>
  <c r="G707" i="6" s="1"/>
  <c r="K707" i="6" s="1"/>
  <c r="J358" i="5"/>
  <c r="I347" i="5"/>
  <c r="I346" i="5"/>
  <c r="K344" i="5"/>
  <c r="P344" i="5" s="1"/>
  <c r="G671" i="6" s="1"/>
  <c r="K671" i="6" s="1"/>
  <c r="J340" i="5"/>
  <c r="K338" i="5"/>
  <c r="P338" i="5" s="1"/>
  <c r="G659" i="6" s="1"/>
  <c r="K659" i="6" s="1"/>
  <c r="J334" i="5"/>
  <c r="I323" i="5"/>
  <c r="I322" i="5"/>
  <c r="K320" i="5"/>
  <c r="P320" i="5" s="1"/>
  <c r="G623" i="6" s="1"/>
  <c r="K623" i="6" s="1"/>
  <c r="J316" i="5"/>
  <c r="K314" i="5"/>
  <c r="P314" i="5" s="1"/>
  <c r="G611" i="6" s="1"/>
  <c r="K611" i="6" s="1"/>
  <c r="J310" i="5"/>
  <c r="H611" i="5"/>
  <c r="K560" i="5"/>
  <c r="P560" i="5" s="1"/>
  <c r="G1103" i="6" s="1"/>
  <c r="K1103" i="6" s="1"/>
  <c r="I299" i="5"/>
  <c r="I298" i="5"/>
  <c r="H255" i="5"/>
  <c r="H254" i="5"/>
  <c r="H253" i="5"/>
  <c r="H252" i="5"/>
  <c r="H251" i="5"/>
  <c r="H250" i="5"/>
  <c r="I658" i="5"/>
  <c r="K554" i="5"/>
  <c r="P554" i="5" s="1"/>
  <c r="G1091" i="6" s="1"/>
  <c r="K1091" i="6" s="1"/>
  <c r="I539" i="5"/>
  <c r="I538" i="5"/>
  <c r="H495" i="5"/>
  <c r="I682" i="5"/>
  <c r="I659" i="5"/>
  <c r="K608" i="5"/>
  <c r="P608" i="5" s="1"/>
  <c r="G1199" i="6" s="1"/>
  <c r="K1199" i="6" s="1"/>
  <c r="J604" i="5"/>
  <c r="K602" i="5"/>
  <c r="P602" i="5" s="1"/>
  <c r="G1187" i="6" s="1"/>
  <c r="K1187" i="6" s="1"/>
  <c r="I562" i="5"/>
  <c r="H494" i="5"/>
  <c r="H492" i="5"/>
  <c r="G32" i="5"/>
  <c r="G30" i="5"/>
  <c r="G29" i="5"/>
  <c r="G27" i="5"/>
  <c r="G24" i="5"/>
  <c r="G22" i="5"/>
  <c r="G20" i="5"/>
  <c r="G19" i="5"/>
  <c r="G16" i="5"/>
  <c r="G14" i="5"/>
  <c r="G12" i="5"/>
  <c r="G10" i="5"/>
  <c r="I707" i="5"/>
  <c r="K674" i="5"/>
  <c r="P674" i="5" s="1"/>
  <c r="G1331" i="6" s="1"/>
  <c r="K1331" i="6" s="1"/>
  <c r="H614" i="5"/>
  <c r="H613" i="5"/>
  <c r="J598" i="5"/>
  <c r="J556" i="5"/>
  <c r="G33" i="5"/>
  <c r="G31" i="5"/>
  <c r="G28" i="5"/>
  <c r="G26" i="5"/>
  <c r="G25" i="5"/>
  <c r="G23" i="5"/>
  <c r="G21" i="5"/>
  <c r="G18" i="5"/>
  <c r="G17" i="5"/>
  <c r="G15" i="5"/>
  <c r="G13" i="5"/>
  <c r="G11" i="5"/>
  <c r="J574" i="5"/>
  <c r="J550" i="5"/>
  <c r="H491" i="5"/>
  <c r="W54" i="3"/>
  <c r="B26" i="4" s="1"/>
  <c r="X54" i="3"/>
  <c r="B27" i="4" s="1"/>
  <c r="AA18" i="3" l="1"/>
  <c r="B10" i="4" s="1"/>
  <c r="Z18" i="3"/>
  <c r="B9" i="4" s="1"/>
  <c r="K26" i="5"/>
  <c r="P26" i="5" s="1"/>
  <c r="G35" i="6" s="1"/>
  <c r="M35" i="6" s="1"/>
  <c r="H164" i="5"/>
  <c r="K206" i="5"/>
  <c r="P206" i="5" s="1"/>
  <c r="G395" i="6" s="1"/>
  <c r="M395" i="6" s="1"/>
  <c r="I210" i="5"/>
  <c r="I211" i="5"/>
  <c r="J223" i="5"/>
  <c r="J226" i="5"/>
  <c r="I498" i="5"/>
  <c r="K518" i="5"/>
  <c r="P518" i="5" s="1"/>
  <c r="G1019" i="6" s="1"/>
  <c r="M1019" i="6" s="1"/>
  <c r="I130" i="5"/>
  <c r="I131" i="5"/>
  <c r="K152" i="5"/>
  <c r="I234" i="5"/>
  <c r="K244" i="5"/>
  <c r="J247" i="5"/>
  <c r="G299" i="5"/>
  <c r="G300" i="5"/>
  <c r="G302" i="5"/>
  <c r="G303" i="5"/>
  <c r="G305" i="5"/>
  <c r="G306" i="5"/>
  <c r="G308" i="5"/>
  <c r="G309" i="5"/>
  <c r="J511" i="5"/>
  <c r="I522" i="5"/>
  <c r="H675" i="5"/>
  <c r="G310" i="5"/>
  <c r="G312" i="5"/>
  <c r="G313" i="5"/>
  <c r="G315" i="5"/>
  <c r="G316" i="5"/>
  <c r="G318" i="5"/>
  <c r="G319" i="5"/>
  <c r="G320" i="5"/>
  <c r="H674" i="5"/>
  <c r="K508" i="5"/>
  <c r="P508" i="5" s="1"/>
  <c r="G999" i="6" s="1"/>
  <c r="M999" i="6" s="1"/>
  <c r="K532" i="5"/>
  <c r="I603" i="5"/>
  <c r="H550" i="5"/>
  <c r="K586" i="5"/>
  <c r="P586" i="5" s="1"/>
  <c r="G1155" i="6" s="1"/>
  <c r="M1155" i="6" s="1"/>
  <c r="J490" i="5"/>
  <c r="O490" i="5" s="1"/>
  <c r="F963" i="6" s="1"/>
  <c r="M963" i="6" s="1"/>
  <c r="J535" i="5"/>
  <c r="I602" i="5"/>
  <c r="K614" i="5"/>
  <c r="P614" i="5" s="1"/>
  <c r="G1211" i="6" s="1"/>
  <c r="M1211" i="6" s="1"/>
  <c r="I643" i="5"/>
  <c r="H672" i="5"/>
  <c r="K712" i="5"/>
  <c r="I722" i="5"/>
  <c r="I723" i="5"/>
  <c r="J202" i="5"/>
  <c r="J715" i="5"/>
  <c r="J709" i="5"/>
  <c r="K638" i="5"/>
  <c r="K592" i="5"/>
  <c r="J589" i="5"/>
  <c r="K628" i="5"/>
  <c r="P628" i="5" s="1"/>
  <c r="G1239" i="6" s="1"/>
  <c r="M1239" i="6" s="1"/>
  <c r="J514" i="5"/>
  <c r="G317" i="5"/>
  <c r="G314" i="5"/>
  <c r="G311" i="5"/>
  <c r="H671" i="5"/>
  <c r="K494" i="5"/>
  <c r="G307" i="5"/>
  <c r="G304" i="5"/>
  <c r="G301" i="5"/>
  <c r="G298" i="5"/>
  <c r="I235" i="5"/>
  <c r="J148" i="5"/>
  <c r="O148" i="5" s="1"/>
  <c r="F279" i="6" s="1"/>
  <c r="M279" i="6" s="1"/>
  <c r="J631" i="5"/>
  <c r="K230" i="5"/>
  <c r="K220" i="5"/>
  <c r="H165" i="5"/>
  <c r="H162" i="5"/>
  <c r="K146" i="5"/>
  <c r="H670" i="5"/>
  <c r="I642" i="5"/>
  <c r="H553" i="5"/>
  <c r="J127" i="5"/>
  <c r="O127" i="5" s="1"/>
  <c r="F237" i="6" s="1"/>
  <c r="M237" i="6" s="1"/>
  <c r="I114" i="5"/>
  <c r="J103" i="5"/>
  <c r="O103" i="5" s="1"/>
  <c r="F189" i="6" s="1"/>
  <c r="M189" i="6" s="1"/>
  <c r="I90" i="5"/>
  <c r="K32" i="5"/>
  <c r="K706" i="5"/>
  <c r="P706" i="5" s="1"/>
  <c r="G1395" i="6" s="1"/>
  <c r="M1395" i="6" s="1"/>
  <c r="H551" i="5"/>
  <c r="H43" i="5"/>
  <c r="H40" i="5"/>
  <c r="J610" i="5"/>
  <c r="O610" i="5" s="1"/>
  <c r="F1203" i="6" s="1"/>
  <c r="M1203" i="6" s="1"/>
  <c r="H554" i="5"/>
  <c r="I11" i="5"/>
  <c r="N11" i="5" s="1"/>
  <c r="E5" i="6" s="1"/>
  <c r="M5" i="6" s="1"/>
  <c r="J22" i="5"/>
  <c r="O22" i="5" s="1"/>
  <c r="F27" i="6" s="1"/>
  <c r="M27" i="6" s="1"/>
  <c r="G321" i="5"/>
  <c r="H41" i="5"/>
  <c r="H42" i="5"/>
  <c r="H44" i="5"/>
  <c r="H45" i="5"/>
  <c r="I499" i="5"/>
  <c r="I618" i="5"/>
  <c r="I619" i="5"/>
  <c r="I10" i="5"/>
  <c r="N10" i="5" s="1"/>
  <c r="E3" i="6" s="1"/>
  <c r="M3" i="6" s="1"/>
  <c r="J28" i="5"/>
  <c r="O28" i="5" s="1"/>
  <c r="F39" i="6" s="1"/>
  <c r="M39" i="6" s="1"/>
  <c r="J82" i="5"/>
  <c r="O82" i="5" s="1"/>
  <c r="F147" i="6" s="1"/>
  <c r="M147" i="6" s="1"/>
  <c r="K86" i="5"/>
  <c r="P86" i="5" s="1"/>
  <c r="G155" i="6" s="1"/>
  <c r="M155" i="6" s="1"/>
  <c r="I91" i="5"/>
  <c r="K100" i="5"/>
  <c r="P100" i="5" s="1"/>
  <c r="G183" i="6" s="1"/>
  <c r="M183" i="6" s="1"/>
  <c r="J106" i="5"/>
  <c r="O106" i="5" s="1"/>
  <c r="F195" i="6" s="1"/>
  <c r="M195" i="6" s="1"/>
  <c r="K110" i="5"/>
  <c r="P110" i="5" s="1"/>
  <c r="G203" i="6" s="1"/>
  <c r="M203" i="6" s="1"/>
  <c r="I115" i="5"/>
  <c r="K124" i="5"/>
  <c r="P124" i="5" s="1"/>
  <c r="G231" i="6" s="1"/>
  <c r="M231" i="6" s="1"/>
  <c r="I523" i="5"/>
  <c r="H552" i="5"/>
  <c r="H555" i="5"/>
  <c r="J595" i="5"/>
  <c r="J634" i="5"/>
  <c r="K652" i="5"/>
  <c r="J655" i="5"/>
  <c r="H673" i="5"/>
  <c r="J142" i="5"/>
  <c r="H160" i="5"/>
  <c r="H161" i="5"/>
  <c r="H163" i="5"/>
  <c r="H433" i="5"/>
  <c r="H435" i="5"/>
  <c r="I132" i="5"/>
  <c r="I403" i="5"/>
  <c r="J611" i="5"/>
  <c r="O611" i="5" s="1"/>
  <c r="F1205" i="6" s="1"/>
  <c r="M1205" i="6" s="1"/>
  <c r="J469" i="5"/>
  <c r="J475" i="5"/>
  <c r="I482" i="5"/>
  <c r="I483" i="5"/>
  <c r="H678" i="5"/>
  <c r="J685" i="5"/>
  <c r="H677" i="5"/>
  <c r="I13" i="5"/>
  <c r="N13" i="5" s="1"/>
  <c r="E9" i="6" s="1"/>
  <c r="M9" i="6" s="1"/>
  <c r="H47" i="5"/>
  <c r="H50" i="5"/>
  <c r="K62" i="5"/>
  <c r="P62" i="5" s="1"/>
  <c r="G107" i="6" s="1"/>
  <c r="M107" i="6" s="1"/>
  <c r="K76" i="5"/>
  <c r="P76" i="5" s="1"/>
  <c r="G135" i="6" s="1"/>
  <c r="M135" i="6" s="1"/>
  <c r="J635" i="5"/>
  <c r="K20" i="5"/>
  <c r="P20" i="5" s="1"/>
  <c r="G23" i="6" s="1"/>
  <c r="M23" i="6" s="1"/>
  <c r="H680" i="5"/>
  <c r="K150" i="5"/>
  <c r="H168" i="5"/>
  <c r="H171" i="5"/>
  <c r="I186" i="5"/>
  <c r="J227" i="5"/>
  <c r="J625" i="5"/>
  <c r="K646" i="5"/>
  <c r="I698" i="5"/>
  <c r="I237" i="5"/>
  <c r="I621" i="5"/>
  <c r="K140" i="5"/>
  <c r="P140" i="5" s="1"/>
  <c r="G263" i="6" s="1"/>
  <c r="M263" i="6" s="1"/>
  <c r="G325" i="5"/>
  <c r="G328" i="5"/>
  <c r="G331" i="5"/>
  <c r="G334" i="5"/>
  <c r="G338" i="5"/>
  <c r="G341" i="5"/>
  <c r="G344" i="5"/>
  <c r="K374" i="5"/>
  <c r="K636" i="5"/>
  <c r="N636" i="5" s="1"/>
  <c r="E1255" i="6" s="1"/>
  <c r="K1255" i="6" s="1"/>
  <c r="J391" i="5"/>
  <c r="K412" i="5"/>
  <c r="H431" i="5"/>
  <c r="H434" i="5"/>
  <c r="K30" i="5"/>
  <c r="K398" i="5"/>
  <c r="K466" i="5"/>
  <c r="P466" i="5" s="1"/>
  <c r="G915" i="6" s="1"/>
  <c r="M915" i="6" s="1"/>
  <c r="K472" i="5"/>
  <c r="I620" i="5"/>
  <c r="K682" i="5"/>
  <c r="P682" i="5" s="1"/>
  <c r="G1347" i="6" s="1"/>
  <c r="M1347" i="6" s="1"/>
  <c r="J16" i="5"/>
  <c r="H46" i="5"/>
  <c r="H48" i="5"/>
  <c r="H49" i="5"/>
  <c r="H51" i="5"/>
  <c r="J58" i="5"/>
  <c r="I66" i="5"/>
  <c r="I67" i="5"/>
  <c r="J79" i="5"/>
  <c r="K622" i="5"/>
  <c r="P622" i="5" s="1"/>
  <c r="G1227" i="6" s="1"/>
  <c r="M1227" i="6" s="1"/>
  <c r="J691" i="5"/>
  <c r="I12" i="5"/>
  <c r="J29" i="5"/>
  <c r="I699" i="5"/>
  <c r="J107" i="5"/>
  <c r="K108" i="5"/>
  <c r="P108" i="5" s="1"/>
  <c r="G199" i="6" s="1"/>
  <c r="M199" i="6" s="1"/>
  <c r="I116" i="5"/>
  <c r="I117" i="5"/>
  <c r="K118" i="5"/>
  <c r="P118" i="5" s="1"/>
  <c r="G219" i="6" s="1"/>
  <c r="M219" i="6" s="1"/>
  <c r="J121" i="5"/>
  <c r="H681" i="5"/>
  <c r="J149" i="5"/>
  <c r="H166" i="5"/>
  <c r="H167" i="5"/>
  <c r="H169" i="5"/>
  <c r="H170" i="5"/>
  <c r="J178" i="5"/>
  <c r="K182" i="5"/>
  <c r="P182" i="5" s="1"/>
  <c r="G347" i="6" s="1"/>
  <c r="M347" i="6" s="1"/>
  <c r="I187" i="5"/>
  <c r="K196" i="5"/>
  <c r="J199" i="5"/>
  <c r="K228" i="5"/>
  <c r="N228" i="5" s="1"/>
  <c r="E439" i="6" s="1"/>
  <c r="K439" i="6" s="1"/>
  <c r="K612" i="5"/>
  <c r="I644" i="5"/>
  <c r="I645" i="5"/>
  <c r="J649" i="5"/>
  <c r="K688" i="5"/>
  <c r="J136" i="5"/>
  <c r="I236" i="5"/>
  <c r="K238" i="5"/>
  <c r="J241" i="5"/>
  <c r="H676" i="5"/>
  <c r="H679" i="5"/>
  <c r="G322" i="5"/>
  <c r="G323" i="5"/>
  <c r="G324" i="5"/>
  <c r="G326" i="5"/>
  <c r="G327" i="5"/>
  <c r="G329" i="5"/>
  <c r="G330" i="5"/>
  <c r="G332" i="5"/>
  <c r="G333" i="5"/>
  <c r="G335" i="5"/>
  <c r="G336" i="5"/>
  <c r="G337" i="5"/>
  <c r="G339" i="5"/>
  <c r="G340" i="5"/>
  <c r="G342" i="5"/>
  <c r="G343" i="5"/>
  <c r="G345" i="5"/>
  <c r="J370" i="5"/>
  <c r="I378" i="5"/>
  <c r="I379" i="5"/>
  <c r="I133" i="5"/>
  <c r="K388" i="5"/>
  <c r="P388" i="5" s="1"/>
  <c r="G759" i="6" s="1"/>
  <c r="M759" i="6" s="1"/>
  <c r="J394" i="5"/>
  <c r="I402" i="5"/>
  <c r="J415" i="5"/>
  <c r="H430" i="5"/>
  <c r="H432" i="5"/>
  <c r="J638" i="5"/>
  <c r="G552" i="5"/>
  <c r="I630" i="5"/>
  <c r="J471" i="5"/>
  <c r="J477" i="5"/>
  <c r="G559" i="5"/>
  <c r="G557" i="5"/>
  <c r="I23" i="5"/>
  <c r="K31" i="5"/>
  <c r="P31" i="5" s="1"/>
  <c r="G45" i="6" s="1"/>
  <c r="O45" i="6" s="1"/>
  <c r="J32" i="5"/>
  <c r="J60" i="5"/>
  <c r="I72" i="5"/>
  <c r="I73" i="5"/>
  <c r="G545" i="5"/>
  <c r="G554" i="5"/>
  <c r="J152" i="5"/>
  <c r="I654" i="5"/>
  <c r="J18" i="5"/>
  <c r="J81" i="5"/>
  <c r="H88" i="5"/>
  <c r="H90" i="5"/>
  <c r="H91" i="5"/>
  <c r="H92" i="5"/>
  <c r="K109" i="5"/>
  <c r="J110" i="5"/>
  <c r="J123" i="5"/>
  <c r="I127" i="5"/>
  <c r="I489" i="5"/>
  <c r="G544" i="5"/>
  <c r="K151" i="5"/>
  <c r="K683" i="5"/>
  <c r="P683" i="5" s="1"/>
  <c r="G1349" i="6" s="1"/>
  <c r="O1349" i="6" s="1"/>
  <c r="K183" i="5"/>
  <c r="P183" i="5" s="1"/>
  <c r="G349" i="6" s="1"/>
  <c r="O349" i="6" s="1"/>
  <c r="I192" i="5"/>
  <c r="K197" i="5"/>
  <c r="J201" i="5"/>
  <c r="H209" i="5"/>
  <c r="H210" i="5"/>
  <c r="H212" i="5"/>
  <c r="H213" i="5"/>
  <c r="J230" i="5"/>
  <c r="G542" i="5"/>
  <c r="G548" i="5"/>
  <c r="G560" i="5"/>
  <c r="J614" i="5"/>
  <c r="K141" i="5"/>
  <c r="K239" i="5"/>
  <c r="J243" i="5"/>
  <c r="I247" i="5"/>
  <c r="I705" i="5"/>
  <c r="H720" i="5"/>
  <c r="H721" i="5"/>
  <c r="H723" i="5"/>
  <c r="H722" i="5"/>
  <c r="H719" i="5"/>
  <c r="H718" i="5"/>
  <c r="K689" i="5"/>
  <c r="G551" i="5"/>
  <c r="G549" i="5"/>
  <c r="G556" i="5"/>
  <c r="I488" i="5"/>
  <c r="K473" i="5"/>
  <c r="K467" i="5"/>
  <c r="P467" i="5" s="1"/>
  <c r="G917" i="6" s="1"/>
  <c r="O917" i="6" s="1"/>
  <c r="K637" i="5"/>
  <c r="G555" i="5"/>
  <c r="G553" i="5"/>
  <c r="G550" i="5"/>
  <c r="G540" i="5"/>
  <c r="H459" i="5"/>
  <c r="H457" i="5"/>
  <c r="H456" i="5"/>
  <c r="H454" i="5"/>
  <c r="K399" i="5"/>
  <c r="P399" i="5" s="1"/>
  <c r="G781" i="6" s="1"/>
  <c r="O781" i="6" s="1"/>
  <c r="K389" i="5"/>
  <c r="P389" i="5" s="1"/>
  <c r="G761" i="6" s="1"/>
  <c r="O761" i="6" s="1"/>
  <c r="I655" i="5"/>
  <c r="G539" i="5"/>
  <c r="J417" i="5"/>
  <c r="I409" i="5"/>
  <c r="I408" i="5"/>
  <c r="J693" i="5"/>
  <c r="J687" i="5"/>
  <c r="I631" i="5"/>
  <c r="J627" i="5"/>
  <c r="G546" i="5"/>
  <c r="I384" i="5"/>
  <c r="J372" i="5"/>
  <c r="I142" i="5"/>
  <c r="J651" i="5"/>
  <c r="K647" i="5"/>
  <c r="P647" i="5" s="1"/>
  <c r="G1277" i="6" s="1"/>
  <c r="O1277" i="6" s="1"/>
  <c r="K613" i="5"/>
  <c r="K21" i="5"/>
  <c r="K63" i="5"/>
  <c r="K77" i="5"/>
  <c r="P77" i="5" s="1"/>
  <c r="G137" i="6" s="1"/>
  <c r="O137" i="6" s="1"/>
  <c r="G558" i="5"/>
  <c r="I704" i="5"/>
  <c r="I22" i="5"/>
  <c r="H89" i="5"/>
  <c r="H93" i="5"/>
  <c r="K119" i="5"/>
  <c r="P119" i="5" s="1"/>
  <c r="G221" i="6" s="1"/>
  <c r="O221" i="6" s="1"/>
  <c r="I126" i="5"/>
  <c r="G543" i="5"/>
  <c r="J180" i="5"/>
  <c r="I193" i="5"/>
  <c r="H208" i="5"/>
  <c r="H211" i="5"/>
  <c r="K229" i="5"/>
  <c r="G547" i="5"/>
  <c r="G561" i="5"/>
  <c r="K623" i="5"/>
  <c r="P623" i="5" s="1"/>
  <c r="G1229" i="6" s="1"/>
  <c r="O1229" i="6" s="1"/>
  <c r="I143" i="5"/>
  <c r="I246" i="5"/>
  <c r="G538" i="5"/>
  <c r="J138" i="5"/>
  <c r="K375" i="5"/>
  <c r="I385" i="5"/>
  <c r="J396" i="5"/>
  <c r="K413" i="5"/>
  <c r="G541" i="5"/>
  <c r="J393" i="5"/>
  <c r="H455" i="5"/>
  <c r="H458" i="5"/>
  <c r="K199" i="5"/>
  <c r="P199" i="5" s="1"/>
  <c r="G381" i="6" s="1"/>
  <c r="O381" i="6" s="1"/>
  <c r="J200" i="5"/>
  <c r="H203" i="5"/>
  <c r="H204" i="5"/>
  <c r="H205" i="5"/>
  <c r="I191" i="5"/>
  <c r="I190" i="5"/>
  <c r="X18" i="3"/>
  <c r="B7" i="4" s="1"/>
  <c r="Y18" i="3"/>
  <c r="B8" i="4" s="1"/>
  <c r="K493" i="5"/>
  <c r="K517" i="5"/>
  <c r="H603" i="5"/>
  <c r="G672" i="5"/>
  <c r="K19" i="5"/>
  <c r="O19" i="5" s="1"/>
  <c r="F21" i="6" s="1"/>
  <c r="O21" i="6" s="1"/>
  <c r="J20" i="5"/>
  <c r="I28" i="5"/>
  <c r="I29" i="5"/>
  <c r="K61" i="5"/>
  <c r="J62" i="5"/>
  <c r="K71" i="5"/>
  <c r="P71" i="5" s="1"/>
  <c r="G125" i="6" s="1"/>
  <c r="P125" i="6" s="1"/>
  <c r="J75" i="5"/>
  <c r="I78" i="5"/>
  <c r="I79" i="5"/>
  <c r="I510" i="5"/>
  <c r="J518" i="5"/>
  <c r="I534" i="5"/>
  <c r="K563" i="5"/>
  <c r="P563" i="5" s="1"/>
  <c r="G1109" i="6" s="1"/>
  <c r="P1109" i="6" s="1"/>
  <c r="H602" i="5"/>
  <c r="G660" i="5"/>
  <c r="G664" i="5"/>
  <c r="G668" i="5"/>
  <c r="G670" i="5"/>
  <c r="G681" i="5"/>
  <c r="K25" i="5"/>
  <c r="J26" i="5"/>
  <c r="K85" i="5"/>
  <c r="J86" i="5"/>
  <c r="K95" i="5"/>
  <c r="P95" i="5" s="1"/>
  <c r="G173" i="6" s="1"/>
  <c r="P173" i="6" s="1"/>
  <c r="J99" i="5"/>
  <c r="I102" i="5"/>
  <c r="I103" i="5"/>
  <c r="H112" i="5"/>
  <c r="H113" i="5"/>
  <c r="H114" i="5"/>
  <c r="H115" i="5"/>
  <c r="H116" i="5"/>
  <c r="H117" i="5"/>
  <c r="J573" i="5"/>
  <c r="G669" i="5"/>
  <c r="G676" i="5"/>
  <c r="G679" i="5"/>
  <c r="J140" i="5"/>
  <c r="M140" i="5" s="1"/>
  <c r="D263" i="6" s="1"/>
  <c r="K263" i="6" s="1"/>
  <c r="K145" i="5"/>
  <c r="I148" i="5"/>
  <c r="K181" i="5"/>
  <c r="O181" i="5" s="1"/>
  <c r="F345" i="6" s="1"/>
  <c r="O345" i="6" s="1"/>
  <c r="J182" i="5"/>
  <c r="K191" i="5"/>
  <c r="O191" i="5" s="1"/>
  <c r="F365" i="6" s="1"/>
  <c r="K365" i="6" s="1"/>
  <c r="J195" i="5"/>
  <c r="I198" i="5"/>
  <c r="I199" i="5"/>
  <c r="K205" i="5"/>
  <c r="J206" i="5"/>
  <c r="K215" i="5"/>
  <c r="J219" i="5"/>
  <c r="I222" i="5"/>
  <c r="H232" i="5"/>
  <c r="I535" i="5"/>
  <c r="H598" i="5"/>
  <c r="G661" i="5"/>
  <c r="G667" i="5"/>
  <c r="G677" i="5"/>
  <c r="G680" i="5"/>
  <c r="I149" i="5"/>
  <c r="H233" i="5"/>
  <c r="H235" i="5"/>
  <c r="H237" i="5"/>
  <c r="K527" i="5"/>
  <c r="G663" i="5"/>
  <c r="K139" i="5"/>
  <c r="K373" i="5"/>
  <c r="K503" i="5"/>
  <c r="P503" i="5" s="1"/>
  <c r="G989" i="6" s="1"/>
  <c r="P989" i="6" s="1"/>
  <c r="G662" i="5"/>
  <c r="G671" i="5"/>
  <c r="G678" i="5"/>
  <c r="I390" i="5"/>
  <c r="J411" i="5"/>
  <c r="I415" i="5"/>
  <c r="I391" i="5"/>
  <c r="J398" i="5"/>
  <c r="N398" i="5" s="1"/>
  <c r="E779" i="6" s="1"/>
  <c r="K779" i="6" s="1"/>
  <c r="J447" i="5"/>
  <c r="J453" i="5"/>
  <c r="H600" i="5"/>
  <c r="H478" i="5"/>
  <c r="I584" i="5"/>
  <c r="J494" i="5"/>
  <c r="H601" i="5"/>
  <c r="G666" i="5"/>
  <c r="I223" i="5"/>
  <c r="H234" i="5"/>
  <c r="H236" i="5"/>
  <c r="J507" i="5"/>
  <c r="G659" i="5"/>
  <c r="G674" i="5"/>
  <c r="J146" i="5"/>
  <c r="J374" i="5"/>
  <c r="K383" i="5"/>
  <c r="P383" i="5" s="1"/>
  <c r="G749" i="6" s="1"/>
  <c r="P749" i="6" s="1"/>
  <c r="J567" i="5"/>
  <c r="G665" i="5"/>
  <c r="G675" i="5"/>
  <c r="J387" i="5"/>
  <c r="K407" i="5"/>
  <c r="I414" i="5"/>
  <c r="I511" i="5"/>
  <c r="K569" i="5"/>
  <c r="K397" i="5"/>
  <c r="N397" i="5" s="1"/>
  <c r="E777" i="6" s="1"/>
  <c r="K777" i="6" s="1"/>
  <c r="K443" i="5"/>
  <c r="P443" i="5" s="1"/>
  <c r="G869" i="6" s="1"/>
  <c r="P869" i="6" s="1"/>
  <c r="K449" i="5"/>
  <c r="J531" i="5"/>
  <c r="I464" i="5"/>
  <c r="H479" i="5"/>
  <c r="H480" i="5"/>
  <c r="H481" i="5"/>
  <c r="H482" i="5"/>
  <c r="H483" i="5"/>
  <c r="I585" i="5"/>
  <c r="H599" i="5"/>
  <c r="G658" i="5"/>
  <c r="G673" i="5"/>
  <c r="I465" i="5"/>
  <c r="I525" i="5"/>
  <c r="H561" i="5"/>
  <c r="I579" i="5"/>
  <c r="K18" i="5"/>
  <c r="P18" i="5" s="1"/>
  <c r="G19" i="6" s="1"/>
  <c r="M19" i="6" s="1"/>
  <c r="H53" i="5"/>
  <c r="H56" i="5"/>
  <c r="J59" i="5"/>
  <c r="O59" i="5" s="1"/>
  <c r="F101" i="6" s="1"/>
  <c r="M101" i="6" s="1"/>
  <c r="I68" i="5"/>
  <c r="J73" i="5"/>
  <c r="I524" i="5"/>
  <c r="H560" i="5"/>
  <c r="K568" i="5"/>
  <c r="J17" i="5"/>
  <c r="K24" i="5"/>
  <c r="I92" i="5"/>
  <c r="K94" i="5"/>
  <c r="P94" i="5" s="1"/>
  <c r="G171" i="6" s="1"/>
  <c r="M171" i="6" s="1"/>
  <c r="K526" i="5"/>
  <c r="K138" i="5"/>
  <c r="H173" i="5"/>
  <c r="H176" i="5"/>
  <c r="J179" i="5"/>
  <c r="I188" i="5"/>
  <c r="K190" i="5"/>
  <c r="J203" i="5"/>
  <c r="I212" i="5"/>
  <c r="K214" i="5"/>
  <c r="K492" i="5"/>
  <c r="I500" i="5"/>
  <c r="H556" i="5"/>
  <c r="J143" i="5"/>
  <c r="O143" i="5" s="1"/>
  <c r="F269" i="6" s="1"/>
  <c r="M269" i="6" s="1"/>
  <c r="G346" i="5"/>
  <c r="G348" i="5"/>
  <c r="G349" i="5"/>
  <c r="G351" i="5"/>
  <c r="G353" i="5"/>
  <c r="G356" i="5"/>
  <c r="G358" i="5"/>
  <c r="G360" i="5"/>
  <c r="G362" i="5"/>
  <c r="G364" i="5"/>
  <c r="G366" i="5"/>
  <c r="G368" i="5"/>
  <c r="J371" i="5"/>
  <c r="O371" i="5" s="1"/>
  <c r="F725" i="6" s="1"/>
  <c r="M725" i="6" s="1"/>
  <c r="I380" i="5"/>
  <c r="K382" i="5"/>
  <c r="P382" i="5" s="1"/>
  <c r="G747" i="6" s="1"/>
  <c r="M747" i="6" s="1"/>
  <c r="H558" i="5"/>
  <c r="K406" i="5"/>
  <c r="H436" i="5"/>
  <c r="J395" i="5"/>
  <c r="I405" i="5"/>
  <c r="H439" i="5"/>
  <c r="H441" i="5"/>
  <c r="J445" i="5"/>
  <c r="J451" i="5"/>
  <c r="I459" i="5"/>
  <c r="J505" i="5"/>
  <c r="I578" i="5"/>
  <c r="K516" i="5"/>
  <c r="N516" i="5" s="1"/>
  <c r="E1015" i="6" s="1"/>
  <c r="K1015" i="6" s="1"/>
  <c r="J529" i="5"/>
  <c r="K562" i="5"/>
  <c r="P562" i="5" s="1"/>
  <c r="G1107" i="6" s="1"/>
  <c r="M1107" i="6" s="1"/>
  <c r="I15" i="5"/>
  <c r="N15" i="5" s="1"/>
  <c r="E13" i="6" s="1"/>
  <c r="M13" i="6" s="1"/>
  <c r="H52" i="5"/>
  <c r="H54" i="5"/>
  <c r="H55" i="5"/>
  <c r="H57" i="5"/>
  <c r="K60" i="5"/>
  <c r="P60" i="5" s="1"/>
  <c r="G103" i="6" s="1"/>
  <c r="M103" i="6" s="1"/>
  <c r="I69" i="5"/>
  <c r="K70" i="5"/>
  <c r="P70" i="5" s="1"/>
  <c r="G123" i="6" s="1"/>
  <c r="M123" i="6" s="1"/>
  <c r="J491" i="5"/>
  <c r="O491" i="5" s="1"/>
  <c r="F965" i="6" s="1"/>
  <c r="M965" i="6" s="1"/>
  <c r="H559" i="5"/>
  <c r="J565" i="5"/>
  <c r="I14" i="5"/>
  <c r="N14" i="5" s="1"/>
  <c r="E11" i="6" s="1"/>
  <c r="M11" i="6" s="1"/>
  <c r="J23" i="5"/>
  <c r="O23" i="5" s="1"/>
  <c r="F29" i="6" s="1"/>
  <c r="M29" i="6" s="1"/>
  <c r="J83" i="5"/>
  <c r="O83" i="5" s="1"/>
  <c r="F149" i="6" s="1"/>
  <c r="M149" i="6" s="1"/>
  <c r="K84" i="5"/>
  <c r="I93" i="5"/>
  <c r="N93" i="5" s="1"/>
  <c r="E169" i="6" s="1"/>
  <c r="M169" i="6" s="1"/>
  <c r="J97" i="5"/>
  <c r="J137" i="5"/>
  <c r="O137" i="5" s="1"/>
  <c r="F257" i="6" s="1"/>
  <c r="M257" i="6" s="1"/>
  <c r="H172" i="5"/>
  <c r="H174" i="5"/>
  <c r="H175" i="5"/>
  <c r="H177" i="5"/>
  <c r="K180" i="5"/>
  <c r="P180" i="5" s="1"/>
  <c r="G343" i="6" s="1"/>
  <c r="M343" i="6" s="1"/>
  <c r="I189" i="5"/>
  <c r="J193" i="5"/>
  <c r="K204" i="5"/>
  <c r="I213" i="5"/>
  <c r="J217" i="5"/>
  <c r="I134" i="5"/>
  <c r="I501" i="5"/>
  <c r="H557" i="5"/>
  <c r="I135" i="5"/>
  <c r="K144" i="5"/>
  <c r="M144" i="5" s="1"/>
  <c r="D271" i="6" s="1"/>
  <c r="K271" i="6" s="1"/>
  <c r="G347" i="5"/>
  <c r="G350" i="5"/>
  <c r="G352" i="5"/>
  <c r="G354" i="5"/>
  <c r="G355" i="5"/>
  <c r="G357" i="5"/>
  <c r="G359" i="5"/>
  <c r="G361" i="5"/>
  <c r="G363" i="5"/>
  <c r="G365" i="5"/>
  <c r="G367" i="5"/>
  <c r="G369" i="5"/>
  <c r="K372" i="5"/>
  <c r="P372" i="5" s="1"/>
  <c r="G727" i="6" s="1"/>
  <c r="M727" i="6" s="1"/>
  <c r="I381" i="5"/>
  <c r="J385" i="5"/>
  <c r="I404" i="5"/>
  <c r="J409" i="5"/>
  <c r="H437" i="5"/>
  <c r="K396" i="5"/>
  <c r="H438" i="5"/>
  <c r="H440" i="5"/>
  <c r="K442" i="5"/>
  <c r="P442" i="5" s="1"/>
  <c r="G867" i="6" s="1"/>
  <c r="M867" i="6" s="1"/>
  <c r="K448" i="5"/>
  <c r="I458" i="5"/>
  <c r="K502" i="5"/>
  <c r="P502" i="5" s="1"/>
  <c r="G987" i="6" s="1"/>
  <c r="M987" i="6" s="1"/>
  <c r="J571" i="5"/>
  <c r="J515" i="5"/>
  <c r="O713" i="5"/>
  <c r="F1409" i="6" s="1"/>
  <c r="K1409" i="6" s="1"/>
  <c r="O653" i="5"/>
  <c r="F1289" i="6" s="1"/>
  <c r="K1289" i="6" s="1"/>
  <c r="I47" i="5"/>
  <c r="I262" i="5"/>
  <c r="G515" i="5"/>
  <c r="G519" i="5"/>
  <c r="G521" i="5"/>
  <c r="J626" i="5"/>
  <c r="K661" i="5"/>
  <c r="N661" i="5" s="1"/>
  <c r="E1305" i="6" s="1"/>
  <c r="K1305" i="6" s="1"/>
  <c r="J686" i="5"/>
  <c r="K695" i="5"/>
  <c r="J699" i="5"/>
  <c r="I703" i="5"/>
  <c r="J42" i="5"/>
  <c r="K45" i="5"/>
  <c r="I46" i="5"/>
  <c r="K55" i="5"/>
  <c r="O55" i="5" s="1"/>
  <c r="F93" i="6" s="1"/>
  <c r="N93" i="6" s="1"/>
  <c r="J56" i="5"/>
  <c r="J66" i="5"/>
  <c r="K69" i="5"/>
  <c r="I70" i="5"/>
  <c r="I71" i="5"/>
  <c r="K79" i="5"/>
  <c r="G517" i="5"/>
  <c r="G531" i="5"/>
  <c r="J620" i="5"/>
  <c r="I679" i="5"/>
  <c r="J80" i="5"/>
  <c r="H82" i="5"/>
  <c r="H83" i="5"/>
  <c r="H84" i="5"/>
  <c r="H85" i="5"/>
  <c r="H86" i="5"/>
  <c r="H87" i="5"/>
  <c r="K115" i="5"/>
  <c r="O115" i="5" s="1"/>
  <c r="F213" i="6" s="1"/>
  <c r="N213" i="6" s="1"/>
  <c r="J116" i="5"/>
  <c r="K121" i="5"/>
  <c r="J122" i="5"/>
  <c r="I124" i="5"/>
  <c r="I125" i="5"/>
  <c r="G516" i="5"/>
  <c r="G529" i="5"/>
  <c r="I629" i="5"/>
  <c r="K671" i="5"/>
  <c r="K685" i="5"/>
  <c r="G522" i="5"/>
  <c r="G525" i="5"/>
  <c r="G528" i="5"/>
  <c r="G532" i="5"/>
  <c r="G537" i="5"/>
  <c r="I678" i="5"/>
  <c r="J258" i="5"/>
  <c r="K261" i="5"/>
  <c r="M261" i="5" s="1"/>
  <c r="D505" i="6" s="1"/>
  <c r="K505" i="6" s="1"/>
  <c r="I263" i="5"/>
  <c r="K271" i="5"/>
  <c r="J272" i="5"/>
  <c r="J300" i="5"/>
  <c r="K303" i="5"/>
  <c r="G526" i="5"/>
  <c r="I312" i="5"/>
  <c r="I313" i="5"/>
  <c r="K317" i="5"/>
  <c r="J321" i="5"/>
  <c r="H328" i="5"/>
  <c r="H329" i="5"/>
  <c r="H330" i="5"/>
  <c r="H331" i="5"/>
  <c r="H332" i="5"/>
  <c r="H333" i="5"/>
  <c r="K349" i="5"/>
  <c r="N349" i="5" s="1"/>
  <c r="E681" i="6" s="1"/>
  <c r="K681" i="6" s="1"/>
  <c r="J350" i="5"/>
  <c r="K359" i="5"/>
  <c r="I484" i="5"/>
  <c r="I485" i="5"/>
  <c r="G508" i="5"/>
  <c r="G510" i="5"/>
  <c r="G512" i="5"/>
  <c r="G513" i="5"/>
  <c r="G503" i="5"/>
  <c r="J650" i="5"/>
  <c r="I652" i="5"/>
  <c r="H709" i="5"/>
  <c r="H710" i="5"/>
  <c r="H711" i="5"/>
  <c r="H202" i="5"/>
  <c r="H206" i="5"/>
  <c r="H207" i="5"/>
  <c r="M207" i="5" s="1"/>
  <c r="D397" i="6" s="1"/>
  <c r="O397" i="6" s="1"/>
  <c r="G500" i="5"/>
  <c r="G501" i="5"/>
  <c r="G511" i="5"/>
  <c r="I653" i="5"/>
  <c r="N653" i="5" s="1"/>
  <c r="E1289" i="6" s="1"/>
  <c r="O1289" i="6" s="1"/>
  <c r="K235" i="5"/>
  <c r="O235" i="5" s="1"/>
  <c r="F453" i="6" s="1"/>
  <c r="N453" i="6" s="1"/>
  <c r="J236" i="5"/>
  <c r="K241" i="5"/>
  <c r="J242" i="5"/>
  <c r="N242" i="5" s="1"/>
  <c r="E467" i="6" s="1"/>
  <c r="N467" i="6" s="1"/>
  <c r="I244" i="5"/>
  <c r="I245" i="5"/>
  <c r="J644" i="5"/>
  <c r="J282" i="5"/>
  <c r="K285" i="5"/>
  <c r="I286" i="5"/>
  <c r="N286" i="5" s="1"/>
  <c r="E555" i="6" s="1"/>
  <c r="O555" i="6" s="1"/>
  <c r="I287" i="5"/>
  <c r="N287" i="5" s="1"/>
  <c r="E557" i="6" s="1"/>
  <c r="O557" i="6" s="1"/>
  <c r="K295" i="5"/>
  <c r="J296" i="5"/>
  <c r="J306" i="5"/>
  <c r="O306" i="5" s="1"/>
  <c r="F595" i="6" s="1"/>
  <c r="O595" i="6" s="1"/>
  <c r="G505" i="5"/>
  <c r="G509" i="5"/>
  <c r="J668" i="5"/>
  <c r="O668" i="5" s="1"/>
  <c r="F1319" i="6" s="1"/>
  <c r="O1319" i="6" s="1"/>
  <c r="K309" i="5"/>
  <c r="I310" i="5"/>
  <c r="I311" i="5"/>
  <c r="K319" i="5"/>
  <c r="P319" i="5" s="1"/>
  <c r="G621" i="6" s="1"/>
  <c r="O621" i="6" s="1"/>
  <c r="J320" i="5"/>
  <c r="O320" i="5" s="1"/>
  <c r="F623" i="6" s="1"/>
  <c r="O623" i="6" s="1"/>
  <c r="H322" i="5"/>
  <c r="H323" i="5"/>
  <c r="H324" i="5"/>
  <c r="H325" i="5"/>
  <c r="H326" i="5"/>
  <c r="H327" i="5"/>
  <c r="K355" i="5"/>
  <c r="J356" i="5"/>
  <c r="O356" i="5" s="1"/>
  <c r="F695" i="6" s="1"/>
  <c r="O695" i="6" s="1"/>
  <c r="K361" i="5"/>
  <c r="P361" i="5" s="1"/>
  <c r="G705" i="6" s="1"/>
  <c r="O705" i="6" s="1"/>
  <c r="J362" i="5"/>
  <c r="O362" i="5" s="1"/>
  <c r="F707" i="6" s="1"/>
  <c r="O707" i="6" s="1"/>
  <c r="I364" i="5"/>
  <c r="I365" i="5"/>
  <c r="G491" i="5"/>
  <c r="K667" i="5"/>
  <c r="I407" i="5"/>
  <c r="K415" i="5"/>
  <c r="J416" i="5"/>
  <c r="J426" i="5"/>
  <c r="O426" i="5" s="1"/>
  <c r="F835" i="6" s="1"/>
  <c r="O835" i="6" s="1"/>
  <c r="K429" i="5"/>
  <c r="I430" i="5"/>
  <c r="I431" i="5"/>
  <c r="K691" i="5"/>
  <c r="H444" i="5"/>
  <c r="J402" i="5"/>
  <c r="K405" i="5"/>
  <c r="I406" i="5"/>
  <c r="K439" i="5"/>
  <c r="P439" i="5" s="1"/>
  <c r="G861" i="6" s="1"/>
  <c r="O861" i="6" s="1"/>
  <c r="J440" i="5"/>
  <c r="H442" i="5"/>
  <c r="H443" i="5"/>
  <c r="H445" i="5"/>
  <c r="H446" i="5"/>
  <c r="H447" i="5"/>
  <c r="G490" i="5"/>
  <c r="G492" i="5"/>
  <c r="G494" i="5"/>
  <c r="G498" i="5"/>
  <c r="G499" i="5"/>
  <c r="K475" i="5"/>
  <c r="J476" i="5"/>
  <c r="O476" i="5" s="1"/>
  <c r="F935" i="6" s="1"/>
  <c r="O935" i="6" s="1"/>
  <c r="K481" i="5"/>
  <c r="P481" i="5" s="1"/>
  <c r="G945" i="6" s="1"/>
  <c r="O945" i="6" s="1"/>
  <c r="J482" i="5"/>
  <c r="J363" i="5"/>
  <c r="I366" i="5"/>
  <c r="I367" i="5"/>
  <c r="J378" i="5"/>
  <c r="K381" i="5"/>
  <c r="O381" i="5" s="1"/>
  <c r="F745" i="6" s="1"/>
  <c r="P745" i="6" s="1"/>
  <c r="I382" i="5"/>
  <c r="I383" i="5"/>
  <c r="G520" i="5"/>
  <c r="I628" i="5"/>
  <c r="J392" i="5"/>
  <c r="J420" i="5"/>
  <c r="K423" i="5"/>
  <c r="N423" i="5" s="1"/>
  <c r="E829" i="6" s="1"/>
  <c r="K829" i="6" s="1"/>
  <c r="I432" i="5"/>
  <c r="I433" i="5"/>
  <c r="G527" i="5"/>
  <c r="G533" i="5"/>
  <c r="G536" i="5"/>
  <c r="K625" i="5"/>
  <c r="N625" i="5" s="1"/>
  <c r="E1233" i="6" s="1"/>
  <c r="N1233" i="6" s="1"/>
  <c r="K391" i="5"/>
  <c r="K437" i="5"/>
  <c r="J441" i="5"/>
  <c r="H448" i="5"/>
  <c r="H449" i="5"/>
  <c r="H450" i="5"/>
  <c r="H451" i="5"/>
  <c r="H452" i="5"/>
  <c r="H453" i="5"/>
  <c r="G524" i="5"/>
  <c r="G530" i="5"/>
  <c r="K619" i="5"/>
  <c r="K469" i="5"/>
  <c r="J470" i="5"/>
  <c r="K479" i="5"/>
  <c r="J483" i="5"/>
  <c r="I486" i="5"/>
  <c r="I487" i="5"/>
  <c r="G535" i="5"/>
  <c r="G514" i="5"/>
  <c r="G518" i="5"/>
  <c r="G523" i="5"/>
  <c r="G534" i="5"/>
  <c r="J662" i="5"/>
  <c r="J675" i="5"/>
  <c r="I702" i="5"/>
  <c r="H712" i="5"/>
  <c r="H713" i="5"/>
  <c r="H714" i="5"/>
  <c r="H715" i="5"/>
  <c r="H716" i="5"/>
  <c r="H717" i="5"/>
  <c r="O31" i="5"/>
  <c r="F45" i="6" s="1"/>
  <c r="N45" i="6" s="1"/>
  <c r="O619" i="5"/>
  <c r="F1221" i="6" s="1"/>
  <c r="N1221" i="6" s="1"/>
  <c r="O151" i="5"/>
  <c r="F285" i="6" s="1"/>
  <c r="N285" i="6" s="1"/>
  <c r="G285" i="5"/>
  <c r="G286" i="5"/>
  <c r="G287" i="5"/>
  <c r="G288" i="5"/>
  <c r="G289" i="5"/>
  <c r="G290" i="5"/>
  <c r="G291" i="5"/>
  <c r="G292" i="5"/>
  <c r="G293" i="5"/>
  <c r="G294" i="5"/>
  <c r="G295" i="5"/>
  <c r="G296" i="5"/>
  <c r="G297" i="5"/>
  <c r="I497" i="5"/>
  <c r="K567" i="5"/>
  <c r="I576" i="5"/>
  <c r="H667" i="5"/>
  <c r="K129" i="5"/>
  <c r="I376" i="5"/>
  <c r="I377" i="5"/>
  <c r="J384" i="5"/>
  <c r="K393" i="5"/>
  <c r="I89" i="5"/>
  <c r="H424" i="5"/>
  <c r="H425" i="5"/>
  <c r="H426" i="5"/>
  <c r="H427" i="5"/>
  <c r="H428" i="5"/>
  <c r="H429" i="5"/>
  <c r="H664" i="5"/>
  <c r="H669" i="5"/>
  <c r="K387" i="5"/>
  <c r="J390" i="5"/>
  <c r="J444" i="5"/>
  <c r="K447" i="5"/>
  <c r="I456" i="5"/>
  <c r="I457" i="5"/>
  <c r="K461" i="5"/>
  <c r="J510" i="5"/>
  <c r="H544" i="5"/>
  <c r="I601" i="5"/>
  <c r="I617" i="5"/>
  <c r="J465" i="5"/>
  <c r="J468" i="5"/>
  <c r="K471" i="5"/>
  <c r="O471" i="5" s="1"/>
  <c r="F925" i="6" s="1"/>
  <c r="O925" i="6" s="1"/>
  <c r="I480" i="5"/>
  <c r="I481" i="5"/>
  <c r="K485" i="5"/>
  <c r="N485" i="5" s="1"/>
  <c r="E953" i="6" s="1"/>
  <c r="O953" i="6" s="1"/>
  <c r="K581" i="5"/>
  <c r="J585" i="5"/>
  <c r="J588" i="5"/>
  <c r="I496" i="5"/>
  <c r="J504" i="5"/>
  <c r="J609" i="5"/>
  <c r="K633" i="5"/>
  <c r="K701" i="5"/>
  <c r="J708" i="5"/>
  <c r="K711" i="5"/>
  <c r="N711" i="5" s="1"/>
  <c r="E1405" i="6" s="1"/>
  <c r="K1405" i="6" s="1"/>
  <c r="I720" i="5"/>
  <c r="I721" i="5"/>
  <c r="K725" i="5"/>
  <c r="J729" i="5"/>
  <c r="J684" i="5"/>
  <c r="J489" i="5"/>
  <c r="K513" i="5"/>
  <c r="H545" i="5"/>
  <c r="H546" i="5"/>
  <c r="H547" i="5"/>
  <c r="H548" i="5"/>
  <c r="H549" i="5"/>
  <c r="J624" i="5"/>
  <c r="K627" i="5"/>
  <c r="H668" i="5"/>
  <c r="H34" i="5"/>
  <c r="H36" i="5"/>
  <c r="H37" i="5"/>
  <c r="H38" i="5"/>
  <c r="H39" i="5"/>
  <c r="I64" i="5"/>
  <c r="I65" i="5"/>
  <c r="J72" i="5"/>
  <c r="K75" i="5"/>
  <c r="J78" i="5"/>
  <c r="K591" i="5"/>
  <c r="N591" i="5" s="1"/>
  <c r="E1165" i="6" s="1"/>
  <c r="K1165" i="6" s="1"/>
  <c r="J630" i="5"/>
  <c r="K687" i="5"/>
  <c r="O687" i="5" s="1"/>
  <c r="F1357" i="6" s="1"/>
  <c r="O1357" i="6" s="1"/>
  <c r="I696" i="5"/>
  <c r="J705" i="5"/>
  <c r="H35" i="5"/>
  <c r="K81" i="5"/>
  <c r="I88" i="5"/>
  <c r="I616" i="5"/>
  <c r="J96" i="5"/>
  <c r="K99" i="5"/>
  <c r="J102" i="5"/>
  <c r="K105" i="5"/>
  <c r="O105" i="5" s="1"/>
  <c r="F193" i="6" s="1"/>
  <c r="N193" i="6" s="1"/>
  <c r="I112" i="5"/>
  <c r="I113" i="5"/>
  <c r="J120" i="5"/>
  <c r="K123" i="5"/>
  <c r="O123" i="5" s="1"/>
  <c r="F229" i="6" s="1"/>
  <c r="O229" i="6" s="1"/>
  <c r="J126" i="5"/>
  <c r="K507" i="5"/>
  <c r="I577" i="5"/>
  <c r="I600" i="5"/>
  <c r="H665" i="5"/>
  <c r="H666" i="5"/>
  <c r="J564" i="5"/>
  <c r="K605" i="5"/>
  <c r="I697" i="5"/>
  <c r="G274" i="5"/>
  <c r="G275" i="5"/>
  <c r="G276" i="5"/>
  <c r="G277" i="5"/>
  <c r="G278" i="5"/>
  <c r="G279" i="5"/>
  <c r="G280" i="5"/>
  <c r="G281" i="5"/>
  <c r="G282" i="5"/>
  <c r="G283" i="5"/>
  <c r="G284" i="5"/>
  <c r="I599" i="5"/>
  <c r="J654" i="5"/>
  <c r="H660" i="5"/>
  <c r="I694" i="5"/>
  <c r="J704" i="5"/>
  <c r="J528" i="5"/>
  <c r="H538" i="5"/>
  <c r="I574" i="5"/>
  <c r="J594" i="5"/>
  <c r="O594" i="5" s="1"/>
  <c r="F1171" i="6" s="1"/>
  <c r="M1171" i="6" s="1"/>
  <c r="K607" i="5"/>
  <c r="P607" i="5" s="1"/>
  <c r="G1197" i="6" s="1"/>
  <c r="M1197" i="6" s="1"/>
  <c r="J608" i="5"/>
  <c r="J648" i="5"/>
  <c r="H661" i="5"/>
  <c r="J690" i="5"/>
  <c r="O690" i="5" s="1"/>
  <c r="F1363" i="6" s="1"/>
  <c r="M1363" i="6" s="1"/>
  <c r="K693" i="5"/>
  <c r="K703" i="5"/>
  <c r="P703" i="5" s="1"/>
  <c r="G1389" i="6" s="1"/>
  <c r="M1389" i="6" s="1"/>
  <c r="I521" i="5"/>
  <c r="N521" i="5" s="1"/>
  <c r="E1025" i="6" s="1"/>
  <c r="M1025" i="6" s="1"/>
  <c r="K537" i="5"/>
  <c r="O537" i="5" s="1"/>
  <c r="F1057" i="6" s="1"/>
  <c r="N1057" i="6" s="1"/>
  <c r="H658" i="5"/>
  <c r="H662" i="5"/>
  <c r="H663" i="5"/>
  <c r="H154" i="5"/>
  <c r="M154" i="5" s="1"/>
  <c r="D291" i="6" s="1"/>
  <c r="M291" i="6" s="1"/>
  <c r="H157" i="5"/>
  <c r="M157" i="5" s="1"/>
  <c r="D297" i="6" s="1"/>
  <c r="M297" i="6" s="1"/>
  <c r="H158" i="5"/>
  <c r="M158" i="5" s="1"/>
  <c r="D299" i="6" s="1"/>
  <c r="M299" i="6" s="1"/>
  <c r="H159" i="5"/>
  <c r="M159" i="5" s="1"/>
  <c r="D301" i="6" s="1"/>
  <c r="M301" i="6" s="1"/>
  <c r="I184" i="5"/>
  <c r="I185" i="5"/>
  <c r="J192" i="5"/>
  <c r="K195" i="5"/>
  <c r="J198" i="5"/>
  <c r="K201" i="5"/>
  <c r="I208" i="5"/>
  <c r="I209" i="5"/>
  <c r="J216" i="5"/>
  <c r="M216" i="5" s="1"/>
  <c r="D415" i="6" s="1"/>
  <c r="O415" i="6" s="1"/>
  <c r="K219" i="5"/>
  <c r="J222" i="5"/>
  <c r="K225" i="5"/>
  <c r="I232" i="5"/>
  <c r="H540" i="5"/>
  <c r="K573" i="5"/>
  <c r="I695" i="5"/>
  <c r="H155" i="5"/>
  <c r="M155" i="5" s="1"/>
  <c r="D293" i="6" s="1"/>
  <c r="M293" i="6" s="1"/>
  <c r="I233" i="5"/>
  <c r="J240" i="5"/>
  <c r="K243" i="5"/>
  <c r="J246" i="5"/>
  <c r="K249" i="5"/>
  <c r="G250" i="5"/>
  <c r="G251" i="5"/>
  <c r="G252" i="5"/>
  <c r="G253" i="5"/>
  <c r="G254" i="5"/>
  <c r="G255" i="5"/>
  <c r="G256" i="5"/>
  <c r="G257" i="5"/>
  <c r="G258" i="5"/>
  <c r="G259" i="5"/>
  <c r="G260" i="5"/>
  <c r="G261" i="5"/>
  <c r="G262" i="5"/>
  <c r="G263" i="5"/>
  <c r="G264" i="5"/>
  <c r="H156" i="5"/>
  <c r="M156" i="5" s="1"/>
  <c r="D295" i="6" s="1"/>
  <c r="M295" i="6" s="1"/>
  <c r="O200" i="5"/>
  <c r="F383" i="6" s="1"/>
  <c r="O383" i="6" s="1"/>
  <c r="O365" i="5"/>
  <c r="F713" i="6" s="1"/>
  <c r="K713" i="6" s="1"/>
  <c r="O599" i="5"/>
  <c r="F1181" i="6" s="1"/>
  <c r="K1181" i="6" s="1"/>
  <c r="O286" i="5"/>
  <c r="F555" i="6" s="1"/>
  <c r="K555" i="6" s="1"/>
  <c r="O245" i="5"/>
  <c r="F473" i="6" s="1"/>
  <c r="K473" i="6" s="1"/>
  <c r="O719" i="5"/>
  <c r="F1421" i="6" s="1"/>
  <c r="K1421" i="6" s="1"/>
  <c r="O544" i="5"/>
  <c r="F1071" i="6" s="1"/>
  <c r="K1071" i="6" s="1"/>
  <c r="O593" i="5"/>
  <c r="F1169" i="6" s="1"/>
  <c r="K1169" i="6" s="1"/>
  <c r="O557" i="5"/>
  <c r="F1097" i="6" s="1"/>
  <c r="K1097" i="6" s="1"/>
  <c r="O520" i="5"/>
  <c r="F1023" i="6" s="1"/>
  <c r="K1023" i="6" s="1"/>
  <c r="O352" i="5"/>
  <c r="F687" i="6" s="1"/>
  <c r="K687" i="6" s="1"/>
  <c r="O341" i="5"/>
  <c r="F665" i="6" s="1"/>
  <c r="K665" i="6" s="1"/>
  <c r="O328" i="5"/>
  <c r="F639" i="6" s="1"/>
  <c r="K639" i="6" s="1"/>
  <c r="O677" i="5"/>
  <c r="F1337" i="6" s="1"/>
  <c r="K1337" i="6" s="1"/>
  <c r="O292" i="5"/>
  <c r="F567" i="6" s="1"/>
  <c r="K567" i="6" s="1"/>
  <c r="O533" i="5"/>
  <c r="F1049" i="6" s="1"/>
  <c r="K1049" i="6" s="1"/>
  <c r="O232" i="5"/>
  <c r="F447" i="6" s="1"/>
  <c r="K447" i="6" s="1"/>
  <c r="O221" i="5"/>
  <c r="F425" i="6" s="1"/>
  <c r="K425" i="6" s="1"/>
  <c r="O208" i="5"/>
  <c r="F399" i="6" s="1"/>
  <c r="K399" i="6" s="1"/>
  <c r="O172" i="5"/>
  <c r="F327" i="6" s="1"/>
  <c r="K327" i="6" s="1"/>
  <c r="O166" i="5"/>
  <c r="F315" i="6" s="1"/>
  <c r="K315" i="6" s="1"/>
  <c r="O640" i="5"/>
  <c r="F1263" i="6" s="1"/>
  <c r="K1263" i="6" s="1"/>
  <c r="K643" i="5"/>
  <c r="K673" i="5"/>
  <c r="J698" i="5"/>
  <c r="L698" i="5" s="1"/>
  <c r="I701" i="5"/>
  <c r="H707" i="5"/>
  <c r="G493" i="5"/>
  <c r="G502" i="5"/>
  <c r="G504" i="5"/>
  <c r="G507" i="5"/>
  <c r="K649" i="5"/>
  <c r="I676" i="5"/>
  <c r="K697" i="5"/>
  <c r="P697" i="5" s="1"/>
  <c r="G1377" i="6" s="1"/>
  <c r="O1377" i="6" s="1"/>
  <c r="I700" i="5"/>
  <c r="H706" i="5"/>
  <c r="H708" i="5"/>
  <c r="G495" i="5"/>
  <c r="G496" i="5"/>
  <c r="G497" i="5"/>
  <c r="G506" i="5"/>
  <c r="J674" i="5"/>
  <c r="I677" i="5"/>
  <c r="J692" i="5"/>
  <c r="O692" i="5" s="1"/>
  <c r="F1367" i="6" s="1"/>
  <c r="O1367" i="6" s="1"/>
  <c r="J162" i="5"/>
  <c r="K165" i="5"/>
  <c r="I166" i="5"/>
  <c r="I167" i="5"/>
  <c r="K175" i="5"/>
  <c r="J176" i="5"/>
  <c r="J186" i="5"/>
  <c r="K189" i="5"/>
  <c r="K535" i="5"/>
  <c r="J560" i="5"/>
  <c r="N560" i="5" s="1"/>
  <c r="E1103" i="6" s="1"/>
  <c r="P1103" i="6" s="1"/>
  <c r="J596" i="5"/>
  <c r="O596" i="5" s="1"/>
  <c r="F1175" i="6" s="1"/>
  <c r="N1175" i="6" s="1"/>
  <c r="I604" i="5"/>
  <c r="K655" i="5"/>
  <c r="J666" i="5"/>
  <c r="O666" i="5" s="1"/>
  <c r="F1315" i="6" s="1"/>
  <c r="N1315" i="6" s="1"/>
  <c r="I670" i="5"/>
  <c r="K679" i="5"/>
  <c r="P679" i="5" s="1"/>
  <c r="G1341" i="6" s="1"/>
  <c r="N1341" i="6" s="1"/>
  <c r="J522" i="5"/>
  <c r="I526" i="5"/>
  <c r="I527" i="5"/>
  <c r="H562" i="5"/>
  <c r="I605" i="5"/>
  <c r="I646" i="5"/>
  <c r="N646" i="5" s="1"/>
  <c r="E1275" i="6" s="1"/>
  <c r="N1275" i="6" s="1"/>
  <c r="I671" i="5"/>
  <c r="H686" i="5"/>
  <c r="I550" i="5"/>
  <c r="K645" i="5"/>
  <c r="I647" i="5"/>
  <c r="N647" i="5" s="1"/>
  <c r="E1277" i="6" s="1"/>
  <c r="N1277" i="6" s="1"/>
  <c r="H687" i="5"/>
  <c r="I160" i="5"/>
  <c r="I161" i="5"/>
  <c r="J168" i="5"/>
  <c r="K171" i="5"/>
  <c r="J174" i="5"/>
  <c r="N174" i="5" s="1"/>
  <c r="E331" i="6" s="1"/>
  <c r="P331" i="6" s="1"/>
  <c r="K177" i="5"/>
  <c r="H178" i="5"/>
  <c r="M178" i="5" s="1"/>
  <c r="D339" i="6" s="1"/>
  <c r="N339" i="6" s="1"/>
  <c r="H179" i="5"/>
  <c r="H180" i="5"/>
  <c r="H181" i="5"/>
  <c r="H182" i="5"/>
  <c r="H183" i="5"/>
  <c r="M183" i="5" s="1"/>
  <c r="D349" i="6" s="1"/>
  <c r="N349" i="6" s="1"/>
  <c r="J210" i="5"/>
  <c r="K213" i="5"/>
  <c r="O213" i="5" s="1"/>
  <c r="F409" i="6" s="1"/>
  <c r="P409" i="6" s="1"/>
  <c r="I214" i="5"/>
  <c r="I215" i="5"/>
  <c r="K223" i="5"/>
  <c r="J224" i="5"/>
  <c r="N224" i="5" s="1"/>
  <c r="E431" i="6" s="1"/>
  <c r="P431" i="6" s="1"/>
  <c r="H565" i="5"/>
  <c r="H567" i="5"/>
  <c r="J602" i="5"/>
  <c r="H685" i="5"/>
  <c r="J234" i="5"/>
  <c r="K237" i="5"/>
  <c r="I238" i="5"/>
  <c r="I239" i="5"/>
  <c r="K247" i="5"/>
  <c r="J248" i="5"/>
  <c r="I280" i="5"/>
  <c r="N280" i="5" s="1"/>
  <c r="E543" i="6" s="1"/>
  <c r="N543" i="6" s="1"/>
  <c r="I281" i="5"/>
  <c r="N281" i="5" s="1"/>
  <c r="E545" i="6" s="1"/>
  <c r="N545" i="6" s="1"/>
  <c r="K715" i="5"/>
  <c r="K721" i="5"/>
  <c r="P721" i="5" s="1"/>
  <c r="G1425" i="6" s="1"/>
  <c r="N1425" i="6" s="1"/>
  <c r="I724" i="5"/>
  <c r="I725" i="5"/>
  <c r="J288" i="5"/>
  <c r="K291" i="5"/>
  <c r="J294" i="5"/>
  <c r="K297" i="5"/>
  <c r="H298" i="5"/>
  <c r="H299" i="5"/>
  <c r="H300" i="5"/>
  <c r="H301" i="5"/>
  <c r="H302" i="5"/>
  <c r="H303" i="5"/>
  <c r="J536" i="5"/>
  <c r="J546" i="5"/>
  <c r="O546" i="5" s="1"/>
  <c r="F1075" i="6" s="1"/>
  <c r="N1075" i="6" s="1"/>
  <c r="H563" i="5"/>
  <c r="K669" i="5"/>
  <c r="H683" i="5"/>
  <c r="J330" i="5"/>
  <c r="O330" i="5" s="1"/>
  <c r="F643" i="6" s="1"/>
  <c r="N643" i="6" s="1"/>
  <c r="K333" i="5"/>
  <c r="I334" i="5"/>
  <c r="I335" i="5"/>
  <c r="K343" i="5"/>
  <c r="P343" i="5" s="1"/>
  <c r="G669" i="6" s="1"/>
  <c r="N669" i="6" s="1"/>
  <c r="J344" i="5"/>
  <c r="J354" i="5"/>
  <c r="O354" i="5" s="1"/>
  <c r="F691" i="6" s="1"/>
  <c r="N691" i="6" s="1"/>
  <c r="K357" i="5"/>
  <c r="I358" i="5"/>
  <c r="I359" i="5"/>
  <c r="K367" i="5"/>
  <c r="P367" i="5" s="1"/>
  <c r="G717" i="6" s="1"/>
  <c r="N717" i="6" s="1"/>
  <c r="J368" i="5"/>
  <c r="G370" i="5"/>
  <c r="G371" i="5"/>
  <c r="G372" i="5"/>
  <c r="G373" i="5"/>
  <c r="G374" i="5"/>
  <c r="G375" i="5"/>
  <c r="G376" i="5"/>
  <c r="G377" i="5"/>
  <c r="G378" i="5"/>
  <c r="G379" i="5"/>
  <c r="G380" i="5"/>
  <c r="G381" i="5"/>
  <c r="G382" i="5"/>
  <c r="G383" i="5"/>
  <c r="G384" i="5"/>
  <c r="G385" i="5"/>
  <c r="G386" i="5"/>
  <c r="K549" i="5"/>
  <c r="J656" i="5"/>
  <c r="J680" i="5"/>
  <c r="G388" i="5"/>
  <c r="G390" i="5"/>
  <c r="G392" i="5"/>
  <c r="G393" i="5"/>
  <c r="I551" i="5"/>
  <c r="K601" i="5"/>
  <c r="P601" i="5" s="1"/>
  <c r="G1185" i="6" s="1"/>
  <c r="N1185" i="6" s="1"/>
  <c r="J642" i="5"/>
  <c r="G387" i="5"/>
  <c r="G389" i="5"/>
  <c r="G391" i="5"/>
  <c r="H566" i="5"/>
  <c r="H564" i="5"/>
  <c r="K525" i="5"/>
  <c r="K559" i="5"/>
  <c r="P559" i="5" s="1"/>
  <c r="G1101" i="6" s="1"/>
  <c r="N1101" i="6" s="1"/>
  <c r="K595" i="5"/>
  <c r="H682" i="5"/>
  <c r="J716" i="5"/>
  <c r="O716" i="5" s="1"/>
  <c r="F1415" i="6" s="1"/>
  <c r="N1415" i="6" s="1"/>
  <c r="J722" i="5"/>
  <c r="H684" i="5"/>
  <c r="J534" i="5"/>
  <c r="G265" i="5"/>
  <c r="G266" i="5"/>
  <c r="G267" i="5"/>
  <c r="L267" i="5" s="1"/>
  <c r="G268" i="5"/>
  <c r="G269" i="5"/>
  <c r="G270" i="5"/>
  <c r="G271" i="5"/>
  <c r="G272" i="5"/>
  <c r="G273" i="5"/>
  <c r="L273" i="5" s="1"/>
  <c r="K531" i="5"/>
  <c r="H539" i="5"/>
  <c r="H542" i="5"/>
  <c r="H543" i="5"/>
  <c r="I640" i="5"/>
  <c r="N640" i="5" s="1"/>
  <c r="E1263" i="6" s="1"/>
  <c r="M1263" i="6" s="1"/>
  <c r="I641" i="5"/>
  <c r="N641" i="5" s="1"/>
  <c r="E1265" i="6" s="1"/>
  <c r="M1265" i="6" s="1"/>
  <c r="H659" i="5"/>
  <c r="I400" i="5"/>
  <c r="N400" i="5" s="1"/>
  <c r="E783" i="6" s="1"/>
  <c r="M783" i="6" s="1"/>
  <c r="J408" i="5"/>
  <c r="K411" i="5"/>
  <c r="J414" i="5"/>
  <c r="K417" i="5"/>
  <c r="H418" i="5"/>
  <c r="H419" i="5"/>
  <c r="H420" i="5"/>
  <c r="H421" i="5"/>
  <c r="H422" i="5"/>
  <c r="H423" i="5"/>
  <c r="K651" i="5"/>
  <c r="K657" i="5"/>
  <c r="I401" i="5"/>
  <c r="N401" i="5" s="1"/>
  <c r="E785" i="6" s="1"/>
  <c r="M785" i="6" s="1"/>
  <c r="J450" i="5"/>
  <c r="O450" i="5" s="1"/>
  <c r="F883" i="6" s="1"/>
  <c r="M883" i="6" s="1"/>
  <c r="K453" i="5"/>
  <c r="I454" i="5"/>
  <c r="I455" i="5"/>
  <c r="I575" i="5"/>
  <c r="I598" i="5"/>
  <c r="K463" i="5"/>
  <c r="P463" i="5" s="1"/>
  <c r="G909" i="6" s="1"/>
  <c r="M909" i="6" s="1"/>
  <c r="J464" i="5"/>
  <c r="J474" i="5"/>
  <c r="O474" i="5" s="1"/>
  <c r="F931" i="6" s="1"/>
  <c r="M931" i="6" s="1"/>
  <c r="K477" i="5"/>
  <c r="I478" i="5"/>
  <c r="I479" i="5"/>
  <c r="K487" i="5"/>
  <c r="P487" i="5" s="1"/>
  <c r="G957" i="6" s="1"/>
  <c r="M957" i="6" s="1"/>
  <c r="J488" i="5"/>
  <c r="J570" i="5"/>
  <c r="O570" i="5" s="1"/>
  <c r="F1123" i="6" s="1"/>
  <c r="M1123" i="6" s="1"/>
  <c r="K583" i="5"/>
  <c r="P583" i="5" s="1"/>
  <c r="G1149" i="6" s="1"/>
  <c r="M1149" i="6" s="1"/>
  <c r="J584" i="5"/>
  <c r="I520" i="5"/>
  <c r="N520" i="5" s="1"/>
  <c r="E1023" i="6" s="1"/>
  <c r="M1023" i="6" s="1"/>
  <c r="H541" i="5"/>
  <c r="K597" i="5"/>
  <c r="J714" i="5"/>
  <c r="O714" i="5" s="1"/>
  <c r="F1411" i="6" s="1"/>
  <c r="M1411" i="6" s="1"/>
  <c r="K717" i="5"/>
  <c r="I718" i="5"/>
  <c r="I719" i="5"/>
  <c r="K727" i="5"/>
  <c r="P727" i="5" s="1"/>
  <c r="G1437" i="6" s="1"/>
  <c r="M1437" i="6" s="1"/>
  <c r="J728" i="5"/>
  <c r="O51" i="5"/>
  <c r="F85" i="6" s="1"/>
  <c r="P85" i="6" s="1"/>
  <c r="O93" i="5"/>
  <c r="F169" i="6" s="1"/>
  <c r="P169" i="6" s="1"/>
  <c r="O254" i="5"/>
  <c r="F491" i="6" s="1"/>
  <c r="P491" i="6" s="1"/>
  <c r="O267" i="5"/>
  <c r="F517" i="6" s="1"/>
  <c r="P517" i="6" s="1"/>
  <c r="O278" i="5"/>
  <c r="F539" i="6" s="1"/>
  <c r="P539" i="6" s="1"/>
  <c r="O327" i="5"/>
  <c r="F637" i="6" s="1"/>
  <c r="P637" i="6" s="1"/>
  <c r="O501" i="5"/>
  <c r="F985" i="6" s="1"/>
  <c r="P985" i="6" s="1"/>
  <c r="O543" i="5"/>
  <c r="F1069" i="6" s="1"/>
  <c r="P1069" i="6" s="1"/>
  <c r="O158" i="5"/>
  <c r="F299" i="6" s="1"/>
  <c r="P299" i="6" s="1"/>
  <c r="O351" i="5"/>
  <c r="F685" i="6" s="1"/>
  <c r="O685" i="6" s="1"/>
  <c r="N519" i="5"/>
  <c r="E1021" i="6" s="1"/>
  <c r="K1021" i="6" s="1"/>
  <c r="N278" i="5"/>
  <c r="E539" i="6" s="1"/>
  <c r="K539" i="6" s="1"/>
  <c r="O209" i="5"/>
  <c r="F401" i="6" s="1"/>
  <c r="K401" i="6" s="1"/>
  <c r="N155" i="5"/>
  <c r="E293" i="6" s="1"/>
  <c r="K293" i="6" s="1"/>
  <c r="O663" i="5"/>
  <c r="F1309" i="6" s="1"/>
  <c r="O1309" i="6" s="1"/>
  <c r="O12" i="5"/>
  <c r="F7" i="6" s="1"/>
  <c r="O7" i="6" s="1"/>
  <c r="O36" i="5"/>
  <c r="F55" i="6" s="1"/>
  <c r="O55" i="6" s="1"/>
  <c r="O57" i="5"/>
  <c r="F97" i="6" s="1"/>
  <c r="O97" i="6" s="1"/>
  <c r="O621" i="5"/>
  <c r="F1225" i="6" s="1"/>
  <c r="O1225" i="6" s="1"/>
  <c r="O33" i="5"/>
  <c r="F49" i="6" s="1"/>
  <c r="O49" i="6" s="1"/>
  <c r="O111" i="5"/>
  <c r="F205" i="6" s="1"/>
  <c r="O205" i="6" s="1"/>
  <c r="O117" i="5"/>
  <c r="F217" i="6" s="1"/>
  <c r="O217" i="6" s="1"/>
  <c r="O231" i="5"/>
  <c r="F445" i="6" s="1"/>
  <c r="O445" i="6" s="1"/>
  <c r="O132" i="5"/>
  <c r="F247" i="6" s="1"/>
  <c r="O247" i="6" s="1"/>
  <c r="O153" i="5"/>
  <c r="F289" i="6" s="1"/>
  <c r="O289" i="6" s="1"/>
  <c r="O156" i="5"/>
  <c r="F295" i="6" s="1"/>
  <c r="O295" i="6" s="1"/>
  <c r="O252" i="5"/>
  <c r="F487" i="6" s="1"/>
  <c r="O487" i="6" s="1"/>
  <c r="O273" i="5"/>
  <c r="F529" i="6" s="1"/>
  <c r="O529" i="6" s="1"/>
  <c r="O276" i="5"/>
  <c r="F535" i="6" s="1"/>
  <c r="O535" i="6" s="1"/>
  <c r="O615" i="5"/>
  <c r="F1213" i="6" s="1"/>
  <c r="O1213" i="6" s="1"/>
  <c r="N543" i="5"/>
  <c r="E1069" i="6" s="1"/>
  <c r="K1069" i="6" s="1"/>
  <c r="O425" i="5"/>
  <c r="F833" i="6" s="1"/>
  <c r="K833" i="6" s="1"/>
  <c r="O329" i="5"/>
  <c r="F641" i="6" s="1"/>
  <c r="K641" i="6" s="1"/>
  <c r="N327" i="5"/>
  <c r="E637" i="6" s="1"/>
  <c r="K637" i="6" s="1"/>
  <c r="O305" i="5"/>
  <c r="F593" i="6" s="1"/>
  <c r="K593" i="6" s="1"/>
  <c r="O287" i="5"/>
  <c r="F557" i="6" s="1"/>
  <c r="K557" i="6" s="1"/>
  <c r="O281" i="5"/>
  <c r="F545" i="6" s="1"/>
  <c r="K545" i="6" s="1"/>
  <c r="N207" i="5"/>
  <c r="E397" i="6" s="1"/>
  <c r="K397" i="6" s="1"/>
  <c r="O185" i="5"/>
  <c r="F353" i="6" s="1"/>
  <c r="K353" i="6" s="1"/>
  <c r="N275" i="5"/>
  <c r="E533" i="6" s="1"/>
  <c r="K533" i="6" s="1"/>
  <c r="O639" i="5"/>
  <c r="F1261" i="6" s="1"/>
  <c r="O1261" i="6" s="1"/>
  <c r="O37" i="5"/>
  <c r="F57" i="6" s="1"/>
  <c r="O57" i="6" s="1"/>
  <c r="N51" i="5"/>
  <c r="E85" i="6" s="1"/>
  <c r="O85" i="6" s="1"/>
  <c r="O13" i="5"/>
  <c r="F9" i="6" s="1"/>
  <c r="O9" i="6" s="1"/>
  <c r="N27" i="5"/>
  <c r="E37" i="6" s="1"/>
  <c r="O37" i="6" s="1"/>
  <c r="O133" i="5"/>
  <c r="F249" i="6" s="1"/>
  <c r="O249" i="6" s="1"/>
  <c r="O157" i="5"/>
  <c r="F297" i="6" s="1"/>
  <c r="O297" i="6" s="1"/>
  <c r="O253" i="5"/>
  <c r="F489" i="6" s="1"/>
  <c r="O489" i="6" s="1"/>
  <c r="N267" i="5"/>
  <c r="E517" i="6" s="1"/>
  <c r="O517" i="6" s="1"/>
  <c r="O277" i="5"/>
  <c r="F537" i="6" s="1"/>
  <c r="O537" i="6" s="1"/>
  <c r="N147" i="5"/>
  <c r="E277" i="6" s="1"/>
  <c r="O277" i="6" s="1"/>
  <c r="N158" i="5"/>
  <c r="E299" i="6" s="1"/>
  <c r="K299" i="6" s="1"/>
  <c r="O521" i="5"/>
  <c r="F1025" i="6" s="1"/>
  <c r="K1025" i="6" s="1"/>
  <c r="O401" i="5"/>
  <c r="F785" i="6" s="1"/>
  <c r="K785" i="6" s="1"/>
  <c r="O167" i="5"/>
  <c r="F317" i="6" s="1"/>
  <c r="K317" i="6" s="1"/>
  <c r="O161" i="5"/>
  <c r="F305" i="6" s="1"/>
  <c r="K305" i="6" s="1"/>
  <c r="O545" i="5"/>
  <c r="F1073" i="6" s="1"/>
  <c r="K1073" i="6" s="1"/>
  <c r="G628" i="5"/>
  <c r="G616" i="5"/>
  <c r="G613" i="5"/>
  <c r="J554" i="5"/>
  <c r="I532" i="5"/>
  <c r="H590" i="5"/>
  <c r="H589" i="5"/>
  <c r="H588" i="5"/>
  <c r="H587" i="5"/>
  <c r="H586" i="5"/>
  <c r="I581" i="5"/>
  <c r="I580" i="5"/>
  <c r="H471" i="5"/>
  <c r="H470" i="5"/>
  <c r="H469" i="5"/>
  <c r="H468" i="5"/>
  <c r="H467" i="5"/>
  <c r="H466" i="5"/>
  <c r="G627" i="5"/>
  <c r="G625" i="5"/>
  <c r="G622" i="5"/>
  <c r="G614" i="5"/>
  <c r="I461" i="5"/>
  <c r="I460" i="5"/>
  <c r="J458" i="5"/>
  <c r="K457" i="5"/>
  <c r="J452" i="5"/>
  <c r="K451" i="5"/>
  <c r="J404" i="5"/>
  <c r="K403" i="5"/>
  <c r="G630" i="5"/>
  <c r="G620" i="5"/>
  <c r="I437" i="5"/>
  <c r="I436" i="5"/>
  <c r="J434" i="5"/>
  <c r="K433" i="5"/>
  <c r="J428" i="5"/>
  <c r="O428" i="5" s="1"/>
  <c r="F839" i="6" s="1"/>
  <c r="P839" i="6" s="1"/>
  <c r="K427" i="5"/>
  <c r="I413" i="5"/>
  <c r="I412" i="5"/>
  <c r="J410" i="5"/>
  <c r="K409" i="5"/>
  <c r="G618" i="5"/>
  <c r="H351" i="5"/>
  <c r="H350" i="5"/>
  <c r="H349" i="5"/>
  <c r="H348" i="5"/>
  <c r="H347" i="5"/>
  <c r="H346" i="5"/>
  <c r="I341" i="5"/>
  <c r="I340" i="5"/>
  <c r="J338" i="5"/>
  <c r="K337" i="5"/>
  <c r="P337" i="5" s="1"/>
  <c r="G657" i="6" s="1"/>
  <c r="P657" i="6" s="1"/>
  <c r="J332" i="5"/>
  <c r="O332" i="5" s="1"/>
  <c r="F647" i="6" s="1"/>
  <c r="P647" i="6" s="1"/>
  <c r="K331" i="5"/>
  <c r="I317" i="5"/>
  <c r="I316" i="5"/>
  <c r="J314" i="5"/>
  <c r="K313" i="5"/>
  <c r="P313" i="5" s="1"/>
  <c r="G609" i="6" s="1"/>
  <c r="P609" i="6" s="1"/>
  <c r="G624" i="5"/>
  <c r="G619" i="5"/>
  <c r="G617" i="5"/>
  <c r="G610" i="5"/>
  <c r="K553" i="5"/>
  <c r="K547" i="5"/>
  <c r="J530" i="5"/>
  <c r="K523" i="5"/>
  <c r="J308" i="5"/>
  <c r="O308" i="5" s="1"/>
  <c r="F599" i="6" s="1"/>
  <c r="P599" i="6" s="1"/>
  <c r="K307" i="5"/>
  <c r="I293" i="5"/>
  <c r="N293" i="5" s="1"/>
  <c r="E569" i="6" s="1"/>
  <c r="P569" i="6" s="1"/>
  <c r="I292" i="5"/>
  <c r="N292" i="5" s="1"/>
  <c r="E567" i="6" s="1"/>
  <c r="P567" i="6" s="1"/>
  <c r="J290" i="5"/>
  <c r="K289" i="5"/>
  <c r="J284" i="5"/>
  <c r="K283" i="5"/>
  <c r="N283" i="5" s="1"/>
  <c r="E549" i="6" s="1"/>
  <c r="N549" i="6" s="1"/>
  <c r="G629" i="5"/>
  <c r="H591" i="5"/>
  <c r="I556" i="5"/>
  <c r="H231" i="5"/>
  <c r="M231" i="5" s="1"/>
  <c r="D445" i="6" s="1"/>
  <c r="P445" i="6" s="1"/>
  <c r="H230" i="5"/>
  <c r="H229" i="5"/>
  <c r="H228" i="5"/>
  <c r="H227" i="5"/>
  <c r="H226" i="5"/>
  <c r="I221" i="5"/>
  <c r="I220" i="5"/>
  <c r="J218" i="5"/>
  <c r="K217" i="5"/>
  <c r="J212" i="5"/>
  <c r="K211" i="5"/>
  <c r="I197" i="5"/>
  <c r="I196" i="5"/>
  <c r="J194" i="5"/>
  <c r="M194" i="5" s="1"/>
  <c r="D371" i="6" s="1"/>
  <c r="N371" i="6" s="1"/>
  <c r="K193" i="5"/>
  <c r="J188" i="5"/>
  <c r="K187" i="5"/>
  <c r="I173" i="5"/>
  <c r="I172" i="5"/>
  <c r="J170" i="5"/>
  <c r="M170" i="5" s="1"/>
  <c r="D323" i="6" s="1"/>
  <c r="M323" i="6" s="1"/>
  <c r="K169" i="5"/>
  <c r="M169" i="5" s="1"/>
  <c r="D321" i="6" s="1"/>
  <c r="M321" i="6" s="1"/>
  <c r="J164" i="5"/>
  <c r="K163" i="5"/>
  <c r="G631" i="5"/>
  <c r="G623" i="5"/>
  <c r="G611" i="5"/>
  <c r="I557" i="5"/>
  <c r="J548" i="5"/>
  <c r="O548" i="5" s="1"/>
  <c r="F1079" i="6" s="1"/>
  <c r="P1079" i="6" s="1"/>
  <c r="G632" i="5"/>
  <c r="G626" i="5"/>
  <c r="J578" i="5"/>
  <c r="J572" i="5"/>
  <c r="O572" i="5" s="1"/>
  <c r="F1127" i="6" s="1"/>
  <c r="P1127" i="6" s="1"/>
  <c r="K571" i="5"/>
  <c r="K529" i="5"/>
  <c r="G633" i="5"/>
  <c r="G621" i="5"/>
  <c r="G615" i="5"/>
  <c r="G612" i="5"/>
  <c r="K577" i="5"/>
  <c r="P577" i="5" s="1"/>
  <c r="G1137" i="6" s="1"/>
  <c r="P1137" i="6" s="1"/>
  <c r="I533" i="5"/>
  <c r="N533" i="5" s="1"/>
  <c r="E1049" i="6" s="1"/>
  <c r="P1049" i="6" s="1"/>
  <c r="J524" i="5"/>
  <c r="K421" i="5"/>
  <c r="G649" i="5"/>
  <c r="G647" i="5"/>
  <c r="G637" i="5"/>
  <c r="J506" i="5"/>
  <c r="K499" i="5"/>
  <c r="I583" i="5"/>
  <c r="I582" i="5"/>
  <c r="K575" i="5"/>
  <c r="K565" i="5"/>
  <c r="K541" i="5"/>
  <c r="I509" i="5"/>
  <c r="H477" i="5"/>
  <c r="H476" i="5"/>
  <c r="H475" i="5"/>
  <c r="H474" i="5"/>
  <c r="H473" i="5"/>
  <c r="H472" i="5"/>
  <c r="I463" i="5"/>
  <c r="G634" i="5"/>
  <c r="H597" i="5"/>
  <c r="J500" i="5"/>
  <c r="I462" i="5"/>
  <c r="J459" i="5"/>
  <c r="K455" i="5"/>
  <c r="J446" i="5"/>
  <c r="K445" i="5"/>
  <c r="I439" i="5"/>
  <c r="I438" i="5"/>
  <c r="I389" i="5"/>
  <c r="J386" i="5"/>
  <c r="G639" i="5"/>
  <c r="J435" i="5"/>
  <c r="K431" i="5"/>
  <c r="J422" i="5"/>
  <c r="I388" i="5"/>
  <c r="G646" i="5"/>
  <c r="G643" i="5"/>
  <c r="H594" i="5"/>
  <c r="I508" i="5"/>
  <c r="K385" i="5"/>
  <c r="J380" i="5"/>
  <c r="K379" i="5"/>
  <c r="H357" i="5"/>
  <c r="H356" i="5"/>
  <c r="H355" i="5"/>
  <c r="H354" i="5"/>
  <c r="H353" i="5"/>
  <c r="H352" i="5"/>
  <c r="I343" i="5"/>
  <c r="I342" i="5"/>
  <c r="J339" i="5"/>
  <c r="K335" i="5"/>
  <c r="J326" i="5"/>
  <c r="K325" i="5"/>
  <c r="I319" i="5"/>
  <c r="I318" i="5"/>
  <c r="J315" i="5"/>
  <c r="K311" i="5"/>
  <c r="G657" i="5"/>
  <c r="G654" i="5"/>
  <c r="G650" i="5"/>
  <c r="G636" i="5"/>
  <c r="H595" i="5"/>
  <c r="J566" i="5"/>
  <c r="I559" i="5"/>
  <c r="J302" i="5"/>
  <c r="K301" i="5"/>
  <c r="I269" i="5"/>
  <c r="I268" i="5"/>
  <c r="J266" i="5"/>
  <c r="K265" i="5"/>
  <c r="J260" i="5"/>
  <c r="K259" i="5"/>
  <c r="G655" i="5"/>
  <c r="G651" i="5"/>
  <c r="G648" i="5"/>
  <c r="G641" i="5"/>
  <c r="G640" i="5"/>
  <c r="H593" i="5"/>
  <c r="J555" i="5"/>
  <c r="K551" i="5"/>
  <c r="G644" i="5"/>
  <c r="G638" i="5"/>
  <c r="H592" i="5"/>
  <c r="H111" i="5"/>
  <c r="H110" i="5"/>
  <c r="H109" i="5"/>
  <c r="H108" i="5"/>
  <c r="H107" i="5"/>
  <c r="H106" i="5"/>
  <c r="I101" i="5"/>
  <c r="I100" i="5"/>
  <c r="J98" i="5"/>
  <c r="K97" i="5"/>
  <c r="J92" i="5"/>
  <c r="K91" i="5"/>
  <c r="G656" i="5"/>
  <c r="G653" i="5"/>
  <c r="G645" i="5"/>
  <c r="H596" i="5"/>
  <c r="J579" i="5"/>
  <c r="I77" i="5"/>
  <c r="I76" i="5"/>
  <c r="J74" i="5"/>
  <c r="K73" i="5"/>
  <c r="J68" i="5"/>
  <c r="K67" i="5"/>
  <c r="I53" i="5"/>
  <c r="I52" i="5"/>
  <c r="J50" i="5"/>
  <c r="K49" i="5"/>
  <c r="J44" i="5"/>
  <c r="K43" i="5"/>
  <c r="G652" i="5"/>
  <c r="G642" i="5"/>
  <c r="G635" i="5"/>
  <c r="I558" i="5"/>
  <c r="J542" i="5"/>
  <c r="K505" i="5"/>
  <c r="K729" i="5"/>
  <c r="J726" i="5"/>
  <c r="L726" i="5" s="1"/>
  <c r="K723" i="5"/>
  <c r="J720" i="5"/>
  <c r="I713" i="5"/>
  <c r="I712" i="5"/>
  <c r="H635" i="5"/>
  <c r="K561" i="5"/>
  <c r="K555" i="5"/>
  <c r="P555" i="5" s="1"/>
  <c r="G1093" i="6" s="1"/>
  <c r="L1093" i="6" s="1"/>
  <c r="K585" i="5"/>
  <c r="J582" i="5"/>
  <c r="O582" i="5" s="1"/>
  <c r="F1147" i="6" s="1"/>
  <c r="L1147" i="6" s="1"/>
  <c r="K579" i="5"/>
  <c r="P579" i="5" s="1"/>
  <c r="G1141" i="6" s="1"/>
  <c r="L1141" i="6" s="1"/>
  <c r="J486" i="5"/>
  <c r="K483" i="5"/>
  <c r="J480" i="5"/>
  <c r="I473" i="5"/>
  <c r="I472" i="5"/>
  <c r="K465" i="5"/>
  <c r="J606" i="5"/>
  <c r="I592" i="5"/>
  <c r="J558" i="5"/>
  <c r="O558" i="5" s="1"/>
  <c r="F1099" i="6" s="1"/>
  <c r="L1099" i="6" s="1"/>
  <c r="J462" i="5"/>
  <c r="O462" i="5" s="1"/>
  <c r="F907" i="6" s="1"/>
  <c r="L907" i="6" s="1"/>
  <c r="K459" i="5"/>
  <c r="P459" i="5" s="1"/>
  <c r="G901" i="6" s="1"/>
  <c r="L901" i="6" s="1"/>
  <c r="J456" i="5"/>
  <c r="I449" i="5"/>
  <c r="I448" i="5"/>
  <c r="K441" i="5"/>
  <c r="J438" i="5"/>
  <c r="O438" i="5" s="1"/>
  <c r="F859" i="6" s="1"/>
  <c r="L859" i="6" s="1"/>
  <c r="H399" i="5"/>
  <c r="H398" i="5"/>
  <c r="H397" i="5"/>
  <c r="H395" i="5"/>
  <c r="G131" i="5"/>
  <c r="I544" i="5"/>
  <c r="H516" i="5"/>
  <c r="K435" i="5"/>
  <c r="P435" i="5" s="1"/>
  <c r="G853" i="6" s="1"/>
  <c r="L853" i="6" s="1"/>
  <c r="J432" i="5"/>
  <c r="I425" i="5"/>
  <c r="I424" i="5"/>
  <c r="H396" i="5"/>
  <c r="H394" i="5"/>
  <c r="G132" i="5"/>
  <c r="G130" i="5"/>
  <c r="K609" i="5"/>
  <c r="K603" i="5"/>
  <c r="I569" i="5"/>
  <c r="K369" i="5"/>
  <c r="J366" i="5"/>
  <c r="K363" i="5"/>
  <c r="J360" i="5"/>
  <c r="I353" i="5"/>
  <c r="N353" i="5" s="1"/>
  <c r="E689" i="6" s="1"/>
  <c r="L689" i="6" s="1"/>
  <c r="I352" i="5"/>
  <c r="N352" i="5" s="1"/>
  <c r="E687" i="6" s="1"/>
  <c r="L687" i="6" s="1"/>
  <c r="K345" i="5"/>
  <c r="J342" i="5"/>
  <c r="O342" i="5" s="1"/>
  <c r="F667" i="6" s="1"/>
  <c r="L667" i="6" s="1"/>
  <c r="K339" i="5"/>
  <c r="P339" i="5" s="1"/>
  <c r="G661" i="6" s="1"/>
  <c r="L661" i="6" s="1"/>
  <c r="J336" i="5"/>
  <c r="I329" i="5"/>
  <c r="I328" i="5"/>
  <c r="K321" i="5"/>
  <c r="J318" i="5"/>
  <c r="O318" i="5" s="1"/>
  <c r="F619" i="6" s="1"/>
  <c r="L619" i="6" s="1"/>
  <c r="K315" i="5"/>
  <c r="P315" i="5" s="1"/>
  <c r="G613" i="6" s="1"/>
  <c r="L613" i="6" s="1"/>
  <c r="J312" i="5"/>
  <c r="G146" i="5"/>
  <c r="G143" i="5"/>
  <c r="G138" i="5"/>
  <c r="K681" i="5"/>
  <c r="J672" i="5"/>
  <c r="H634" i="5"/>
  <c r="I593" i="5"/>
  <c r="N593" i="5" s="1"/>
  <c r="E1169" i="6" s="1"/>
  <c r="L1169" i="6" s="1"/>
  <c r="I545" i="5"/>
  <c r="H519" i="5"/>
  <c r="H518" i="5"/>
  <c r="I305" i="5"/>
  <c r="I304" i="5"/>
  <c r="H279" i="5"/>
  <c r="H278" i="5"/>
  <c r="H277" i="5"/>
  <c r="H276" i="5"/>
  <c r="H275" i="5"/>
  <c r="H274" i="5"/>
  <c r="G152" i="5"/>
  <c r="G151" i="5"/>
  <c r="G149" i="5"/>
  <c r="G148" i="5"/>
  <c r="G147" i="5"/>
  <c r="L147" i="5" s="1"/>
  <c r="G145" i="5"/>
  <c r="G144" i="5"/>
  <c r="G141" i="5"/>
  <c r="G139" i="5"/>
  <c r="L139" i="5" s="1"/>
  <c r="G137" i="5"/>
  <c r="G136" i="5"/>
  <c r="G135" i="5"/>
  <c r="G134" i="5"/>
  <c r="J696" i="5"/>
  <c r="I665" i="5"/>
  <c r="H636" i="5"/>
  <c r="J576" i="5"/>
  <c r="I568" i="5"/>
  <c r="J552" i="5"/>
  <c r="H514" i="5"/>
  <c r="K489" i="5"/>
  <c r="G153" i="5"/>
  <c r="L153" i="5" s="1"/>
  <c r="G150" i="5"/>
  <c r="G142" i="5"/>
  <c r="G140" i="5"/>
  <c r="G133" i="5"/>
  <c r="I688" i="5"/>
  <c r="I664" i="5"/>
  <c r="H517" i="5"/>
  <c r="J702" i="5"/>
  <c r="K699" i="5"/>
  <c r="H515" i="5"/>
  <c r="K705" i="5"/>
  <c r="I689" i="5"/>
  <c r="J678" i="5"/>
  <c r="K675" i="5"/>
  <c r="H639" i="5"/>
  <c r="M639" i="5" s="1"/>
  <c r="D1261" i="6" s="1"/>
  <c r="L1261" i="6" s="1"/>
  <c r="H638" i="5"/>
  <c r="H637" i="5"/>
  <c r="J600" i="5"/>
  <c r="O495" i="5"/>
  <c r="F973" i="6" s="1"/>
  <c r="P973" i="6" s="1"/>
  <c r="O147" i="5"/>
  <c r="F277" i="6" s="1"/>
  <c r="P277" i="6" s="1"/>
  <c r="O134" i="5"/>
  <c r="F251" i="6" s="1"/>
  <c r="P251" i="6" s="1"/>
  <c r="N33" i="5"/>
  <c r="E49" i="6" s="1"/>
  <c r="P49" i="6" s="1"/>
  <c r="O39" i="5"/>
  <c r="F61" i="6" s="1"/>
  <c r="P61" i="6" s="1"/>
  <c r="O15" i="5"/>
  <c r="F13" i="6" s="1"/>
  <c r="P13" i="6" s="1"/>
  <c r="O159" i="5"/>
  <c r="F301" i="6" s="1"/>
  <c r="P301" i="6" s="1"/>
  <c r="N200" i="5"/>
  <c r="E383" i="6" s="1"/>
  <c r="P383" i="6" s="1"/>
  <c r="O255" i="5"/>
  <c r="F493" i="6" s="1"/>
  <c r="P493" i="6" s="1"/>
  <c r="N16" i="5"/>
  <c r="E15" i="6" s="1"/>
  <c r="N15" i="6" s="1"/>
  <c r="O108" i="5"/>
  <c r="F199" i="6" s="1"/>
  <c r="N199" i="6" s="1"/>
  <c r="N136" i="5"/>
  <c r="E255" i="6" s="1"/>
  <c r="N255" i="6" s="1"/>
  <c r="O10" i="5"/>
  <c r="F3" i="6" s="1"/>
  <c r="N3" i="6" s="1"/>
  <c r="O34" i="5"/>
  <c r="F51" i="6" s="1"/>
  <c r="N51" i="6" s="1"/>
  <c r="N139" i="5"/>
  <c r="E261" i="6" s="1"/>
  <c r="N261" i="6" s="1"/>
  <c r="O154" i="5"/>
  <c r="F291" i="6" s="1"/>
  <c r="N291" i="6" s="1"/>
  <c r="O250" i="5"/>
  <c r="F483" i="6" s="1"/>
  <c r="N483" i="6" s="1"/>
  <c r="O274" i="5"/>
  <c r="F531" i="6" s="1"/>
  <c r="N531" i="6" s="1"/>
  <c r="O130" i="5"/>
  <c r="F243" i="6" s="1"/>
  <c r="N243" i="6" s="1"/>
  <c r="O11" i="5"/>
  <c r="F5" i="6" s="1"/>
  <c r="N5" i="6" s="1"/>
  <c r="O35" i="5"/>
  <c r="F53" i="6" s="1"/>
  <c r="N53" i="6" s="1"/>
  <c r="M200" i="5"/>
  <c r="D383" i="6" s="1"/>
  <c r="N383" i="6" s="1"/>
  <c r="O155" i="5"/>
  <c r="F293" i="6" s="1"/>
  <c r="N293" i="6" s="1"/>
  <c r="O251" i="5"/>
  <c r="F485" i="6" s="1"/>
  <c r="N485" i="6" s="1"/>
  <c r="O275" i="5"/>
  <c r="F533" i="6" s="1"/>
  <c r="N533" i="6" s="1"/>
  <c r="O131" i="5"/>
  <c r="F245" i="6" s="1"/>
  <c r="N245" i="6" s="1"/>
  <c r="O353" i="5"/>
  <c r="F689" i="6" s="1"/>
  <c r="K689" i="6" s="1"/>
  <c r="O293" i="5"/>
  <c r="F569" i="6" s="1"/>
  <c r="K569" i="6" s="1"/>
  <c r="N277" i="5"/>
  <c r="E537" i="6" s="1"/>
  <c r="K537" i="6" s="1"/>
  <c r="M267" i="5"/>
  <c r="D517" i="6" s="1"/>
  <c r="K517" i="6" s="1"/>
  <c r="O233" i="5"/>
  <c r="F449" i="6" s="1"/>
  <c r="K449" i="6" s="1"/>
  <c r="N231" i="5"/>
  <c r="E445" i="6" s="1"/>
  <c r="K445" i="6" s="1"/>
  <c r="O184" i="5"/>
  <c r="F351" i="6" s="1"/>
  <c r="K351" i="6" s="1"/>
  <c r="O173" i="5"/>
  <c r="F329" i="6" s="1"/>
  <c r="K329" i="6" s="1"/>
  <c r="O160" i="5"/>
  <c r="F303" i="6" s="1"/>
  <c r="K303" i="6" s="1"/>
  <c r="N157" i="5"/>
  <c r="E297" i="6" s="1"/>
  <c r="K297" i="6" s="1"/>
  <c r="N156" i="5"/>
  <c r="E295" i="6" s="1"/>
  <c r="K295" i="6" s="1"/>
  <c r="M147" i="5"/>
  <c r="D277" i="6" s="1"/>
  <c r="K277" i="6" s="1"/>
  <c r="O647" i="5"/>
  <c r="F1277" i="6" s="1"/>
  <c r="K1277" i="6" s="1"/>
  <c r="N639" i="5"/>
  <c r="E1261" i="6" s="1"/>
  <c r="K1261" i="6" s="1"/>
  <c r="O665" i="5"/>
  <c r="F1313" i="6" s="1"/>
  <c r="K1313" i="6" s="1"/>
  <c r="M139" i="5"/>
  <c r="D261" i="6" s="1"/>
  <c r="K261" i="6" s="1"/>
  <c r="N274" i="5"/>
  <c r="E531" i="6" s="1"/>
  <c r="K531" i="6" s="1"/>
  <c r="N154" i="5"/>
  <c r="E291" i="6" s="1"/>
  <c r="K291" i="6" s="1"/>
  <c r="O16" i="5"/>
  <c r="F15" i="6" s="1"/>
  <c r="M15" i="6" s="1"/>
  <c r="O58" i="5"/>
  <c r="F99" i="6" s="1"/>
  <c r="M99" i="6" s="1"/>
  <c r="N12" i="5"/>
  <c r="E7" i="6" s="1"/>
  <c r="M7" i="6" s="1"/>
  <c r="O29" i="5"/>
  <c r="F41" i="6" s="1"/>
  <c r="M41" i="6" s="1"/>
  <c r="O107" i="5"/>
  <c r="F197" i="6" s="1"/>
  <c r="M197" i="6" s="1"/>
  <c r="N117" i="5"/>
  <c r="E217" i="6" s="1"/>
  <c r="M217" i="6" s="1"/>
  <c r="O149" i="5"/>
  <c r="F281" i="6" s="1"/>
  <c r="M281" i="6" s="1"/>
  <c r="O199" i="5"/>
  <c r="F381" i="6" s="1"/>
  <c r="M381" i="6" s="1"/>
  <c r="O136" i="5"/>
  <c r="F255" i="6" s="1"/>
  <c r="M255" i="6" s="1"/>
  <c r="M153" i="5"/>
  <c r="D289" i="6" s="1"/>
  <c r="K289" i="6" s="1"/>
  <c r="O370" i="5"/>
  <c r="F723" i="6" s="1"/>
  <c r="M723" i="6" s="1"/>
  <c r="N399" i="5"/>
  <c r="E781" i="6" s="1"/>
  <c r="K781" i="6" s="1"/>
  <c r="N279" i="5"/>
  <c r="E541" i="6" s="1"/>
  <c r="K541" i="6" s="1"/>
  <c r="M273" i="5"/>
  <c r="D529" i="6" s="1"/>
  <c r="K529" i="6" s="1"/>
  <c r="M151" i="5"/>
  <c r="D285" i="6" s="1"/>
  <c r="K285" i="6" s="1"/>
  <c r="N183" i="5"/>
  <c r="E349" i="6" s="1"/>
  <c r="K349" i="6" s="1"/>
  <c r="N159" i="5"/>
  <c r="E301" i="6" s="1"/>
  <c r="K301" i="6" s="1"/>
  <c r="N663" i="5"/>
  <c r="E1309" i="6" s="1"/>
  <c r="K1309" i="6" s="1"/>
  <c r="O641" i="5"/>
  <c r="F1265" i="6" s="1"/>
  <c r="K1265" i="6" s="1"/>
  <c r="O400" i="5"/>
  <c r="F783" i="6" s="1"/>
  <c r="K783" i="6" s="1"/>
  <c r="O424" i="5"/>
  <c r="F831" i="6" s="1"/>
  <c r="K831" i="6" s="1"/>
  <c r="N351" i="5"/>
  <c r="E685" i="6" s="1"/>
  <c r="K685" i="6" s="1"/>
  <c r="O304" i="5"/>
  <c r="F591" i="6" s="1"/>
  <c r="K591" i="6" s="1"/>
  <c r="O280" i="5"/>
  <c r="F543" i="6" s="1"/>
  <c r="K543" i="6" s="1"/>
  <c r="N276" i="5"/>
  <c r="E535" i="6" s="1"/>
  <c r="K535" i="6" s="1"/>
  <c r="M136" i="5"/>
  <c r="D255" i="6" s="1"/>
  <c r="K255" i="6" s="1"/>
  <c r="O664" i="5"/>
  <c r="F1311" i="6" s="1"/>
  <c r="K1311" i="6" s="1"/>
  <c r="O14" i="5"/>
  <c r="F11" i="6" s="1"/>
  <c r="P11" i="6" s="1"/>
  <c r="O27" i="5"/>
  <c r="F37" i="6" s="1"/>
  <c r="P37" i="6" s="1"/>
  <c r="N31" i="5"/>
  <c r="E45" i="6" s="1"/>
  <c r="P45" i="6" s="1"/>
  <c r="O38" i="5"/>
  <c r="F59" i="6" s="1"/>
  <c r="P59" i="6" s="1"/>
  <c r="O87" i="5"/>
  <c r="F157" i="6" s="1"/>
  <c r="P157" i="6" s="1"/>
  <c r="O519" i="5"/>
  <c r="F1021" i="6" s="1"/>
  <c r="P1021" i="6" s="1"/>
  <c r="O207" i="5"/>
  <c r="F397" i="6" s="1"/>
  <c r="P397" i="6" s="1"/>
  <c r="N57" i="5"/>
  <c r="E97" i="6" s="1"/>
  <c r="P97" i="6" s="1"/>
  <c r="N153" i="5"/>
  <c r="E289" i="6" s="1"/>
  <c r="P289" i="6" s="1"/>
  <c r="O183" i="5"/>
  <c r="F349" i="6" s="1"/>
  <c r="P349" i="6" s="1"/>
  <c r="N273" i="5"/>
  <c r="E529" i="6" s="1"/>
  <c r="P529" i="6" s="1"/>
  <c r="O279" i="5"/>
  <c r="F541" i="6" s="1"/>
  <c r="P541" i="6" s="1"/>
  <c r="O135" i="5"/>
  <c r="F253" i="6" s="1"/>
  <c r="P253" i="6" s="1"/>
  <c r="O399" i="5"/>
  <c r="F781" i="6" s="1"/>
  <c r="P781" i="6" s="1"/>
  <c r="N180" i="5" l="1"/>
  <c r="E343" i="6" s="1"/>
  <c r="K343" i="6" s="1"/>
  <c r="M143" i="5"/>
  <c r="D269" i="6" s="1"/>
  <c r="K269" i="6" s="1"/>
  <c r="N29" i="5"/>
  <c r="E41" i="6" s="1"/>
  <c r="P41" i="6" s="1"/>
  <c r="O201" i="5"/>
  <c r="F385" i="6" s="1"/>
  <c r="O385" i="6" s="1"/>
  <c r="L261" i="5"/>
  <c r="C505" i="6" s="1"/>
  <c r="M505" i="6" s="1"/>
  <c r="L701" i="5"/>
  <c r="C1385" i="6" s="1"/>
  <c r="P1385" i="6" s="1"/>
  <c r="L507" i="5"/>
  <c r="C997" i="6" s="1"/>
  <c r="O997" i="6" s="1"/>
  <c r="L584" i="5"/>
  <c r="C1151" i="6" s="1"/>
  <c r="O1151" i="6" s="1"/>
  <c r="M719" i="5"/>
  <c r="D1421" i="6" s="1"/>
  <c r="O1421" i="6" s="1"/>
  <c r="M228" i="5"/>
  <c r="D439" i="6" s="1"/>
  <c r="P439" i="6" s="1"/>
  <c r="N473" i="5"/>
  <c r="E929" i="6" s="1"/>
  <c r="L929" i="6" s="1"/>
  <c r="N472" i="5"/>
  <c r="E927" i="6" s="1"/>
  <c r="L927" i="6" s="1"/>
  <c r="M637" i="5"/>
  <c r="D1257" i="6" s="1"/>
  <c r="L1257" i="6" s="1"/>
  <c r="L345" i="5"/>
  <c r="C673" i="6" s="1"/>
  <c r="M673" i="6" s="1"/>
  <c r="L336" i="5"/>
  <c r="C655" i="6" s="1"/>
  <c r="M655" i="6" s="1"/>
  <c r="L151" i="5"/>
  <c r="L141" i="5"/>
  <c r="C265" i="6" s="1"/>
  <c r="L265" i="6" s="1"/>
  <c r="L136" i="5"/>
  <c r="L133" i="5"/>
  <c r="C249" i="6" s="1"/>
  <c r="L249" i="6" s="1"/>
  <c r="L688" i="5"/>
  <c r="C1359" i="6" s="1"/>
  <c r="P1359" i="6" s="1"/>
  <c r="O472" i="5"/>
  <c r="F927" i="6" s="1"/>
  <c r="K927" i="6" s="1"/>
  <c r="P472" i="5"/>
  <c r="G927" i="6" s="1"/>
  <c r="M927" i="6" s="1"/>
  <c r="L51" i="5"/>
  <c r="M51" i="5"/>
  <c r="D85" i="6" s="1"/>
  <c r="M85" i="6" s="1"/>
  <c r="N178" i="5"/>
  <c r="E339" i="6" s="1"/>
  <c r="K339" i="6" s="1"/>
  <c r="O178" i="5"/>
  <c r="F339" i="6" s="1"/>
  <c r="M339" i="6" s="1"/>
  <c r="O196" i="5"/>
  <c r="F375" i="6" s="1"/>
  <c r="K375" i="6" s="1"/>
  <c r="P196" i="5"/>
  <c r="G375" i="6" s="1"/>
  <c r="M375" i="6" s="1"/>
  <c r="O688" i="5"/>
  <c r="F1359" i="6" s="1"/>
  <c r="K1359" i="6" s="1"/>
  <c r="P688" i="5"/>
  <c r="G1359" i="6" s="1"/>
  <c r="M1359" i="6" s="1"/>
  <c r="O238" i="5"/>
  <c r="F459" i="6" s="1"/>
  <c r="K459" i="6" s="1"/>
  <c r="P238" i="5"/>
  <c r="G459" i="6" s="1"/>
  <c r="M459" i="6" s="1"/>
  <c r="P109" i="5"/>
  <c r="G201" i="6" s="1"/>
  <c r="O201" i="6" s="1"/>
  <c r="O109" i="5"/>
  <c r="F201" i="6" s="1"/>
  <c r="N201" i="6" s="1"/>
  <c r="P151" i="5"/>
  <c r="G285" i="6" s="1"/>
  <c r="O285" i="6" s="1"/>
  <c r="N151" i="5"/>
  <c r="E285" i="6" s="1"/>
  <c r="P285" i="6" s="1"/>
  <c r="P197" i="5"/>
  <c r="G377" i="6" s="1"/>
  <c r="O377" i="6" s="1"/>
  <c r="O197" i="5"/>
  <c r="F377" i="6" s="1"/>
  <c r="K377" i="6" s="1"/>
  <c r="O141" i="5"/>
  <c r="F265" i="6" s="1"/>
  <c r="P265" i="6" s="1"/>
  <c r="N141" i="5"/>
  <c r="E265" i="6" s="1"/>
  <c r="N265" i="6" s="1"/>
  <c r="P239" i="5"/>
  <c r="G461" i="6" s="1"/>
  <c r="O461" i="6" s="1"/>
  <c r="O239" i="5"/>
  <c r="F461" i="6" s="1"/>
  <c r="K461" i="6" s="1"/>
  <c r="P689" i="5"/>
  <c r="G1361" i="6" s="1"/>
  <c r="O1361" i="6" s="1"/>
  <c r="O689" i="5"/>
  <c r="F1361" i="6" s="1"/>
  <c r="K1361" i="6" s="1"/>
  <c r="P473" i="5"/>
  <c r="G929" i="6" s="1"/>
  <c r="O929" i="6" s="1"/>
  <c r="O473" i="5"/>
  <c r="F929" i="6" s="1"/>
  <c r="K929" i="6" s="1"/>
  <c r="P637" i="5"/>
  <c r="G1257" i="6" s="1"/>
  <c r="O1257" i="6" s="1"/>
  <c r="N637" i="5"/>
  <c r="E1257" i="6" s="1"/>
  <c r="K1257" i="6" s="1"/>
  <c r="O637" i="5"/>
  <c r="F1257" i="6" s="1"/>
  <c r="N1257" i="6" s="1"/>
  <c r="P613" i="5"/>
  <c r="G1209" i="6" s="1"/>
  <c r="O1209" i="6" s="1"/>
  <c r="O613" i="5"/>
  <c r="F1209" i="6" s="1"/>
  <c r="N1209" i="6" s="1"/>
  <c r="P21" i="5"/>
  <c r="G25" i="6" s="1"/>
  <c r="O25" i="6" s="1"/>
  <c r="O21" i="5"/>
  <c r="F25" i="6" s="1"/>
  <c r="P25" i="6" s="1"/>
  <c r="N21" i="5"/>
  <c r="E25" i="6" s="1"/>
  <c r="N25" i="6" s="1"/>
  <c r="P63" i="5"/>
  <c r="G109" i="6" s="1"/>
  <c r="O109" i="6" s="1"/>
  <c r="O63" i="5"/>
  <c r="F109" i="6" s="1"/>
  <c r="P109" i="6" s="1"/>
  <c r="P229" i="5"/>
  <c r="G441" i="6" s="1"/>
  <c r="O441" i="6" s="1"/>
  <c r="O229" i="5"/>
  <c r="F441" i="6" s="1"/>
  <c r="N441" i="6" s="1"/>
  <c r="N229" i="5"/>
  <c r="E441" i="6" s="1"/>
  <c r="K441" i="6" s="1"/>
  <c r="P375" i="5"/>
  <c r="G733" i="6" s="1"/>
  <c r="O733" i="6" s="1"/>
  <c r="O375" i="5"/>
  <c r="F733" i="6" s="1"/>
  <c r="P733" i="6" s="1"/>
  <c r="P413" i="5"/>
  <c r="G809" i="6" s="1"/>
  <c r="O809" i="6" s="1"/>
  <c r="O413" i="5"/>
  <c r="F809" i="6" s="1"/>
  <c r="K809" i="6" s="1"/>
  <c r="N17" i="5"/>
  <c r="E17" i="6" s="1"/>
  <c r="N17" i="6" s="1"/>
  <c r="O17" i="5"/>
  <c r="F17" i="6" s="1"/>
  <c r="M17" i="6" s="1"/>
  <c r="N204" i="5"/>
  <c r="E391" i="6" s="1"/>
  <c r="K391" i="6" s="1"/>
  <c r="M204" i="5"/>
  <c r="D391" i="6" s="1"/>
  <c r="O391" i="6" s="1"/>
  <c r="P359" i="5"/>
  <c r="G701" i="6" s="1"/>
  <c r="O701" i="6" s="1"/>
  <c r="O359" i="5"/>
  <c r="F701" i="6" s="1"/>
  <c r="K701" i="6" s="1"/>
  <c r="P479" i="5"/>
  <c r="G941" i="6" s="1"/>
  <c r="O941" i="6" s="1"/>
  <c r="O479" i="5"/>
  <c r="F941" i="6" s="1"/>
  <c r="K941" i="6" s="1"/>
  <c r="O627" i="5"/>
  <c r="F1237" i="6" s="1"/>
  <c r="O1237" i="6" s="1"/>
  <c r="M627" i="5"/>
  <c r="D1237" i="6" s="1"/>
  <c r="K1237" i="6" s="1"/>
  <c r="O638" i="5"/>
  <c r="F1259" i="6" s="1"/>
  <c r="O1259" i="6" s="1"/>
  <c r="N23" i="5"/>
  <c r="E29" i="6" s="1"/>
  <c r="O29" i="6" s="1"/>
  <c r="O32" i="5"/>
  <c r="F47" i="6" s="1"/>
  <c r="O47" i="6" s="1"/>
  <c r="O60" i="5"/>
  <c r="F103" i="6" s="1"/>
  <c r="O103" i="6" s="1"/>
  <c r="O152" i="5"/>
  <c r="F287" i="6" s="1"/>
  <c r="O287" i="6" s="1"/>
  <c r="O110" i="5"/>
  <c r="F203" i="6" s="1"/>
  <c r="O203" i="6" s="1"/>
  <c r="N127" i="5"/>
  <c r="E237" i="6" s="1"/>
  <c r="O237" i="6" s="1"/>
  <c r="O230" i="5"/>
  <c r="F443" i="6" s="1"/>
  <c r="O443" i="6" s="1"/>
  <c r="O614" i="5"/>
  <c r="F1211" i="6" s="1"/>
  <c r="O1211" i="6" s="1"/>
  <c r="N631" i="5"/>
  <c r="E1245" i="6" s="1"/>
  <c r="O1245" i="6" s="1"/>
  <c r="O372" i="5"/>
  <c r="F727" i="6" s="1"/>
  <c r="O727" i="6" s="1"/>
  <c r="N142" i="5"/>
  <c r="E267" i="6" s="1"/>
  <c r="O267" i="6" s="1"/>
  <c r="N22" i="5"/>
  <c r="E27" i="6" s="1"/>
  <c r="O27" i="6" s="1"/>
  <c r="O180" i="5"/>
  <c r="F343" i="6" s="1"/>
  <c r="O343" i="6" s="1"/>
  <c r="N143" i="5"/>
  <c r="E269" i="6" s="1"/>
  <c r="O269" i="6" s="1"/>
  <c r="O396" i="5"/>
  <c r="F775" i="6" s="1"/>
  <c r="O775" i="6" s="1"/>
  <c r="M203" i="5"/>
  <c r="D389" i="6" s="1"/>
  <c r="O389" i="6" s="1"/>
  <c r="M191" i="5"/>
  <c r="D365" i="6" s="1"/>
  <c r="N365" i="6" s="1"/>
  <c r="N518" i="5"/>
  <c r="E1019" i="6" s="1"/>
  <c r="K1019" i="6" s="1"/>
  <c r="N26" i="5"/>
  <c r="E35" i="6" s="1"/>
  <c r="O35" i="6" s="1"/>
  <c r="M103" i="5"/>
  <c r="N206" i="5"/>
  <c r="E395" i="6" s="1"/>
  <c r="K395" i="6" s="1"/>
  <c r="N146" i="5"/>
  <c r="E275" i="6" s="1"/>
  <c r="O275" i="6" s="1"/>
  <c r="M511" i="5"/>
  <c r="D1005" i="6" s="1"/>
  <c r="K1005" i="6" s="1"/>
  <c r="L69" i="5"/>
  <c r="C121" i="6" s="1"/>
  <c r="K121" i="6" s="1"/>
  <c r="N652" i="5"/>
  <c r="E1287" i="6" s="1"/>
  <c r="O1287" i="6" s="1"/>
  <c r="M202" i="5"/>
  <c r="D387" i="6" s="1"/>
  <c r="O387" i="6" s="1"/>
  <c r="L501" i="5"/>
  <c r="L511" i="5"/>
  <c r="C1005" i="6" s="1"/>
  <c r="O1005" i="6" s="1"/>
  <c r="N407" i="5"/>
  <c r="E797" i="6" s="1"/>
  <c r="O797" i="6" s="1"/>
  <c r="N406" i="5"/>
  <c r="E795" i="6" s="1"/>
  <c r="O795" i="6" s="1"/>
  <c r="M391" i="5"/>
  <c r="D765" i="6" s="1"/>
  <c r="K765" i="6" s="1"/>
  <c r="N567" i="5"/>
  <c r="E1117" i="6" s="1"/>
  <c r="K1117" i="6" s="1"/>
  <c r="O393" i="5"/>
  <c r="F769" i="6" s="1"/>
  <c r="O769" i="6" s="1"/>
  <c r="O387" i="5"/>
  <c r="F757" i="6" s="1"/>
  <c r="P757" i="6" s="1"/>
  <c r="O507" i="5"/>
  <c r="F997" i="6" s="1"/>
  <c r="P997" i="6" s="1"/>
  <c r="L674" i="5"/>
  <c r="C1331" i="6" s="1"/>
  <c r="P1331" i="6" s="1"/>
  <c r="N526" i="5"/>
  <c r="E1035" i="6" s="1"/>
  <c r="N1035" i="6" s="1"/>
  <c r="L671" i="5"/>
  <c r="C1325" i="6" s="1"/>
  <c r="P1325" i="6" s="1"/>
  <c r="M179" i="5"/>
  <c r="D341" i="6" s="1"/>
  <c r="N341" i="6" s="1"/>
  <c r="M180" i="5"/>
  <c r="D343" i="6" s="1"/>
  <c r="N343" i="6" s="1"/>
  <c r="J457" i="5"/>
  <c r="I453" i="5"/>
  <c r="J443" i="5"/>
  <c r="L443" i="5" s="1"/>
  <c r="C869" i="6" s="1"/>
  <c r="N869" i="6" s="1"/>
  <c r="K430" i="5"/>
  <c r="K420" i="5"/>
  <c r="H416" i="5"/>
  <c r="H413" i="5"/>
  <c r="H535" i="5"/>
  <c r="K384" i="5"/>
  <c r="J377" i="5"/>
  <c r="J337" i="5"/>
  <c r="K324" i="5"/>
  <c r="J313" i="5"/>
  <c r="I572" i="5"/>
  <c r="I309" i="5"/>
  <c r="H297" i="5"/>
  <c r="H294" i="5"/>
  <c r="K264" i="5"/>
  <c r="K258" i="5"/>
  <c r="I254" i="5"/>
  <c r="G247" i="5"/>
  <c r="L247" i="5" s="1"/>
  <c r="G244" i="5"/>
  <c r="L244" i="5" s="1"/>
  <c r="G241" i="5"/>
  <c r="L241" i="5" s="1"/>
  <c r="C465" i="6" s="1"/>
  <c r="L465" i="6" s="1"/>
  <c r="G238" i="5"/>
  <c r="L238" i="5" s="1"/>
  <c r="G235" i="5"/>
  <c r="L235" i="5" s="1"/>
  <c r="C453" i="6" s="1"/>
  <c r="L453" i="6" s="1"/>
  <c r="J553" i="5"/>
  <c r="I494" i="5"/>
  <c r="G231" i="5"/>
  <c r="L231" i="5" s="1"/>
  <c r="G228" i="5"/>
  <c r="L228" i="5" s="1"/>
  <c r="G226" i="5"/>
  <c r="L226" i="5" s="1"/>
  <c r="J539" i="5"/>
  <c r="J95" i="5"/>
  <c r="L95" i="5" s="1"/>
  <c r="C173" i="6" s="1"/>
  <c r="K173" i="6" s="1"/>
  <c r="I86" i="5"/>
  <c r="H32" i="5"/>
  <c r="H28" i="5"/>
  <c r="K72" i="5"/>
  <c r="J65" i="5"/>
  <c r="K48" i="5"/>
  <c r="J41" i="5"/>
  <c r="H30" i="5"/>
  <c r="K540" i="5"/>
  <c r="K96" i="5"/>
  <c r="J89" i="5"/>
  <c r="H33" i="5"/>
  <c r="H29" i="5"/>
  <c r="I495" i="5"/>
  <c r="K66" i="5"/>
  <c r="I62" i="5"/>
  <c r="K42" i="5"/>
  <c r="I38" i="5"/>
  <c r="I549" i="5"/>
  <c r="K564" i="5"/>
  <c r="H534" i="5"/>
  <c r="K454" i="5"/>
  <c r="K444" i="5"/>
  <c r="J433" i="5"/>
  <c r="I429" i="5"/>
  <c r="J419" i="5"/>
  <c r="H415" i="5"/>
  <c r="H412" i="5"/>
  <c r="H532" i="5"/>
  <c r="J383" i="5"/>
  <c r="I375" i="5"/>
  <c r="K334" i="5"/>
  <c r="I332" i="5"/>
  <c r="K310" i="5"/>
  <c r="K574" i="5"/>
  <c r="I308" i="5"/>
  <c r="J299" i="5"/>
  <c r="H295" i="5"/>
  <c r="H293" i="5"/>
  <c r="J263" i="5"/>
  <c r="I255" i="5"/>
  <c r="G248" i="5"/>
  <c r="L248" i="5" s="1"/>
  <c r="G245" i="5"/>
  <c r="L245" i="5" s="1"/>
  <c r="C473" i="6" s="1"/>
  <c r="L473" i="6" s="1"/>
  <c r="G242" i="5"/>
  <c r="L242" i="5" s="1"/>
  <c r="C467" i="6" s="1"/>
  <c r="L467" i="6" s="1"/>
  <c r="G239" i="5"/>
  <c r="L239" i="5" s="1"/>
  <c r="G236" i="5"/>
  <c r="L236" i="5" s="1"/>
  <c r="C455" i="6" s="1"/>
  <c r="L455" i="6" s="1"/>
  <c r="J563" i="5"/>
  <c r="K504" i="5"/>
  <c r="G232" i="5"/>
  <c r="L232" i="5" s="1"/>
  <c r="G229" i="5"/>
  <c r="L229" i="5" s="1"/>
  <c r="H536" i="5"/>
  <c r="K90" i="5"/>
  <c r="I87" i="5"/>
  <c r="H31" i="5"/>
  <c r="J497" i="5"/>
  <c r="J71" i="5"/>
  <c r="I63" i="5"/>
  <c r="J47" i="5"/>
  <c r="I39" i="5"/>
  <c r="I573" i="5"/>
  <c r="J503" i="5"/>
  <c r="L503" i="5" s="1"/>
  <c r="C989" i="6" s="1"/>
  <c r="O989" i="6" s="1"/>
  <c r="I452" i="5"/>
  <c r="I548" i="5"/>
  <c r="I428" i="5"/>
  <c r="H417" i="5"/>
  <c r="H414" i="5"/>
  <c r="H537" i="5"/>
  <c r="K498" i="5"/>
  <c r="K378" i="5"/>
  <c r="I374" i="5"/>
  <c r="I333" i="5"/>
  <c r="J323" i="5"/>
  <c r="L323" i="5" s="1"/>
  <c r="C629" i="6" s="1"/>
  <c r="M629" i="6" s="1"/>
  <c r="J577" i="5"/>
  <c r="H533" i="5"/>
  <c r="K300" i="5"/>
  <c r="H296" i="5"/>
  <c r="H292" i="5"/>
  <c r="J257" i="5"/>
  <c r="G249" i="5"/>
  <c r="L249" i="5" s="1"/>
  <c r="G246" i="5"/>
  <c r="L246" i="5" s="1"/>
  <c r="G243" i="5"/>
  <c r="L243" i="5" s="1"/>
  <c r="G240" i="5"/>
  <c r="L240" i="5" s="1"/>
  <c r="G237" i="5"/>
  <c r="L237" i="5" s="1"/>
  <c r="G234" i="5"/>
  <c r="L234" i="5" s="1"/>
  <c r="K550" i="5"/>
  <c r="G233" i="5"/>
  <c r="L233" i="5" s="1"/>
  <c r="G230" i="5"/>
  <c r="L230" i="5" s="1"/>
  <c r="G227" i="5"/>
  <c r="L227" i="5" s="1"/>
  <c r="P638" i="5"/>
  <c r="G1259" i="6" s="1"/>
  <c r="M1259" i="6" s="1"/>
  <c r="N638" i="5"/>
  <c r="E1259" i="6" s="1"/>
  <c r="K1259" i="6" s="1"/>
  <c r="M142" i="5"/>
  <c r="D267" i="6" s="1"/>
  <c r="K267" i="6" s="1"/>
  <c r="O142" i="5"/>
  <c r="F267" i="6" s="1"/>
  <c r="M267" i="6" s="1"/>
  <c r="P138" i="5"/>
  <c r="G259" i="6" s="1"/>
  <c r="M259" i="6" s="1"/>
  <c r="M138" i="5"/>
  <c r="D259" i="6" s="1"/>
  <c r="K259" i="6" s="1"/>
  <c r="L672" i="5"/>
  <c r="C1327" i="6" s="1"/>
  <c r="P1327" i="6" s="1"/>
  <c r="N28" i="5"/>
  <c r="E39" i="6" s="1"/>
  <c r="P39" i="6" s="1"/>
  <c r="O62" i="5"/>
  <c r="F107" i="6" s="1"/>
  <c r="P107" i="6" s="1"/>
  <c r="O518" i="5"/>
  <c r="F1019" i="6" s="1"/>
  <c r="P1019" i="6" s="1"/>
  <c r="O26" i="5"/>
  <c r="F35" i="6" s="1"/>
  <c r="P35" i="6" s="1"/>
  <c r="O86" i="5"/>
  <c r="F155" i="6" s="1"/>
  <c r="P155" i="6" s="1"/>
  <c r="O206" i="5"/>
  <c r="F395" i="6" s="1"/>
  <c r="P395" i="6" s="1"/>
  <c r="M554" i="5"/>
  <c r="D1091" i="6" s="1"/>
  <c r="M1091" i="6" s="1"/>
  <c r="N532" i="5"/>
  <c r="E1047" i="6" s="1"/>
  <c r="P1047" i="6" s="1"/>
  <c r="L458" i="5"/>
  <c r="C899" i="6" s="1"/>
  <c r="N899" i="6" s="1"/>
  <c r="N403" i="5"/>
  <c r="E789" i="6" s="1"/>
  <c r="M789" i="6" s="1"/>
  <c r="N413" i="5"/>
  <c r="E809" i="6" s="1"/>
  <c r="P809" i="6" s="1"/>
  <c r="N412" i="5"/>
  <c r="E807" i="6" s="1"/>
  <c r="P807" i="6" s="1"/>
  <c r="L341" i="5"/>
  <c r="C665" i="6" s="1"/>
  <c r="M665" i="6" s="1"/>
  <c r="L338" i="5"/>
  <c r="C659" i="6" s="1"/>
  <c r="M659" i="6" s="1"/>
  <c r="N523" i="5"/>
  <c r="E1029" i="6" s="1"/>
  <c r="M1029" i="6" s="1"/>
  <c r="M230" i="5"/>
  <c r="D443" i="6" s="1"/>
  <c r="P443" i="6" s="1"/>
  <c r="M229" i="5"/>
  <c r="D441" i="6" s="1"/>
  <c r="P441" i="6" s="1"/>
  <c r="M227" i="5"/>
  <c r="D437" i="6" s="1"/>
  <c r="P437" i="6" s="1"/>
  <c r="M226" i="5"/>
  <c r="D435" i="6" s="1"/>
  <c r="P435" i="6" s="1"/>
  <c r="L631" i="5"/>
  <c r="L621" i="5"/>
  <c r="L723" i="5"/>
  <c r="C1429" i="6" s="1"/>
  <c r="P1429" i="6" s="1"/>
  <c r="L713" i="5"/>
  <c r="C1409" i="6" s="1"/>
  <c r="P1409" i="6" s="1"/>
  <c r="L712" i="5"/>
  <c r="C1407" i="6" s="1"/>
  <c r="P1407" i="6" s="1"/>
  <c r="M635" i="5"/>
  <c r="D1253" i="6" s="1"/>
  <c r="L1253" i="6" s="1"/>
  <c r="M561" i="5"/>
  <c r="D1105" i="6" s="1"/>
  <c r="M1105" i="6" s="1"/>
  <c r="N592" i="5"/>
  <c r="E1167" i="6" s="1"/>
  <c r="L1167" i="6" s="1"/>
  <c r="L449" i="5"/>
  <c r="C881" i="6" s="1"/>
  <c r="N881" i="6" s="1"/>
  <c r="L448" i="5"/>
  <c r="C879" i="6" s="1"/>
  <c r="N879" i="6" s="1"/>
  <c r="M441" i="5"/>
  <c r="D865" i="6" s="1"/>
  <c r="M865" i="6" s="1"/>
  <c r="L131" i="5"/>
  <c r="M432" i="5"/>
  <c r="D847" i="6" s="1"/>
  <c r="M847" i="6" s="1"/>
  <c r="L130" i="5"/>
  <c r="L328" i="5"/>
  <c r="C639" i="6" s="1"/>
  <c r="M639" i="6" s="1"/>
  <c r="L146" i="5"/>
  <c r="L138" i="5"/>
  <c r="L144" i="5"/>
  <c r="L134" i="5"/>
  <c r="L150" i="5"/>
  <c r="L142" i="5"/>
  <c r="L702" i="5"/>
  <c r="C1387" i="6" s="1"/>
  <c r="P1387" i="6" s="1"/>
  <c r="L132" i="5"/>
  <c r="L366" i="5"/>
  <c r="C715" i="6" s="1"/>
  <c r="M715" i="6" s="1"/>
  <c r="L329" i="5"/>
  <c r="C641" i="6" s="1"/>
  <c r="M641" i="6" s="1"/>
  <c r="N321" i="5"/>
  <c r="E625" i="6" s="1"/>
  <c r="P625" i="6" s="1"/>
  <c r="L143" i="5"/>
  <c r="M634" i="5"/>
  <c r="D1251" i="6" s="1"/>
  <c r="L1251" i="6" s="1"/>
  <c r="L152" i="5"/>
  <c r="L137" i="5"/>
  <c r="L135" i="5"/>
  <c r="M636" i="5"/>
  <c r="D1255" i="6" s="1"/>
  <c r="L1255" i="6" s="1"/>
  <c r="L699" i="5"/>
  <c r="C1381" i="6" s="1"/>
  <c r="P1381" i="6" s="1"/>
  <c r="M638" i="5"/>
  <c r="D1259" i="6" s="1"/>
  <c r="L1259" i="6" s="1"/>
  <c r="H22" i="5"/>
  <c r="J361" i="5"/>
  <c r="I373" i="5"/>
  <c r="K380" i="5"/>
  <c r="K390" i="5"/>
  <c r="H407" i="5"/>
  <c r="H409" i="5"/>
  <c r="H411" i="5"/>
  <c r="K422" i="5"/>
  <c r="I427" i="5"/>
  <c r="K694" i="5"/>
  <c r="K618" i="5"/>
  <c r="J467" i="5"/>
  <c r="I476" i="5"/>
  <c r="I477" i="5"/>
  <c r="J481" i="5"/>
  <c r="J659" i="5"/>
  <c r="I693" i="5"/>
  <c r="G208" i="5"/>
  <c r="L208" i="5" s="1"/>
  <c r="H25" i="5"/>
  <c r="I36" i="5"/>
  <c r="J40" i="5"/>
  <c r="K54" i="5"/>
  <c r="I61" i="5"/>
  <c r="K68" i="5"/>
  <c r="K78" i="5"/>
  <c r="H657" i="5"/>
  <c r="H23" i="5"/>
  <c r="I111" i="5"/>
  <c r="K114" i="5"/>
  <c r="J119" i="5"/>
  <c r="I614" i="5"/>
  <c r="H654" i="5"/>
  <c r="J683" i="5"/>
  <c r="G204" i="5"/>
  <c r="L204" i="5" s="1"/>
  <c r="G206" i="5"/>
  <c r="L206" i="5" s="1"/>
  <c r="J347" i="5"/>
  <c r="G210" i="5"/>
  <c r="L210" i="5" s="1"/>
  <c r="G212" i="5"/>
  <c r="L212" i="5" s="1"/>
  <c r="C407" i="6" s="1"/>
  <c r="L407" i="6" s="1"/>
  <c r="G214" i="5"/>
  <c r="L214" i="5" s="1"/>
  <c r="I356" i="5"/>
  <c r="G216" i="5"/>
  <c r="L216" i="5" s="1"/>
  <c r="G218" i="5"/>
  <c r="L218" i="5" s="1"/>
  <c r="C419" i="6" s="1"/>
  <c r="L419" i="6" s="1"/>
  <c r="G220" i="5"/>
  <c r="L220" i="5" s="1"/>
  <c r="C423" i="6" s="1"/>
  <c r="L423" i="6" s="1"/>
  <c r="G223" i="5"/>
  <c r="L223" i="5" s="1"/>
  <c r="C429" i="6" s="1"/>
  <c r="L429" i="6" s="1"/>
  <c r="G225" i="5"/>
  <c r="L225" i="5" s="1"/>
  <c r="H656" i="5"/>
  <c r="K670" i="5"/>
  <c r="I253" i="5"/>
  <c r="K260" i="5"/>
  <c r="K270" i="5"/>
  <c r="H289" i="5"/>
  <c r="H291" i="5"/>
  <c r="K302" i="5"/>
  <c r="H655" i="5"/>
  <c r="J697" i="5"/>
  <c r="J319" i="5"/>
  <c r="K348" i="5"/>
  <c r="K358" i="5"/>
  <c r="I372" i="5"/>
  <c r="J376" i="5"/>
  <c r="J389" i="5"/>
  <c r="H406" i="5"/>
  <c r="H408" i="5"/>
  <c r="H410" i="5"/>
  <c r="J418" i="5"/>
  <c r="I426" i="5"/>
  <c r="K436" i="5"/>
  <c r="J439" i="5"/>
  <c r="J623" i="5"/>
  <c r="K468" i="5"/>
  <c r="K478" i="5"/>
  <c r="K624" i="5"/>
  <c r="I669" i="5"/>
  <c r="K684" i="5"/>
  <c r="H287" i="5"/>
  <c r="H653" i="5"/>
  <c r="H24" i="5"/>
  <c r="H27" i="5"/>
  <c r="I37" i="5"/>
  <c r="K44" i="5"/>
  <c r="J53" i="5"/>
  <c r="I60" i="5"/>
  <c r="J64" i="5"/>
  <c r="J77" i="5"/>
  <c r="I615" i="5"/>
  <c r="J673" i="5"/>
  <c r="H26" i="5"/>
  <c r="I110" i="5"/>
  <c r="J113" i="5"/>
  <c r="K120" i="5"/>
  <c r="J617" i="5"/>
  <c r="K660" i="5"/>
  <c r="G203" i="5"/>
  <c r="L203" i="5" s="1"/>
  <c r="G205" i="5"/>
  <c r="L205" i="5" s="1"/>
  <c r="G207" i="5"/>
  <c r="L207" i="5" s="1"/>
  <c r="G209" i="5"/>
  <c r="L209" i="5" s="1"/>
  <c r="G211" i="5"/>
  <c r="L211" i="5" s="1"/>
  <c r="C405" i="6" s="1"/>
  <c r="L405" i="6" s="1"/>
  <c r="G213" i="5"/>
  <c r="L213" i="5" s="1"/>
  <c r="G215" i="5"/>
  <c r="L215" i="5" s="1"/>
  <c r="G217" i="5"/>
  <c r="L217" i="5" s="1"/>
  <c r="C417" i="6" s="1"/>
  <c r="L417" i="6" s="1"/>
  <c r="G219" i="5"/>
  <c r="L219" i="5" s="1"/>
  <c r="G221" i="5"/>
  <c r="L221" i="5" s="1"/>
  <c r="C425" i="6" s="1"/>
  <c r="L425" i="6" s="1"/>
  <c r="G222" i="5"/>
  <c r="L222" i="5" s="1"/>
  <c r="G224" i="5"/>
  <c r="L224" i="5" s="1"/>
  <c r="C431" i="6" s="1"/>
  <c r="L431" i="6" s="1"/>
  <c r="H652" i="5"/>
  <c r="I668" i="5"/>
  <c r="I252" i="5"/>
  <c r="J256" i="5"/>
  <c r="J269" i="5"/>
  <c r="H286" i="5"/>
  <c r="G202" i="5"/>
  <c r="L202" i="5" s="1"/>
  <c r="I307" i="5"/>
  <c r="I357" i="5"/>
  <c r="H288" i="5"/>
  <c r="H290" i="5"/>
  <c r="J298" i="5"/>
  <c r="I306" i="5"/>
  <c r="I692" i="5"/>
  <c r="K316" i="5"/>
  <c r="N226" i="5"/>
  <c r="E435" i="6" s="1"/>
  <c r="K435" i="6" s="1"/>
  <c r="O226" i="5"/>
  <c r="F435" i="6" s="1"/>
  <c r="M435" i="6" s="1"/>
  <c r="M130" i="5"/>
  <c r="D243" i="6" s="1"/>
  <c r="K243" i="6" s="1"/>
  <c r="N130" i="5"/>
  <c r="E243" i="6" s="1"/>
  <c r="M243" i="6" s="1"/>
  <c r="M131" i="5"/>
  <c r="D245" i="6" s="1"/>
  <c r="K245" i="6" s="1"/>
  <c r="N131" i="5"/>
  <c r="E245" i="6" s="1"/>
  <c r="M245" i="6" s="1"/>
  <c r="P152" i="5"/>
  <c r="G287" i="6" s="1"/>
  <c r="M287" i="6" s="1"/>
  <c r="N152" i="5"/>
  <c r="E287" i="6" s="1"/>
  <c r="P287" i="6" s="1"/>
  <c r="M152" i="5"/>
  <c r="D287" i="6" s="1"/>
  <c r="K287" i="6" s="1"/>
  <c r="O244" i="5"/>
  <c r="F471" i="6" s="1"/>
  <c r="K471" i="6" s="1"/>
  <c r="P244" i="5"/>
  <c r="G471" i="6" s="1"/>
  <c r="M471" i="6" s="1"/>
  <c r="O511" i="5"/>
  <c r="F1005" i="6" s="1"/>
  <c r="M1005" i="6" s="1"/>
  <c r="N511" i="5"/>
  <c r="O532" i="5"/>
  <c r="F1047" i="6" s="1"/>
  <c r="K1047" i="6" s="1"/>
  <c r="P532" i="5"/>
  <c r="G1047" i="6" s="1"/>
  <c r="M1047" i="6" s="1"/>
  <c r="O712" i="5"/>
  <c r="F1407" i="6" s="1"/>
  <c r="K1407" i="6" s="1"/>
  <c r="P712" i="5"/>
  <c r="G1407" i="6" s="1"/>
  <c r="M1407" i="6" s="1"/>
  <c r="N202" i="5"/>
  <c r="E387" i="6" s="1"/>
  <c r="K387" i="6" s="1"/>
  <c r="O202" i="5"/>
  <c r="F387" i="6" s="1"/>
  <c r="M387" i="6" s="1"/>
  <c r="N709" i="5"/>
  <c r="O709" i="5"/>
  <c r="F1401" i="6" s="1"/>
  <c r="M1401" i="6" s="1"/>
  <c r="O592" i="5"/>
  <c r="F1167" i="6" s="1"/>
  <c r="K1167" i="6" s="1"/>
  <c r="P592" i="5"/>
  <c r="G1167" i="6" s="1"/>
  <c r="M1167" i="6" s="1"/>
  <c r="O589" i="5"/>
  <c r="F1161" i="6" s="1"/>
  <c r="M1161" i="6" s="1"/>
  <c r="N589" i="5"/>
  <c r="E1161" i="6" s="1"/>
  <c r="K1161" i="6" s="1"/>
  <c r="O514" i="5"/>
  <c r="F1011" i="6" s="1"/>
  <c r="M1011" i="6" s="1"/>
  <c r="N514" i="5"/>
  <c r="E1011" i="6" s="1"/>
  <c r="K1011" i="6" s="1"/>
  <c r="P494" i="5"/>
  <c r="G971" i="6" s="1"/>
  <c r="M971" i="6" s="1"/>
  <c r="O494" i="5"/>
  <c r="F971" i="6" s="1"/>
  <c r="P971" i="6" s="1"/>
  <c r="O631" i="5"/>
  <c r="F1245" i="6" s="1"/>
  <c r="M1245" i="6" s="1"/>
  <c r="M631" i="5"/>
  <c r="D1245" i="6" s="1"/>
  <c r="K1245" i="6" s="1"/>
  <c r="P230" i="5"/>
  <c r="G443" i="6" s="1"/>
  <c r="M443" i="6" s="1"/>
  <c r="N230" i="5"/>
  <c r="E443" i="6" s="1"/>
  <c r="K443" i="6" s="1"/>
  <c r="P220" i="5"/>
  <c r="G423" i="6" s="1"/>
  <c r="M423" i="6" s="1"/>
  <c r="O220" i="5"/>
  <c r="F423" i="6" s="1"/>
  <c r="K423" i="6" s="1"/>
  <c r="P146" i="5"/>
  <c r="G275" i="6" s="1"/>
  <c r="M275" i="6" s="1"/>
  <c r="O146" i="5"/>
  <c r="F275" i="6" s="1"/>
  <c r="P275" i="6" s="1"/>
  <c r="M146" i="5"/>
  <c r="D275" i="6" s="1"/>
  <c r="K275" i="6" s="1"/>
  <c r="M127" i="5"/>
  <c r="D237" i="6" s="1"/>
  <c r="P237" i="6" s="1"/>
  <c r="L127" i="5"/>
  <c r="P32" i="5"/>
  <c r="G47" i="6" s="1"/>
  <c r="M47" i="6" s="1"/>
  <c r="N32" i="5"/>
  <c r="E47" i="6" s="1"/>
  <c r="P47" i="6" s="1"/>
  <c r="M45" i="5"/>
  <c r="D73" i="6" s="1"/>
  <c r="M73" i="6" s="1"/>
  <c r="L45" i="5"/>
  <c r="C73" i="6" s="1"/>
  <c r="K73" i="6" s="1"/>
  <c r="O634" i="5"/>
  <c r="F1251" i="6" s="1"/>
  <c r="M1251" i="6" s="1"/>
  <c r="N634" i="5"/>
  <c r="E1251" i="6" s="1"/>
  <c r="K1251" i="6" s="1"/>
  <c r="P652" i="5"/>
  <c r="G1287" i="6" s="1"/>
  <c r="M1287" i="6" s="1"/>
  <c r="O652" i="5"/>
  <c r="F1287" i="6" s="1"/>
  <c r="K1287" i="6" s="1"/>
  <c r="M132" i="5"/>
  <c r="D247" i="6" s="1"/>
  <c r="K247" i="6" s="1"/>
  <c r="N132" i="5"/>
  <c r="E247" i="6" s="1"/>
  <c r="M247" i="6" s="1"/>
  <c r="O635" i="5"/>
  <c r="F1253" i="6" s="1"/>
  <c r="M1253" i="6" s="1"/>
  <c r="N635" i="5"/>
  <c r="E1253" i="6" s="1"/>
  <c r="K1253" i="6" s="1"/>
  <c r="P150" i="5"/>
  <c r="G283" i="6" s="1"/>
  <c r="M283" i="6" s="1"/>
  <c r="O150" i="5"/>
  <c r="F283" i="6" s="1"/>
  <c r="N283" i="6" s="1"/>
  <c r="M150" i="5"/>
  <c r="D283" i="6" s="1"/>
  <c r="K283" i="6" s="1"/>
  <c r="N150" i="5"/>
  <c r="E283" i="6" s="1"/>
  <c r="P283" i="6" s="1"/>
  <c r="O227" i="5"/>
  <c r="F437" i="6" s="1"/>
  <c r="M437" i="6" s="1"/>
  <c r="N227" i="5"/>
  <c r="E437" i="6" s="1"/>
  <c r="K437" i="6" s="1"/>
  <c r="O646" i="5"/>
  <c r="F1275" i="6" s="1"/>
  <c r="K1275" i="6" s="1"/>
  <c r="P646" i="5"/>
  <c r="G1275" i="6" s="1"/>
  <c r="M1275" i="6" s="1"/>
  <c r="N621" i="5"/>
  <c r="E1225" i="6" s="1"/>
  <c r="M1225" i="6" s="1"/>
  <c r="M621" i="5"/>
  <c r="D1225" i="6" s="1"/>
  <c r="K1225" i="6" s="1"/>
  <c r="P374" i="5"/>
  <c r="G731" i="6" s="1"/>
  <c r="M731" i="6" s="1"/>
  <c r="O374" i="5"/>
  <c r="F731" i="6" s="1"/>
  <c r="P731" i="6" s="1"/>
  <c r="P636" i="5"/>
  <c r="G1255" i="6" s="1"/>
  <c r="M1255" i="6" s="1"/>
  <c r="O636" i="5"/>
  <c r="F1255" i="6" s="1"/>
  <c r="N1255" i="6" s="1"/>
  <c r="P412" i="5"/>
  <c r="G807" i="6" s="1"/>
  <c r="M807" i="6" s="1"/>
  <c r="O412" i="5"/>
  <c r="F807" i="6" s="1"/>
  <c r="K807" i="6" s="1"/>
  <c r="P30" i="5"/>
  <c r="G43" i="6" s="1"/>
  <c r="M43" i="6" s="1"/>
  <c r="N30" i="5"/>
  <c r="E43" i="6" s="1"/>
  <c r="P43" i="6" s="1"/>
  <c r="O30" i="5"/>
  <c r="F43" i="6" s="1"/>
  <c r="N43" i="6" s="1"/>
  <c r="P398" i="5"/>
  <c r="G779" i="6" s="1"/>
  <c r="M779" i="6" s="1"/>
  <c r="O398" i="5"/>
  <c r="F779" i="6" s="1"/>
  <c r="P779" i="6" s="1"/>
  <c r="P228" i="5"/>
  <c r="G439" i="6" s="1"/>
  <c r="M439" i="6" s="1"/>
  <c r="O228" i="5"/>
  <c r="F439" i="6" s="1"/>
  <c r="N439" i="6" s="1"/>
  <c r="P612" i="5"/>
  <c r="G1207" i="6" s="1"/>
  <c r="M1207" i="6" s="1"/>
  <c r="O612" i="5"/>
  <c r="F1207" i="6" s="1"/>
  <c r="N1207" i="6" s="1"/>
  <c r="N133" i="5"/>
  <c r="E249" i="6" s="1"/>
  <c r="M249" i="6" s="1"/>
  <c r="M133" i="5"/>
  <c r="O394" i="5"/>
  <c r="F771" i="6" s="1"/>
  <c r="M771" i="6" s="1"/>
  <c r="N394" i="5"/>
  <c r="E771" i="6" s="1"/>
  <c r="K771" i="6" s="1"/>
  <c r="O18" i="5"/>
  <c r="F19" i="6" s="1"/>
  <c r="O19" i="6" s="1"/>
  <c r="N18" i="5"/>
  <c r="E19" i="6" s="1"/>
  <c r="N19" i="6" s="1"/>
  <c r="P141" i="5"/>
  <c r="G265" i="6" s="1"/>
  <c r="O265" i="6" s="1"/>
  <c r="M141" i="5"/>
  <c r="M93" i="5"/>
  <c r="D169" i="6" s="1"/>
  <c r="O169" i="6" s="1"/>
  <c r="L93" i="5"/>
  <c r="O138" i="5"/>
  <c r="F259" i="6" s="1"/>
  <c r="O259" i="6" s="1"/>
  <c r="N138" i="5"/>
  <c r="E259" i="6" s="1"/>
  <c r="N259" i="6" s="1"/>
  <c r="M190" i="5"/>
  <c r="D363" i="6" s="1"/>
  <c r="N363" i="6" s="1"/>
  <c r="N190" i="5"/>
  <c r="E363" i="6" s="1"/>
  <c r="O363" i="6" s="1"/>
  <c r="P493" i="5"/>
  <c r="G969" i="6" s="1"/>
  <c r="P969" i="6" s="1"/>
  <c r="O493" i="5"/>
  <c r="F969" i="6" s="1"/>
  <c r="N969" i="6" s="1"/>
  <c r="P517" i="5"/>
  <c r="G1017" i="6" s="1"/>
  <c r="P1017" i="6" s="1"/>
  <c r="N517" i="5"/>
  <c r="E1017" i="6" s="1"/>
  <c r="K1017" i="6" s="1"/>
  <c r="O517" i="5"/>
  <c r="F1017" i="6" s="1"/>
  <c r="N1017" i="6" s="1"/>
  <c r="P61" i="5"/>
  <c r="G105" i="6" s="1"/>
  <c r="P105" i="6" s="1"/>
  <c r="O61" i="5"/>
  <c r="F105" i="6" s="1"/>
  <c r="O105" i="6" s="1"/>
  <c r="P25" i="5"/>
  <c r="G33" i="6" s="1"/>
  <c r="P33" i="6" s="1"/>
  <c r="O25" i="5"/>
  <c r="F33" i="6" s="1"/>
  <c r="N33" i="6" s="1"/>
  <c r="N25" i="5"/>
  <c r="E33" i="6" s="1"/>
  <c r="O33" i="6" s="1"/>
  <c r="P85" i="5"/>
  <c r="G153" i="6" s="1"/>
  <c r="P153" i="6" s="1"/>
  <c r="O85" i="5"/>
  <c r="F153" i="6" s="1"/>
  <c r="N153" i="6" s="1"/>
  <c r="N145" i="5"/>
  <c r="E273" i="6" s="1"/>
  <c r="O273" i="6" s="1"/>
  <c r="O145" i="5"/>
  <c r="F273" i="6" s="1"/>
  <c r="N273" i="6" s="1"/>
  <c r="O182" i="5"/>
  <c r="F347" i="6" s="1"/>
  <c r="P347" i="6" s="1"/>
  <c r="N182" i="5"/>
  <c r="E347" i="6" s="1"/>
  <c r="K347" i="6" s="1"/>
  <c r="O205" i="5"/>
  <c r="F393" i="6" s="1"/>
  <c r="N393" i="6" s="1"/>
  <c r="N205" i="5"/>
  <c r="E393" i="6" s="1"/>
  <c r="K393" i="6" s="1"/>
  <c r="P215" i="5"/>
  <c r="G413" i="6" s="1"/>
  <c r="P413" i="6" s="1"/>
  <c r="O215" i="5"/>
  <c r="F413" i="6" s="1"/>
  <c r="K413" i="6" s="1"/>
  <c r="P527" i="5"/>
  <c r="G1037" i="6" s="1"/>
  <c r="P1037" i="6" s="1"/>
  <c r="O527" i="5"/>
  <c r="F1037" i="6" s="1"/>
  <c r="K1037" i="6" s="1"/>
  <c r="P139" i="5"/>
  <c r="G261" i="6" s="1"/>
  <c r="P261" i="6" s="1"/>
  <c r="O139" i="5"/>
  <c r="P373" i="5"/>
  <c r="G729" i="6" s="1"/>
  <c r="P729" i="6" s="1"/>
  <c r="O373" i="5"/>
  <c r="F729" i="6" s="1"/>
  <c r="O729" i="6" s="1"/>
  <c r="P407" i="5"/>
  <c r="G797" i="6" s="1"/>
  <c r="P797" i="6" s="1"/>
  <c r="O407" i="5"/>
  <c r="F797" i="6" s="1"/>
  <c r="K797" i="6" s="1"/>
  <c r="P569" i="5"/>
  <c r="G1121" i="6" s="1"/>
  <c r="P1121" i="6" s="1"/>
  <c r="O569" i="5"/>
  <c r="F1121" i="6" s="1"/>
  <c r="K1121" i="6" s="1"/>
  <c r="P397" i="5"/>
  <c r="G777" i="6" s="1"/>
  <c r="P777" i="6" s="1"/>
  <c r="O397" i="5"/>
  <c r="F777" i="6" s="1"/>
  <c r="O777" i="6" s="1"/>
  <c r="P449" i="5"/>
  <c r="G881" i="6" s="1"/>
  <c r="P881" i="6" s="1"/>
  <c r="O449" i="5"/>
  <c r="F881" i="6" s="1"/>
  <c r="K881" i="6" s="1"/>
  <c r="P568" i="5"/>
  <c r="G1119" i="6" s="1"/>
  <c r="M1119" i="6" s="1"/>
  <c r="O568" i="5"/>
  <c r="F1119" i="6" s="1"/>
  <c r="K1119" i="6" s="1"/>
  <c r="P24" i="5"/>
  <c r="G31" i="6" s="1"/>
  <c r="M31" i="6" s="1"/>
  <c r="O24" i="5"/>
  <c r="F31" i="6" s="1"/>
  <c r="N31" i="6" s="1"/>
  <c r="N24" i="5"/>
  <c r="E31" i="6" s="1"/>
  <c r="O31" i="6" s="1"/>
  <c r="O526" i="5"/>
  <c r="F1035" i="6" s="1"/>
  <c r="K1035" i="6" s="1"/>
  <c r="P526" i="5"/>
  <c r="G1035" i="6" s="1"/>
  <c r="M1035" i="6" s="1"/>
  <c r="O179" i="5"/>
  <c r="F341" i="6" s="1"/>
  <c r="M341" i="6" s="1"/>
  <c r="N179" i="5"/>
  <c r="E341" i="6" s="1"/>
  <c r="K341" i="6" s="1"/>
  <c r="O190" i="5"/>
  <c r="F363" i="6" s="1"/>
  <c r="K363" i="6" s="1"/>
  <c r="P190" i="5"/>
  <c r="G363" i="6" s="1"/>
  <c r="M363" i="6" s="1"/>
  <c r="N203" i="5"/>
  <c r="E389" i="6" s="1"/>
  <c r="K389" i="6" s="1"/>
  <c r="O203" i="5"/>
  <c r="F389" i="6" s="1"/>
  <c r="M389" i="6" s="1"/>
  <c r="P214" i="5"/>
  <c r="G411" i="6" s="1"/>
  <c r="M411" i="6" s="1"/>
  <c r="O214" i="5"/>
  <c r="F411" i="6" s="1"/>
  <c r="K411" i="6" s="1"/>
  <c r="P492" i="5"/>
  <c r="G967" i="6" s="1"/>
  <c r="M967" i="6" s="1"/>
  <c r="O492" i="5"/>
  <c r="F967" i="6" s="1"/>
  <c r="N967" i="6" s="1"/>
  <c r="P406" i="5"/>
  <c r="G795" i="6" s="1"/>
  <c r="M795" i="6" s="1"/>
  <c r="O406" i="5"/>
  <c r="F795" i="6" s="1"/>
  <c r="K795" i="6" s="1"/>
  <c r="O395" i="5"/>
  <c r="F773" i="6" s="1"/>
  <c r="M773" i="6" s="1"/>
  <c r="N395" i="5"/>
  <c r="E773" i="6" s="1"/>
  <c r="K773" i="6" s="1"/>
  <c r="P516" i="5"/>
  <c r="G1015" i="6" s="1"/>
  <c r="M1015" i="6" s="1"/>
  <c r="O516" i="5"/>
  <c r="F1015" i="6" s="1"/>
  <c r="N1015" i="6" s="1"/>
  <c r="L57" i="5"/>
  <c r="M57" i="5"/>
  <c r="D97" i="6" s="1"/>
  <c r="M97" i="6" s="1"/>
  <c r="P84" i="5"/>
  <c r="G151" i="6" s="1"/>
  <c r="M151" i="6" s="1"/>
  <c r="O84" i="5"/>
  <c r="F151" i="6" s="1"/>
  <c r="N151" i="6" s="1"/>
  <c r="M137" i="5"/>
  <c r="D257" i="6" s="1"/>
  <c r="K257" i="6" s="1"/>
  <c r="N137" i="5"/>
  <c r="E257" i="6" s="1"/>
  <c r="N257" i="6" s="1"/>
  <c r="P204" i="5"/>
  <c r="G391" i="6" s="1"/>
  <c r="M391" i="6" s="1"/>
  <c r="O204" i="5"/>
  <c r="F391" i="6" s="1"/>
  <c r="N391" i="6" s="1"/>
  <c r="N134" i="5"/>
  <c r="E251" i="6" s="1"/>
  <c r="M251" i="6" s="1"/>
  <c r="M134" i="5"/>
  <c r="D251" i="6" s="1"/>
  <c r="K251" i="6" s="1"/>
  <c r="M501" i="5"/>
  <c r="D985" i="6" s="1"/>
  <c r="K985" i="6" s="1"/>
  <c r="N501" i="5"/>
  <c r="E985" i="6" s="1"/>
  <c r="M985" i="6" s="1"/>
  <c r="N135" i="5"/>
  <c r="E253" i="6" s="1"/>
  <c r="M253" i="6" s="1"/>
  <c r="M135" i="5"/>
  <c r="D253" i="6" s="1"/>
  <c r="K253" i="6" s="1"/>
  <c r="P144" i="5"/>
  <c r="G271" i="6" s="1"/>
  <c r="M271" i="6" s="1"/>
  <c r="N144" i="5"/>
  <c r="E271" i="6" s="1"/>
  <c r="O271" i="6" s="1"/>
  <c r="O144" i="5"/>
  <c r="F271" i="6" s="1"/>
  <c r="N271" i="6" s="1"/>
  <c r="P396" i="5"/>
  <c r="G775" i="6" s="1"/>
  <c r="M775" i="6" s="1"/>
  <c r="N396" i="5"/>
  <c r="E775" i="6" s="1"/>
  <c r="K775" i="6" s="1"/>
  <c r="O448" i="5"/>
  <c r="F879" i="6" s="1"/>
  <c r="K879" i="6" s="1"/>
  <c r="P448" i="5"/>
  <c r="G879" i="6" s="1"/>
  <c r="M879" i="6" s="1"/>
  <c r="O515" i="5"/>
  <c r="F1013" i="6" s="1"/>
  <c r="M1013" i="6" s="1"/>
  <c r="N515" i="5"/>
  <c r="E1013" i="6" s="1"/>
  <c r="K1013" i="6" s="1"/>
  <c r="N650" i="5"/>
  <c r="E1283" i="6" s="1"/>
  <c r="N1283" i="6" s="1"/>
  <c r="O650" i="5"/>
  <c r="F1283" i="6" s="1"/>
  <c r="O1283" i="6" s="1"/>
  <c r="L709" i="5"/>
  <c r="C1401" i="6" s="1"/>
  <c r="P1401" i="6" s="1"/>
  <c r="M709" i="5"/>
  <c r="D1401" i="6" s="1"/>
  <c r="O1401" i="6" s="1"/>
  <c r="M244" i="5"/>
  <c r="D471" i="6" s="1"/>
  <c r="P471" i="6" s="1"/>
  <c r="N244" i="5"/>
  <c r="E471" i="6" s="1"/>
  <c r="O471" i="6" s="1"/>
  <c r="N282" i="5"/>
  <c r="E547" i="6" s="1"/>
  <c r="N547" i="6" s="1"/>
  <c r="O282" i="5"/>
  <c r="F547" i="6" s="1"/>
  <c r="O547" i="6" s="1"/>
  <c r="L327" i="5"/>
  <c r="M327" i="5"/>
  <c r="D637" i="6" s="1"/>
  <c r="O637" i="6" s="1"/>
  <c r="N402" i="5"/>
  <c r="E787" i="6" s="1"/>
  <c r="M787" i="6" s="1"/>
  <c r="O402" i="5"/>
  <c r="F787" i="6" s="1"/>
  <c r="O787" i="6" s="1"/>
  <c r="L440" i="5"/>
  <c r="C863" i="6" s="1"/>
  <c r="N863" i="6" s="1"/>
  <c r="O440" i="5"/>
  <c r="F863" i="6" s="1"/>
  <c r="O863" i="6" s="1"/>
  <c r="P717" i="5"/>
  <c r="G1417" i="6" s="1"/>
  <c r="M1417" i="6" s="1"/>
  <c r="O717" i="5"/>
  <c r="F1417" i="6" s="1"/>
  <c r="N1417" i="6" s="1"/>
  <c r="L79" i="5"/>
  <c r="C141" i="6" s="1"/>
  <c r="K141" i="6" s="1"/>
  <c r="M206" i="5"/>
  <c r="D395" i="6" s="1"/>
  <c r="O395" i="6" s="1"/>
  <c r="N75" i="5"/>
  <c r="E133" i="6" s="1"/>
  <c r="O133" i="6" s="1"/>
  <c r="M219" i="5"/>
  <c r="D421" i="6" s="1"/>
  <c r="O421" i="6" s="1"/>
  <c r="L677" i="5"/>
  <c r="C1337" i="6" s="1"/>
  <c r="P1337" i="6" s="1"/>
  <c r="N535" i="5"/>
  <c r="E1053" i="6" s="1"/>
  <c r="P1053" i="6" s="1"/>
  <c r="N527" i="5"/>
  <c r="E1037" i="6" s="1"/>
  <c r="N1037" i="6" s="1"/>
  <c r="M181" i="5"/>
  <c r="D345" i="6" s="1"/>
  <c r="N345" i="6" s="1"/>
  <c r="M182" i="5"/>
  <c r="D347" i="6" s="1"/>
  <c r="N347" i="6" s="1"/>
  <c r="L97" i="5"/>
  <c r="C177" i="6" s="1"/>
  <c r="K177" i="6" s="1"/>
  <c r="M603" i="5"/>
  <c r="D1189" i="6" s="1"/>
  <c r="P1189" i="6" s="1"/>
  <c r="L149" i="5"/>
  <c r="L148" i="5"/>
  <c r="L145" i="5"/>
  <c r="L140" i="5"/>
  <c r="J727" i="5"/>
  <c r="K724" i="5"/>
  <c r="I715" i="5"/>
  <c r="I714" i="5"/>
  <c r="K710" i="5"/>
  <c r="J703" i="5"/>
  <c r="K686" i="5"/>
  <c r="K632" i="5"/>
  <c r="I611" i="5"/>
  <c r="K604" i="5"/>
  <c r="I594" i="5"/>
  <c r="J502" i="5"/>
  <c r="K590" i="5"/>
  <c r="J586" i="5"/>
  <c r="J583" i="5"/>
  <c r="K580" i="5"/>
  <c r="J487" i="5"/>
  <c r="K484" i="5"/>
  <c r="I475" i="5"/>
  <c r="I474" i="5"/>
  <c r="K470" i="5"/>
  <c r="J466" i="5"/>
  <c r="J463" i="5"/>
  <c r="J607" i="5"/>
  <c r="I570" i="5"/>
  <c r="H520" i="5"/>
  <c r="K512" i="5"/>
  <c r="K506" i="5"/>
  <c r="K460" i="5"/>
  <c r="I451" i="5"/>
  <c r="I450" i="5"/>
  <c r="K446" i="5"/>
  <c r="J442" i="5"/>
  <c r="H404" i="5"/>
  <c r="H402" i="5"/>
  <c r="H400" i="5"/>
  <c r="K392" i="5"/>
  <c r="J388" i="5"/>
  <c r="J622" i="5"/>
  <c r="H405" i="5"/>
  <c r="H403" i="5"/>
  <c r="H401" i="5"/>
  <c r="K386" i="5"/>
  <c r="H640" i="5"/>
  <c r="J382" i="5"/>
  <c r="I371" i="5"/>
  <c r="I370" i="5"/>
  <c r="H645" i="5"/>
  <c r="H644" i="5"/>
  <c r="K626" i="5"/>
  <c r="H521" i="5"/>
  <c r="I490" i="5"/>
  <c r="G156" i="5"/>
  <c r="L156" i="5" s="1"/>
  <c r="G154" i="5"/>
  <c r="L154" i="5" s="1"/>
  <c r="I691" i="5"/>
  <c r="I690" i="5"/>
  <c r="H643" i="5"/>
  <c r="H642" i="5"/>
  <c r="I610" i="5"/>
  <c r="I571" i="5"/>
  <c r="J562" i="5"/>
  <c r="H524" i="5"/>
  <c r="I491" i="5"/>
  <c r="G177" i="5"/>
  <c r="L177" i="5" s="1"/>
  <c r="G176" i="5"/>
  <c r="L176" i="5" s="1"/>
  <c r="G175" i="5"/>
  <c r="L175" i="5" s="1"/>
  <c r="G174" i="5"/>
  <c r="L174" i="5" s="1"/>
  <c r="G173" i="5"/>
  <c r="L173" i="5" s="1"/>
  <c r="C329" i="6" s="1"/>
  <c r="L329" i="6" s="1"/>
  <c r="G172" i="5"/>
  <c r="L172" i="5" s="1"/>
  <c r="C327" i="6" s="1"/>
  <c r="L327" i="6" s="1"/>
  <c r="G171" i="5"/>
  <c r="L171" i="5" s="1"/>
  <c r="G170" i="5"/>
  <c r="L170" i="5" s="1"/>
  <c r="C323" i="6" s="1"/>
  <c r="L323" i="6" s="1"/>
  <c r="G169" i="5"/>
  <c r="L169" i="5" s="1"/>
  <c r="C321" i="6" s="1"/>
  <c r="L321" i="6" s="1"/>
  <c r="G168" i="5"/>
  <c r="L168" i="5" s="1"/>
  <c r="G167" i="5"/>
  <c r="L167" i="5" s="1"/>
  <c r="G166" i="5"/>
  <c r="L166" i="5" s="1"/>
  <c r="G165" i="5"/>
  <c r="L165" i="5" s="1"/>
  <c r="G164" i="5"/>
  <c r="L164" i="5" s="1"/>
  <c r="C311" i="6" s="1"/>
  <c r="L311" i="6" s="1"/>
  <c r="G163" i="5"/>
  <c r="L163" i="5" s="1"/>
  <c r="C309" i="6" s="1"/>
  <c r="L309" i="6" s="1"/>
  <c r="G162" i="5"/>
  <c r="L162" i="5" s="1"/>
  <c r="G161" i="5"/>
  <c r="L161" i="5" s="1"/>
  <c r="G160" i="5"/>
  <c r="L160" i="5" s="1"/>
  <c r="G159" i="5"/>
  <c r="L159" i="5" s="1"/>
  <c r="G158" i="5"/>
  <c r="L158" i="5" s="1"/>
  <c r="G157" i="5"/>
  <c r="L157" i="5" s="1"/>
  <c r="G155" i="5"/>
  <c r="L155" i="5" s="1"/>
  <c r="H641" i="5"/>
  <c r="H525" i="5"/>
  <c r="H522" i="5"/>
  <c r="K128" i="5"/>
  <c r="J124" i="5"/>
  <c r="K122" i="5"/>
  <c r="J118" i="5"/>
  <c r="I107" i="5"/>
  <c r="I106" i="5"/>
  <c r="K104" i="5"/>
  <c r="J100" i="5"/>
  <c r="K98" i="5"/>
  <c r="J94" i="5"/>
  <c r="I83" i="5"/>
  <c r="I82" i="5"/>
  <c r="K80" i="5"/>
  <c r="H15" i="5"/>
  <c r="H13" i="5"/>
  <c r="H11" i="5"/>
  <c r="J682" i="5"/>
  <c r="J628" i="5"/>
  <c r="J76" i="5"/>
  <c r="K74" i="5"/>
  <c r="J70" i="5"/>
  <c r="I59" i="5"/>
  <c r="I58" i="5"/>
  <c r="H14" i="5"/>
  <c r="H12" i="5"/>
  <c r="H10" i="5"/>
  <c r="J706" i="5"/>
  <c r="K700" i="5"/>
  <c r="I595" i="5"/>
  <c r="K566" i="5"/>
  <c r="H523" i="5"/>
  <c r="J508" i="5"/>
  <c r="J721" i="5"/>
  <c r="K718" i="5"/>
  <c r="I717" i="5"/>
  <c r="L717" i="5" s="1"/>
  <c r="C1417" i="6" s="1"/>
  <c r="P1417" i="6" s="1"/>
  <c r="I716" i="5"/>
  <c r="L716" i="5" s="1"/>
  <c r="C1415" i="6" s="1"/>
  <c r="P1415" i="6" s="1"/>
  <c r="K708" i="5"/>
  <c r="J707" i="5"/>
  <c r="J679" i="5"/>
  <c r="I667" i="5"/>
  <c r="L667" i="5" s="1"/>
  <c r="C1317" i="6" s="1"/>
  <c r="P1317" i="6" s="1"/>
  <c r="K630" i="5"/>
  <c r="K556" i="5"/>
  <c r="I546" i="5"/>
  <c r="K510" i="5"/>
  <c r="N510" i="5" s="1"/>
  <c r="E1003" i="6" s="1"/>
  <c r="P1003" i="6" s="1"/>
  <c r="K500" i="5"/>
  <c r="I493" i="5"/>
  <c r="K588" i="5"/>
  <c r="J587" i="5"/>
  <c r="H529" i="5"/>
  <c r="K620" i="5"/>
  <c r="K676" i="5"/>
  <c r="H647" i="5"/>
  <c r="J616" i="5"/>
  <c r="K598" i="5"/>
  <c r="J559" i="5"/>
  <c r="I492" i="5"/>
  <c r="H651" i="5"/>
  <c r="H526" i="5"/>
  <c r="J367" i="5"/>
  <c r="K364" i="5"/>
  <c r="I355" i="5"/>
  <c r="I354" i="5"/>
  <c r="K350" i="5"/>
  <c r="J346" i="5"/>
  <c r="J343" i="5"/>
  <c r="L343" i="5" s="1"/>
  <c r="C669" i="6" s="1"/>
  <c r="M669" i="6" s="1"/>
  <c r="K340" i="5"/>
  <c r="L340" i="5" s="1"/>
  <c r="C663" i="6" s="1"/>
  <c r="M663" i="6" s="1"/>
  <c r="I331" i="5"/>
  <c r="I330" i="5"/>
  <c r="K326" i="5"/>
  <c r="L326" i="5" s="1"/>
  <c r="C635" i="6" s="1"/>
  <c r="M635" i="6" s="1"/>
  <c r="J322" i="5"/>
  <c r="H646" i="5"/>
  <c r="J629" i="5"/>
  <c r="L629" i="5" s="1"/>
  <c r="I612" i="5"/>
  <c r="L612" i="5" s="1"/>
  <c r="J601" i="5"/>
  <c r="H285" i="5"/>
  <c r="H284" i="5"/>
  <c r="H283" i="5"/>
  <c r="H282" i="5"/>
  <c r="H281" i="5"/>
  <c r="H280" i="5"/>
  <c r="K272" i="5"/>
  <c r="J268" i="5"/>
  <c r="L268" i="5" s="1"/>
  <c r="C519" i="6" s="1"/>
  <c r="M519" i="6" s="1"/>
  <c r="K266" i="5"/>
  <c r="J262" i="5"/>
  <c r="I251" i="5"/>
  <c r="I250" i="5"/>
  <c r="K542" i="5"/>
  <c r="H527" i="5"/>
  <c r="J509" i="5"/>
  <c r="L509" i="5" s="1"/>
  <c r="C1001" i="6" s="1"/>
  <c r="O1001" i="6" s="1"/>
  <c r="G201" i="5"/>
  <c r="L201" i="5" s="1"/>
  <c r="G200" i="5"/>
  <c r="L200" i="5" s="1"/>
  <c r="G199" i="5"/>
  <c r="L199" i="5" s="1"/>
  <c r="G198" i="5"/>
  <c r="L198" i="5" s="1"/>
  <c r="G197" i="5"/>
  <c r="L197" i="5" s="1"/>
  <c r="C377" i="6" s="1"/>
  <c r="L377" i="6" s="1"/>
  <c r="G196" i="5"/>
  <c r="L196" i="5" s="1"/>
  <c r="C375" i="6" s="1"/>
  <c r="L375" i="6" s="1"/>
  <c r="G195" i="5"/>
  <c r="L195" i="5" s="1"/>
  <c r="G194" i="5"/>
  <c r="L194" i="5" s="1"/>
  <c r="C371" i="6" s="1"/>
  <c r="L371" i="6" s="1"/>
  <c r="G193" i="5"/>
  <c r="L193" i="5" s="1"/>
  <c r="C369" i="6" s="1"/>
  <c r="L369" i="6" s="1"/>
  <c r="G192" i="5"/>
  <c r="L192" i="5" s="1"/>
  <c r="G191" i="5"/>
  <c r="L191" i="5" s="1"/>
  <c r="G190" i="5"/>
  <c r="L190" i="5" s="1"/>
  <c r="G189" i="5"/>
  <c r="L189" i="5" s="1"/>
  <c r="C361" i="6" s="1"/>
  <c r="L361" i="6" s="1"/>
  <c r="G188" i="5"/>
  <c r="L188" i="5" s="1"/>
  <c r="C359" i="6" s="1"/>
  <c r="L359" i="6" s="1"/>
  <c r="G187" i="5"/>
  <c r="L187" i="5" s="1"/>
  <c r="C357" i="6" s="1"/>
  <c r="L357" i="6" s="1"/>
  <c r="G186" i="5"/>
  <c r="L186" i="5" s="1"/>
  <c r="C355" i="6" s="1"/>
  <c r="L355" i="6" s="1"/>
  <c r="G185" i="5"/>
  <c r="L185" i="5" s="1"/>
  <c r="G184" i="5"/>
  <c r="L184" i="5" s="1"/>
  <c r="G183" i="5"/>
  <c r="L183" i="5" s="1"/>
  <c r="G182" i="5"/>
  <c r="L182" i="5" s="1"/>
  <c r="G181" i="5"/>
  <c r="L181" i="5" s="1"/>
  <c r="G180" i="5"/>
  <c r="L180" i="5" s="1"/>
  <c r="G179" i="5"/>
  <c r="L179" i="5" s="1"/>
  <c r="G178" i="5"/>
  <c r="L178" i="5" s="1"/>
  <c r="H650" i="5"/>
  <c r="I613" i="5"/>
  <c r="L613" i="5" s="1"/>
  <c r="I596" i="5"/>
  <c r="N596" i="5" s="1"/>
  <c r="E1175" i="6" s="1"/>
  <c r="L1175" i="6" s="1"/>
  <c r="H531" i="5"/>
  <c r="H530" i="5"/>
  <c r="H528" i="5"/>
  <c r="K126" i="5"/>
  <c r="J125" i="5"/>
  <c r="K116" i="5"/>
  <c r="J112" i="5"/>
  <c r="I109" i="5"/>
  <c r="I108" i="5"/>
  <c r="K102" i="5"/>
  <c r="L102" i="5" s="1"/>
  <c r="C187" i="6" s="1"/>
  <c r="K187" i="6" s="1"/>
  <c r="J101" i="5"/>
  <c r="L101" i="5" s="1"/>
  <c r="C185" i="6" s="1"/>
  <c r="K185" i="6" s="1"/>
  <c r="K92" i="5"/>
  <c r="J88" i="5"/>
  <c r="I85" i="5"/>
  <c r="I84" i="5"/>
  <c r="I34" i="5"/>
  <c r="H21" i="5"/>
  <c r="H19" i="5"/>
  <c r="H18" i="5"/>
  <c r="I666" i="5"/>
  <c r="K662" i="5"/>
  <c r="J658" i="5"/>
  <c r="L658" i="5" s="1"/>
  <c r="C1299" i="6" s="1"/>
  <c r="P1299" i="6" s="1"/>
  <c r="I597" i="5"/>
  <c r="N597" i="5" s="1"/>
  <c r="E1177" i="6" s="1"/>
  <c r="L1177" i="6" s="1"/>
  <c r="I547" i="5"/>
  <c r="J496" i="5"/>
  <c r="K56" i="5"/>
  <c r="J52" i="5"/>
  <c r="K50" i="5"/>
  <c r="J46" i="5"/>
  <c r="I35" i="5"/>
  <c r="H20" i="5"/>
  <c r="H17" i="5"/>
  <c r="H16" i="5"/>
  <c r="H649" i="5"/>
  <c r="H648" i="5"/>
  <c r="J538" i="5"/>
  <c r="P19" i="5"/>
  <c r="G21" i="6" s="1"/>
  <c r="P21" i="6" s="1"/>
  <c r="N19" i="5"/>
  <c r="E21" i="6" s="1"/>
  <c r="N21" i="6" s="1"/>
  <c r="O20" i="5"/>
  <c r="F23" i="6" s="1"/>
  <c r="P23" i="6" s="1"/>
  <c r="N20" i="5"/>
  <c r="E23" i="6" s="1"/>
  <c r="N23" i="6" s="1"/>
  <c r="N103" i="5"/>
  <c r="E189" i="6" s="1"/>
  <c r="P189" i="6" s="1"/>
  <c r="L103" i="5"/>
  <c r="C189" i="6" s="1"/>
  <c r="K189" i="6" s="1"/>
  <c r="M117" i="5"/>
  <c r="D217" i="6" s="1"/>
  <c r="P217" i="6" s="1"/>
  <c r="L117" i="5"/>
  <c r="O140" i="5"/>
  <c r="F263" i="6" s="1"/>
  <c r="P263" i="6" s="1"/>
  <c r="N140" i="5"/>
  <c r="E263" i="6" s="1"/>
  <c r="N263" i="6" s="1"/>
  <c r="P145" i="5"/>
  <c r="G273" i="6" s="1"/>
  <c r="P273" i="6" s="1"/>
  <c r="M145" i="5"/>
  <c r="D273" i="6" s="1"/>
  <c r="K273" i="6" s="1"/>
  <c r="N148" i="5"/>
  <c r="E279" i="6" s="1"/>
  <c r="P279" i="6" s="1"/>
  <c r="M148" i="5"/>
  <c r="D279" i="6" s="1"/>
  <c r="K279" i="6" s="1"/>
  <c r="P181" i="5"/>
  <c r="G345" i="6" s="1"/>
  <c r="P345" i="6" s="1"/>
  <c r="N181" i="5"/>
  <c r="E345" i="6" s="1"/>
  <c r="K345" i="6" s="1"/>
  <c r="P191" i="5"/>
  <c r="G365" i="6" s="1"/>
  <c r="P365" i="6" s="1"/>
  <c r="N191" i="5"/>
  <c r="E365" i="6" s="1"/>
  <c r="O365" i="6" s="1"/>
  <c r="N199" i="5"/>
  <c r="E381" i="6" s="1"/>
  <c r="P381" i="6" s="1"/>
  <c r="M199" i="5"/>
  <c r="D381" i="6" s="1"/>
  <c r="N381" i="6" s="1"/>
  <c r="P205" i="5"/>
  <c r="G393" i="6" s="1"/>
  <c r="P393" i="6" s="1"/>
  <c r="M205" i="5"/>
  <c r="D393" i="6" s="1"/>
  <c r="O393" i="6" s="1"/>
  <c r="N149" i="5"/>
  <c r="E281" i="6" s="1"/>
  <c r="P281" i="6" s="1"/>
  <c r="M149" i="5"/>
  <c r="D281" i="6" s="1"/>
  <c r="K281" i="6" s="1"/>
  <c r="L55" i="5"/>
  <c r="C93" i="6" s="1"/>
  <c r="K93" i="6" s="1"/>
  <c r="M55" i="5"/>
  <c r="D93" i="6" s="1"/>
  <c r="M93" i="6" s="1"/>
  <c r="P685" i="5"/>
  <c r="G1353" i="6" s="1"/>
  <c r="O1353" i="6" s="1"/>
  <c r="N685" i="5"/>
  <c r="E1353" i="6" s="1"/>
  <c r="K1353" i="6" s="1"/>
  <c r="O685" i="5"/>
  <c r="F1353" i="6" s="1"/>
  <c r="M1353" i="6" s="1"/>
  <c r="P667" i="5"/>
  <c r="G1317" i="6" s="1"/>
  <c r="O1317" i="6" s="1"/>
  <c r="O667" i="5"/>
  <c r="F1317" i="6" s="1"/>
  <c r="N1317" i="6" s="1"/>
  <c r="P619" i="5"/>
  <c r="G1221" i="6" s="1"/>
  <c r="O1221" i="6" s="1"/>
  <c r="M619" i="5"/>
  <c r="D1221" i="6" s="1"/>
  <c r="K1221" i="6" s="1"/>
  <c r="N619" i="5"/>
  <c r="E1221" i="6" s="1"/>
  <c r="M1221" i="6" s="1"/>
  <c r="L271" i="5"/>
  <c r="M363" i="5"/>
  <c r="D709" i="6" s="1"/>
  <c r="P709" i="6" s="1"/>
  <c r="M483" i="5"/>
  <c r="D949" i="6" s="1"/>
  <c r="P949" i="6" s="1"/>
  <c r="P661" i="5"/>
  <c r="G1305" i="6" s="1"/>
  <c r="O1305" i="6" s="1"/>
  <c r="O661" i="5"/>
  <c r="F1305" i="6" s="1"/>
  <c r="N1305" i="6" s="1"/>
  <c r="P695" i="5"/>
  <c r="G1373" i="6" s="1"/>
  <c r="O1373" i="6" s="1"/>
  <c r="O695" i="5"/>
  <c r="F1373" i="6" s="1"/>
  <c r="K1373" i="6" s="1"/>
  <c r="P45" i="5"/>
  <c r="G73" i="6" s="1"/>
  <c r="O73" i="6" s="1"/>
  <c r="N45" i="5"/>
  <c r="O45" i="5"/>
  <c r="F73" i="6" s="1"/>
  <c r="P73" i="6" s="1"/>
  <c r="P55" i="5"/>
  <c r="G93" i="6" s="1"/>
  <c r="O93" i="6" s="1"/>
  <c r="N55" i="5"/>
  <c r="P69" i="5"/>
  <c r="G121" i="6" s="1"/>
  <c r="O121" i="6" s="1"/>
  <c r="O69" i="5"/>
  <c r="F121" i="6" s="1"/>
  <c r="P121" i="6" s="1"/>
  <c r="M69" i="5"/>
  <c r="N69" i="5"/>
  <c r="E121" i="6" s="1"/>
  <c r="M121" i="6" s="1"/>
  <c r="P79" i="5"/>
  <c r="G141" i="6" s="1"/>
  <c r="O141" i="6" s="1"/>
  <c r="N79" i="5"/>
  <c r="E141" i="6" s="1"/>
  <c r="P141" i="6" s="1"/>
  <c r="O79" i="5"/>
  <c r="F141" i="6" s="1"/>
  <c r="M141" i="6" s="1"/>
  <c r="M79" i="5"/>
  <c r="P115" i="5"/>
  <c r="G213" i="6" s="1"/>
  <c r="O213" i="6" s="1"/>
  <c r="M115" i="5"/>
  <c r="D213" i="6" s="1"/>
  <c r="P213" i="6" s="1"/>
  <c r="L115" i="5"/>
  <c r="N115" i="5"/>
  <c r="E213" i="6" s="1"/>
  <c r="M213" i="6" s="1"/>
  <c r="P121" i="5"/>
  <c r="G225" i="6" s="1"/>
  <c r="O225" i="6" s="1"/>
  <c r="M121" i="5"/>
  <c r="D225" i="6" s="1"/>
  <c r="P225" i="6" s="1"/>
  <c r="L121" i="5"/>
  <c r="O121" i="5"/>
  <c r="F225" i="6" s="1"/>
  <c r="M225" i="6" s="1"/>
  <c r="N121" i="5"/>
  <c r="E225" i="6" s="1"/>
  <c r="N225" i="6" s="1"/>
  <c r="P671" i="5"/>
  <c r="G1325" i="6" s="1"/>
  <c r="O1325" i="6" s="1"/>
  <c r="O671" i="5"/>
  <c r="F1325" i="6" s="1"/>
  <c r="K1325" i="6" s="1"/>
  <c r="P261" i="5"/>
  <c r="G505" i="6" s="1"/>
  <c r="O505" i="6" s="1"/>
  <c r="N261" i="5"/>
  <c r="O261" i="5"/>
  <c r="F505" i="6" s="1"/>
  <c r="P505" i="6" s="1"/>
  <c r="P271" i="5"/>
  <c r="G525" i="6" s="1"/>
  <c r="O525" i="6" s="1"/>
  <c r="N271" i="5"/>
  <c r="E525" i="6" s="1"/>
  <c r="P525" i="6" s="1"/>
  <c r="O271" i="5"/>
  <c r="F525" i="6" s="1"/>
  <c r="N525" i="6" s="1"/>
  <c r="M271" i="5"/>
  <c r="D525" i="6" s="1"/>
  <c r="K525" i="6" s="1"/>
  <c r="P303" i="5"/>
  <c r="G589" i="6" s="1"/>
  <c r="O589" i="6" s="1"/>
  <c r="O303" i="5"/>
  <c r="F589" i="6" s="1"/>
  <c r="P589" i="6" s="1"/>
  <c r="N303" i="5"/>
  <c r="E589" i="6" s="1"/>
  <c r="K589" i="6" s="1"/>
  <c r="P317" i="5"/>
  <c r="G617" i="6" s="1"/>
  <c r="O617" i="6" s="1"/>
  <c r="O317" i="5"/>
  <c r="F617" i="6" s="1"/>
  <c r="K617" i="6" s="1"/>
  <c r="P349" i="5"/>
  <c r="G681" i="6" s="1"/>
  <c r="O681" i="6" s="1"/>
  <c r="O349" i="5"/>
  <c r="F681" i="6" s="1"/>
  <c r="N681" i="6" s="1"/>
  <c r="P235" i="5"/>
  <c r="G453" i="6" s="1"/>
  <c r="O453" i="6" s="1"/>
  <c r="N235" i="5"/>
  <c r="E453" i="6" s="1"/>
  <c r="M453" i="6" s="1"/>
  <c r="M235" i="5"/>
  <c r="N236" i="5"/>
  <c r="E455" i="6" s="1"/>
  <c r="M455" i="6" s="1"/>
  <c r="O236" i="5"/>
  <c r="F455" i="6" s="1"/>
  <c r="O455" i="6" s="1"/>
  <c r="M236" i="5"/>
  <c r="P241" i="5"/>
  <c r="G465" i="6" s="1"/>
  <c r="O465" i="6" s="1"/>
  <c r="N241" i="5"/>
  <c r="E465" i="6" s="1"/>
  <c r="N465" i="6" s="1"/>
  <c r="O241" i="5"/>
  <c r="F465" i="6" s="1"/>
  <c r="M465" i="6" s="1"/>
  <c r="M241" i="5"/>
  <c r="O242" i="5"/>
  <c r="F467" i="6" s="1"/>
  <c r="O467" i="6" s="1"/>
  <c r="M242" i="5"/>
  <c r="N245" i="5"/>
  <c r="E473" i="6" s="1"/>
  <c r="O473" i="6" s="1"/>
  <c r="M245" i="5"/>
  <c r="N644" i="5"/>
  <c r="E1271" i="6" s="1"/>
  <c r="M1271" i="6" s="1"/>
  <c r="O644" i="5"/>
  <c r="F1271" i="6" s="1"/>
  <c r="O1271" i="6" s="1"/>
  <c r="P285" i="5"/>
  <c r="G553" i="6" s="1"/>
  <c r="O553" i="6" s="1"/>
  <c r="O285" i="5"/>
  <c r="F553" i="6" s="1"/>
  <c r="P553" i="6" s="1"/>
  <c r="N285" i="5"/>
  <c r="E553" i="6" s="1"/>
  <c r="N553" i="6" s="1"/>
  <c r="P295" i="5"/>
  <c r="G573" i="6" s="1"/>
  <c r="O573" i="6" s="1"/>
  <c r="N295" i="5"/>
  <c r="E573" i="6" s="1"/>
  <c r="P573" i="6" s="1"/>
  <c r="O295" i="5"/>
  <c r="F573" i="6" s="1"/>
  <c r="N573" i="6" s="1"/>
  <c r="O296" i="5"/>
  <c r="F575" i="6" s="1"/>
  <c r="O575" i="6" s="1"/>
  <c r="N296" i="5"/>
  <c r="E575" i="6" s="1"/>
  <c r="P575" i="6" s="1"/>
  <c r="P309" i="5"/>
  <c r="G601" i="6" s="1"/>
  <c r="O601" i="6" s="1"/>
  <c r="O309" i="5"/>
  <c r="F601" i="6" s="1"/>
  <c r="P601" i="6" s="1"/>
  <c r="M320" i="5"/>
  <c r="D623" i="6" s="1"/>
  <c r="N623" i="6" s="1"/>
  <c r="L320" i="5"/>
  <c r="N320" i="5"/>
  <c r="E623" i="6" s="1"/>
  <c r="P623" i="6" s="1"/>
  <c r="P355" i="5"/>
  <c r="G693" i="6" s="1"/>
  <c r="O693" i="6" s="1"/>
  <c r="O355" i="5"/>
  <c r="F693" i="6" s="1"/>
  <c r="N693" i="6" s="1"/>
  <c r="M362" i="5"/>
  <c r="D707" i="6" s="1"/>
  <c r="P707" i="6" s="1"/>
  <c r="L362" i="5"/>
  <c r="N362" i="5"/>
  <c r="E707" i="6" s="1"/>
  <c r="N707" i="6" s="1"/>
  <c r="N365" i="5"/>
  <c r="E713" i="6" s="1"/>
  <c r="O713" i="6" s="1"/>
  <c r="M365" i="5"/>
  <c r="D713" i="6" s="1"/>
  <c r="P713" i="6" s="1"/>
  <c r="L365" i="5"/>
  <c r="P415" i="5"/>
  <c r="G813" i="6" s="1"/>
  <c r="O813" i="6" s="1"/>
  <c r="N415" i="5"/>
  <c r="E813" i="6" s="1"/>
  <c r="P813" i="6" s="1"/>
  <c r="O415" i="5"/>
  <c r="F813" i="6" s="1"/>
  <c r="M813" i="6" s="1"/>
  <c r="O416" i="5"/>
  <c r="F815" i="6" s="1"/>
  <c r="O815" i="6" s="1"/>
  <c r="N416" i="5"/>
  <c r="E815" i="6" s="1"/>
  <c r="P815" i="6" s="1"/>
  <c r="P429" i="5"/>
  <c r="G841" i="6" s="1"/>
  <c r="O841" i="6" s="1"/>
  <c r="O429" i="5"/>
  <c r="F841" i="6" s="1"/>
  <c r="P841" i="6" s="1"/>
  <c r="P691" i="5"/>
  <c r="G1365" i="6" s="1"/>
  <c r="O1365" i="6" s="1"/>
  <c r="O691" i="5"/>
  <c r="F1365" i="6" s="1"/>
  <c r="M1365" i="6" s="1"/>
  <c r="P405" i="5"/>
  <c r="G793" i="6" s="1"/>
  <c r="O793" i="6" s="1"/>
  <c r="O405" i="5"/>
  <c r="F793" i="6" s="1"/>
  <c r="P793" i="6" s="1"/>
  <c r="N405" i="5"/>
  <c r="E793" i="6" s="1"/>
  <c r="M793" i="6" s="1"/>
  <c r="M440" i="5"/>
  <c r="N440" i="5"/>
  <c r="E863" i="6" s="1"/>
  <c r="P863" i="6" s="1"/>
  <c r="P475" i="5"/>
  <c r="G933" i="6" s="1"/>
  <c r="O933" i="6" s="1"/>
  <c r="O475" i="5"/>
  <c r="F933" i="6" s="1"/>
  <c r="M933" i="6" s="1"/>
  <c r="O482" i="5"/>
  <c r="F947" i="6" s="1"/>
  <c r="O947" i="6" s="1"/>
  <c r="N482" i="5"/>
  <c r="E947" i="6" s="1"/>
  <c r="M947" i="6" s="1"/>
  <c r="M482" i="5"/>
  <c r="D947" i="6" s="1"/>
  <c r="P947" i="6" s="1"/>
  <c r="L482" i="5"/>
  <c r="P423" i="5"/>
  <c r="G829" i="6" s="1"/>
  <c r="O829" i="6" s="1"/>
  <c r="O423" i="5"/>
  <c r="N129" i="5"/>
  <c r="E241" i="6" s="1"/>
  <c r="O241" i="6" s="1"/>
  <c r="O129" i="5"/>
  <c r="F241" i="6" s="1"/>
  <c r="N241" i="6" s="1"/>
  <c r="M681" i="5"/>
  <c r="D1345" i="6" s="1"/>
  <c r="M1345" i="6" s="1"/>
  <c r="L681" i="5"/>
  <c r="C1345" i="6" s="1"/>
  <c r="P1345" i="6" s="1"/>
  <c r="L381" i="5"/>
  <c r="L393" i="5"/>
  <c r="C769" i="6" s="1"/>
  <c r="N769" i="6" s="1"/>
  <c r="L387" i="5"/>
  <c r="C757" i="6" s="1"/>
  <c r="N757" i="6" s="1"/>
  <c r="L391" i="5"/>
  <c r="L625" i="5"/>
  <c r="L619" i="5"/>
  <c r="L664" i="5"/>
  <c r="C1311" i="6" s="1"/>
  <c r="P1311" i="6" s="1"/>
  <c r="L705" i="5"/>
  <c r="C1393" i="6" s="1"/>
  <c r="P1393" i="6" s="1"/>
  <c r="P381" i="5"/>
  <c r="G745" i="6" s="1"/>
  <c r="O745" i="6" s="1"/>
  <c r="N381" i="5"/>
  <c r="E745" i="6" s="1"/>
  <c r="M745" i="6" s="1"/>
  <c r="M381" i="5"/>
  <c r="D745" i="6" s="1"/>
  <c r="K745" i="6" s="1"/>
  <c r="P625" i="5"/>
  <c r="G1233" i="6" s="1"/>
  <c r="O1233" i="6" s="1"/>
  <c r="M625" i="5"/>
  <c r="D1233" i="6" s="1"/>
  <c r="K1233" i="6" s="1"/>
  <c r="O625" i="5"/>
  <c r="F1233" i="6" s="1"/>
  <c r="M1233" i="6" s="1"/>
  <c r="P391" i="5"/>
  <c r="G765" i="6" s="1"/>
  <c r="O765" i="6" s="1"/>
  <c r="N391" i="5"/>
  <c r="E765" i="6" s="1"/>
  <c r="P765" i="6" s="1"/>
  <c r="O391" i="5"/>
  <c r="F765" i="6" s="1"/>
  <c r="M765" i="6" s="1"/>
  <c r="P437" i="5"/>
  <c r="G857" i="6" s="1"/>
  <c r="O857" i="6" s="1"/>
  <c r="O437" i="5"/>
  <c r="F857" i="6" s="1"/>
  <c r="K857" i="6" s="1"/>
  <c r="P469" i="5"/>
  <c r="G921" i="6" s="1"/>
  <c r="O921" i="6" s="1"/>
  <c r="N469" i="5"/>
  <c r="E921" i="6" s="1"/>
  <c r="K921" i="6" s="1"/>
  <c r="O469" i="5"/>
  <c r="F921" i="6" s="1"/>
  <c r="M921" i="6" s="1"/>
  <c r="P567" i="5"/>
  <c r="G1117" i="6" s="1"/>
  <c r="M1117" i="6" s="1"/>
  <c r="O567" i="5"/>
  <c r="F1117" i="6" s="1"/>
  <c r="P1117" i="6" s="1"/>
  <c r="O447" i="5"/>
  <c r="F877" i="6" s="1"/>
  <c r="P877" i="6" s="1"/>
  <c r="M447" i="5"/>
  <c r="D877" i="6" s="1"/>
  <c r="O877" i="6" s="1"/>
  <c r="N447" i="5"/>
  <c r="E877" i="6" s="1"/>
  <c r="K877" i="6" s="1"/>
  <c r="O633" i="5"/>
  <c r="F1249" i="6" s="1"/>
  <c r="N1249" i="6" s="1"/>
  <c r="N633" i="5"/>
  <c r="E1249" i="6" s="1"/>
  <c r="O1249" i="6" s="1"/>
  <c r="L513" i="5"/>
  <c r="C1009" i="6" s="1"/>
  <c r="O1009" i="6" s="1"/>
  <c r="M513" i="5"/>
  <c r="D1009" i="6" s="1"/>
  <c r="K1009" i="6" s="1"/>
  <c r="O81" i="5"/>
  <c r="F145" i="6" s="1"/>
  <c r="O145" i="6" s="1"/>
  <c r="L81" i="5"/>
  <c r="C145" i="6" s="1"/>
  <c r="K145" i="6" s="1"/>
  <c r="O99" i="5"/>
  <c r="F181" i="6" s="1"/>
  <c r="P181" i="6" s="1"/>
  <c r="N99" i="5"/>
  <c r="E181" i="6" s="1"/>
  <c r="N181" i="6" s="1"/>
  <c r="M99" i="5"/>
  <c r="D181" i="6" s="1"/>
  <c r="O181" i="6" s="1"/>
  <c r="M608" i="5"/>
  <c r="D1199" i="6" s="1"/>
  <c r="P1199" i="6" s="1"/>
  <c r="O608" i="5"/>
  <c r="F1199" i="6" s="1"/>
  <c r="M1199" i="6" s="1"/>
  <c r="L608" i="5"/>
  <c r="N608" i="5"/>
  <c r="E1199" i="6" s="1"/>
  <c r="N1199" i="6" s="1"/>
  <c r="P693" i="5"/>
  <c r="G1369" i="6" s="1"/>
  <c r="M1369" i="6" s="1"/>
  <c r="O693" i="5"/>
  <c r="F1369" i="6" s="1"/>
  <c r="O1369" i="6" s="1"/>
  <c r="O192" i="5"/>
  <c r="F367" i="6" s="1"/>
  <c r="M367" i="6" s="1"/>
  <c r="M192" i="5"/>
  <c r="D367" i="6" s="1"/>
  <c r="N367" i="6" s="1"/>
  <c r="N192" i="5"/>
  <c r="E367" i="6" s="1"/>
  <c r="O367" i="6" s="1"/>
  <c r="N209" i="5"/>
  <c r="E401" i="6" s="1"/>
  <c r="M401" i="6" s="1"/>
  <c r="M209" i="5"/>
  <c r="D401" i="6" s="1"/>
  <c r="O401" i="6" s="1"/>
  <c r="N243" i="5"/>
  <c r="E469" i="6" s="1"/>
  <c r="N469" i="6" s="1"/>
  <c r="O243" i="5"/>
  <c r="F469" i="6" s="1"/>
  <c r="O469" i="6" s="1"/>
  <c r="O249" i="5"/>
  <c r="F481" i="6" s="1"/>
  <c r="N481" i="6" s="1"/>
  <c r="N249" i="5"/>
  <c r="E481" i="6" s="1"/>
  <c r="O481" i="6" s="1"/>
  <c r="M678" i="5"/>
  <c r="D1339" i="6" s="1"/>
  <c r="M1339" i="6" s="1"/>
  <c r="L678" i="5"/>
  <c r="C1339" i="6" s="1"/>
  <c r="P1339" i="6" s="1"/>
  <c r="L627" i="5"/>
  <c r="L461" i="5"/>
  <c r="C905" i="6" s="1"/>
  <c r="N905" i="6" s="1"/>
  <c r="L633" i="5"/>
  <c r="M609" i="5"/>
  <c r="D1201" i="6" s="1"/>
  <c r="P1201" i="6" s="1"/>
  <c r="L729" i="5"/>
  <c r="C1441" i="6" s="1"/>
  <c r="P1441" i="6" s="1"/>
  <c r="L720" i="5"/>
  <c r="C1423" i="6" s="1"/>
  <c r="P1423" i="6" s="1"/>
  <c r="L465" i="5"/>
  <c r="L456" i="5"/>
  <c r="M705" i="5"/>
  <c r="D1393" i="6" s="1"/>
  <c r="N1393" i="6" s="1"/>
  <c r="P129" i="5"/>
  <c r="G241" i="6" s="1"/>
  <c r="M241" i="6" s="1"/>
  <c r="M129" i="5"/>
  <c r="D241" i="6" s="1"/>
  <c r="P241" i="6" s="1"/>
  <c r="L129" i="5"/>
  <c r="P393" i="5"/>
  <c r="G769" i="6" s="1"/>
  <c r="M769" i="6" s="1"/>
  <c r="N393" i="5"/>
  <c r="E769" i="6" s="1"/>
  <c r="P769" i="6" s="1"/>
  <c r="M393" i="5"/>
  <c r="P387" i="5"/>
  <c r="G757" i="6" s="1"/>
  <c r="M757" i="6" s="1"/>
  <c r="N387" i="5"/>
  <c r="E757" i="6" s="1"/>
  <c r="O757" i="6" s="1"/>
  <c r="M387" i="5"/>
  <c r="P447" i="5"/>
  <c r="G877" i="6" s="1"/>
  <c r="M877" i="6" s="1"/>
  <c r="L447" i="5"/>
  <c r="O461" i="5"/>
  <c r="F905" i="6" s="1"/>
  <c r="K905" i="6" s="1"/>
  <c r="P461" i="5"/>
  <c r="G905" i="6" s="1"/>
  <c r="M905" i="6" s="1"/>
  <c r="P471" i="5"/>
  <c r="G925" i="6" s="1"/>
  <c r="M925" i="6" s="1"/>
  <c r="N471" i="5"/>
  <c r="E925" i="6" s="1"/>
  <c r="K925" i="6" s="1"/>
  <c r="M485" i="5"/>
  <c r="D953" i="6" s="1"/>
  <c r="P953" i="6" s="1"/>
  <c r="L485" i="5"/>
  <c r="O485" i="5"/>
  <c r="F953" i="6" s="1"/>
  <c r="K953" i="6" s="1"/>
  <c r="P485" i="5"/>
  <c r="G953" i="6" s="1"/>
  <c r="M953" i="6" s="1"/>
  <c r="O581" i="5"/>
  <c r="F1145" i="6" s="1"/>
  <c r="K1145" i="6" s="1"/>
  <c r="P581" i="5"/>
  <c r="G1145" i="6" s="1"/>
  <c r="M1145" i="6" s="1"/>
  <c r="P633" i="5"/>
  <c r="G1249" i="6" s="1"/>
  <c r="M1249" i="6" s="1"/>
  <c r="M633" i="5"/>
  <c r="D1249" i="6" s="1"/>
  <c r="K1249" i="6" s="1"/>
  <c r="P701" i="5"/>
  <c r="G1385" i="6" s="1"/>
  <c r="M1385" i="6" s="1"/>
  <c r="O701" i="5"/>
  <c r="F1385" i="6" s="1"/>
  <c r="K1385" i="6" s="1"/>
  <c r="P711" i="5"/>
  <c r="G1405" i="6" s="1"/>
  <c r="M1405" i="6" s="1"/>
  <c r="O711" i="5"/>
  <c r="F1405" i="6" s="1"/>
  <c r="N1405" i="6" s="1"/>
  <c r="L711" i="5"/>
  <c r="M711" i="5"/>
  <c r="D1405" i="6" s="1"/>
  <c r="O1405" i="6" s="1"/>
  <c r="P725" i="5"/>
  <c r="G1433" i="6" s="1"/>
  <c r="M1433" i="6" s="1"/>
  <c r="O725" i="5"/>
  <c r="F1433" i="6" s="1"/>
  <c r="K1433" i="6" s="1"/>
  <c r="P513" i="5"/>
  <c r="G1009" i="6" s="1"/>
  <c r="M1009" i="6" s="1"/>
  <c r="N513" i="5"/>
  <c r="O513" i="5"/>
  <c r="F1009" i="6" s="1"/>
  <c r="N1009" i="6" s="1"/>
  <c r="P627" i="5"/>
  <c r="G1237" i="6" s="1"/>
  <c r="M1237" i="6" s="1"/>
  <c r="N627" i="5"/>
  <c r="E1237" i="6" s="1"/>
  <c r="N1237" i="6" s="1"/>
  <c r="P75" i="5"/>
  <c r="G133" i="6" s="1"/>
  <c r="M133" i="6" s="1"/>
  <c r="L75" i="5"/>
  <c r="O75" i="5"/>
  <c r="F133" i="6" s="1"/>
  <c r="P133" i="6" s="1"/>
  <c r="M75" i="5"/>
  <c r="D133" i="6" s="1"/>
  <c r="N133" i="6" s="1"/>
  <c r="P591" i="5"/>
  <c r="G1165" i="6" s="1"/>
  <c r="M1165" i="6" s="1"/>
  <c r="O591" i="5"/>
  <c r="F1165" i="6" s="1"/>
  <c r="N1165" i="6" s="1"/>
  <c r="P687" i="5"/>
  <c r="G1357" i="6" s="1"/>
  <c r="M1357" i="6" s="1"/>
  <c r="N687" i="5"/>
  <c r="E1357" i="6" s="1"/>
  <c r="K1357" i="6" s="1"/>
  <c r="P81" i="5"/>
  <c r="G145" i="6" s="1"/>
  <c r="M145" i="6" s="1"/>
  <c r="N81" i="5"/>
  <c r="E145" i="6" s="1"/>
  <c r="P145" i="6" s="1"/>
  <c r="M81" i="5"/>
  <c r="P99" i="5"/>
  <c r="G181" i="6" s="1"/>
  <c r="M181" i="6" s="1"/>
  <c r="L99" i="5"/>
  <c r="P105" i="5"/>
  <c r="G193" i="6" s="1"/>
  <c r="M193" i="6" s="1"/>
  <c r="L105" i="5"/>
  <c r="N105" i="5"/>
  <c r="E193" i="6" s="1"/>
  <c r="P193" i="6" s="1"/>
  <c r="M105" i="5"/>
  <c r="D193" i="6" s="1"/>
  <c r="O193" i="6" s="1"/>
  <c r="P123" i="5"/>
  <c r="G229" i="6" s="1"/>
  <c r="M229" i="6" s="1"/>
  <c r="N123" i="5"/>
  <c r="E229" i="6" s="1"/>
  <c r="N229" i="6" s="1"/>
  <c r="M123" i="5"/>
  <c r="D229" i="6" s="1"/>
  <c r="P229" i="6" s="1"/>
  <c r="L123" i="5"/>
  <c r="P507" i="5"/>
  <c r="G997" i="6" s="1"/>
  <c r="M997" i="6" s="1"/>
  <c r="M507" i="5"/>
  <c r="N507" i="5"/>
  <c r="E997" i="6" s="1"/>
  <c r="N997" i="6" s="1"/>
  <c r="O605" i="5"/>
  <c r="F1193" i="6" s="1"/>
  <c r="K1193" i="6" s="1"/>
  <c r="P605" i="5"/>
  <c r="G1193" i="6" s="1"/>
  <c r="M1193" i="6" s="1"/>
  <c r="L599" i="5"/>
  <c r="M599" i="5"/>
  <c r="D1181" i="6" s="1"/>
  <c r="P1181" i="6" s="1"/>
  <c r="N599" i="5"/>
  <c r="E1181" i="6" s="1"/>
  <c r="M1181" i="6" s="1"/>
  <c r="N654" i="5"/>
  <c r="E1291" i="6" s="1"/>
  <c r="O1291" i="6" s="1"/>
  <c r="O654" i="5"/>
  <c r="F1291" i="6" s="1"/>
  <c r="M1291" i="6" s="1"/>
  <c r="L704" i="5"/>
  <c r="N704" i="5"/>
  <c r="E1391" i="6" s="1"/>
  <c r="O1391" i="6" s="1"/>
  <c r="M704" i="5"/>
  <c r="D1391" i="6" s="1"/>
  <c r="N1391" i="6" s="1"/>
  <c r="O704" i="5"/>
  <c r="F1391" i="6" s="1"/>
  <c r="M1391" i="6" s="1"/>
  <c r="N528" i="5"/>
  <c r="E1039" i="6" s="1"/>
  <c r="N1039" i="6" s="1"/>
  <c r="O528" i="5"/>
  <c r="F1039" i="6" s="1"/>
  <c r="M1039" i="6" s="1"/>
  <c r="N648" i="5"/>
  <c r="E1279" i="6" s="1"/>
  <c r="N1279" i="6" s="1"/>
  <c r="O648" i="5"/>
  <c r="F1279" i="6" s="1"/>
  <c r="M1279" i="6" s="1"/>
  <c r="L661" i="5"/>
  <c r="M661" i="5"/>
  <c r="D1305" i="6" s="1"/>
  <c r="M1305" i="6" s="1"/>
  <c r="P537" i="5"/>
  <c r="G1057" i="6" s="1"/>
  <c r="M1057" i="6" s="1"/>
  <c r="N537" i="5"/>
  <c r="E1057" i="6" s="1"/>
  <c r="P1057" i="6" s="1"/>
  <c r="L663" i="5"/>
  <c r="M663" i="5"/>
  <c r="D1309" i="6" s="1"/>
  <c r="M1309" i="6" s="1"/>
  <c r="N184" i="5"/>
  <c r="E351" i="6" s="1"/>
  <c r="M351" i="6" s="1"/>
  <c r="M184" i="5"/>
  <c r="D351" i="6" s="1"/>
  <c r="N351" i="6" s="1"/>
  <c r="N185" i="5"/>
  <c r="E353" i="6" s="1"/>
  <c r="M353" i="6" s="1"/>
  <c r="M185" i="5"/>
  <c r="D353" i="6" s="1"/>
  <c r="N353" i="6" s="1"/>
  <c r="P195" i="5"/>
  <c r="G373" i="6" s="1"/>
  <c r="M373" i="6" s="1"/>
  <c r="N195" i="5"/>
  <c r="E373" i="6" s="1"/>
  <c r="O373" i="6" s="1"/>
  <c r="O195" i="5"/>
  <c r="F373" i="6" s="1"/>
  <c r="P373" i="6" s="1"/>
  <c r="M195" i="5"/>
  <c r="D373" i="6" s="1"/>
  <c r="N373" i="6" s="1"/>
  <c r="O198" i="5"/>
  <c r="F379" i="6" s="1"/>
  <c r="M379" i="6" s="1"/>
  <c r="M198" i="5"/>
  <c r="D379" i="6" s="1"/>
  <c r="N379" i="6" s="1"/>
  <c r="N198" i="5"/>
  <c r="E379" i="6" s="1"/>
  <c r="P379" i="6" s="1"/>
  <c r="P201" i="5"/>
  <c r="G385" i="6" s="1"/>
  <c r="M385" i="6" s="1"/>
  <c r="M201" i="5"/>
  <c r="D385" i="6" s="1"/>
  <c r="N385" i="6" s="1"/>
  <c r="N201" i="5"/>
  <c r="E385" i="6" s="1"/>
  <c r="P385" i="6" s="1"/>
  <c r="N208" i="5"/>
  <c r="E399" i="6" s="1"/>
  <c r="M399" i="6" s="1"/>
  <c r="M208" i="5"/>
  <c r="D399" i="6" s="1"/>
  <c r="O399" i="6" s="1"/>
  <c r="N216" i="5"/>
  <c r="E415" i="6" s="1"/>
  <c r="N415" i="6" s="1"/>
  <c r="O216" i="5"/>
  <c r="F415" i="6" s="1"/>
  <c r="M415" i="6" s="1"/>
  <c r="P219" i="5"/>
  <c r="G421" i="6" s="1"/>
  <c r="M421" i="6" s="1"/>
  <c r="N219" i="5"/>
  <c r="E421" i="6" s="1"/>
  <c r="N421" i="6" s="1"/>
  <c r="O219" i="5"/>
  <c r="F421" i="6" s="1"/>
  <c r="P421" i="6" s="1"/>
  <c r="M222" i="5"/>
  <c r="D427" i="6" s="1"/>
  <c r="O427" i="6" s="1"/>
  <c r="N222" i="5"/>
  <c r="E427" i="6" s="1"/>
  <c r="P427" i="6" s="1"/>
  <c r="O222" i="5"/>
  <c r="F427" i="6" s="1"/>
  <c r="M427" i="6" s="1"/>
  <c r="P225" i="5"/>
  <c r="G433" i="6" s="1"/>
  <c r="M433" i="6" s="1"/>
  <c r="M225" i="5"/>
  <c r="D433" i="6" s="1"/>
  <c r="O433" i="6" s="1"/>
  <c r="O225" i="5"/>
  <c r="F433" i="6" s="1"/>
  <c r="N433" i="6" s="1"/>
  <c r="N225" i="5"/>
  <c r="E433" i="6" s="1"/>
  <c r="P433" i="6" s="1"/>
  <c r="N232" i="5"/>
  <c r="E447" i="6" s="1"/>
  <c r="M447" i="6" s="1"/>
  <c r="M232" i="5"/>
  <c r="D447" i="6" s="1"/>
  <c r="P447" i="6" s="1"/>
  <c r="P573" i="5"/>
  <c r="G1129" i="6" s="1"/>
  <c r="M1129" i="6" s="1"/>
  <c r="O573" i="5"/>
  <c r="F1129" i="6" s="1"/>
  <c r="P1129" i="6" s="1"/>
  <c r="L695" i="5"/>
  <c r="M695" i="5"/>
  <c r="D1373" i="6" s="1"/>
  <c r="N1373" i="6" s="1"/>
  <c r="N695" i="5"/>
  <c r="E1373" i="6" s="1"/>
  <c r="M1373" i="6" s="1"/>
  <c r="M233" i="5"/>
  <c r="D449" i="6" s="1"/>
  <c r="P449" i="6" s="1"/>
  <c r="N233" i="5"/>
  <c r="E449" i="6" s="1"/>
  <c r="M449" i="6" s="1"/>
  <c r="N240" i="5"/>
  <c r="E463" i="6" s="1"/>
  <c r="N463" i="6" s="1"/>
  <c r="O240" i="5"/>
  <c r="F463" i="6" s="1"/>
  <c r="M463" i="6" s="1"/>
  <c r="M240" i="5"/>
  <c r="D463" i="6" s="1"/>
  <c r="P463" i="6" s="1"/>
  <c r="P243" i="5"/>
  <c r="G469" i="6" s="1"/>
  <c r="M469" i="6" s="1"/>
  <c r="M243" i="5"/>
  <c r="D469" i="6" s="1"/>
  <c r="P469" i="6" s="1"/>
  <c r="N246" i="5"/>
  <c r="E475" i="6" s="1"/>
  <c r="O475" i="6" s="1"/>
  <c r="O246" i="5"/>
  <c r="F475" i="6" s="1"/>
  <c r="M475" i="6" s="1"/>
  <c r="M246" i="5"/>
  <c r="D475" i="6" s="1"/>
  <c r="P475" i="6" s="1"/>
  <c r="P249" i="5"/>
  <c r="G481" i="6" s="1"/>
  <c r="M481" i="6" s="1"/>
  <c r="M249" i="5"/>
  <c r="D481" i="6" s="1"/>
  <c r="P481" i="6" s="1"/>
  <c r="P673" i="5"/>
  <c r="G1329" i="6" s="1"/>
  <c r="O1329" i="6" s="1"/>
  <c r="M687" i="5"/>
  <c r="D1357" i="6" s="1"/>
  <c r="N1357" i="6" s="1"/>
  <c r="L687" i="5"/>
  <c r="N239" i="5"/>
  <c r="E461" i="6" s="1"/>
  <c r="N461" i="6" s="1"/>
  <c r="M239" i="5"/>
  <c r="D461" i="6" s="1"/>
  <c r="P461" i="6" s="1"/>
  <c r="L488" i="5"/>
  <c r="M488" i="5"/>
  <c r="D959" i="6" s="1"/>
  <c r="P959" i="6" s="1"/>
  <c r="O488" i="5"/>
  <c r="F959" i="6" s="1"/>
  <c r="M959" i="6" s="1"/>
  <c r="N488" i="5"/>
  <c r="E959" i="6" s="1"/>
  <c r="O959" i="6" s="1"/>
  <c r="O584" i="5"/>
  <c r="F1151" i="6" s="1"/>
  <c r="M1151" i="6" s="1"/>
  <c r="M584" i="5"/>
  <c r="N584" i="5"/>
  <c r="E1151" i="6" s="1"/>
  <c r="P1151" i="6" s="1"/>
  <c r="P597" i="5"/>
  <c r="G1177" i="6" s="1"/>
  <c r="M1177" i="6" s="1"/>
  <c r="O597" i="5"/>
  <c r="F1177" i="6" s="1"/>
  <c r="N1177" i="6" s="1"/>
  <c r="N719" i="5"/>
  <c r="E1421" i="6" s="1"/>
  <c r="M1421" i="6" s="1"/>
  <c r="L719" i="5"/>
  <c r="N728" i="5"/>
  <c r="E1439" i="6" s="1"/>
  <c r="N1439" i="6" s="1"/>
  <c r="O728" i="5"/>
  <c r="F1439" i="6" s="1"/>
  <c r="M1439" i="6" s="1"/>
  <c r="M728" i="5"/>
  <c r="D1439" i="6" s="1"/>
  <c r="O1439" i="6" s="1"/>
  <c r="L728" i="5"/>
  <c r="O247" i="5"/>
  <c r="F477" i="6" s="1"/>
  <c r="M477" i="6" s="1"/>
  <c r="P247" i="5"/>
  <c r="G477" i="6" s="1"/>
  <c r="N477" i="6" s="1"/>
  <c r="O715" i="5"/>
  <c r="F1413" i="6" s="1"/>
  <c r="M1413" i="6" s="1"/>
  <c r="P715" i="5"/>
  <c r="G1413" i="6" s="1"/>
  <c r="N1413" i="6" s="1"/>
  <c r="O595" i="5"/>
  <c r="F1173" i="6" s="1"/>
  <c r="M1173" i="6" s="1"/>
  <c r="P595" i="5"/>
  <c r="G1173" i="6" s="1"/>
  <c r="N1173" i="6" s="1"/>
  <c r="L455" i="5"/>
  <c r="C893" i="6" s="1"/>
  <c r="N893" i="6" s="1"/>
  <c r="P643" i="5"/>
  <c r="G1269" i="6" s="1"/>
  <c r="O1269" i="6" s="1"/>
  <c r="O643" i="5"/>
  <c r="F1269" i="6" s="1"/>
  <c r="N1269" i="6" s="1"/>
  <c r="N643" i="5"/>
  <c r="E1269" i="6" s="1"/>
  <c r="M1269" i="6" s="1"/>
  <c r="M698" i="5"/>
  <c r="O698" i="5"/>
  <c r="F1379" i="6" s="1"/>
  <c r="O1379" i="6" s="1"/>
  <c r="N698" i="5"/>
  <c r="E1379" i="6" s="1"/>
  <c r="M1379" i="6" s="1"/>
  <c r="N701" i="5"/>
  <c r="E1385" i="6" s="1"/>
  <c r="O1385" i="6" s="1"/>
  <c r="M701" i="5"/>
  <c r="P649" i="5"/>
  <c r="G1281" i="6" s="1"/>
  <c r="O1281" i="6" s="1"/>
  <c r="O649" i="5"/>
  <c r="F1281" i="6" s="1"/>
  <c r="M1281" i="6" s="1"/>
  <c r="N649" i="5"/>
  <c r="E1281" i="6" s="1"/>
  <c r="N1281" i="6" s="1"/>
  <c r="O674" i="5"/>
  <c r="F1331" i="6" s="1"/>
  <c r="O1331" i="6" s="1"/>
  <c r="M674" i="5"/>
  <c r="N674" i="5"/>
  <c r="E1331" i="6" s="1"/>
  <c r="N1331" i="6" s="1"/>
  <c r="M677" i="5"/>
  <c r="N677" i="5"/>
  <c r="E1337" i="6" s="1"/>
  <c r="O1337" i="6" s="1"/>
  <c r="M162" i="5"/>
  <c r="D307" i="6" s="1"/>
  <c r="M307" i="6" s="1"/>
  <c r="O162" i="5"/>
  <c r="F307" i="6" s="1"/>
  <c r="O307" i="6" s="1"/>
  <c r="N162" i="5"/>
  <c r="E307" i="6" s="1"/>
  <c r="N307" i="6" s="1"/>
  <c r="P165" i="5"/>
  <c r="G313" i="6" s="1"/>
  <c r="O313" i="6" s="1"/>
  <c r="O165" i="5"/>
  <c r="F313" i="6" s="1"/>
  <c r="P313" i="6" s="1"/>
  <c r="M165" i="5"/>
  <c r="D313" i="6" s="1"/>
  <c r="M313" i="6" s="1"/>
  <c r="N165" i="5"/>
  <c r="E313" i="6" s="1"/>
  <c r="N313" i="6" s="1"/>
  <c r="M166" i="5"/>
  <c r="D315" i="6" s="1"/>
  <c r="M315" i="6" s="1"/>
  <c r="N166" i="5"/>
  <c r="E315" i="6" s="1"/>
  <c r="O315" i="6" s="1"/>
  <c r="N167" i="5"/>
  <c r="E317" i="6" s="1"/>
  <c r="O317" i="6" s="1"/>
  <c r="M167" i="5"/>
  <c r="D317" i="6" s="1"/>
  <c r="M317" i="6" s="1"/>
  <c r="P175" i="5"/>
  <c r="G333" i="6" s="1"/>
  <c r="O333" i="6" s="1"/>
  <c r="M175" i="5"/>
  <c r="D333" i="6" s="1"/>
  <c r="M333" i="6" s="1"/>
  <c r="N175" i="5"/>
  <c r="E333" i="6" s="1"/>
  <c r="P333" i="6" s="1"/>
  <c r="O175" i="5"/>
  <c r="F333" i="6" s="1"/>
  <c r="N333" i="6" s="1"/>
  <c r="M176" i="5"/>
  <c r="D335" i="6" s="1"/>
  <c r="M335" i="6" s="1"/>
  <c r="O176" i="5"/>
  <c r="F335" i="6" s="1"/>
  <c r="O335" i="6" s="1"/>
  <c r="N176" i="5"/>
  <c r="E335" i="6" s="1"/>
  <c r="P335" i="6" s="1"/>
  <c r="O186" i="5"/>
  <c r="F355" i="6" s="1"/>
  <c r="O355" i="6" s="1"/>
  <c r="N186" i="5"/>
  <c r="E355" i="6" s="1"/>
  <c r="M355" i="6" s="1"/>
  <c r="M186" i="5"/>
  <c r="P189" i="5"/>
  <c r="G361" i="6" s="1"/>
  <c r="O361" i="6" s="1"/>
  <c r="N189" i="5"/>
  <c r="E361" i="6" s="1"/>
  <c r="M361" i="6" s="1"/>
  <c r="M189" i="5"/>
  <c r="O189" i="5"/>
  <c r="F361" i="6" s="1"/>
  <c r="P361" i="6" s="1"/>
  <c r="P535" i="5"/>
  <c r="G1053" i="6" s="1"/>
  <c r="N1053" i="6" s="1"/>
  <c r="O535" i="5"/>
  <c r="F1053" i="6" s="1"/>
  <c r="M1053" i="6" s="1"/>
  <c r="M560" i="5"/>
  <c r="D1103" i="6" s="1"/>
  <c r="M1103" i="6" s="1"/>
  <c r="O560" i="5"/>
  <c r="F1103" i="6" s="1"/>
  <c r="N1103" i="6" s="1"/>
  <c r="L560" i="5"/>
  <c r="P655" i="5"/>
  <c r="G1293" i="6" s="1"/>
  <c r="N1293" i="6" s="1"/>
  <c r="O655" i="5"/>
  <c r="F1293" i="6" s="1"/>
  <c r="M1293" i="6" s="1"/>
  <c r="N655" i="5"/>
  <c r="E1293" i="6" s="1"/>
  <c r="O1293" i="6" s="1"/>
  <c r="N522" i="5"/>
  <c r="E1027" i="6" s="1"/>
  <c r="M1027" i="6" s="1"/>
  <c r="O522" i="5"/>
  <c r="F1027" i="6" s="1"/>
  <c r="N1027" i="6" s="1"/>
  <c r="M605" i="5"/>
  <c r="D1193" i="6" s="1"/>
  <c r="P1193" i="6" s="1"/>
  <c r="L605" i="5"/>
  <c r="N605" i="5"/>
  <c r="E1193" i="6" s="1"/>
  <c r="N1193" i="6" s="1"/>
  <c r="N671" i="5"/>
  <c r="E1325" i="6" s="1"/>
  <c r="N1325" i="6" s="1"/>
  <c r="M671" i="5"/>
  <c r="P645" i="5"/>
  <c r="G1273" i="6" s="1"/>
  <c r="N1273" i="6" s="1"/>
  <c r="N645" i="5"/>
  <c r="E1273" i="6" s="1"/>
  <c r="M1273" i="6" s="1"/>
  <c r="O645" i="5"/>
  <c r="F1273" i="6" s="1"/>
  <c r="O1273" i="6" s="1"/>
  <c r="N160" i="5"/>
  <c r="E303" i="6" s="1"/>
  <c r="N303" i="6" s="1"/>
  <c r="M160" i="5"/>
  <c r="D303" i="6" s="1"/>
  <c r="M303" i="6" s="1"/>
  <c r="M161" i="5"/>
  <c r="D305" i="6" s="1"/>
  <c r="M305" i="6" s="1"/>
  <c r="N161" i="5"/>
  <c r="E305" i="6" s="1"/>
  <c r="N305" i="6" s="1"/>
  <c r="M168" i="5"/>
  <c r="D319" i="6" s="1"/>
  <c r="M319" i="6" s="1"/>
  <c r="N168" i="5"/>
  <c r="E319" i="6" s="1"/>
  <c r="O319" i="6" s="1"/>
  <c r="O168" i="5"/>
  <c r="F319" i="6" s="1"/>
  <c r="N319" i="6" s="1"/>
  <c r="P171" i="5"/>
  <c r="G325" i="6" s="1"/>
  <c r="N325" i="6" s="1"/>
  <c r="O171" i="5"/>
  <c r="F325" i="6" s="1"/>
  <c r="P325" i="6" s="1"/>
  <c r="M171" i="5"/>
  <c r="D325" i="6" s="1"/>
  <c r="M325" i="6" s="1"/>
  <c r="N171" i="5"/>
  <c r="E325" i="6" s="1"/>
  <c r="O325" i="6" s="1"/>
  <c r="M174" i="5"/>
  <c r="D331" i="6" s="1"/>
  <c r="M331" i="6" s="1"/>
  <c r="O174" i="5"/>
  <c r="F331" i="6" s="1"/>
  <c r="N331" i="6" s="1"/>
  <c r="P177" i="5"/>
  <c r="G337" i="6" s="1"/>
  <c r="N337" i="6" s="1"/>
  <c r="N177" i="5"/>
  <c r="E337" i="6" s="1"/>
  <c r="P337" i="6" s="1"/>
  <c r="O177" i="5"/>
  <c r="F337" i="6" s="1"/>
  <c r="O337" i="6" s="1"/>
  <c r="M177" i="5"/>
  <c r="D337" i="6" s="1"/>
  <c r="M337" i="6" s="1"/>
  <c r="M210" i="5"/>
  <c r="D403" i="6" s="1"/>
  <c r="O403" i="6" s="1"/>
  <c r="N210" i="5"/>
  <c r="E403" i="6" s="1"/>
  <c r="M403" i="6" s="1"/>
  <c r="O210" i="5"/>
  <c r="F403" i="6" s="1"/>
  <c r="N403" i="6" s="1"/>
  <c r="P213" i="5"/>
  <c r="G409" i="6" s="1"/>
  <c r="N409" i="6" s="1"/>
  <c r="M213" i="5"/>
  <c r="D409" i="6" s="1"/>
  <c r="O409" i="6" s="1"/>
  <c r="N213" i="5"/>
  <c r="E409" i="6" s="1"/>
  <c r="M409" i="6" s="1"/>
  <c r="M214" i="5"/>
  <c r="D411" i="6" s="1"/>
  <c r="O411" i="6" s="1"/>
  <c r="N214" i="5"/>
  <c r="E411" i="6" s="1"/>
  <c r="N411" i="6" s="1"/>
  <c r="N215" i="5"/>
  <c r="E413" i="6" s="1"/>
  <c r="N413" i="6" s="1"/>
  <c r="M215" i="5"/>
  <c r="D413" i="6" s="1"/>
  <c r="O413" i="6" s="1"/>
  <c r="P223" i="5"/>
  <c r="G429" i="6" s="1"/>
  <c r="N429" i="6" s="1"/>
  <c r="N223" i="5"/>
  <c r="E429" i="6" s="1"/>
  <c r="P429" i="6" s="1"/>
  <c r="M223" i="5"/>
  <c r="O223" i="5"/>
  <c r="F429" i="6" s="1"/>
  <c r="M429" i="6" s="1"/>
  <c r="M224" i="5"/>
  <c r="O224" i="5"/>
  <c r="F431" i="6" s="1"/>
  <c r="N431" i="6" s="1"/>
  <c r="L567" i="5"/>
  <c r="M567" i="5"/>
  <c r="D1117" i="6" s="1"/>
  <c r="N1117" i="6" s="1"/>
  <c r="L602" i="5"/>
  <c r="N602" i="5"/>
  <c r="E1187" i="6" s="1"/>
  <c r="M1187" i="6" s="1"/>
  <c r="O602" i="5"/>
  <c r="F1187" i="6" s="1"/>
  <c r="N1187" i="6" s="1"/>
  <c r="M602" i="5"/>
  <c r="D1187" i="6" s="1"/>
  <c r="P1187" i="6" s="1"/>
  <c r="M685" i="5"/>
  <c r="D1353" i="6" s="1"/>
  <c r="N1353" i="6" s="1"/>
  <c r="L685" i="5"/>
  <c r="M234" i="5"/>
  <c r="D451" i="6" s="1"/>
  <c r="P451" i="6" s="1"/>
  <c r="N234" i="5"/>
  <c r="E451" i="6" s="1"/>
  <c r="M451" i="6" s="1"/>
  <c r="O234" i="5"/>
  <c r="F451" i="6" s="1"/>
  <c r="N451" i="6" s="1"/>
  <c r="P237" i="5"/>
  <c r="G457" i="6" s="1"/>
  <c r="N457" i="6" s="1"/>
  <c r="M237" i="5"/>
  <c r="D457" i="6" s="1"/>
  <c r="P457" i="6" s="1"/>
  <c r="O237" i="5"/>
  <c r="F457" i="6" s="1"/>
  <c r="O457" i="6" s="1"/>
  <c r="N237" i="5"/>
  <c r="E457" i="6" s="1"/>
  <c r="M457" i="6" s="1"/>
  <c r="M238" i="5"/>
  <c r="D459" i="6" s="1"/>
  <c r="P459" i="6" s="1"/>
  <c r="N238" i="5"/>
  <c r="E459" i="6" s="1"/>
  <c r="N459" i="6" s="1"/>
  <c r="M247" i="5"/>
  <c r="D477" i="6" s="1"/>
  <c r="P477" i="6" s="1"/>
  <c r="N247" i="5"/>
  <c r="E477" i="6" s="1"/>
  <c r="O477" i="6" s="1"/>
  <c r="O248" i="5"/>
  <c r="F479" i="6" s="1"/>
  <c r="N479" i="6" s="1"/>
  <c r="M248" i="5"/>
  <c r="D479" i="6" s="1"/>
  <c r="P479" i="6" s="1"/>
  <c r="N248" i="5"/>
  <c r="E479" i="6" s="1"/>
  <c r="O479" i="6" s="1"/>
  <c r="N725" i="5"/>
  <c r="E1433" i="6" s="1"/>
  <c r="N1433" i="6" s="1"/>
  <c r="L725" i="5"/>
  <c r="M725" i="5"/>
  <c r="D1433" i="6" s="1"/>
  <c r="O1433" i="6" s="1"/>
  <c r="O288" i="5"/>
  <c r="F559" i="6" s="1"/>
  <c r="N559" i="6" s="1"/>
  <c r="N288" i="5"/>
  <c r="E559" i="6" s="1"/>
  <c r="O559" i="6" s="1"/>
  <c r="P291" i="5"/>
  <c r="G565" i="6" s="1"/>
  <c r="N565" i="6" s="1"/>
  <c r="O291" i="5"/>
  <c r="F565" i="6" s="1"/>
  <c r="P565" i="6" s="1"/>
  <c r="N291" i="5"/>
  <c r="E565" i="6" s="1"/>
  <c r="O565" i="6" s="1"/>
  <c r="O294" i="5"/>
  <c r="F571" i="6" s="1"/>
  <c r="N571" i="6" s="1"/>
  <c r="N294" i="5"/>
  <c r="E571" i="6" s="1"/>
  <c r="P571" i="6" s="1"/>
  <c r="P297" i="5"/>
  <c r="G577" i="6" s="1"/>
  <c r="N577" i="6" s="1"/>
  <c r="O297" i="5"/>
  <c r="F577" i="6" s="1"/>
  <c r="O577" i="6" s="1"/>
  <c r="N297" i="5"/>
  <c r="E577" i="6" s="1"/>
  <c r="P577" i="6" s="1"/>
  <c r="M303" i="5"/>
  <c r="D589" i="6" s="1"/>
  <c r="N589" i="6" s="1"/>
  <c r="L303" i="5"/>
  <c r="N536" i="5"/>
  <c r="E1055" i="6" s="1"/>
  <c r="P1055" i="6" s="1"/>
  <c r="O536" i="5"/>
  <c r="F1055" i="6" s="1"/>
  <c r="N1055" i="6" s="1"/>
  <c r="P669" i="5"/>
  <c r="G1321" i="6" s="1"/>
  <c r="N1321" i="6" s="1"/>
  <c r="O669" i="5"/>
  <c r="F1321" i="6" s="1"/>
  <c r="O1321" i="6" s="1"/>
  <c r="P333" i="5"/>
  <c r="G649" i="6" s="1"/>
  <c r="N649" i="6" s="1"/>
  <c r="O333" i="5"/>
  <c r="F649" i="6" s="1"/>
  <c r="P649" i="6" s="1"/>
  <c r="L344" i="5"/>
  <c r="M344" i="5"/>
  <c r="D671" i="6" s="1"/>
  <c r="O671" i="6" s="1"/>
  <c r="O344" i="5"/>
  <c r="F671" i="6" s="1"/>
  <c r="N671" i="6" s="1"/>
  <c r="N344" i="5"/>
  <c r="E671" i="6" s="1"/>
  <c r="P671" i="6" s="1"/>
  <c r="P357" i="5"/>
  <c r="G697" i="6" s="1"/>
  <c r="N697" i="6" s="1"/>
  <c r="O357" i="5"/>
  <c r="F697" i="6" s="1"/>
  <c r="O697" i="6" s="1"/>
  <c r="M359" i="5"/>
  <c r="D701" i="6" s="1"/>
  <c r="P701" i="6" s="1"/>
  <c r="L359" i="5"/>
  <c r="N359" i="5"/>
  <c r="E701" i="6" s="1"/>
  <c r="N701" i="6" s="1"/>
  <c r="N368" i="5"/>
  <c r="E719" i="6" s="1"/>
  <c r="O719" i="6" s="1"/>
  <c r="M368" i="5"/>
  <c r="D719" i="6" s="1"/>
  <c r="P719" i="6" s="1"/>
  <c r="L368" i="5"/>
  <c r="O368" i="5"/>
  <c r="F719" i="6" s="1"/>
  <c r="N719" i="6" s="1"/>
  <c r="P549" i="5"/>
  <c r="G1081" i="6" s="1"/>
  <c r="N1081" i="6" s="1"/>
  <c r="O549" i="5"/>
  <c r="F1081" i="6" s="1"/>
  <c r="P1081" i="6" s="1"/>
  <c r="N656" i="5"/>
  <c r="E1295" i="6" s="1"/>
  <c r="O1295" i="6" s="1"/>
  <c r="O656" i="5"/>
  <c r="F1295" i="6" s="1"/>
  <c r="N1295" i="6" s="1"/>
  <c r="M680" i="5"/>
  <c r="D1343" i="6" s="1"/>
  <c r="M1343" i="6" s="1"/>
  <c r="L680" i="5"/>
  <c r="O680" i="5"/>
  <c r="F1343" i="6" s="1"/>
  <c r="N1343" i="6" s="1"/>
  <c r="N680" i="5"/>
  <c r="E1343" i="6" s="1"/>
  <c r="O1343" i="6" s="1"/>
  <c r="O642" i="5"/>
  <c r="F1267" i="6" s="1"/>
  <c r="N1267" i="6" s="1"/>
  <c r="N642" i="5"/>
  <c r="E1267" i="6" s="1"/>
  <c r="M1267" i="6" s="1"/>
  <c r="P525" i="5"/>
  <c r="G1033" i="6" s="1"/>
  <c r="N1033" i="6" s="1"/>
  <c r="O525" i="5"/>
  <c r="F1033" i="6" s="1"/>
  <c r="P1033" i="6" s="1"/>
  <c r="N525" i="5"/>
  <c r="E1033" i="6" s="1"/>
  <c r="M1033" i="6" s="1"/>
  <c r="M722" i="5"/>
  <c r="D1427" i="6" s="1"/>
  <c r="O1427" i="6" s="1"/>
  <c r="L722" i="5"/>
  <c r="N722" i="5"/>
  <c r="E1427" i="6" s="1"/>
  <c r="M1427" i="6" s="1"/>
  <c r="O722" i="5"/>
  <c r="F1427" i="6" s="1"/>
  <c r="N1427" i="6" s="1"/>
  <c r="N534" i="5"/>
  <c r="E1051" i="6" s="1"/>
  <c r="P1051" i="6" s="1"/>
  <c r="O534" i="5"/>
  <c r="F1051" i="6" s="1"/>
  <c r="M1051" i="6" s="1"/>
  <c r="P531" i="5"/>
  <c r="G1045" i="6" s="1"/>
  <c r="M1045" i="6" s="1"/>
  <c r="O531" i="5"/>
  <c r="F1045" i="6" s="1"/>
  <c r="P1045" i="6" s="1"/>
  <c r="N531" i="5"/>
  <c r="E1045" i="6" s="1"/>
  <c r="N1045" i="6" s="1"/>
  <c r="L543" i="5"/>
  <c r="M543" i="5"/>
  <c r="D1069" i="6" s="1"/>
  <c r="M1069" i="6" s="1"/>
  <c r="N408" i="5"/>
  <c r="E799" i="6" s="1"/>
  <c r="O799" i="6" s="1"/>
  <c r="O408" i="5"/>
  <c r="F799" i="6" s="1"/>
  <c r="M799" i="6" s="1"/>
  <c r="P411" i="5"/>
  <c r="G805" i="6" s="1"/>
  <c r="M805" i="6" s="1"/>
  <c r="O411" i="5"/>
  <c r="F805" i="6" s="1"/>
  <c r="P805" i="6" s="1"/>
  <c r="N411" i="5"/>
  <c r="E805" i="6" s="1"/>
  <c r="O805" i="6" s="1"/>
  <c r="O414" i="5"/>
  <c r="F811" i="6" s="1"/>
  <c r="M811" i="6" s="1"/>
  <c r="N414" i="5"/>
  <c r="E811" i="6" s="1"/>
  <c r="P811" i="6" s="1"/>
  <c r="P417" i="5"/>
  <c r="G817" i="6" s="1"/>
  <c r="M817" i="6" s="1"/>
  <c r="O417" i="5"/>
  <c r="F817" i="6" s="1"/>
  <c r="O817" i="6" s="1"/>
  <c r="N417" i="5"/>
  <c r="E817" i="6" s="1"/>
  <c r="P817" i="6" s="1"/>
  <c r="L423" i="5"/>
  <c r="M423" i="5"/>
  <c r="D829" i="6" s="1"/>
  <c r="M829" i="6" s="1"/>
  <c r="P651" i="5"/>
  <c r="G1285" i="6" s="1"/>
  <c r="M1285" i="6" s="1"/>
  <c r="N651" i="5"/>
  <c r="E1285" i="6" s="1"/>
  <c r="N1285" i="6" s="1"/>
  <c r="O651" i="5"/>
  <c r="F1285" i="6" s="1"/>
  <c r="O1285" i="6" s="1"/>
  <c r="P657" i="5"/>
  <c r="G1297" i="6" s="1"/>
  <c r="M1297" i="6" s="1"/>
  <c r="N657" i="5"/>
  <c r="E1297" i="6" s="1"/>
  <c r="O1297" i="6" s="1"/>
  <c r="O657" i="5"/>
  <c r="F1297" i="6" s="1"/>
  <c r="N1297" i="6" s="1"/>
  <c r="P453" i="5"/>
  <c r="G889" i="6" s="1"/>
  <c r="M889" i="6" s="1"/>
  <c r="O453" i="5"/>
  <c r="F889" i="6" s="1"/>
  <c r="P889" i="6" s="1"/>
  <c r="N464" i="5"/>
  <c r="E911" i="6" s="1"/>
  <c r="P911" i="6" s="1"/>
  <c r="O464" i="5"/>
  <c r="F911" i="6" s="1"/>
  <c r="M911" i="6" s="1"/>
  <c r="L464" i="5"/>
  <c r="M464" i="5"/>
  <c r="D911" i="6" s="1"/>
  <c r="O911" i="6" s="1"/>
  <c r="P477" i="5"/>
  <c r="G937" i="6" s="1"/>
  <c r="M937" i="6" s="1"/>
  <c r="O477" i="5"/>
  <c r="F937" i="6" s="1"/>
  <c r="O937" i="6" s="1"/>
  <c r="N479" i="5"/>
  <c r="E941" i="6" s="1"/>
  <c r="M941" i="6" s="1"/>
  <c r="M479" i="5"/>
  <c r="D941" i="6" s="1"/>
  <c r="P941" i="6" s="1"/>
  <c r="L479" i="5"/>
  <c r="L325" i="5"/>
  <c r="C633" i="6" s="1"/>
  <c r="M633" i="6" s="1"/>
  <c r="M325" i="5"/>
  <c r="D633" i="6" s="1"/>
  <c r="O633" i="6" s="1"/>
  <c r="N505" i="5"/>
  <c r="E993" i="6" s="1"/>
  <c r="N993" i="6" s="1"/>
  <c r="L505" i="5"/>
  <c r="C993" i="6" s="1"/>
  <c r="O993" i="6" s="1"/>
  <c r="L363" i="5"/>
  <c r="C709" i="6" s="1"/>
  <c r="M709" i="6" s="1"/>
  <c r="N363" i="5"/>
  <c r="E709" i="6" s="1"/>
  <c r="N709" i="6" s="1"/>
  <c r="L489" i="5"/>
  <c r="M489" i="5"/>
  <c r="D961" i="6" s="1"/>
  <c r="P961" i="6" s="1"/>
  <c r="L483" i="5"/>
  <c r="N483" i="5"/>
  <c r="E949" i="6" s="1"/>
  <c r="M949" i="6" s="1"/>
  <c r="L486" i="5"/>
  <c r="M486" i="5"/>
  <c r="D955" i="6" s="1"/>
  <c r="P955" i="6" s="1"/>
  <c r="L369" i="5"/>
  <c r="C721" i="6" s="1"/>
  <c r="M721" i="6" s="1"/>
  <c r="M369" i="5"/>
  <c r="D721" i="6" s="1"/>
  <c r="P721" i="6" s="1"/>
  <c r="M696" i="5"/>
  <c r="D1375" i="6" s="1"/>
  <c r="N1375" i="6" s="1"/>
  <c r="L696" i="5"/>
  <c r="M675" i="5"/>
  <c r="D1333" i="6" s="1"/>
  <c r="M1333" i="6" s="1"/>
  <c r="L675" i="5"/>
  <c r="L462" i="5"/>
  <c r="C907" i="6" s="1"/>
  <c r="N907" i="6" s="1"/>
  <c r="L339" i="5"/>
  <c r="C661" i="6" s="1"/>
  <c r="M661" i="6" s="1"/>
  <c r="L637" i="5"/>
  <c r="L634" i="5"/>
  <c r="L459" i="5"/>
  <c r="C901" i="6" s="1"/>
  <c r="N901" i="6" s="1"/>
  <c r="L639" i="5"/>
  <c r="L342" i="5"/>
  <c r="C667" i="6" s="1"/>
  <c r="M667" i="6" s="1"/>
  <c r="L636" i="5"/>
  <c r="L638" i="5"/>
  <c r="L635" i="5"/>
  <c r="C1069" i="6"/>
  <c r="O1069" i="6" s="1"/>
  <c r="R543" i="5"/>
  <c r="I1069" i="6" s="1"/>
  <c r="C829" i="6"/>
  <c r="N829" i="6" s="1"/>
  <c r="N554" i="5"/>
  <c r="E1091" i="6" s="1"/>
  <c r="N1091" i="6" s="1"/>
  <c r="L554" i="5"/>
  <c r="O554" i="5"/>
  <c r="F1091" i="6" s="1"/>
  <c r="P1091" i="6" s="1"/>
  <c r="L589" i="5"/>
  <c r="M589" i="5"/>
  <c r="D1161" i="6" s="1"/>
  <c r="P1161" i="6" s="1"/>
  <c r="L581" i="5"/>
  <c r="M581" i="5"/>
  <c r="D1145" i="6" s="1"/>
  <c r="N1145" i="6" s="1"/>
  <c r="N581" i="5"/>
  <c r="E1145" i="6" s="1"/>
  <c r="P1145" i="6" s="1"/>
  <c r="L471" i="5"/>
  <c r="M471" i="5"/>
  <c r="D925" i="6" s="1"/>
  <c r="P925" i="6" s="1"/>
  <c r="L469" i="5"/>
  <c r="M469" i="5"/>
  <c r="D921" i="6" s="1"/>
  <c r="P921" i="6" s="1"/>
  <c r="M461" i="5"/>
  <c r="N461" i="5"/>
  <c r="E905" i="6" s="1"/>
  <c r="P905" i="6" s="1"/>
  <c r="N458" i="5"/>
  <c r="E899" i="6" s="1"/>
  <c r="M899" i="6" s="1"/>
  <c r="M458" i="5"/>
  <c r="O458" i="5"/>
  <c r="F899" i="6" s="1"/>
  <c r="P899" i="6" s="1"/>
  <c r="O451" i="5"/>
  <c r="P451" i="5"/>
  <c r="G885" i="6" s="1"/>
  <c r="P885" i="6" s="1"/>
  <c r="N404" i="5"/>
  <c r="E791" i="6" s="1"/>
  <c r="M791" i="6" s="1"/>
  <c r="O404" i="5"/>
  <c r="F791" i="6" s="1"/>
  <c r="P791" i="6" s="1"/>
  <c r="O403" i="5"/>
  <c r="F789" i="6" s="1"/>
  <c r="O789" i="6" s="1"/>
  <c r="P403" i="5"/>
  <c r="G789" i="6" s="1"/>
  <c r="P789" i="6" s="1"/>
  <c r="M437" i="5"/>
  <c r="D857" i="6" s="1"/>
  <c r="M857" i="6" s="1"/>
  <c r="L437" i="5"/>
  <c r="N437" i="5"/>
  <c r="E857" i="6" s="1"/>
  <c r="P857" i="6" s="1"/>
  <c r="N434" i="5"/>
  <c r="E851" i="6" s="1"/>
  <c r="O851" i="6" s="1"/>
  <c r="O434" i="5"/>
  <c r="F851" i="6" s="1"/>
  <c r="P851" i="6" s="1"/>
  <c r="O427" i="5"/>
  <c r="F837" i="6" s="1"/>
  <c r="O837" i="6" s="1"/>
  <c r="P427" i="5"/>
  <c r="G837" i="6" s="1"/>
  <c r="P837" i="6" s="1"/>
  <c r="N410" i="5"/>
  <c r="E803" i="6" s="1"/>
  <c r="O803" i="6" s="1"/>
  <c r="O410" i="5"/>
  <c r="F803" i="6" s="1"/>
  <c r="P803" i="6" s="1"/>
  <c r="O409" i="5"/>
  <c r="F801" i="6" s="1"/>
  <c r="M801" i="6" s="1"/>
  <c r="N409" i="5"/>
  <c r="E801" i="6" s="1"/>
  <c r="O801" i="6" s="1"/>
  <c r="P409" i="5"/>
  <c r="G801" i="6" s="1"/>
  <c r="P801" i="6" s="1"/>
  <c r="L351" i="5"/>
  <c r="M351" i="5"/>
  <c r="D685" i="6" s="1"/>
  <c r="P685" i="6" s="1"/>
  <c r="L349" i="5"/>
  <c r="M349" i="5"/>
  <c r="D681" i="6" s="1"/>
  <c r="P681" i="6" s="1"/>
  <c r="M341" i="5"/>
  <c r="N341" i="5"/>
  <c r="E665" i="6" s="1"/>
  <c r="P665" i="6" s="1"/>
  <c r="N338" i="5"/>
  <c r="E659" i="6" s="1"/>
  <c r="N659" i="6" s="1"/>
  <c r="M338" i="5"/>
  <c r="O338" i="5"/>
  <c r="F659" i="6" s="1"/>
  <c r="P659" i="6" s="1"/>
  <c r="O331" i="5"/>
  <c r="F645" i="6" s="1"/>
  <c r="N645" i="6" s="1"/>
  <c r="P331" i="5"/>
  <c r="G645" i="6" s="1"/>
  <c r="P645" i="6" s="1"/>
  <c r="L317" i="5"/>
  <c r="M317" i="5"/>
  <c r="D617" i="6" s="1"/>
  <c r="N617" i="6" s="1"/>
  <c r="N317" i="5"/>
  <c r="E617" i="6" s="1"/>
  <c r="P617" i="6" s="1"/>
  <c r="N314" i="5"/>
  <c r="E611" i="6" s="1"/>
  <c r="O611" i="6" s="1"/>
  <c r="O314" i="5"/>
  <c r="F611" i="6" s="1"/>
  <c r="P611" i="6" s="1"/>
  <c r="O547" i="5"/>
  <c r="F1077" i="6" s="1"/>
  <c r="N1077" i="6" s="1"/>
  <c r="P547" i="5"/>
  <c r="G1077" i="6" s="1"/>
  <c r="P1077" i="6" s="1"/>
  <c r="N530" i="5"/>
  <c r="E1043" i="6" s="1"/>
  <c r="N1043" i="6" s="1"/>
  <c r="O530" i="5"/>
  <c r="F1043" i="6" s="1"/>
  <c r="P1043" i="6" s="1"/>
  <c r="O523" i="5"/>
  <c r="F1029" i="6" s="1"/>
  <c r="N1029" i="6" s="1"/>
  <c r="P523" i="5"/>
  <c r="G1029" i="6" s="1"/>
  <c r="P1029" i="6" s="1"/>
  <c r="O307" i="5"/>
  <c r="F597" i="6" s="1"/>
  <c r="O597" i="6" s="1"/>
  <c r="P307" i="5"/>
  <c r="G597" i="6" s="1"/>
  <c r="P597" i="6" s="1"/>
  <c r="N290" i="5"/>
  <c r="E563" i="6" s="1"/>
  <c r="O563" i="6" s="1"/>
  <c r="O290" i="5"/>
  <c r="F563" i="6" s="1"/>
  <c r="P563" i="6" s="1"/>
  <c r="O289" i="5"/>
  <c r="F561" i="6" s="1"/>
  <c r="N561" i="6" s="1"/>
  <c r="N289" i="5"/>
  <c r="E561" i="6" s="1"/>
  <c r="O561" i="6" s="1"/>
  <c r="P289" i="5"/>
  <c r="G561" i="6" s="1"/>
  <c r="P561" i="6" s="1"/>
  <c r="N284" i="5"/>
  <c r="E551" i="6" s="1"/>
  <c r="N551" i="6" s="1"/>
  <c r="O284" i="5"/>
  <c r="F551" i="6" s="1"/>
  <c r="P551" i="6" s="1"/>
  <c r="O283" i="5"/>
  <c r="F549" i="6" s="1"/>
  <c r="O549" i="6" s="1"/>
  <c r="P283" i="5"/>
  <c r="G549" i="6" s="1"/>
  <c r="P549" i="6" s="1"/>
  <c r="L591" i="5"/>
  <c r="M591" i="5"/>
  <c r="D1165" i="6" s="1"/>
  <c r="P1165" i="6" s="1"/>
  <c r="M221" i="5"/>
  <c r="N221" i="5"/>
  <c r="E425" i="6" s="1"/>
  <c r="P425" i="6" s="1"/>
  <c r="M220" i="5"/>
  <c r="N220" i="5"/>
  <c r="E423" i="6" s="1"/>
  <c r="P423" i="6" s="1"/>
  <c r="M218" i="5"/>
  <c r="N218" i="5"/>
  <c r="E419" i="6" s="1"/>
  <c r="N419" i="6" s="1"/>
  <c r="O218" i="5"/>
  <c r="F419" i="6" s="1"/>
  <c r="P419" i="6" s="1"/>
  <c r="O217" i="5"/>
  <c r="F417" i="6" s="1"/>
  <c r="M417" i="6" s="1"/>
  <c r="N217" i="5"/>
  <c r="E417" i="6" s="1"/>
  <c r="N417" i="6" s="1"/>
  <c r="M217" i="5"/>
  <c r="P217" i="5"/>
  <c r="G417" i="6" s="1"/>
  <c r="P417" i="6" s="1"/>
  <c r="M212" i="5"/>
  <c r="N212" i="5"/>
  <c r="E407" i="6" s="1"/>
  <c r="M407" i="6" s="1"/>
  <c r="O212" i="5"/>
  <c r="F407" i="6" s="1"/>
  <c r="P407" i="6" s="1"/>
  <c r="N211" i="5"/>
  <c r="E405" i="6" s="1"/>
  <c r="M405" i="6" s="1"/>
  <c r="O211" i="5"/>
  <c r="F405" i="6" s="1"/>
  <c r="N405" i="6" s="1"/>
  <c r="M211" i="5"/>
  <c r="P211" i="5"/>
  <c r="G405" i="6" s="1"/>
  <c r="P405" i="6" s="1"/>
  <c r="M197" i="5"/>
  <c r="N197" i="5"/>
  <c r="E377" i="6" s="1"/>
  <c r="P377" i="6" s="1"/>
  <c r="M196" i="5"/>
  <c r="N196" i="5"/>
  <c r="E375" i="6" s="1"/>
  <c r="P375" i="6" s="1"/>
  <c r="N194" i="5"/>
  <c r="O194" i="5"/>
  <c r="F371" i="6" s="1"/>
  <c r="P371" i="6" s="1"/>
  <c r="O193" i="5"/>
  <c r="F369" i="6" s="1"/>
  <c r="M369" i="6" s="1"/>
  <c r="M193" i="5"/>
  <c r="N193" i="5"/>
  <c r="E369" i="6" s="1"/>
  <c r="O369" i="6" s="1"/>
  <c r="P193" i="5"/>
  <c r="G369" i="6" s="1"/>
  <c r="P369" i="6" s="1"/>
  <c r="N188" i="5"/>
  <c r="E359" i="6" s="1"/>
  <c r="M359" i="6" s="1"/>
  <c r="M188" i="5"/>
  <c r="O188" i="5"/>
  <c r="F359" i="6" s="1"/>
  <c r="P359" i="6" s="1"/>
  <c r="O187" i="5"/>
  <c r="F357" i="6" s="1"/>
  <c r="O357" i="6" s="1"/>
  <c r="P187" i="5"/>
  <c r="G357" i="6" s="1"/>
  <c r="P357" i="6" s="1"/>
  <c r="M173" i="5"/>
  <c r="N173" i="5"/>
  <c r="E329" i="6" s="1"/>
  <c r="P329" i="6" s="1"/>
  <c r="M172" i="5"/>
  <c r="N172" i="5"/>
  <c r="E327" i="6" s="1"/>
  <c r="P327" i="6" s="1"/>
  <c r="N170" i="5"/>
  <c r="O170" i="5"/>
  <c r="F323" i="6" s="1"/>
  <c r="P323" i="6" s="1"/>
  <c r="O169" i="5"/>
  <c r="F321" i="6" s="1"/>
  <c r="N321" i="6" s="1"/>
  <c r="N169" i="5"/>
  <c r="P169" i="5"/>
  <c r="G321" i="6" s="1"/>
  <c r="P321" i="6" s="1"/>
  <c r="M164" i="5"/>
  <c r="N164" i="5"/>
  <c r="E311" i="6" s="1"/>
  <c r="N311" i="6" s="1"/>
  <c r="O164" i="5"/>
  <c r="F311" i="6" s="1"/>
  <c r="P311" i="6" s="1"/>
  <c r="O163" i="5"/>
  <c r="F309" i="6" s="1"/>
  <c r="O309" i="6" s="1"/>
  <c r="P163" i="5"/>
  <c r="G309" i="6" s="1"/>
  <c r="P309" i="6" s="1"/>
  <c r="M557" i="5"/>
  <c r="D1097" i="6" s="1"/>
  <c r="M1097" i="6" s="1"/>
  <c r="L557" i="5"/>
  <c r="N557" i="5"/>
  <c r="E1097" i="6" s="1"/>
  <c r="P1097" i="6" s="1"/>
  <c r="L578" i="5"/>
  <c r="N578" i="5"/>
  <c r="E1139" i="6" s="1"/>
  <c r="M1139" i="6" s="1"/>
  <c r="M578" i="5"/>
  <c r="D1139" i="6" s="1"/>
  <c r="N1139" i="6" s="1"/>
  <c r="O578" i="5"/>
  <c r="F1139" i="6" s="1"/>
  <c r="P1139" i="6" s="1"/>
  <c r="O571" i="5"/>
  <c r="F1125" i="6" s="1"/>
  <c r="M1125" i="6" s="1"/>
  <c r="P571" i="5"/>
  <c r="G1125" i="6" s="1"/>
  <c r="P1125" i="6" s="1"/>
  <c r="O529" i="5"/>
  <c r="F1041" i="6" s="1"/>
  <c r="M1041" i="6" s="1"/>
  <c r="N529" i="5"/>
  <c r="E1041" i="6" s="1"/>
  <c r="N1041" i="6" s="1"/>
  <c r="P529" i="5"/>
  <c r="G1041" i="6" s="1"/>
  <c r="P1041" i="6" s="1"/>
  <c r="N524" i="5"/>
  <c r="E1031" i="6" s="1"/>
  <c r="M1031" i="6" s="1"/>
  <c r="O524" i="5"/>
  <c r="F1031" i="6" s="1"/>
  <c r="P1031" i="6" s="1"/>
  <c r="O421" i="5"/>
  <c r="F825" i="6" s="1"/>
  <c r="O825" i="6" s="1"/>
  <c r="P421" i="5"/>
  <c r="G825" i="6" s="1"/>
  <c r="P825" i="6" s="1"/>
  <c r="O499" i="5"/>
  <c r="F981" i="6" s="1"/>
  <c r="N981" i="6" s="1"/>
  <c r="L499" i="5"/>
  <c r="P499" i="5"/>
  <c r="G981" i="6" s="1"/>
  <c r="P981" i="6" s="1"/>
  <c r="M582" i="5"/>
  <c r="D1147" i="6" s="1"/>
  <c r="N1147" i="6" s="1"/>
  <c r="L582" i="5"/>
  <c r="N582" i="5"/>
  <c r="E1147" i="6" s="1"/>
  <c r="P1147" i="6" s="1"/>
  <c r="L575" i="5"/>
  <c r="O575" i="5"/>
  <c r="F1133" i="6" s="1"/>
  <c r="K1133" i="6" s="1"/>
  <c r="N575" i="5"/>
  <c r="E1133" i="6" s="1"/>
  <c r="M1133" i="6" s="1"/>
  <c r="M575" i="5"/>
  <c r="D1133" i="6" s="1"/>
  <c r="N1133" i="6" s="1"/>
  <c r="P575" i="5"/>
  <c r="G1133" i="6" s="1"/>
  <c r="P1133" i="6" s="1"/>
  <c r="M565" i="5"/>
  <c r="D1113" i="6" s="1"/>
  <c r="N1113" i="6" s="1"/>
  <c r="P565" i="5"/>
  <c r="G1113" i="6" s="1"/>
  <c r="P1113" i="6" s="1"/>
  <c r="N541" i="5"/>
  <c r="E1065" i="6" s="1"/>
  <c r="K1065" i="6" s="1"/>
  <c r="O541" i="5"/>
  <c r="F1065" i="6" s="1"/>
  <c r="N1065" i="6" s="1"/>
  <c r="P541" i="5"/>
  <c r="G1065" i="6" s="1"/>
  <c r="P1065" i="6" s="1"/>
  <c r="L473" i="5"/>
  <c r="M473" i="5"/>
  <c r="D929" i="6" s="1"/>
  <c r="P929" i="6" s="1"/>
  <c r="L472" i="5"/>
  <c r="M472" i="5"/>
  <c r="D927" i="6" s="1"/>
  <c r="P927" i="6" s="1"/>
  <c r="M462" i="5"/>
  <c r="N462" i="5"/>
  <c r="E907" i="6" s="1"/>
  <c r="P907" i="6" s="1"/>
  <c r="M459" i="5"/>
  <c r="N459" i="5"/>
  <c r="E901" i="6" s="1"/>
  <c r="M901" i="6" s="1"/>
  <c r="O459" i="5"/>
  <c r="F901" i="6" s="1"/>
  <c r="P901" i="6" s="1"/>
  <c r="M455" i="5"/>
  <c r="O455" i="5"/>
  <c r="F893" i="6" s="1"/>
  <c r="K893" i="6" s="1"/>
  <c r="N455" i="5"/>
  <c r="E893" i="6" s="1"/>
  <c r="M893" i="6" s="1"/>
  <c r="P455" i="5"/>
  <c r="G893" i="6" s="1"/>
  <c r="P893" i="6" s="1"/>
  <c r="M445" i="5"/>
  <c r="D873" i="6" s="1"/>
  <c r="O873" i="6" s="1"/>
  <c r="P445" i="5"/>
  <c r="G873" i="6" s="1"/>
  <c r="P873" i="6" s="1"/>
  <c r="M438" i="5"/>
  <c r="D859" i="6" s="1"/>
  <c r="M859" i="6" s="1"/>
  <c r="L438" i="5"/>
  <c r="N438" i="5"/>
  <c r="E859" i="6" s="1"/>
  <c r="P859" i="6" s="1"/>
  <c r="N435" i="5"/>
  <c r="E853" i="6" s="1"/>
  <c r="O853" i="6" s="1"/>
  <c r="O435" i="5"/>
  <c r="F853" i="6" s="1"/>
  <c r="P853" i="6" s="1"/>
  <c r="O431" i="5"/>
  <c r="F845" i="6" s="1"/>
  <c r="K845" i="6" s="1"/>
  <c r="N431" i="5"/>
  <c r="E845" i="6" s="1"/>
  <c r="O845" i="6" s="1"/>
  <c r="P431" i="5"/>
  <c r="G845" i="6" s="1"/>
  <c r="P845" i="6" s="1"/>
  <c r="O385" i="5"/>
  <c r="F753" i="6" s="1"/>
  <c r="M753" i="6" s="1"/>
  <c r="N385" i="5"/>
  <c r="E753" i="6" s="1"/>
  <c r="O753" i="6" s="1"/>
  <c r="P385" i="5"/>
  <c r="G753" i="6" s="1"/>
  <c r="P753" i="6" s="1"/>
  <c r="O379" i="5"/>
  <c r="F741" i="6" s="1"/>
  <c r="O741" i="6" s="1"/>
  <c r="P379" i="5"/>
  <c r="G741" i="6" s="1"/>
  <c r="P741" i="6" s="1"/>
  <c r="L353" i="5"/>
  <c r="M353" i="5"/>
  <c r="D689" i="6" s="1"/>
  <c r="P689" i="6" s="1"/>
  <c r="L352" i="5"/>
  <c r="M352" i="5"/>
  <c r="D687" i="6" s="1"/>
  <c r="P687" i="6" s="1"/>
  <c r="M342" i="5"/>
  <c r="N342" i="5"/>
  <c r="E667" i="6" s="1"/>
  <c r="P667" i="6" s="1"/>
  <c r="M339" i="5"/>
  <c r="N339" i="5"/>
  <c r="E661" i="6" s="1"/>
  <c r="N661" i="6" s="1"/>
  <c r="O339" i="5"/>
  <c r="F661" i="6" s="1"/>
  <c r="P661" i="6" s="1"/>
  <c r="O335" i="5"/>
  <c r="F653" i="6" s="1"/>
  <c r="K653" i="6" s="1"/>
  <c r="M335" i="5"/>
  <c r="D653" i="6" s="1"/>
  <c r="O653" i="6" s="1"/>
  <c r="P335" i="5"/>
  <c r="G653" i="6" s="1"/>
  <c r="P653" i="6" s="1"/>
  <c r="N325" i="5"/>
  <c r="O325" i="5"/>
  <c r="F633" i="6" s="1"/>
  <c r="N633" i="6" s="1"/>
  <c r="P325" i="5"/>
  <c r="G633" i="6" s="1"/>
  <c r="P633" i="6" s="1"/>
  <c r="L318" i="5"/>
  <c r="M318" i="5"/>
  <c r="D619" i="6" s="1"/>
  <c r="N619" i="6" s="1"/>
  <c r="N318" i="5"/>
  <c r="E619" i="6" s="1"/>
  <c r="P619" i="6" s="1"/>
  <c r="N315" i="5"/>
  <c r="E613" i="6" s="1"/>
  <c r="O613" i="6" s="1"/>
  <c r="O315" i="5"/>
  <c r="F613" i="6" s="1"/>
  <c r="P613" i="6" s="1"/>
  <c r="O311" i="5"/>
  <c r="F605" i="6" s="1"/>
  <c r="K605" i="6" s="1"/>
  <c r="N311" i="5"/>
  <c r="E605" i="6" s="1"/>
  <c r="O605" i="6" s="1"/>
  <c r="P311" i="5"/>
  <c r="G605" i="6" s="1"/>
  <c r="P605" i="6" s="1"/>
  <c r="O301" i="5"/>
  <c r="F585" i="6" s="1"/>
  <c r="O585" i="6" s="1"/>
  <c r="P301" i="5"/>
  <c r="G585" i="6" s="1"/>
  <c r="P585" i="6" s="1"/>
  <c r="O265" i="5"/>
  <c r="F513" i="6" s="1"/>
  <c r="N513" i="6" s="1"/>
  <c r="N265" i="5"/>
  <c r="E513" i="6" s="1"/>
  <c r="O513" i="6" s="1"/>
  <c r="P265" i="5"/>
  <c r="G513" i="6" s="1"/>
  <c r="P513" i="6" s="1"/>
  <c r="O259" i="5"/>
  <c r="F501" i="6" s="1"/>
  <c r="O501" i="6" s="1"/>
  <c r="P259" i="5"/>
  <c r="G501" i="6" s="1"/>
  <c r="P501" i="6" s="1"/>
  <c r="L593" i="5"/>
  <c r="M593" i="5"/>
  <c r="D1169" i="6" s="1"/>
  <c r="P1169" i="6" s="1"/>
  <c r="L555" i="5"/>
  <c r="M555" i="5"/>
  <c r="D1093" i="6" s="1"/>
  <c r="M1093" i="6" s="1"/>
  <c r="N555" i="5"/>
  <c r="E1093" i="6" s="1"/>
  <c r="N1093" i="6" s="1"/>
  <c r="O555" i="5"/>
  <c r="F1093" i="6" s="1"/>
  <c r="P1093" i="6" s="1"/>
  <c r="O551" i="5"/>
  <c r="F1085" i="6" s="1"/>
  <c r="K1085" i="6" s="1"/>
  <c r="L551" i="5"/>
  <c r="P551" i="5"/>
  <c r="G1085" i="6" s="1"/>
  <c r="P1085" i="6" s="1"/>
  <c r="L592" i="5"/>
  <c r="M592" i="5"/>
  <c r="D1167" i="6" s="1"/>
  <c r="P1167" i="6" s="1"/>
  <c r="M97" i="5"/>
  <c r="O97" i="5"/>
  <c r="F177" i="6" s="1"/>
  <c r="M177" i="6" s="1"/>
  <c r="N97" i="5"/>
  <c r="E177" i="6" s="1"/>
  <c r="N177" i="6" s="1"/>
  <c r="P97" i="5"/>
  <c r="G177" i="6" s="1"/>
  <c r="P177" i="6" s="1"/>
  <c r="N91" i="5"/>
  <c r="E165" i="6" s="1"/>
  <c r="M165" i="6" s="1"/>
  <c r="L91" i="5"/>
  <c r="O91" i="5"/>
  <c r="F165" i="6" s="1"/>
  <c r="N165" i="6" s="1"/>
  <c r="M91" i="5"/>
  <c r="D165" i="6" s="1"/>
  <c r="O165" i="6" s="1"/>
  <c r="P91" i="5"/>
  <c r="G165" i="6" s="1"/>
  <c r="P165" i="6" s="1"/>
  <c r="N579" i="5"/>
  <c r="E1141" i="6" s="1"/>
  <c r="M1141" i="6" s="1"/>
  <c r="M579" i="5"/>
  <c r="D1141" i="6" s="1"/>
  <c r="N1141" i="6" s="1"/>
  <c r="L579" i="5"/>
  <c r="O579" i="5"/>
  <c r="F1141" i="6" s="1"/>
  <c r="P1141" i="6" s="1"/>
  <c r="L73" i="5"/>
  <c r="O73" i="5"/>
  <c r="F129" i="6" s="1"/>
  <c r="M129" i="6" s="1"/>
  <c r="M73" i="5"/>
  <c r="D129" i="6" s="1"/>
  <c r="N129" i="6" s="1"/>
  <c r="N73" i="5"/>
  <c r="E129" i="6" s="1"/>
  <c r="O129" i="6" s="1"/>
  <c r="P73" i="5"/>
  <c r="G129" i="6" s="1"/>
  <c r="P129" i="6" s="1"/>
  <c r="O67" i="5"/>
  <c r="F117" i="6" s="1"/>
  <c r="O117" i="6" s="1"/>
  <c r="P67" i="5"/>
  <c r="G117" i="6" s="1"/>
  <c r="P117" i="6" s="1"/>
  <c r="O49" i="5"/>
  <c r="F81" i="6" s="1"/>
  <c r="N81" i="6" s="1"/>
  <c r="N49" i="5"/>
  <c r="E81" i="6" s="1"/>
  <c r="O81" i="6" s="1"/>
  <c r="P49" i="5"/>
  <c r="G81" i="6" s="1"/>
  <c r="P81" i="6" s="1"/>
  <c r="O43" i="5"/>
  <c r="F69" i="6" s="1"/>
  <c r="O69" i="6" s="1"/>
  <c r="P43" i="5"/>
  <c r="G69" i="6" s="1"/>
  <c r="P69" i="6" s="1"/>
  <c r="M558" i="5"/>
  <c r="D1099" i="6" s="1"/>
  <c r="M1099" i="6" s="1"/>
  <c r="L558" i="5"/>
  <c r="N558" i="5"/>
  <c r="E1099" i="6" s="1"/>
  <c r="P1099" i="6" s="1"/>
  <c r="O505" i="5"/>
  <c r="F993" i="6" s="1"/>
  <c r="M993" i="6" s="1"/>
  <c r="M505" i="5"/>
  <c r="P505" i="5"/>
  <c r="G993" i="6" s="1"/>
  <c r="P993" i="6" s="1"/>
  <c r="O729" i="5"/>
  <c r="F1441" i="6" s="1"/>
  <c r="M1441" i="6" s="1"/>
  <c r="N729" i="5"/>
  <c r="E1441" i="6" s="1"/>
  <c r="N1441" i="6" s="1"/>
  <c r="M729" i="5"/>
  <c r="P729" i="5"/>
  <c r="G1441" i="6" s="1"/>
  <c r="L1441" i="6" s="1"/>
  <c r="M726" i="5"/>
  <c r="N726" i="5"/>
  <c r="E1435" i="6" s="1"/>
  <c r="N1435" i="6" s="1"/>
  <c r="O726" i="5"/>
  <c r="F1435" i="6" s="1"/>
  <c r="L1435" i="6" s="1"/>
  <c r="N723" i="5"/>
  <c r="E1429" i="6" s="1"/>
  <c r="M1429" i="6" s="1"/>
  <c r="O723" i="5"/>
  <c r="F1429" i="6" s="1"/>
  <c r="N1429" i="6" s="1"/>
  <c r="M723" i="5"/>
  <c r="P723" i="5"/>
  <c r="G1429" i="6" s="1"/>
  <c r="L1429" i="6" s="1"/>
  <c r="N720" i="5"/>
  <c r="E1423" i="6" s="1"/>
  <c r="M1423" i="6" s="1"/>
  <c r="M720" i="5"/>
  <c r="O720" i="5"/>
  <c r="F1423" i="6" s="1"/>
  <c r="L1423" i="6" s="1"/>
  <c r="M713" i="5"/>
  <c r="N713" i="5"/>
  <c r="E1409" i="6" s="1"/>
  <c r="L1409" i="6" s="1"/>
  <c r="M712" i="5"/>
  <c r="N712" i="5"/>
  <c r="E1407" i="6" s="1"/>
  <c r="L1407" i="6" s="1"/>
  <c r="L561" i="5"/>
  <c r="N561" i="5"/>
  <c r="E1105" i="6" s="1"/>
  <c r="P1105" i="6" s="1"/>
  <c r="O561" i="5"/>
  <c r="F1105" i="6" s="1"/>
  <c r="N1105" i="6" s="1"/>
  <c r="P561" i="5"/>
  <c r="G1105" i="6" s="1"/>
  <c r="L1105" i="6" s="1"/>
  <c r="L585" i="5"/>
  <c r="O585" i="5"/>
  <c r="F1153" i="6" s="1"/>
  <c r="M1153" i="6" s="1"/>
  <c r="M585" i="5"/>
  <c r="D1153" i="6" s="1"/>
  <c r="N1153" i="6" s="1"/>
  <c r="N585" i="5"/>
  <c r="E1153" i="6" s="1"/>
  <c r="P1153" i="6" s="1"/>
  <c r="P585" i="5"/>
  <c r="G1153" i="6" s="1"/>
  <c r="L1153" i="6" s="1"/>
  <c r="N486" i="5"/>
  <c r="E955" i="6" s="1"/>
  <c r="O955" i="6" s="1"/>
  <c r="O486" i="5"/>
  <c r="F955" i="6" s="1"/>
  <c r="L955" i="6" s="1"/>
  <c r="O483" i="5"/>
  <c r="F949" i="6" s="1"/>
  <c r="O949" i="6" s="1"/>
  <c r="P483" i="5"/>
  <c r="G949" i="6" s="1"/>
  <c r="L949" i="6" s="1"/>
  <c r="M480" i="5"/>
  <c r="D943" i="6" s="1"/>
  <c r="P943" i="6" s="1"/>
  <c r="N480" i="5"/>
  <c r="E943" i="6" s="1"/>
  <c r="M943" i="6" s="1"/>
  <c r="L480" i="5"/>
  <c r="O480" i="5"/>
  <c r="F943" i="6" s="1"/>
  <c r="L943" i="6" s="1"/>
  <c r="N465" i="5"/>
  <c r="E913" i="6" s="1"/>
  <c r="P913" i="6" s="1"/>
  <c r="M465" i="5"/>
  <c r="D913" i="6" s="1"/>
  <c r="O913" i="6" s="1"/>
  <c r="O465" i="5"/>
  <c r="F913" i="6" s="1"/>
  <c r="M913" i="6" s="1"/>
  <c r="P465" i="5"/>
  <c r="G913" i="6" s="1"/>
  <c r="L913" i="6" s="1"/>
  <c r="L606" i="5"/>
  <c r="N606" i="5"/>
  <c r="E1195" i="6" s="1"/>
  <c r="N1195" i="6" s="1"/>
  <c r="M606" i="5"/>
  <c r="D1195" i="6" s="1"/>
  <c r="P1195" i="6" s="1"/>
  <c r="O606" i="5"/>
  <c r="F1195" i="6" s="1"/>
  <c r="L1195" i="6" s="1"/>
  <c r="N456" i="5"/>
  <c r="E895" i="6" s="1"/>
  <c r="M895" i="6" s="1"/>
  <c r="M456" i="5"/>
  <c r="D895" i="6" s="1"/>
  <c r="O895" i="6" s="1"/>
  <c r="O456" i="5"/>
  <c r="F895" i="6" s="1"/>
  <c r="L895" i="6" s="1"/>
  <c r="M449" i="5"/>
  <c r="N449" i="5"/>
  <c r="E881" i="6" s="1"/>
  <c r="L881" i="6" s="1"/>
  <c r="M448" i="5"/>
  <c r="N448" i="5"/>
  <c r="E879" i="6" s="1"/>
  <c r="L879" i="6" s="1"/>
  <c r="N441" i="5"/>
  <c r="E865" i="6" s="1"/>
  <c r="P865" i="6" s="1"/>
  <c r="L441" i="5"/>
  <c r="O441" i="5"/>
  <c r="F865" i="6" s="1"/>
  <c r="O865" i="6" s="1"/>
  <c r="P441" i="5"/>
  <c r="G865" i="6" s="1"/>
  <c r="L865" i="6" s="1"/>
  <c r="L399" i="5"/>
  <c r="M399" i="5"/>
  <c r="D781" i="6" s="1"/>
  <c r="L781" i="6" s="1"/>
  <c r="L398" i="5"/>
  <c r="M398" i="5"/>
  <c r="D779" i="6" s="1"/>
  <c r="L779" i="6" s="1"/>
  <c r="L397" i="5"/>
  <c r="M397" i="5"/>
  <c r="D777" i="6" s="1"/>
  <c r="L777" i="6" s="1"/>
  <c r="L395" i="5"/>
  <c r="M395" i="5"/>
  <c r="D773" i="6" s="1"/>
  <c r="L773" i="6" s="1"/>
  <c r="M544" i="5"/>
  <c r="D1071" i="6" s="1"/>
  <c r="M1071" i="6" s="1"/>
  <c r="L544" i="5"/>
  <c r="N544" i="5"/>
  <c r="E1071" i="6" s="1"/>
  <c r="L1071" i="6" s="1"/>
  <c r="L516" i="5"/>
  <c r="M516" i="5"/>
  <c r="D1015" i="6" s="1"/>
  <c r="L1015" i="6" s="1"/>
  <c r="L432" i="5"/>
  <c r="N432" i="5"/>
  <c r="E847" i="6" s="1"/>
  <c r="O847" i="6" s="1"/>
  <c r="O432" i="5"/>
  <c r="F847" i="6" s="1"/>
  <c r="L847" i="6" s="1"/>
  <c r="M425" i="5"/>
  <c r="D833" i="6" s="1"/>
  <c r="M833" i="6" s="1"/>
  <c r="L425" i="5"/>
  <c r="N425" i="5"/>
  <c r="E833" i="6" s="1"/>
  <c r="L833" i="6" s="1"/>
  <c r="M424" i="5"/>
  <c r="D831" i="6" s="1"/>
  <c r="M831" i="6" s="1"/>
  <c r="L424" i="5"/>
  <c r="N424" i="5"/>
  <c r="E831" i="6" s="1"/>
  <c r="L831" i="6" s="1"/>
  <c r="L396" i="5"/>
  <c r="M396" i="5"/>
  <c r="D775" i="6" s="1"/>
  <c r="L775" i="6" s="1"/>
  <c r="L394" i="5"/>
  <c r="M394" i="5"/>
  <c r="D771" i="6" s="1"/>
  <c r="L771" i="6" s="1"/>
  <c r="L609" i="5"/>
  <c r="O609" i="5"/>
  <c r="F1201" i="6" s="1"/>
  <c r="M1201" i="6" s="1"/>
  <c r="N609" i="5"/>
  <c r="E1201" i="6" s="1"/>
  <c r="N1201" i="6" s="1"/>
  <c r="P609" i="5"/>
  <c r="G1201" i="6" s="1"/>
  <c r="L1201" i="6" s="1"/>
  <c r="L603" i="5"/>
  <c r="N603" i="5"/>
  <c r="E1189" i="6" s="1"/>
  <c r="M1189" i="6" s="1"/>
  <c r="O603" i="5"/>
  <c r="F1189" i="6" s="1"/>
  <c r="N1189" i="6" s="1"/>
  <c r="P603" i="5"/>
  <c r="G1189" i="6" s="1"/>
  <c r="L1189" i="6" s="1"/>
  <c r="L569" i="5"/>
  <c r="M569" i="5"/>
  <c r="D1121" i="6" s="1"/>
  <c r="N1121" i="6" s="1"/>
  <c r="N569" i="5"/>
  <c r="E1121" i="6" s="1"/>
  <c r="L1121" i="6" s="1"/>
  <c r="N369" i="5"/>
  <c r="O369" i="5"/>
  <c r="F721" i="6" s="1"/>
  <c r="N721" i="6" s="1"/>
  <c r="P369" i="5"/>
  <c r="G721" i="6" s="1"/>
  <c r="L721" i="6" s="1"/>
  <c r="N366" i="5"/>
  <c r="E715" i="6" s="1"/>
  <c r="O715" i="6" s="1"/>
  <c r="M366" i="5"/>
  <c r="O366" i="5"/>
  <c r="F715" i="6" s="1"/>
  <c r="L715" i="6" s="1"/>
  <c r="O363" i="5"/>
  <c r="P363" i="5"/>
  <c r="G709" i="6" s="1"/>
  <c r="L709" i="6" s="1"/>
  <c r="M360" i="5"/>
  <c r="D703" i="6" s="1"/>
  <c r="P703" i="6" s="1"/>
  <c r="L360" i="5"/>
  <c r="N360" i="5"/>
  <c r="E703" i="6" s="1"/>
  <c r="N703" i="6" s="1"/>
  <c r="O360" i="5"/>
  <c r="F703" i="6" s="1"/>
  <c r="L703" i="6" s="1"/>
  <c r="N345" i="5"/>
  <c r="E673" i="6" s="1"/>
  <c r="P673" i="6" s="1"/>
  <c r="M345" i="5"/>
  <c r="O345" i="5"/>
  <c r="F673" i="6" s="1"/>
  <c r="N673" i="6" s="1"/>
  <c r="P345" i="5"/>
  <c r="G673" i="6" s="1"/>
  <c r="L673" i="6" s="1"/>
  <c r="M336" i="5"/>
  <c r="N336" i="5"/>
  <c r="E655" i="6" s="1"/>
  <c r="N655" i="6" s="1"/>
  <c r="O336" i="5"/>
  <c r="F655" i="6" s="1"/>
  <c r="L655" i="6" s="1"/>
  <c r="M329" i="5"/>
  <c r="N329" i="5"/>
  <c r="E641" i="6" s="1"/>
  <c r="L641" i="6" s="1"/>
  <c r="M328" i="5"/>
  <c r="N328" i="5"/>
  <c r="E639" i="6" s="1"/>
  <c r="L639" i="6" s="1"/>
  <c r="O321" i="5"/>
  <c r="F625" i="6" s="1"/>
  <c r="O625" i="6" s="1"/>
  <c r="P321" i="5"/>
  <c r="G625" i="6" s="1"/>
  <c r="L625" i="6" s="1"/>
  <c r="N312" i="5"/>
  <c r="E607" i="6" s="1"/>
  <c r="O607" i="6" s="1"/>
  <c r="O312" i="5"/>
  <c r="F607" i="6" s="1"/>
  <c r="L607" i="6" s="1"/>
  <c r="O681" i="5"/>
  <c r="F1345" i="6" s="1"/>
  <c r="N1345" i="6" s="1"/>
  <c r="N681" i="5"/>
  <c r="P681" i="5"/>
  <c r="G1345" i="6" s="1"/>
  <c r="L1345" i="6" s="1"/>
  <c r="M672" i="5"/>
  <c r="N672" i="5"/>
  <c r="E1327" i="6" s="1"/>
  <c r="N1327" i="6" s="1"/>
  <c r="O672" i="5"/>
  <c r="F1327" i="6" s="1"/>
  <c r="L1327" i="6" s="1"/>
  <c r="M545" i="5"/>
  <c r="D1073" i="6" s="1"/>
  <c r="M1073" i="6" s="1"/>
  <c r="L545" i="5"/>
  <c r="N545" i="5"/>
  <c r="E1073" i="6" s="1"/>
  <c r="L1073" i="6" s="1"/>
  <c r="L519" i="5"/>
  <c r="M519" i="5"/>
  <c r="D1021" i="6" s="1"/>
  <c r="L1021" i="6" s="1"/>
  <c r="L518" i="5"/>
  <c r="M518" i="5"/>
  <c r="D1019" i="6" s="1"/>
  <c r="L1019" i="6" s="1"/>
  <c r="L305" i="5"/>
  <c r="M305" i="5"/>
  <c r="D593" i="6" s="1"/>
  <c r="N593" i="6" s="1"/>
  <c r="N305" i="5"/>
  <c r="E593" i="6" s="1"/>
  <c r="L593" i="6" s="1"/>
  <c r="L304" i="5"/>
  <c r="M304" i="5"/>
  <c r="D591" i="6" s="1"/>
  <c r="N591" i="6" s="1"/>
  <c r="N304" i="5"/>
  <c r="E591" i="6" s="1"/>
  <c r="L591" i="6" s="1"/>
  <c r="L279" i="5"/>
  <c r="M279" i="5"/>
  <c r="D541" i="6" s="1"/>
  <c r="L541" i="6" s="1"/>
  <c r="L278" i="5"/>
  <c r="M278" i="5"/>
  <c r="D539" i="6" s="1"/>
  <c r="L539" i="6" s="1"/>
  <c r="L277" i="5"/>
  <c r="M277" i="5"/>
  <c r="D537" i="6" s="1"/>
  <c r="L537" i="6" s="1"/>
  <c r="L276" i="5"/>
  <c r="M276" i="5"/>
  <c r="D535" i="6" s="1"/>
  <c r="L535" i="6" s="1"/>
  <c r="L275" i="5"/>
  <c r="M275" i="5"/>
  <c r="D533" i="6" s="1"/>
  <c r="L533" i="6" s="1"/>
  <c r="L274" i="5"/>
  <c r="M274" i="5"/>
  <c r="D531" i="6" s="1"/>
  <c r="L531" i="6" s="1"/>
  <c r="C277" i="6"/>
  <c r="L277" i="6" s="1"/>
  <c r="R147" i="5"/>
  <c r="I277" i="6" s="1"/>
  <c r="C261" i="6"/>
  <c r="L261" i="6" s="1"/>
  <c r="N696" i="5"/>
  <c r="E1375" i="6" s="1"/>
  <c r="M1375" i="6" s="1"/>
  <c r="O696" i="5"/>
  <c r="F1375" i="6" s="1"/>
  <c r="L1375" i="6" s="1"/>
  <c r="L665" i="5"/>
  <c r="M665" i="5"/>
  <c r="D1313" i="6" s="1"/>
  <c r="M1313" i="6" s="1"/>
  <c r="N665" i="5"/>
  <c r="E1313" i="6" s="1"/>
  <c r="L1313" i="6" s="1"/>
  <c r="N576" i="5"/>
  <c r="E1135" i="6" s="1"/>
  <c r="M1135" i="6" s="1"/>
  <c r="M576" i="5"/>
  <c r="D1135" i="6" s="1"/>
  <c r="N1135" i="6" s="1"/>
  <c r="L576" i="5"/>
  <c r="O576" i="5"/>
  <c r="F1135" i="6" s="1"/>
  <c r="L1135" i="6" s="1"/>
  <c r="L568" i="5"/>
  <c r="M568" i="5"/>
  <c r="D1119" i="6" s="1"/>
  <c r="N1119" i="6" s="1"/>
  <c r="N568" i="5"/>
  <c r="E1119" i="6" s="1"/>
  <c r="L1119" i="6" s="1"/>
  <c r="L552" i="5"/>
  <c r="M552" i="5"/>
  <c r="D1087" i="6" s="1"/>
  <c r="M1087" i="6" s="1"/>
  <c r="N552" i="5"/>
  <c r="E1087" i="6" s="1"/>
  <c r="N1087" i="6" s="1"/>
  <c r="O552" i="5"/>
  <c r="F1087" i="6" s="1"/>
  <c r="L1087" i="6" s="1"/>
  <c r="L514" i="5"/>
  <c r="M514" i="5"/>
  <c r="D1011" i="6" s="1"/>
  <c r="L1011" i="6" s="1"/>
  <c r="N489" i="5"/>
  <c r="E961" i="6" s="1"/>
  <c r="O961" i="6" s="1"/>
  <c r="O489" i="5"/>
  <c r="F961" i="6" s="1"/>
  <c r="M961" i="6" s="1"/>
  <c r="P489" i="5"/>
  <c r="G961" i="6" s="1"/>
  <c r="L961" i="6" s="1"/>
  <c r="C289" i="6"/>
  <c r="L289" i="6" s="1"/>
  <c r="R153" i="5"/>
  <c r="I289" i="6" s="1"/>
  <c r="M688" i="5"/>
  <c r="N688" i="5"/>
  <c r="E1359" i="6" s="1"/>
  <c r="L1359" i="6" s="1"/>
  <c r="M664" i="5"/>
  <c r="N664" i="5"/>
  <c r="E1311" i="6" s="1"/>
  <c r="L1311" i="6" s="1"/>
  <c r="L517" i="5"/>
  <c r="M517" i="5"/>
  <c r="D1017" i="6" s="1"/>
  <c r="L1017" i="6" s="1"/>
  <c r="M702" i="5"/>
  <c r="N702" i="5"/>
  <c r="E1387" i="6" s="1"/>
  <c r="O1387" i="6" s="1"/>
  <c r="O702" i="5"/>
  <c r="F1387" i="6" s="1"/>
  <c r="L1387" i="6" s="1"/>
  <c r="O699" i="5"/>
  <c r="F1381" i="6" s="1"/>
  <c r="O1381" i="6" s="1"/>
  <c r="P699" i="5"/>
  <c r="G1381" i="6" s="1"/>
  <c r="L1381" i="6" s="1"/>
  <c r="L515" i="5"/>
  <c r="M515" i="5"/>
  <c r="D1013" i="6" s="1"/>
  <c r="L1013" i="6" s="1"/>
  <c r="N705" i="5"/>
  <c r="O705" i="5"/>
  <c r="F1393" i="6" s="1"/>
  <c r="M1393" i="6" s="1"/>
  <c r="P705" i="5"/>
  <c r="G1393" i="6" s="1"/>
  <c r="L1393" i="6" s="1"/>
  <c r="M689" i="5"/>
  <c r="D1361" i="6" s="1"/>
  <c r="N1361" i="6" s="1"/>
  <c r="L689" i="5"/>
  <c r="N689" i="5"/>
  <c r="E1361" i="6" s="1"/>
  <c r="L1361" i="6" s="1"/>
  <c r="N678" i="5"/>
  <c r="O678" i="5"/>
  <c r="F1339" i="6" s="1"/>
  <c r="L1339" i="6" s="1"/>
  <c r="N675" i="5"/>
  <c r="E1333" i="6" s="1"/>
  <c r="N1333" i="6" s="1"/>
  <c r="O675" i="5"/>
  <c r="F1333" i="6" s="1"/>
  <c r="O1333" i="6" s="1"/>
  <c r="P675" i="5"/>
  <c r="G1333" i="6" s="1"/>
  <c r="L1333" i="6" s="1"/>
  <c r="M600" i="5"/>
  <c r="D1183" i="6" s="1"/>
  <c r="P1183" i="6" s="1"/>
  <c r="N600" i="5"/>
  <c r="E1183" i="6" s="1"/>
  <c r="M1183" i="6" s="1"/>
  <c r="L600" i="5"/>
  <c r="O600" i="5"/>
  <c r="F1183" i="6" s="1"/>
  <c r="L1183" i="6" s="1"/>
  <c r="C1379" i="6"/>
  <c r="P1379" i="6" s="1"/>
  <c r="C1435" i="6"/>
  <c r="P1435" i="6" s="1"/>
  <c r="R267" i="5"/>
  <c r="I517" i="6" s="1"/>
  <c r="C517" i="6"/>
  <c r="M517" i="6" s="1"/>
  <c r="C529" i="6"/>
  <c r="M529" i="6" s="1"/>
  <c r="R273" i="5"/>
  <c r="I529" i="6" s="1"/>
  <c r="P457" i="5"/>
  <c r="G897" i="6" s="1"/>
  <c r="P897" i="6" s="1"/>
  <c r="O452" i="5"/>
  <c r="F887" i="6" s="1"/>
  <c r="P887" i="6" s="1"/>
  <c r="L434" i="5"/>
  <c r="M434" i="5"/>
  <c r="D851" i="6" s="1"/>
  <c r="M851" i="6" s="1"/>
  <c r="P433" i="5"/>
  <c r="G849" i="6" s="1"/>
  <c r="P849" i="6" s="1"/>
  <c r="M314" i="5"/>
  <c r="D611" i="6" s="1"/>
  <c r="N611" i="6" s="1"/>
  <c r="L314" i="5"/>
  <c r="P553" i="5"/>
  <c r="G1089" i="6" s="1"/>
  <c r="P1089" i="6" s="1"/>
  <c r="N187" i="5"/>
  <c r="E357" i="6" s="1"/>
  <c r="M357" i="6" s="1"/>
  <c r="M187" i="5"/>
  <c r="M163" i="5"/>
  <c r="N163" i="5"/>
  <c r="E309" i="6" s="1"/>
  <c r="N309" i="6" s="1"/>
  <c r="N421" i="5"/>
  <c r="E825" i="6" s="1"/>
  <c r="K825" i="6" s="1"/>
  <c r="M421" i="5"/>
  <c r="D825" i="6" s="1"/>
  <c r="M825" i="6" s="1"/>
  <c r="L421" i="5"/>
  <c r="M499" i="5"/>
  <c r="D981" i="6" s="1"/>
  <c r="K981" i="6" s="1"/>
  <c r="N499" i="5"/>
  <c r="E981" i="6" s="1"/>
  <c r="M981" i="6" s="1"/>
  <c r="L565" i="5"/>
  <c r="O565" i="5"/>
  <c r="F1113" i="6" s="1"/>
  <c r="M1113" i="6" s="1"/>
  <c r="N565" i="5"/>
  <c r="E1113" i="6" s="1"/>
  <c r="K1113" i="6" s="1"/>
  <c r="L541" i="5"/>
  <c r="M541" i="5"/>
  <c r="D1065" i="6" s="1"/>
  <c r="M1065" i="6" s="1"/>
  <c r="O445" i="5"/>
  <c r="F873" i="6" s="1"/>
  <c r="M873" i="6" s="1"/>
  <c r="N445" i="5"/>
  <c r="E873" i="6" s="1"/>
  <c r="K873" i="6" s="1"/>
  <c r="L445" i="5"/>
  <c r="M435" i="5"/>
  <c r="D853" i="6" s="1"/>
  <c r="M853" i="6" s="1"/>
  <c r="L435" i="5"/>
  <c r="M431" i="5"/>
  <c r="D845" i="6" s="1"/>
  <c r="M845" i="6" s="1"/>
  <c r="L431" i="5"/>
  <c r="L385" i="5"/>
  <c r="M385" i="5"/>
  <c r="D753" i="6" s="1"/>
  <c r="K753" i="6" s="1"/>
  <c r="N379" i="5"/>
  <c r="E741" i="6" s="1"/>
  <c r="M741" i="6" s="1"/>
  <c r="L379" i="5"/>
  <c r="M379" i="5"/>
  <c r="D741" i="6" s="1"/>
  <c r="K741" i="6" s="1"/>
  <c r="L335" i="5"/>
  <c r="N335" i="5"/>
  <c r="E653" i="6" s="1"/>
  <c r="N653" i="6" s="1"/>
  <c r="M315" i="5"/>
  <c r="D613" i="6" s="1"/>
  <c r="N613" i="6" s="1"/>
  <c r="L315" i="5"/>
  <c r="M311" i="5"/>
  <c r="D605" i="6" s="1"/>
  <c r="N605" i="6" s="1"/>
  <c r="L311" i="5"/>
  <c r="L301" i="5"/>
  <c r="N301" i="5"/>
  <c r="E585" i="6" s="1"/>
  <c r="K585" i="6" s="1"/>
  <c r="M301" i="5"/>
  <c r="D585" i="6" s="1"/>
  <c r="N585" i="6" s="1"/>
  <c r="L265" i="5"/>
  <c r="M265" i="5"/>
  <c r="D513" i="6" s="1"/>
  <c r="K513" i="6" s="1"/>
  <c r="N259" i="5"/>
  <c r="E501" i="6" s="1"/>
  <c r="N501" i="6" s="1"/>
  <c r="L259" i="5"/>
  <c r="M259" i="5"/>
  <c r="D501" i="6" s="1"/>
  <c r="K501" i="6" s="1"/>
  <c r="M551" i="5"/>
  <c r="D1085" i="6" s="1"/>
  <c r="M1085" i="6" s="1"/>
  <c r="N551" i="5"/>
  <c r="E1085" i="6" s="1"/>
  <c r="N1085" i="6" s="1"/>
  <c r="L67" i="5"/>
  <c r="M67" i="5"/>
  <c r="D117" i="6" s="1"/>
  <c r="N117" i="6" s="1"/>
  <c r="N67" i="5"/>
  <c r="E117" i="6" s="1"/>
  <c r="M117" i="6" s="1"/>
  <c r="M49" i="5"/>
  <c r="D81" i="6" s="1"/>
  <c r="M81" i="6" s="1"/>
  <c r="L49" i="5"/>
  <c r="M43" i="5"/>
  <c r="D69" i="6" s="1"/>
  <c r="M69" i="6" s="1"/>
  <c r="L43" i="5"/>
  <c r="N43" i="5"/>
  <c r="E69" i="6" s="1"/>
  <c r="N69" i="6" s="1"/>
  <c r="M321" i="5"/>
  <c r="D625" i="6" s="1"/>
  <c r="N625" i="6" s="1"/>
  <c r="L321" i="5"/>
  <c r="M312" i="5"/>
  <c r="D607" i="6" s="1"/>
  <c r="N607" i="6" s="1"/>
  <c r="L312" i="5"/>
  <c r="N699" i="5"/>
  <c r="E1381" i="6" s="1"/>
  <c r="M1381" i="6" s="1"/>
  <c r="M699" i="5"/>
  <c r="R151" i="5" l="1"/>
  <c r="I285" i="6" s="1"/>
  <c r="C285" i="6"/>
  <c r="L285" i="6" s="1"/>
  <c r="C255" i="6"/>
  <c r="L255" i="6" s="1"/>
  <c r="R136" i="5"/>
  <c r="I255" i="6" s="1"/>
  <c r="R51" i="5"/>
  <c r="I85" i="6" s="1"/>
  <c r="C85" i="6"/>
  <c r="K85" i="6" s="1"/>
  <c r="L718" i="5"/>
  <c r="C1419" i="6" s="1"/>
  <c r="P1419" i="6" s="1"/>
  <c r="M718" i="5"/>
  <c r="N718" i="5"/>
  <c r="E1419" i="6" s="1"/>
  <c r="M1419" i="6" s="1"/>
  <c r="L708" i="5"/>
  <c r="C1399" i="6" s="1"/>
  <c r="P1399" i="6" s="1"/>
  <c r="O708" i="5"/>
  <c r="F1399" i="6" s="1"/>
  <c r="M1399" i="6" s="1"/>
  <c r="N708" i="5"/>
  <c r="E1399" i="6" s="1"/>
  <c r="K1399" i="6" s="1"/>
  <c r="L679" i="5"/>
  <c r="M679" i="5"/>
  <c r="D1341" i="6" s="1"/>
  <c r="M1341" i="6" s="1"/>
  <c r="M630" i="5"/>
  <c r="D1243" i="6" s="1"/>
  <c r="K1243" i="6" s="1"/>
  <c r="L630" i="5"/>
  <c r="N500" i="5"/>
  <c r="E983" i="6" s="1"/>
  <c r="M983" i="6" s="1"/>
  <c r="M500" i="5"/>
  <c r="D983" i="6" s="1"/>
  <c r="K983" i="6" s="1"/>
  <c r="L588" i="5"/>
  <c r="N588" i="5"/>
  <c r="E1159" i="6" s="1"/>
  <c r="K1159" i="6" s="1"/>
  <c r="O588" i="5"/>
  <c r="F1159" i="6" s="1"/>
  <c r="M1159" i="6" s="1"/>
  <c r="M588" i="5"/>
  <c r="D1159" i="6" s="1"/>
  <c r="P1159" i="6" s="1"/>
  <c r="P588" i="5"/>
  <c r="G1159" i="6" s="1"/>
  <c r="L1159" i="6" s="1"/>
  <c r="L587" i="5"/>
  <c r="M587" i="5"/>
  <c r="D1157" i="6" s="1"/>
  <c r="P1157" i="6" s="1"/>
  <c r="M620" i="5"/>
  <c r="D1223" i="6" s="1"/>
  <c r="K1223" i="6" s="1"/>
  <c r="L620" i="5"/>
  <c r="N620" i="5"/>
  <c r="E1223" i="6" s="1"/>
  <c r="M1223" i="6" s="1"/>
  <c r="M676" i="5"/>
  <c r="D1335" i="6" s="1"/>
  <c r="M1335" i="6" s="1"/>
  <c r="N676" i="5"/>
  <c r="E1335" i="6" s="1"/>
  <c r="O1335" i="6" s="1"/>
  <c r="L676" i="5"/>
  <c r="M647" i="5"/>
  <c r="D1277" i="6" s="1"/>
  <c r="L1277" i="6" s="1"/>
  <c r="L647" i="5"/>
  <c r="M616" i="5"/>
  <c r="D1215" i="6" s="1"/>
  <c r="K1215" i="6" s="1"/>
  <c r="N616" i="5"/>
  <c r="E1215" i="6" s="1"/>
  <c r="M1215" i="6" s="1"/>
  <c r="O616" i="5"/>
  <c r="F1215" i="6" s="1"/>
  <c r="L1215" i="6" s="1"/>
  <c r="L616" i="5"/>
  <c r="M651" i="5"/>
  <c r="D1285" i="6" s="1"/>
  <c r="L1285" i="6" s="1"/>
  <c r="L651" i="5"/>
  <c r="L364" i="5"/>
  <c r="C711" i="6" s="1"/>
  <c r="M711" i="6" s="1"/>
  <c r="M364" i="5"/>
  <c r="D711" i="6" s="1"/>
  <c r="P711" i="6" s="1"/>
  <c r="M646" i="5"/>
  <c r="D1275" i="6" s="1"/>
  <c r="L1275" i="6" s="1"/>
  <c r="L646" i="5"/>
  <c r="L272" i="5"/>
  <c r="M272" i="5"/>
  <c r="D527" i="6" s="1"/>
  <c r="K527" i="6" s="1"/>
  <c r="N272" i="5"/>
  <c r="E527" i="6" s="1"/>
  <c r="P527" i="6" s="1"/>
  <c r="M266" i="5"/>
  <c r="D515" i="6" s="1"/>
  <c r="K515" i="6" s="1"/>
  <c r="L266" i="5"/>
  <c r="M262" i="5"/>
  <c r="D507" i="6" s="1"/>
  <c r="K507" i="6" s="1"/>
  <c r="L262" i="5"/>
  <c r="M650" i="5"/>
  <c r="D1283" i="6" s="1"/>
  <c r="L1283" i="6" s="1"/>
  <c r="L650" i="5"/>
  <c r="M126" i="5"/>
  <c r="D235" i="6" s="1"/>
  <c r="P235" i="6" s="1"/>
  <c r="L126" i="5"/>
  <c r="C235" i="6" s="1"/>
  <c r="K235" i="6" s="1"/>
  <c r="M125" i="5"/>
  <c r="D233" i="6" s="1"/>
  <c r="P233" i="6" s="1"/>
  <c r="L125" i="5"/>
  <c r="C233" i="6" s="1"/>
  <c r="K233" i="6" s="1"/>
  <c r="L116" i="5"/>
  <c r="C215" i="6" s="1"/>
  <c r="K215" i="6" s="1"/>
  <c r="N116" i="5"/>
  <c r="E215" i="6" s="1"/>
  <c r="M215" i="6" s="1"/>
  <c r="M116" i="5"/>
  <c r="D215" i="6" s="1"/>
  <c r="P215" i="6" s="1"/>
  <c r="N34" i="5"/>
  <c r="E51" i="6" s="1"/>
  <c r="L51" i="6" s="1"/>
  <c r="L34" i="5"/>
  <c r="M34" i="5"/>
  <c r="D51" i="6" s="1"/>
  <c r="M51" i="6" s="1"/>
  <c r="L662" i="5"/>
  <c r="C1307" i="6" s="1"/>
  <c r="P1307" i="6" s="1"/>
  <c r="M662" i="5"/>
  <c r="D1307" i="6" s="1"/>
  <c r="M1307" i="6" s="1"/>
  <c r="M496" i="5"/>
  <c r="D975" i="6" s="1"/>
  <c r="K975" i="6" s="1"/>
  <c r="N496" i="5"/>
  <c r="E975" i="6" s="1"/>
  <c r="M975" i="6" s="1"/>
  <c r="M56" i="5"/>
  <c r="D95" i="6" s="1"/>
  <c r="M95" i="6" s="1"/>
  <c r="L56" i="5"/>
  <c r="C95" i="6" s="1"/>
  <c r="K95" i="6" s="1"/>
  <c r="O52" i="5"/>
  <c r="F87" i="6" s="1"/>
  <c r="L87" i="6" s="1"/>
  <c r="M52" i="5"/>
  <c r="D87" i="6" s="1"/>
  <c r="M87" i="6" s="1"/>
  <c r="N52" i="5"/>
  <c r="E87" i="6" s="1"/>
  <c r="P87" i="6" s="1"/>
  <c r="L52" i="5"/>
  <c r="L50" i="5"/>
  <c r="M50" i="5"/>
  <c r="D83" i="6" s="1"/>
  <c r="M83" i="6" s="1"/>
  <c r="M46" i="5"/>
  <c r="D75" i="6" s="1"/>
  <c r="M75" i="6" s="1"/>
  <c r="L46" i="5"/>
  <c r="C75" i="6" s="1"/>
  <c r="K75" i="6" s="1"/>
  <c r="N35" i="5"/>
  <c r="E53" i="6" s="1"/>
  <c r="L53" i="6" s="1"/>
  <c r="L35" i="5"/>
  <c r="M35" i="5"/>
  <c r="D53" i="6" s="1"/>
  <c r="M53" i="6" s="1"/>
  <c r="M649" i="5"/>
  <c r="D1281" i="6" s="1"/>
  <c r="L1281" i="6" s="1"/>
  <c r="L649" i="5"/>
  <c r="M648" i="5"/>
  <c r="D1279" i="6" s="1"/>
  <c r="L1279" i="6" s="1"/>
  <c r="L648" i="5"/>
  <c r="C217" i="6"/>
  <c r="K217" i="6" s="1"/>
  <c r="R117" i="5"/>
  <c r="I217" i="6" s="1"/>
  <c r="R85" i="6"/>
  <c r="R1069" i="6"/>
  <c r="S543" i="5" s="1"/>
  <c r="W1069" i="6"/>
  <c r="X543" i="5" s="1"/>
  <c r="T1069" i="6"/>
  <c r="U543" i="5" s="1"/>
  <c r="D189" i="6"/>
  <c r="O189" i="6" s="1"/>
  <c r="R103" i="5"/>
  <c r="I189" i="6" s="1"/>
  <c r="C985" i="6"/>
  <c r="O985" i="6" s="1"/>
  <c r="R501" i="5"/>
  <c r="I985" i="6" s="1"/>
  <c r="N457" i="5"/>
  <c r="E897" i="6" s="1"/>
  <c r="M897" i="6" s="1"/>
  <c r="M457" i="5"/>
  <c r="D897" i="6" s="1"/>
  <c r="O897" i="6" s="1"/>
  <c r="O457" i="5"/>
  <c r="F897" i="6" s="1"/>
  <c r="L897" i="6" s="1"/>
  <c r="L457" i="5"/>
  <c r="N453" i="5"/>
  <c r="E889" i="6" s="1"/>
  <c r="L889" i="6" s="1"/>
  <c r="L453" i="5"/>
  <c r="M453" i="5"/>
  <c r="D889" i="6" s="1"/>
  <c r="O889" i="6" s="1"/>
  <c r="M443" i="5"/>
  <c r="O443" i="5"/>
  <c r="F869" i="6" s="1"/>
  <c r="L869" i="6" s="1"/>
  <c r="N443" i="5"/>
  <c r="E869" i="6" s="1"/>
  <c r="K869" i="6" s="1"/>
  <c r="O430" i="5"/>
  <c r="F843" i="6" s="1"/>
  <c r="K843" i="6" s="1"/>
  <c r="P430" i="5"/>
  <c r="G843" i="6" s="1"/>
  <c r="L843" i="6" s="1"/>
  <c r="N430" i="5"/>
  <c r="E843" i="6" s="1"/>
  <c r="O843" i="6" s="1"/>
  <c r="L430" i="5"/>
  <c r="M430" i="5"/>
  <c r="D843" i="6" s="1"/>
  <c r="M843" i="6" s="1"/>
  <c r="P420" i="5"/>
  <c r="G823" i="6" s="1"/>
  <c r="L823" i="6" s="1"/>
  <c r="O420" i="5"/>
  <c r="F823" i="6" s="1"/>
  <c r="O823" i="6" s="1"/>
  <c r="N420" i="5"/>
  <c r="E823" i="6" s="1"/>
  <c r="K823" i="6" s="1"/>
  <c r="M420" i="5"/>
  <c r="D823" i="6" s="1"/>
  <c r="M823" i="6" s="1"/>
  <c r="L420" i="5"/>
  <c r="M416" i="5"/>
  <c r="D815" i="6" s="1"/>
  <c r="L815" i="6" s="1"/>
  <c r="L416" i="5"/>
  <c r="L413" i="5"/>
  <c r="M413" i="5"/>
  <c r="D809" i="6" s="1"/>
  <c r="L809" i="6" s="1"/>
  <c r="L535" i="5"/>
  <c r="M535" i="5"/>
  <c r="D1053" i="6" s="1"/>
  <c r="L1053" i="6" s="1"/>
  <c r="P384" i="5"/>
  <c r="G751" i="6" s="1"/>
  <c r="L751" i="6" s="1"/>
  <c r="L384" i="5"/>
  <c r="M384" i="5"/>
  <c r="D751" i="6" s="1"/>
  <c r="K751" i="6" s="1"/>
  <c r="N384" i="5"/>
  <c r="E751" i="6" s="1"/>
  <c r="O751" i="6" s="1"/>
  <c r="O384" i="5"/>
  <c r="F751" i="6" s="1"/>
  <c r="M751" i="6" s="1"/>
  <c r="L377" i="5"/>
  <c r="N377" i="5"/>
  <c r="E737" i="6" s="1"/>
  <c r="M737" i="6" s="1"/>
  <c r="M377" i="5"/>
  <c r="D737" i="6" s="1"/>
  <c r="K737" i="6" s="1"/>
  <c r="O377" i="5"/>
  <c r="F737" i="6" s="1"/>
  <c r="L737" i="6" s="1"/>
  <c r="O337" i="5"/>
  <c r="F657" i="6" s="1"/>
  <c r="L657" i="6" s="1"/>
  <c r="N337" i="5"/>
  <c r="E657" i="6" s="1"/>
  <c r="N657" i="6" s="1"/>
  <c r="M337" i="5"/>
  <c r="D657" i="6" s="1"/>
  <c r="O657" i="6" s="1"/>
  <c r="L337" i="5"/>
  <c r="P324" i="5"/>
  <c r="G631" i="6" s="1"/>
  <c r="L631" i="6" s="1"/>
  <c r="M324" i="5"/>
  <c r="D631" i="6" s="1"/>
  <c r="O631" i="6" s="1"/>
  <c r="L324" i="5"/>
  <c r="N324" i="5"/>
  <c r="E631" i="6" s="1"/>
  <c r="K631" i="6" s="1"/>
  <c r="O324" i="5"/>
  <c r="F631" i="6" s="1"/>
  <c r="N631" i="6" s="1"/>
  <c r="M313" i="5"/>
  <c r="D609" i="6" s="1"/>
  <c r="N609" i="6" s="1"/>
  <c r="O313" i="5"/>
  <c r="F609" i="6" s="1"/>
  <c r="L609" i="6" s="1"/>
  <c r="N313" i="5"/>
  <c r="E609" i="6" s="1"/>
  <c r="O609" i="6" s="1"/>
  <c r="L313" i="5"/>
  <c r="N572" i="5"/>
  <c r="E1127" i="6" s="1"/>
  <c r="L1127" i="6" s="1"/>
  <c r="L572" i="5"/>
  <c r="M572" i="5"/>
  <c r="D1127" i="6" s="1"/>
  <c r="N1127" i="6" s="1"/>
  <c r="L309" i="5"/>
  <c r="M309" i="5"/>
  <c r="D601" i="6" s="1"/>
  <c r="N601" i="6" s="1"/>
  <c r="N309" i="5"/>
  <c r="E601" i="6" s="1"/>
  <c r="L601" i="6" s="1"/>
  <c r="M297" i="5"/>
  <c r="D577" i="6" s="1"/>
  <c r="L577" i="6" s="1"/>
  <c r="L297" i="5"/>
  <c r="L294" i="5"/>
  <c r="M294" i="5"/>
  <c r="D571" i="6" s="1"/>
  <c r="L571" i="6" s="1"/>
  <c r="L264" i="5"/>
  <c r="M264" i="5"/>
  <c r="D511" i="6" s="1"/>
  <c r="K511" i="6" s="1"/>
  <c r="O264" i="5"/>
  <c r="F511" i="6" s="1"/>
  <c r="N511" i="6" s="1"/>
  <c r="N264" i="5"/>
  <c r="E511" i="6" s="1"/>
  <c r="O511" i="6" s="1"/>
  <c r="P264" i="5"/>
  <c r="G511" i="6" s="1"/>
  <c r="L511" i="6" s="1"/>
  <c r="M258" i="5"/>
  <c r="D499" i="6" s="1"/>
  <c r="K499" i="6" s="1"/>
  <c r="P258" i="5"/>
  <c r="G499" i="6" s="1"/>
  <c r="L499" i="6" s="1"/>
  <c r="L258" i="5"/>
  <c r="N258" i="5"/>
  <c r="E499" i="6" s="1"/>
  <c r="N499" i="6" s="1"/>
  <c r="O258" i="5"/>
  <c r="F499" i="6" s="1"/>
  <c r="O499" i="6" s="1"/>
  <c r="M254" i="5"/>
  <c r="D491" i="6" s="1"/>
  <c r="K491" i="6" s="1"/>
  <c r="L254" i="5"/>
  <c r="N254" i="5"/>
  <c r="E491" i="6" s="1"/>
  <c r="L491" i="6" s="1"/>
  <c r="M553" i="5"/>
  <c r="D1089" i="6" s="1"/>
  <c r="M1089" i="6" s="1"/>
  <c r="N553" i="5"/>
  <c r="E1089" i="6" s="1"/>
  <c r="N1089" i="6" s="1"/>
  <c r="L553" i="5"/>
  <c r="O553" i="5"/>
  <c r="F1089" i="6" s="1"/>
  <c r="L1089" i="6" s="1"/>
  <c r="N494" i="5"/>
  <c r="E971" i="6" s="1"/>
  <c r="L971" i="6" s="1"/>
  <c r="L494" i="5"/>
  <c r="M494" i="5"/>
  <c r="D971" i="6" s="1"/>
  <c r="K971" i="6" s="1"/>
  <c r="M539" i="5"/>
  <c r="D1061" i="6" s="1"/>
  <c r="M1061" i="6" s="1"/>
  <c r="N539" i="5"/>
  <c r="E1061" i="6" s="1"/>
  <c r="K1061" i="6" s="1"/>
  <c r="O539" i="5"/>
  <c r="F1061" i="6" s="1"/>
  <c r="L1061" i="6" s="1"/>
  <c r="L539" i="5"/>
  <c r="N95" i="5"/>
  <c r="E173" i="6" s="1"/>
  <c r="N173" i="6" s="1"/>
  <c r="O95" i="5"/>
  <c r="F173" i="6" s="1"/>
  <c r="L173" i="6" s="1"/>
  <c r="M95" i="5"/>
  <c r="M86" i="5"/>
  <c r="D155" i="6" s="1"/>
  <c r="O155" i="6" s="1"/>
  <c r="L86" i="5"/>
  <c r="N86" i="5"/>
  <c r="E155" i="6" s="1"/>
  <c r="L155" i="6" s="1"/>
  <c r="L32" i="5"/>
  <c r="M32" i="5"/>
  <c r="D47" i="6" s="1"/>
  <c r="L47" i="6" s="1"/>
  <c r="L28" i="5"/>
  <c r="M28" i="5"/>
  <c r="D39" i="6" s="1"/>
  <c r="L39" i="6" s="1"/>
  <c r="P72" i="5"/>
  <c r="G127" i="6" s="1"/>
  <c r="L127" i="6" s="1"/>
  <c r="N72" i="5"/>
  <c r="E127" i="6" s="1"/>
  <c r="O127" i="6" s="1"/>
  <c r="M72" i="5"/>
  <c r="D127" i="6" s="1"/>
  <c r="N127" i="6" s="1"/>
  <c r="O72" i="5"/>
  <c r="F127" i="6" s="1"/>
  <c r="M127" i="6" s="1"/>
  <c r="L72" i="5"/>
  <c r="M65" i="5"/>
  <c r="D113" i="6" s="1"/>
  <c r="N113" i="6" s="1"/>
  <c r="L65" i="5"/>
  <c r="N65" i="5"/>
  <c r="E113" i="6" s="1"/>
  <c r="M113" i="6" s="1"/>
  <c r="O65" i="5"/>
  <c r="F113" i="6" s="1"/>
  <c r="L113" i="6" s="1"/>
  <c r="O48" i="5"/>
  <c r="F79" i="6" s="1"/>
  <c r="N79" i="6" s="1"/>
  <c r="N48" i="5"/>
  <c r="E79" i="6" s="1"/>
  <c r="O79" i="6" s="1"/>
  <c r="P48" i="5"/>
  <c r="G79" i="6" s="1"/>
  <c r="L79" i="6" s="1"/>
  <c r="M48" i="5"/>
  <c r="D79" i="6" s="1"/>
  <c r="M79" i="6" s="1"/>
  <c r="L48" i="5"/>
  <c r="O41" i="5"/>
  <c r="F65" i="6" s="1"/>
  <c r="L65" i="6" s="1"/>
  <c r="N41" i="5"/>
  <c r="E65" i="6" s="1"/>
  <c r="N65" i="6" s="1"/>
  <c r="M41" i="5"/>
  <c r="D65" i="6" s="1"/>
  <c r="M65" i="6" s="1"/>
  <c r="L41" i="5"/>
  <c r="M30" i="5"/>
  <c r="D43" i="6" s="1"/>
  <c r="L43" i="6" s="1"/>
  <c r="L30" i="5"/>
  <c r="N540" i="5"/>
  <c r="E1063" i="6" s="1"/>
  <c r="K1063" i="6" s="1"/>
  <c r="P540" i="5"/>
  <c r="G1063" i="6" s="1"/>
  <c r="L1063" i="6" s="1"/>
  <c r="O540" i="5"/>
  <c r="F1063" i="6" s="1"/>
  <c r="N1063" i="6" s="1"/>
  <c r="L540" i="5"/>
  <c r="M540" i="5"/>
  <c r="D1063" i="6" s="1"/>
  <c r="M1063" i="6" s="1"/>
  <c r="O96" i="5"/>
  <c r="F175" i="6" s="1"/>
  <c r="M175" i="6" s="1"/>
  <c r="L96" i="5"/>
  <c r="M96" i="5"/>
  <c r="D175" i="6" s="1"/>
  <c r="O175" i="6" s="1"/>
  <c r="P96" i="5"/>
  <c r="G175" i="6" s="1"/>
  <c r="L175" i="6" s="1"/>
  <c r="N96" i="5"/>
  <c r="E175" i="6" s="1"/>
  <c r="N175" i="6" s="1"/>
  <c r="M89" i="5"/>
  <c r="D161" i="6" s="1"/>
  <c r="O161" i="6" s="1"/>
  <c r="N89" i="5"/>
  <c r="E161" i="6" s="1"/>
  <c r="M161" i="6" s="1"/>
  <c r="L89" i="5"/>
  <c r="O89" i="5"/>
  <c r="F161" i="6" s="1"/>
  <c r="L161" i="6" s="1"/>
  <c r="M33" i="5"/>
  <c r="D49" i="6" s="1"/>
  <c r="L49" i="6" s="1"/>
  <c r="L33" i="5"/>
  <c r="L29" i="5"/>
  <c r="M29" i="5"/>
  <c r="D41" i="6" s="1"/>
  <c r="L41" i="6" s="1"/>
  <c r="N495" i="5"/>
  <c r="E973" i="6" s="1"/>
  <c r="L973" i="6" s="1"/>
  <c r="M495" i="5"/>
  <c r="D973" i="6" s="1"/>
  <c r="K973" i="6" s="1"/>
  <c r="L495" i="5"/>
  <c r="L66" i="5"/>
  <c r="P66" i="5"/>
  <c r="G115" i="6" s="1"/>
  <c r="L115" i="6" s="1"/>
  <c r="M66" i="5"/>
  <c r="D115" i="6" s="1"/>
  <c r="N115" i="6" s="1"/>
  <c r="N66" i="5"/>
  <c r="E115" i="6" s="1"/>
  <c r="M115" i="6" s="1"/>
  <c r="O66" i="5"/>
  <c r="F115" i="6" s="1"/>
  <c r="O115" i="6" s="1"/>
  <c r="L62" i="5"/>
  <c r="M62" i="5"/>
  <c r="D107" i="6" s="1"/>
  <c r="N107" i="6" s="1"/>
  <c r="N62" i="5"/>
  <c r="E107" i="6" s="1"/>
  <c r="L107" i="6" s="1"/>
  <c r="L42" i="5"/>
  <c r="M42" i="5"/>
  <c r="D67" i="6" s="1"/>
  <c r="M67" i="6" s="1"/>
  <c r="N42" i="5"/>
  <c r="E67" i="6" s="1"/>
  <c r="N67" i="6" s="1"/>
  <c r="O42" i="5"/>
  <c r="F67" i="6" s="1"/>
  <c r="O67" i="6" s="1"/>
  <c r="P42" i="5"/>
  <c r="G67" i="6" s="1"/>
  <c r="L67" i="6" s="1"/>
  <c r="N38" i="5"/>
  <c r="E59" i="6" s="1"/>
  <c r="L59" i="6" s="1"/>
  <c r="M38" i="5"/>
  <c r="D59" i="6" s="1"/>
  <c r="M59" i="6" s="1"/>
  <c r="L38" i="5"/>
  <c r="N549" i="5"/>
  <c r="E1081" i="6" s="1"/>
  <c r="L1081" i="6" s="1"/>
  <c r="L549" i="5"/>
  <c r="M549" i="5"/>
  <c r="D1081" i="6" s="1"/>
  <c r="M1081" i="6" s="1"/>
  <c r="N564" i="5"/>
  <c r="E1111" i="6" s="1"/>
  <c r="K1111" i="6" s="1"/>
  <c r="O564" i="5"/>
  <c r="F1111" i="6" s="1"/>
  <c r="M1111" i="6" s="1"/>
  <c r="L564" i="5"/>
  <c r="P564" i="5"/>
  <c r="G1111" i="6" s="1"/>
  <c r="L1111" i="6" s="1"/>
  <c r="M564" i="5"/>
  <c r="D1111" i="6" s="1"/>
  <c r="N1111" i="6" s="1"/>
  <c r="M534" i="5"/>
  <c r="D1051" i="6" s="1"/>
  <c r="L1051" i="6" s="1"/>
  <c r="L534" i="5"/>
  <c r="O454" i="5"/>
  <c r="F891" i="6" s="1"/>
  <c r="K891" i="6" s="1"/>
  <c r="L454" i="5"/>
  <c r="P454" i="5"/>
  <c r="G891" i="6" s="1"/>
  <c r="L891" i="6" s="1"/>
  <c r="M454" i="5"/>
  <c r="D891" i="6" s="1"/>
  <c r="O891" i="6" s="1"/>
  <c r="N454" i="5"/>
  <c r="E891" i="6" s="1"/>
  <c r="M891" i="6" s="1"/>
  <c r="O444" i="5"/>
  <c r="F871" i="6" s="1"/>
  <c r="M871" i="6" s="1"/>
  <c r="N444" i="5"/>
  <c r="E871" i="6" s="1"/>
  <c r="K871" i="6" s="1"/>
  <c r="M444" i="5"/>
  <c r="D871" i="6" s="1"/>
  <c r="O871" i="6" s="1"/>
  <c r="P444" i="5"/>
  <c r="G871" i="6" s="1"/>
  <c r="L871" i="6" s="1"/>
  <c r="L444" i="5"/>
  <c r="M433" i="5"/>
  <c r="D849" i="6" s="1"/>
  <c r="M849" i="6" s="1"/>
  <c r="L433" i="5"/>
  <c r="N433" i="5"/>
  <c r="E849" i="6" s="1"/>
  <c r="O849" i="6" s="1"/>
  <c r="O433" i="5"/>
  <c r="F849" i="6" s="1"/>
  <c r="L849" i="6" s="1"/>
  <c r="M429" i="5"/>
  <c r="D841" i="6" s="1"/>
  <c r="M841" i="6" s="1"/>
  <c r="L429" i="5"/>
  <c r="N429" i="5"/>
  <c r="E841" i="6" s="1"/>
  <c r="L841" i="6" s="1"/>
  <c r="N419" i="5"/>
  <c r="E821" i="6" s="1"/>
  <c r="K821" i="6" s="1"/>
  <c r="M419" i="5"/>
  <c r="D821" i="6" s="1"/>
  <c r="M821" i="6" s="1"/>
  <c r="L419" i="5"/>
  <c r="O419" i="5"/>
  <c r="F821" i="6" s="1"/>
  <c r="L821" i="6" s="1"/>
  <c r="L415" i="5"/>
  <c r="M415" i="5"/>
  <c r="D813" i="6" s="1"/>
  <c r="L813" i="6" s="1"/>
  <c r="M412" i="5"/>
  <c r="D807" i="6" s="1"/>
  <c r="L807" i="6" s="1"/>
  <c r="L412" i="5"/>
  <c r="L532" i="5"/>
  <c r="M532" i="5"/>
  <c r="D1047" i="6" s="1"/>
  <c r="L1047" i="6" s="1"/>
  <c r="L383" i="5"/>
  <c r="O383" i="5"/>
  <c r="F749" i="6" s="1"/>
  <c r="L749" i="6" s="1"/>
  <c r="N383" i="5"/>
  <c r="E749" i="6" s="1"/>
  <c r="O749" i="6" s="1"/>
  <c r="M383" i="5"/>
  <c r="D749" i="6" s="1"/>
  <c r="K749" i="6" s="1"/>
  <c r="L375" i="5"/>
  <c r="N375" i="5"/>
  <c r="E733" i="6" s="1"/>
  <c r="L733" i="6" s="1"/>
  <c r="M375" i="5"/>
  <c r="D733" i="6" s="1"/>
  <c r="K733" i="6" s="1"/>
  <c r="N334" i="5"/>
  <c r="E651" i="6" s="1"/>
  <c r="N651" i="6" s="1"/>
  <c r="L334" i="5"/>
  <c r="P334" i="5"/>
  <c r="G651" i="6" s="1"/>
  <c r="L651" i="6" s="1"/>
  <c r="O334" i="5"/>
  <c r="F651" i="6" s="1"/>
  <c r="K651" i="6" s="1"/>
  <c r="M334" i="5"/>
  <c r="D651" i="6" s="1"/>
  <c r="O651" i="6" s="1"/>
  <c r="M332" i="5"/>
  <c r="D647" i="6" s="1"/>
  <c r="O647" i="6" s="1"/>
  <c r="L332" i="5"/>
  <c r="N332" i="5"/>
  <c r="E647" i="6" s="1"/>
  <c r="L647" i="6" s="1"/>
  <c r="L310" i="5"/>
  <c r="M310" i="5"/>
  <c r="D603" i="6" s="1"/>
  <c r="N603" i="6" s="1"/>
  <c r="O310" i="5"/>
  <c r="F603" i="6" s="1"/>
  <c r="K603" i="6" s="1"/>
  <c r="P310" i="5"/>
  <c r="G603" i="6" s="1"/>
  <c r="L603" i="6" s="1"/>
  <c r="N310" i="5"/>
  <c r="E603" i="6" s="1"/>
  <c r="O603" i="6" s="1"/>
  <c r="P574" i="5"/>
  <c r="G1131" i="6" s="1"/>
  <c r="L1131" i="6" s="1"/>
  <c r="O574" i="5"/>
  <c r="F1131" i="6" s="1"/>
  <c r="K1131" i="6" s="1"/>
  <c r="L574" i="5"/>
  <c r="N574" i="5"/>
  <c r="E1131" i="6" s="1"/>
  <c r="M1131" i="6" s="1"/>
  <c r="M574" i="5"/>
  <c r="D1131" i="6" s="1"/>
  <c r="N1131" i="6" s="1"/>
  <c r="N308" i="5"/>
  <c r="E599" i="6" s="1"/>
  <c r="L599" i="6" s="1"/>
  <c r="M308" i="5"/>
  <c r="D599" i="6" s="1"/>
  <c r="N599" i="6" s="1"/>
  <c r="L308" i="5"/>
  <c r="O299" i="5"/>
  <c r="F581" i="6" s="1"/>
  <c r="L581" i="6" s="1"/>
  <c r="N299" i="5"/>
  <c r="E581" i="6" s="1"/>
  <c r="K581" i="6" s="1"/>
  <c r="L299" i="5"/>
  <c r="M299" i="5"/>
  <c r="D581" i="6" s="1"/>
  <c r="N581" i="6" s="1"/>
  <c r="L295" i="5"/>
  <c r="M295" i="5"/>
  <c r="D573" i="6" s="1"/>
  <c r="L573" i="6" s="1"/>
  <c r="L293" i="5"/>
  <c r="M293" i="5"/>
  <c r="D569" i="6" s="1"/>
  <c r="L569" i="6" s="1"/>
  <c r="N263" i="5"/>
  <c r="E509" i="6" s="1"/>
  <c r="O509" i="6" s="1"/>
  <c r="L263" i="5"/>
  <c r="O263" i="5"/>
  <c r="F509" i="6" s="1"/>
  <c r="L509" i="6" s="1"/>
  <c r="M263" i="5"/>
  <c r="D509" i="6" s="1"/>
  <c r="K509" i="6" s="1"/>
  <c r="N255" i="5"/>
  <c r="E493" i="6" s="1"/>
  <c r="L493" i="6" s="1"/>
  <c r="M255" i="5"/>
  <c r="D493" i="6" s="1"/>
  <c r="K493" i="6" s="1"/>
  <c r="L255" i="5"/>
  <c r="O563" i="5"/>
  <c r="F1109" i="6" s="1"/>
  <c r="L1109" i="6" s="1"/>
  <c r="M563" i="5"/>
  <c r="D1109" i="6" s="1"/>
  <c r="N1109" i="6" s="1"/>
  <c r="N563" i="5"/>
  <c r="E1109" i="6" s="1"/>
  <c r="K1109" i="6" s="1"/>
  <c r="L563" i="5"/>
  <c r="L504" i="5"/>
  <c r="M504" i="5"/>
  <c r="D991" i="6" s="1"/>
  <c r="K991" i="6" s="1"/>
  <c r="O504" i="5"/>
  <c r="F991" i="6" s="1"/>
  <c r="M991" i="6" s="1"/>
  <c r="N504" i="5"/>
  <c r="E991" i="6" s="1"/>
  <c r="N991" i="6" s="1"/>
  <c r="P504" i="5"/>
  <c r="G991" i="6" s="1"/>
  <c r="L991" i="6" s="1"/>
  <c r="M536" i="5"/>
  <c r="D1055" i="6" s="1"/>
  <c r="L1055" i="6" s="1"/>
  <c r="L536" i="5"/>
  <c r="P90" i="5"/>
  <c r="G163" i="6" s="1"/>
  <c r="L163" i="6" s="1"/>
  <c r="O90" i="5"/>
  <c r="F163" i="6" s="1"/>
  <c r="N163" i="6" s="1"/>
  <c r="N90" i="5"/>
  <c r="E163" i="6" s="1"/>
  <c r="M163" i="6" s="1"/>
  <c r="L90" i="5"/>
  <c r="M90" i="5"/>
  <c r="D163" i="6" s="1"/>
  <c r="O163" i="6" s="1"/>
  <c r="N87" i="5"/>
  <c r="E157" i="6" s="1"/>
  <c r="L157" i="6" s="1"/>
  <c r="L87" i="5"/>
  <c r="M87" i="5"/>
  <c r="D157" i="6" s="1"/>
  <c r="O157" i="6" s="1"/>
  <c r="L31" i="5"/>
  <c r="M31" i="5"/>
  <c r="D45" i="6" s="1"/>
  <c r="L45" i="6" s="1"/>
  <c r="N497" i="5"/>
  <c r="E977" i="6" s="1"/>
  <c r="M977" i="6" s="1"/>
  <c r="L497" i="5"/>
  <c r="O497" i="5"/>
  <c r="F977" i="6" s="1"/>
  <c r="L977" i="6" s="1"/>
  <c r="M497" i="5"/>
  <c r="D977" i="6" s="1"/>
  <c r="K977" i="6" s="1"/>
  <c r="M71" i="5"/>
  <c r="D125" i="6" s="1"/>
  <c r="N125" i="6" s="1"/>
  <c r="L71" i="5"/>
  <c r="N71" i="5"/>
  <c r="E125" i="6" s="1"/>
  <c r="O125" i="6" s="1"/>
  <c r="O71" i="5"/>
  <c r="F125" i="6" s="1"/>
  <c r="L125" i="6" s="1"/>
  <c r="N63" i="5"/>
  <c r="E109" i="6" s="1"/>
  <c r="L109" i="6" s="1"/>
  <c r="M63" i="5"/>
  <c r="D109" i="6" s="1"/>
  <c r="N109" i="6" s="1"/>
  <c r="L63" i="5"/>
  <c r="M47" i="5"/>
  <c r="D77" i="6" s="1"/>
  <c r="M77" i="6" s="1"/>
  <c r="O47" i="5"/>
  <c r="F77" i="6" s="1"/>
  <c r="L77" i="6" s="1"/>
  <c r="N47" i="5"/>
  <c r="E77" i="6" s="1"/>
  <c r="O77" i="6" s="1"/>
  <c r="L47" i="5"/>
  <c r="N39" i="5"/>
  <c r="E61" i="6" s="1"/>
  <c r="L61" i="6" s="1"/>
  <c r="M39" i="5"/>
  <c r="D61" i="6" s="1"/>
  <c r="M61" i="6" s="1"/>
  <c r="L39" i="5"/>
  <c r="M573" i="5"/>
  <c r="D1129" i="6" s="1"/>
  <c r="N1129" i="6" s="1"/>
  <c r="L573" i="5"/>
  <c r="N573" i="5"/>
  <c r="E1129" i="6" s="1"/>
  <c r="L1129" i="6" s="1"/>
  <c r="O503" i="5"/>
  <c r="F989" i="6" s="1"/>
  <c r="L989" i="6" s="1"/>
  <c r="N503" i="5"/>
  <c r="E989" i="6" s="1"/>
  <c r="N989" i="6" s="1"/>
  <c r="M503" i="5"/>
  <c r="N452" i="5"/>
  <c r="E887" i="6" s="1"/>
  <c r="L887" i="6" s="1"/>
  <c r="M452" i="5"/>
  <c r="D887" i="6" s="1"/>
  <c r="O887" i="6" s="1"/>
  <c r="L452" i="5"/>
  <c r="M548" i="5"/>
  <c r="D1079" i="6" s="1"/>
  <c r="M1079" i="6" s="1"/>
  <c r="L548" i="5"/>
  <c r="N548" i="5"/>
  <c r="E1079" i="6" s="1"/>
  <c r="L1079" i="6" s="1"/>
  <c r="M428" i="5"/>
  <c r="D839" i="6" s="1"/>
  <c r="M839" i="6" s="1"/>
  <c r="L428" i="5"/>
  <c r="N428" i="5"/>
  <c r="E839" i="6" s="1"/>
  <c r="L839" i="6" s="1"/>
  <c r="L417" i="5"/>
  <c r="M417" i="5"/>
  <c r="D817" i="6" s="1"/>
  <c r="L817" i="6" s="1"/>
  <c r="L414" i="5"/>
  <c r="M414" i="5"/>
  <c r="D811" i="6" s="1"/>
  <c r="L811" i="6" s="1"/>
  <c r="L537" i="5"/>
  <c r="M537" i="5"/>
  <c r="D1057" i="6" s="1"/>
  <c r="L1057" i="6" s="1"/>
  <c r="N498" i="5"/>
  <c r="E979" i="6" s="1"/>
  <c r="M979" i="6" s="1"/>
  <c r="M498" i="5"/>
  <c r="D979" i="6" s="1"/>
  <c r="K979" i="6" s="1"/>
  <c r="L498" i="5"/>
  <c r="P498" i="5"/>
  <c r="G979" i="6" s="1"/>
  <c r="L979" i="6" s="1"/>
  <c r="O498" i="5"/>
  <c r="F979" i="6" s="1"/>
  <c r="N979" i="6" s="1"/>
  <c r="P378" i="5"/>
  <c r="G739" i="6" s="1"/>
  <c r="L739" i="6" s="1"/>
  <c r="O378" i="5"/>
  <c r="F739" i="6" s="1"/>
  <c r="O739" i="6" s="1"/>
  <c r="N378" i="5"/>
  <c r="E739" i="6" s="1"/>
  <c r="M739" i="6" s="1"/>
  <c r="M378" i="5"/>
  <c r="D739" i="6" s="1"/>
  <c r="K739" i="6" s="1"/>
  <c r="L378" i="5"/>
  <c r="L374" i="5"/>
  <c r="N374" i="5"/>
  <c r="E731" i="6" s="1"/>
  <c r="L731" i="6" s="1"/>
  <c r="M374" i="5"/>
  <c r="D731" i="6" s="1"/>
  <c r="K731" i="6" s="1"/>
  <c r="M333" i="5"/>
  <c r="D649" i="6" s="1"/>
  <c r="O649" i="6" s="1"/>
  <c r="L333" i="5"/>
  <c r="N333" i="5"/>
  <c r="E649" i="6" s="1"/>
  <c r="L649" i="6" s="1"/>
  <c r="O323" i="5"/>
  <c r="F629" i="6" s="1"/>
  <c r="L629" i="6" s="1"/>
  <c r="M323" i="5"/>
  <c r="N323" i="5"/>
  <c r="E629" i="6" s="1"/>
  <c r="K629" i="6" s="1"/>
  <c r="M577" i="5"/>
  <c r="D1137" i="6" s="1"/>
  <c r="N1137" i="6" s="1"/>
  <c r="O577" i="5"/>
  <c r="F1137" i="6" s="1"/>
  <c r="L1137" i="6" s="1"/>
  <c r="N577" i="5"/>
  <c r="E1137" i="6" s="1"/>
  <c r="M1137" i="6" s="1"/>
  <c r="L577" i="5"/>
  <c r="M533" i="5"/>
  <c r="D1049" i="6" s="1"/>
  <c r="L1049" i="6" s="1"/>
  <c r="L533" i="5"/>
  <c r="O300" i="5"/>
  <c r="F583" i="6" s="1"/>
  <c r="O583" i="6" s="1"/>
  <c r="M300" i="5"/>
  <c r="D583" i="6" s="1"/>
  <c r="N583" i="6" s="1"/>
  <c r="N300" i="5"/>
  <c r="E583" i="6" s="1"/>
  <c r="K583" i="6" s="1"/>
  <c r="P300" i="5"/>
  <c r="G583" i="6" s="1"/>
  <c r="L583" i="6" s="1"/>
  <c r="L300" i="5"/>
  <c r="M296" i="5"/>
  <c r="D575" i="6" s="1"/>
  <c r="L575" i="6" s="1"/>
  <c r="L296" i="5"/>
  <c r="M292" i="5"/>
  <c r="D567" i="6" s="1"/>
  <c r="L567" i="6" s="1"/>
  <c r="L292" i="5"/>
  <c r="L257" i="5"/>
  <c r="M257" i="5"/>
  <c r="D497" i="6" s="1"/>
  <c r="K497" i="6" s="1"/>
  <c r="O257" i="5"/>
  <c r="F497" i="6" s="1"/>
  <c r="L497" i="6" s="1"/>
  <c r="N257" i="5"/>
  <c r="E497" i="6" s="1"/>
  <c r="N497" i="6" s="1"/>
  <c r="O550" i="5"/>
  <c r="F1083" i="6" s="1"/>
  <c r="K1083" i="6" s="1"/>
  <c r="N550" i="5"/>
  <c r="E1083" i="6" s="1"/>
  <c r="N1083" i="6" s="1"/>
  <c r="P550" i="5"/>
  <c r="G1083" i="6" s="1"/>
  <c r="L1083" i="6" s="1"/>
  <c r="M550" i="5"/>
  <c r="D1083" i="6" s="1"/>
  <c r="M1083" i="6" s="1"/>
  <c r="L550" i="5"/>
  <c r="D249" i="6"/>
  <c r="K249" i="6" s="1"/>
  <c r="R133" i="5"/>
  <c r="I249" i="6" s="1"/>
  <c r="D265" i="6"/>
  <c r="K265" i="6" s="1"/>
  <c r="R141" i="5"/>
  <c r="I265" i="6" s="1"/>
  <c r="C169" i="6"/>
  <c r="K169" i="6" s="1"/>
  <c r="R93" i="5"/>
  <c r="I169" i="6" s="1"/>
  <c r="F261" i="6"/>
  <c r="O261" i="6" s="1"/>
  <c r="R139" i="5"/>
  <c r="I261" i="6" s="1"/>
  <c r="R57" i="5"/>
  <c r="I97" i="6" s="1"/>
  <c r="C97" i="6"/>
  <c r="K97" i="6" s="1"/>
  <c r="R97" i="6" s="1"/>
  <c r="C637" i="6"/>
  <c r="M637" i="6" s="1"/>
  <c r="R327" i="5"/>
  <c r="I637" i="6" s="1"/>
  <c r="L556" i="5"/>
  <c r="M556" i="5"/>
  <c r="D1095" i="6" s="1"/>
  <c r="M1095" i="6" s="1"/>
  <c r="N556" i="5"/>
  <c r="E1095" i="6" s="1"/>
  <c r="P1095" i="6" s="1"/>
  <c r="M350" i="5"/>
  <c r="D683" i="6" s="1"/>
  <c r="P683" i="6" s="1"/>
  <c r="L350" i="5"/>
  <c r="L346" i="5"/>
  <c r="M346" i="5"/>
  <c r="D675" i="6" s="1"/>
  <c r="P675" i="6" s="1"/>
  <c r="M340" i="5"/>
  <c r="N340" i="5"/>
  <c r="E663" i="6" s="1"/>
  <c r="P663" i="6" s="1"/>
  <c r="C1245" i="6"/>
  <c r="P1245" i="6" s="1"/>
  <c r="R631" i="5"/>
  <c r="I1245" i="6" s="1"/>
  <c r="C1225" i="6"/>
  <c r="P1225" i="6" s="1"/>
  <c r="R621" i="5"/>
  <c r="I1225" i="6" s="1"/>
  <c r="C471" i="6"/>
  <c r="L471" i="6" s="1"/>
  <c r="R244" i="5"/>
  <c r="I471" i="6" s="1"/>
  <c r="R131" i="5"/>
  <c r="I245" i="6" s="1"/>
  <c r="C245" i="6"/>
  <c r="L245" i="6" s="1"/>
  <c r="S245" i="6" s="1"/>
  <c r="T131" i="5" s="1"/>
  <c r="R130" i="5"/>
  <c r="I243" i="6" s="1"/>
  <c r="C243" i="6"/>
  <c r="L243" i="6" s="1"/>
  <c r="S243" i="6" s="1"/>
  <c r="T130" i="5" s="1"/>
  <c r="R146" i="5"/>
  <c r="I275" i="6" s="1"/>
  <c r="C275" i="6"/>
  <c r="L275" i="6" s="1"/>
  <c r="S275" i="6" s="1"/>
  <c r="T146" i="5" s="1"/>
  <c r="R138" i="5"/>
  <c r="I259" i="6" s="1"/>
  <c r="C259" i="6"/>
  <c r="L259" i="6" s="1"/>
  <c r="S259" i="6" s="1"/>
  <c r="T138" i="5" s="1"/>
  <c r="C271" i="6"/>
  <c r="L271" i="6" s="1"/>
  <c r="R144" i="5"/>
  <c r="I271" i="6" s="1"/>
  <c r="R134" i="5"/>
  <c r="I251" i="6" s="1"/>
  <c r="C251" i="6"/>
  <c r="L251" i="6" s="1"/>
  <c r="S251" i="6" s="1"/>
  <c r="T134" i="5" s="1"/>
  <c r="C283" i="6"/>
  <c r="L283" i="6" s="1"/>
  <c r="R150" i="5"/>
  <c r="I283" i="6" s="1"/>
  <c r="C267" i="6"/>
  <c r="L267" i="6" s="1"/>
  <c r="R142" i="5"/>
  <c r="I267" i="6" s="1"/>
  <c r="C247" i="6"/>
  <c r="L247" i="6" s="1"/>
  <c r="R132" i="5"/>
  <c r="I247" i="6" s="1"/>
  <c r="C269" i="6"/>
  <c r="L269" i="6" s="1"/>
  <c r="R143" i="5"/>
  <c r="I269" i="6" s="1"/>
  <c r="R152" i="5"/>
  <c r="I287" i="6" s="1"/>
  <c r="C287" i="6"/>
  <c r="L287" i="6" s="1"/>
  <c r="S287" i="6" s="1"/>
  <c r="T152" i="5" s="1"/>
  <c r="R137" i="5"/>
  <c r="I257" i="6" s="1"/>
  <c r="C257" i="6"/>
  <c r="L257" i="6" s="1"/>
  <c r="S257" i="6" s="1"/>
  <c r="T137" i="5" s="1"/>
  <c r="R135" i="5"/>
  <c r="I253" i="6" s="1"/>
  <c r="C253" i="6"/>
  <c r="L253" i="6" s="1"/>
  <c r="S253" i="6" s="1"/>
  <c r="T135" i="5" s="1"/>
  <c r="M22" i="5"/>
  <c r="D27" i="6" s="1"/>
  <c r="L27" i="6" s="1"/>
  <c r="L22" i="5"/>
  <c r="N361" i="5"/>
  <c r="E705" i="6" s="1"/>
  <c r="N705" i="6" s="1"/>
  <c r="L361" i="5"/>
  <c r="M361" i="5"/>
  <c r="D705" i="6" s="1"/>
  <c r="P705" i="6" s="1"/>
  <c r="O361" i="5"/>
  <c r="F705" i="6" s="1"/>
  <c r="L705" i="6" s="1"/>
  <c r="M373" i="5"/>
  <c r="D729" i="6" s="1"/>
  <c r="K729" i="6" s="1"/>
  <c r="L373" i="5"/>
  <c r="N373" i="5"/>
  <c r="E729" i="6" s="1"/>
  <c r="L729" i="6" s="1"/>
  <c r="P380" i="5"/>
  <c r="G743" i="6" s="1"/>
  <c r="L743" i="6" s="1"/>
  <c r="L380" i="5"/>
  <c r="M380" i="5"/>
  <c r="D743" i="6" s="1"/>
  <c r="K743" i="6" s="1"/>
  <c r="N380" i="5"/>
  <c r="E743" i="6" s="1"/>
  <c r="M743" i="6" s="1"/>
  <c r="O380" i="5"/>
  <c r="F743" i="6" s="1"/>
  <c r="P743" i="6" s="1"/>
  <c r="M390" i="5"/>
  <c r="D763" i="6" s="1"/>
  <c r="K763" i="6" s="1"/>
  <c r="L390" i="5"/>
  <c r="O390" i="5"/>
  <c r="F763" i="6" s="1"/>
  <c r="M763" i="6" s="1"/>
  <c r="N390" i="5"/>
  <c r="E763" i="6" s="1"/>
  <c r="P763" i="6" s="1"/>
  <c r="P390" i="5"/>
  <c r="G763" i="6" s="1"/>
  <c r="L763" i="6" s="1"/>
  <c r="M407" i="5"/>
  <c r="D797" i="6" s="1"/>
  <c r="L797" i="6" s="1"/>
  <c r="L407" i="5"/>
  <c r="M409" i="5"/>
  <c r="D801" i="6" s="1"/>
  <c r="L801" i="6" s="1"/>
  <c r="L409" i="5"/>
  <c r="M411" i="5"/>
  <c r="D805" i="6" s="1"/>
  <c r="L805" i="6" s="1"/>
  <c r="L411" i="5"/>
  <c r="P422" i="5"/>
  <c r="G827" i="6" s="1"/>
  <c r="L827" i="6" s="1"/>
  <c r="N422" i="5"/>
  <c r="E827" i="6" s="1"/>
  <c r="K827" i="6" s="1"/>
  <c r="M422" i="5"/>
  <c r="D827" i="6" s="1"/>
  <c r="M827" i="6" s="1"/>
  <c r="O422" i="5"/>
  <c r="F827" i="6" s="1"/>
  <c r="P827" i="6" s="1"/>
  <c r="L422" i="5"/>
  <c r="M427" i="5"/>
  <c r="D837" i="6" s="1"/>
  <c r="M837" i="6" s="1"/>
  <c r="N427" i="5"/>
  <c r="E837" i="6" s="1"/>
  <c r="L837" i="6" s="1"/>
  <c r="L427" i="5"/>
  <c r="O694" i="5"/>
  <c r="F1371" i="6" s="1"/>
  <c r="K1371" i="6" s="1"/>
  <c r="L694" i="5"/>
  <c r="P694" i="5"/>
  <c r="G1371" i="6" s="1"/>
  <c r="L1371" i="6" s="1"/>
  <c r="M694" i="5"/>
  <c r="D1371" i="6" s="1"/>
  <c r="N1371" i="6" s="1"/>
  <c r="N694" i="5"/>
  <c r="E1371" i="6" s="1"/>
  <c r="M1371" i="6" s="1"/>
  <c r="N618" i="5"/>
  <c r="E1219" i="6" s="1"/>
  <c r="M1219" i="6" s="1"/>
  <c r="L618" i="5"/>
  <c r="M618" i="5"/>
  <c r="D1219" i="6" s="1"/>
  <c r="K1219" i="6" s="1"/>
  <c r="O618" i="5"/>
  <c r="F1219" i="6" s="1"/>
  <c r="N1219" i="6" s="1"/>
  <c r="P618" i="5"/>
  <c r="G1219" i="6" s="1"/>
  <c r="L1219" i="6" s="1"/>
  <c r="O467" i="5"/>
  <c r="F917" i="6" s="1"/>
  <c r="L917" i="6" s="1"/>
  <c r="L467" i="5"/>
  <c r="M467" i="5"/>
  <c r="D917" i="6" s="1"/>
  <c r="P917" i="6" s="1"/>
  <c r="N467" i="5"/>
  <c r="E917" i="6" s="1"/>
  <c r="K917" i="6" s="1"/>
  <c r="N476" i="5"/>
  <c r="E935" i="6" s="1"/>
  <c r="L935" i="6" s="1"/>
  <c r="L476" i="5"/>
  <c r="M476" i="5"/>
  <c r="D935" i="6" s="1"/>
  <c r="P935" i="6" s="1"/>
  <c r="L477" i="5"/>
  <c r="M477" i="5"/>
  <c r="D937" i="6" s="1"/>
  <c r="P937" i="6" s="1"/>
  <c r="N477" i="5"/>
  <c r="E937" i="6" s="1"/>
  <c r="L937" i="6" s="1"/>
  <c r="N481" i="5"/>
  <c r="E945" i="6" s="1"/>
  <c r="M945" i="6" s="1"/>
  <c r="L481" i="5"/>
  <c r="M481" i="5"/>
  <c r="D945" i="6" s="1"/>
  <c r="P945" i="6" s="1"/>
  <c r="O481" i="5"/>
  <c r="F945" i="6" s="1"/>
  <c r="L945" i="6" s="1"/>
  <c r="M659" i="5"/>
  <c r="D1301" i="6" s="1"/>
  <c r="M1301" i="6" s="1"/>
  <c r="O659" i="5"/>
  <c r="F1301" i="6" s="1"/>
  <c r="L1301" i="6" s="1"/>
  <c r="L659" i="5"/>
  <c r="N659" i="5"/>
  <c r="E1301" i="6" s="1"/>
  <c r="K1301" i="6" s="1"/>
  <c r="N693" i="5"/>
  <c r="E1369" i="6" s="1"/>
  <c r="L1369" i="6" s="1"/>
  <c r="M693" i="5"/>
  <c r="D1369" i="6" s="1"/>
  <c r="N1369" i="6" s="1"/>
  <c r="L693" i="5"/>
  <c r="L25" i="5"/>
  <c r="M25" i="5"/>
  <c r="D33" i="6" s="1"/>
  <c r="L33" i="6" s="1"/>
  <c r="L36" i="5"/>
  <c r="N36" i="5"/>
  <c r="E55" i="6" s="1"/>
  <c r="L55" i="6" s="1"/>
  <c r="M36" i="5"/>
  <c r="D55" i="6" s="1"/>
  <c r="M55" i="6" s="1"/>
  <c r="L40" i="5"/>
  <c r="O40" i="5"/>
  <c r="F63" i="6" s="1"/>
  <c r="L63" i="6" s="1"/>
  <c r="N40" i="5"/>
  <c r="E63" i="6" s="1"/>
  <c r="N63" i="6" s="1"/>
  <c r="M40" i="5"/>
  <c r="D63" i="6" s="1"/>
  <c r="M63" i="6" s="1"/>
  <c r="O54" i="5"/>
  <c r="F91" i="6" s="1"/>
  <c r="N91" i="6" s="1"/>
  <c r="M54" i="5"/>
  <c r="D91" i="6" s="1"/>
  <c r="M91" i="6" s="1"/>
  <c r="P54" i="5"/>
  <c r="G91" i="6" s="1"/>
  <c r="L91" i="6" s="1"/>
  <c r="N54" i="5"/>
  <c r="E91" i="6" s="1"/>
  <c r="P91" i="6" s="1"/>
  <c r="L54" i="5"/>
  <c r="M61" i="5"/>
  <c r="D105" i="6" s="1"/>
  <c r="N105" i="6" s="1"/>
  <c r="N61" i="5"/>
  <c r="E105" i="6" s="1"/>
  <c r="L105" i="6" s="1"/>
  <c r="L61" i="5"/>
  <c r="P68" i="5"/>
  <c r="G119" i="6" s="1"/>
  <c r="L119" i="6" s="1"/>
  <c r="M68" i="5"/>
  <c r="D119" i="6" s="1"/>
  <c r="N119" i="6" s="1"/>
  <c r="O68" i="5"/>
  <c r="F119" i="6" s="1"/>
  <c r="P119" i="6" s="1"/>
  <c r="N68" i="5"/>
  <c r="E119" i="6" s="1"/>
  <c r="M119" i="6" s="1"/>
  <c r="L68" i="5"/>
  <c r="P78" i="5"/>
  <c r="G139" i="6" s="1"/>
  <c r="L139" i="6" s="1"/>
  <c r="L78" i="5"/>
  <c r="N78" i="5"/>
  <c r="E139" i="6" s="1"/>
  <c r="P139" i="6" s="1"/>
  <c r="M78" i="5"/>
  <c r="D139" i="6" s="1"/>
  <c r="N139" i="6" s="1"/>
  <c r="O78" i="5"/>
  <c r="F139" i="6" s="1"/>
  <c r="M139" i="6" s="1"/>
  <c r="M657" i="5"/>
  <c r="D1297" i="6" s="1"/>
  <c r="L1297" i="6" s="1"/>
  <c r="L657" i="5"/>
  <c r="L23" i="5"/>
  <c r="M23" i="5"/>
  <c r="D29" i="6" s="1"/>
  <c r="L29" i="6" s="1"/>
  <c r="N111" i="5"/>
  <c r="E205" i="6" s="1"/>
  <c r="L205" i="6" s="1"/>
  <c r="L111" i="5"/>
  <c r="M111" i="5"/>
  <c r="D205" i="6" s="1"/>
  <c r="P205" i="6" s="1"/>
  <c r="M114" i="5"/>
  <c r="D211" i="6" s="1"/>
  <c r="P211" i="6" s="1"/>
  <c r="P114" i="5"/>
  <c r="G211" i="6" s="1"/>
  <c r="L211" i="6" s="1"/>
  <c r="O114" i="5"/>
  <c r="F211" i="6" s="1"/>
  <c r="N211" i="6" s="1"/>
  <c r="N114" i="5"/>
  <c r="E211" i="6" s="1"/>
  <c r="M211" i="6" s="1"/>
  <c r="L114" i="5"/>
  <c r="L119" i="5"/>
  <c r="O119" i="5"/>
  <c r="F221" i="6" s="1"/>
  <c r="L221" i="6" s="1"/>
  <c r="M119" i="5"/>
  <c r="D221" i="6" s="1"/>
  <c r="P221" i="6" s="1"/>
  <c r="N119" i="5"/>
  <c r="E221" i="6" s="1"/>
  <c r="N221" i="6" s="1"/>
  <c r="M614" i="5"/>
  <c r="D1211" i="6" s="1"/>
  <c r="K1211" i="6" s="1"/>
  <c r="N614" i="5"/>
  <c r="E1211" i="6" s="1"/>
  <c r="L1211" i="6" s="1"/>
  <c r="L614" i="5"/>
  <c r="M654" i="5"/>
  <c r="D1291" i="6" s="1"/>
  <c r="L1291" i="6" s="1"/>
  <c r="L654" i="5"/>
  <c r="O683" i="5"/>
  <c r="F1349" i="6" s="1"/>
  <c r="L1349" i="6" s="1"/>
  <c r="N683" i="5"/>
  <c r="E1349" i="6" s="1"/>
  <c r="K1349" i="6" s="1"/>
  <c r="L683" i="5"/>
  <c r="M683" i="5"/>
  <c r="D1349" i="6" s="1"/>
  <c r="N1349" i="6" s="1"/>
  <c r="C391" i="6"/>
  <c r="L391" i="6" s="1"/>
  <c r="R204" i="5"/>
  <c r="I391" i="6" s="1"/>
  <c r="O347" i="5"/>
  <c r="F677" i="6" s="1"/>
  <c r="L677" i="6" s="1"/>
  <c r="N347" i="5"/>
  <c r="E677" i="6" s="1"/>
  <c r="K677" i="6" s="1"/>
  <c r="M347" i="5"/>
  <c r="D677" i="6" s="1"/>
  <c r="P677" i="6" s="1"/>
  <c r="L347" i="5"/>
  <c r="N356" i="5"/>
  <c r="E695" i="6" s="1"/>
  <c r="L695" i="6" s="1"/>
  <c r="L356" i="5"/>
  <c r="M356" i="5"/>
  <c r="D695" i="6" s="1"/>
  <c r="P695" i="6" s="1"/>
  <c r="M656" i="5"/>
  <c r="D1295" i="6" s="1"/>
  <c r="L1295" i="6" s="1"/>
  <c r="L656" i="5"/>
  <c r="M670" i="5"/>
  <c r="D1323" i="6" s="1"/>
  <c r="M1323" i="6" s="1"/>
  <c r="O670" i="5"/>
  <c r="F1323" i="6" s="1"/>
  <c r="K1323" i="6" s="1"/>
  <c r="P670" i="5"/>
  <c r="G1323" i="6" s="1"/>
  <c r="L1323" i="6" s="1"/>
  <c r="L670" i="5"/>
  <c r="N670" i="5"/>
  <c r="E1323" i="6" s="1"/>
  <c r="N1323" i="6" s="1"/>
  <c r="N253" i="5"/>
  <c r="E489" i="6" s="1"/>
  <c r="L489" i="6" s="1"/>
  <c r="L253" i="5"/>
  <c r="M253" i="5"/>
  <c r="D489" i="6" s="1"/>
  <c r="K489" i="6" s="1"/>
  <c r="P260" i="5"/>
  <c r="G503" i="6" s="1"/>
  <c r="L503" i="6" s="1"/>
  <c r="N260" i="5"/>
  <c r="E503" i="6" s="1"/>
  <c r="N503" i="6" s="1"/>
  <c r="O260" i="5"/>
  <c r="F503" i="6" s="1"/>
  <c r="P503" i="6" s="1"/>
  <c r="M260" i="5"/>
  <c r="D503" i="6" s="1"/>
  <c r="K503" i="6" s="1"/>
  <c r="L260" i="5"/>
  <c r="L270" i="5"/>
  <c r="O270" i="5"/>
  <c r="F523" i="6" s="1"/>
  <c r="N523" i="6" s="1"/>
  <c r="P270" i="5"/>
  <c r="G523" i="6" s="1"/>
  <c r="L523" i="6" s="1"/>
  <c r="N270" i="5"/>
  <c r="E523" i="6" s="1"/>
  <c r="P523" i="6" s="1"/>
  <c r="M270" i="5"/>
  <c r="D523" i="6" s="1"/>
  <c r="K523" i="6" s="1"/>
  <c r="M289" i="5"/>
  <c r="D561" i="6" s="1"/>
  <c r="L561" i="6" s="1"/>
  <c r="L289" i="5"/>
  <c r="L291" i="5"/>
  <c r="M291" i="5"/>
  <c r="D565" i="6" s="1"/>
  <c r="L565" i="6" s="1"/>
  <c r="P302" i="5"/>
  <c r="G587" i="6" s="1"/>
  <c r="L587" i="6" s="1"/>
  <c r="M302" i="5"/>
  <c r="D587" i="6" s="1"/>
  <c r="N587" i="6" s="1"/>
  <c r="L302" i="5"/>
  <c r="N302" i="5"/>
  <c r="E587" i="6" s="1"/>
  <c r="K587" i="6" s="1"/>
  <c r="O302" i="5"/>
  <c r="F587" i="6" s="1"/>
  <c r="P587" i="6" s="1"/>
  <c r="M655" i="5"/>
  <c r="D1293" i="6" s="1"/>
  <c r="L1293" i="6" s="1"/>
  <c r="L655" i="5"/>
  <c r="N697" i="5"/>
  <c r="E1377" i="6" s="1"/>
  <c r="M1377" i="6" s="1"/>
  <c r="M697" i="5"/>
  <c r="D1377" i="6" s="1"/>
  <c r="N1377" i="6" s="1"/>
  <c r="O697" i="5"/>
  <c r="F1377" i="6" s="1"/>
  <c r="L1377" i="6" s="1"/>
  <c r="L697" i="5"/>
  <c r="O319" i="5"/>
  <c r="F621" i="6" s="1"/>
  <c r="L621" i="6" s="1"/>
  <c r="N319" i="5"/>
  <c r="E621" i="6" s="1"/>
  <c r="P621" i="6" s="1"/>
  <c r="L319" i="5"/>
  <c r="M319" i="5"/>
  <c r="D621" i="6" s="1"/>
  <c r="N621" i="6" s="1"/>
  <c r="N348" i="5"/>
  <c r="E679" i="6" s="1"/>
  <c r="K679" i="6" s="1"/>
  <c r="O348" i="5"/>
  <c r="F679" i="6" s="1"/>
  <c r="N679" i="6" s="1"/>
  <c r="P348" i="5"/>
  <c r="G679" i="6" s="1"/>
  <c r="L679" i="6" s="1"/>
  <c r="L348" i="5"/>
  <c r="M348" i="5"/>
  <c r="D679" i="6" s="1"/>
  <c r="P679" i="6" s="1"/>
  <c r="O358" i="5"/>
  <c r="F699" i="6" s="1"/>
  <c r="K699" i="6" s="1"/>
  <c r="M358" i="5"/>
  <c r="D699" i="6" s="1"/>
  <c r="P699" i="6" s="1"/>
  <c r="L358" i="5"/>
  <c r="N358" i="5"/>
  <c r="E699" i="6" s="1"/>
  <c r="N699" i="6" s="1"/>
  <c r="P358" i="5"/>
  <c r="G699" i="6" s="1"/>
  <c r="L699" i="6" s="1"/>
  <c r="M372" i="5"/>
  <c r="D727" i="6" s="1"/>
  <c r="K727" i="6" s="1"/>
  <c r="L372" i="5"/>
  <c r="N372" i="5"/>
  <c r="E727" i="6" s="1"/>
  <c r="L727" i="6" s="1"/>
  <c r="M376" i="5"/>
  <c r="D735" i="6" s="1"/>
  <c r="K735" i="6" s="1"/>
  <c r="L376" i="5"/>
  <c r="N376" i="5"/>
  <c r="E735" i="6" s="1"/>
  <c r="M735" i="6" s="1"/>
  <c r="O376" i="5"/>
  <c r="F735" i="6" s="1"/>
  <c r="L735" i="6" s="1"/>
  <c r="O389" i="5"/>
  <c r="F761" i="6" s="1"/>
  <c r="L761" i="6" s="1"/>
  <c r="N389" i="5"/>
  <c r="E761" i="6" s="1"/>
  <c r="P761" i="6" s="1"/>
  <c r="M389" i="5"/>
  <c r="D761" i="6" s="1"/>
  <c r="K761" i="6" s="1"/>
  <c r="L389" i="5"/>
  <c r="L406" i="5"/>
  <c r="M406" i="5"/>
  <c r="D795" i="6" s="1"/>
  <c r="L795" i="6" s="1"/>
  <c r="M408" i="5"/>
  <c r="D799" i="6" s="1"/>
  <c r="L799" i="6" s="1"/>
  <c r="L408" i="5"/>
  <c r="L410" i="5"/>
  <c r="M410" i="5"/>
  <c r="D803" i="6" s="1"/>
  <c r="L803" i="6" s="1"/>
  <c r="O418" i="5"/>
  <c r="F819" i="6" s="1"/>
  <c r="L819" i="6" s="1"/>
  <c r="L418" i="5"/>
  <c r="N418" i="5"/>
  <c r="E819" i="6" s="1"/>
  <c r="K819" i="6" s="1"/>
  <c r="M418" i="5"/>
  <c r="D819" i="6" s="1"/>
  <c r="M819" i="6" s="1"/>
  <c r="N426" i="5"/>
  <c r="E835" i="6" s="1"/>
  <c r="L835" i="6" s="1"/>
  <c r="L426" i="5"/>
  <c r="M426" i="5"/>
  <c r="D835" i="6" s="1"/>
  <c r="M835" i="6" s="1"/>
  <c r="O436" i="5"/>
  <c r="F855" i="6" s="1"/>
  <c r="K855" i="6" s="1"/>
  <c r="N436" i="5"/>
  <c r="E855" i="6" s="1"/>
  <c r="P855" i="6" s="1"/>
  <c r="M436" i="5"/>
  <c r="D855" i="6" s="1"/>
  <c r="M855" i="6" s="1"/>
  <c r="P436" i="5"/>
  <c r="G855" i="6" s="1"/>
  <c r="L855" i="6" s="1"/>
  <c r="L436" i="5"/>
  <c r="O439" i="5"/>
  <c r="F861" i="6" s="1"/>
  <c r="L861" i="6" s="1"/>
  <c r="M439" i="5"/>
  <c r="D861" i="6" s="1"/>
  <c r="M861" i="6" s="1"/>
  <c r="L439" i="5"/>
  <c r="N439" i="5"/>
  <c r="E861" i="6" s="1"/>
  <c r="P861" i="6" s="1"/>
  <c r="O623" i="5"/>
  <c r="F1229" i="6" s="1"/>
  <c r="L1229" i="6" s="1"/>
  <c r="L623" i="5"/>
  <c r="N623" i="5"/>
  <c r="E1229" i="6" s="1"/>
  <c r="N1229" i="6" s="1"/>
  <c r="M623" i="5"/>
  <c r="D1229" i="6" s="1"/>
  <c r="K1229" i="6" s="1"/>
  <c r="O468" i="5"/>
  <c r="F919" i="6" s="1"/>
  <c r="M919" i="6" s="1"/>
  <c r="M468" i="5"/>
  <c r="D919" i="6" s="1"/>
  <c r="P919" i="6" s="1"/>
  <c r="N468" i="5"/>
  <c r="E919" i="6" s="1"/>
  <c r="K919" i="6" s="1"/>
  <c r="L468" i="5"/>
  <c r="P468" i="5"/>
  <c r="G919" i="6" s="1"/>
  <c r="L919" i="6" s="1"/>
  <c r="N478" i="5"/>
  <c r="E939" i="6" s="1"/>
  <c r="M939" i="6" s="1"/>
  <c r="P478" i="5"/>
  <c r="G939" i="6" s="1"/>
  <c r="L939" i="6" s="1"/>
  <c r="O478" i="5"/>
  <c r="F939" i="6" s="1"/>
  <c r="K939" i="6" s="1"/>
  <c r="L478" i="5"/>
  <c r="M478" i="5"/>
  <c r="D939" i="6" s="1"/>
  <c r="P939" i="6" s="1"/>
  <c r="L624" i="5"/>
  <c r="N624" i="5"/>
  <c r="E1231" i="6" s="1"/>
  <c r="N1231" i="6" s="1"/>
  <c r="P624" i="5"/>
  <c r="G1231" i="6" s="1"/>
  <c r="L1231" i="6" s="1"/>
  <c r="O624" i="5"/>
  <c r="F1231" i="6" s="1"/>
  <c r="M1231" i="6" s="1"/>
  <c r="M624" i="5"/>
  <c r="D1231" i="6" s="1"/>
  <c r="K1231" i="6" s="1"/>
  <c r="N669" i="5"/>
  <c r="E1321" i="6" s="1"/>
  <c r="L1321" i="6" s="1"/>
  <c r="L669" i="5"/>
  <c r="M669" i="5"/>
  <c r="D1321" i="6" s="1"/>
  <c r="M1321" i="6" s="1"/>
  <c r="O684" i="5"/>
  <c r="F1351" i="6" s="1"/>
  <c r="M1351" i="6" s="1"/>
  <c r="P684" i="5"/>
  <c r="G1351" i="6" s="1"/>
  <c r="L1351" i="6" s="1"/>
  <c r="M684" i="5"/>
  <c r="D1351" i="6" s="1"/>
  <c r="N1351" i="6" s="1"/>
  <c r="L684" i="5"/>
  <c r="N684" i="5"/>
  <c r="E1351" i="6" s="1"/>
  <c r="K1351" i="6" s="1"/>
  <c r="M287" i="5"/>
  <c r="D557" i="6" s="1"/>
  <c r="L557" i="6" s="1"/>
  <c r="L287" i="5"/>
  <c r="M653" i="5"/>
  <c r="D1289" i="6" s="1"/>
  <c r="L1289" i="6" s="1"/>
  <c r="L653" i="5"/>
  <c r="L24" i="5"/>
  <c r="M24" i="5"/>
  <c r="D31" i="6" s="1"/>
  <c r="L31" i="6" s="1"/>
  <c r="M27" i="5"/>
  <c r="D37" i="6" s="1"/>
  <c r="L37" i="6" s="1"/>
  <c r="L27" i="5"/>
  <c r="N37" i="5"/>
  <c r="E57" i="6" s="1"/>
  <c r="L57" i="6" s="1"/>
  <c r="L37" i="5"/>
  <c r="M37" i="5"/>
  <c r="D57" i="6" s="1"/>
  <c r="M57" i="6" s="1"/>
  <c r="P44" i="5"/>
  <c r="G71" i="6" s="1"/>
  <c r="L71" i="6" s="1"/>
  <c r="L44" i="5"/>
  <c r="M44" i="5"/>
  <c r="D71" i="6" s="1"/>
  <c r="M71" i="6" s="1"/>
  <c r="N44" i="5"/>
  <c r="E71" i="6" s="1"/>
  <c r="N71" i="6" s="1"/>
  <c r="O44" i="5"/>
  <c r="F71" i="6" s="1"/>
  <c r="P71" i="6" s="1"/>
  <c r="O53" i="5"/>
  <c r="F89" i="6" s="1"/>
  <c r="L89" i="6" s="1"/>
  <c r="N53" i="5"/>
  <c r="E89" i="6" s="1"/>
  <c r="P89" i="6" s="1"/>
  <c r="L53" i="5"/>
  <c r="M53" i="5"/>
  <c r="D89" i="6" s="1"/>
  <c r="M89" i="6" s="1"/>
  <c r="N60" i="5"/>
  <c r="E103" i="6" s="1"/>
  <c r="L103" i="6" s="1"/>
  <c r="L60" i="5"/>
  <c r="M60" i="5"/>
  <c r="D103" i="6" s="1"/>
  <c r="N103" i="6" s="1"/>
  <c r="O64" i="5"/>
  <c r="F111" i="6" s="1"/>
  <c r="L111" i="6" s="1"/>
  <c r="L64" i="5"/>
  <c r="M64" i="5"/>
  <c r="D111" i="6" s="1"/>
  <c r="N111" i="6" s="1"/>
  <c r="N64" i="5"/>
  <c r="E111" i="6" s="1"/>
  <c r="M111" i="6" s="1"/>
  <c r="O77" i="5"/>
  <c r="F137" i="6" s="1"/>
  <c r="L137" i="6" s="1"/>
  <c r="N77" i="5"/>
  <c r="E137" i="6" s="1"/>
  <c r="P137" i="6" s="1"/>
  <c r="M77" i="5"/>
  <c r="D137" i="6" s="1"/>
  <c r="N137" i="6" s="1"/>
  <c r="L77" i="5"/>
  <c r="N615" i="5"/>
  <c r="E1213" i="6" s="1"/>
  <c r="L1213" i="6" s="1"/>
  <c r="L615" i="5"/>
  <c r="M615" i="5"/>
  <c r="D1213" i="6" s="1"/>
  <c r="K1213" i="6" s="1"/>
  <c r="O673" i="5"/>
  <c r="F1329" i="6" s="1"/>
  <c r="L1329" i="6" s="1"/>
  <c r="N673" i="5"/>
  <c r="E1329" i="6" s="1"/>
  <c r="N1329" i="6" s="1"/>
  <c r="M673" i="5"/>
  <c r="D1329" i="6" s="1"/>
  <c r="M1329" i="6" s="1"/>
  <c r="L673" i="5"/>
  <c r="M26" i="5"/>
  <c r="D35" i="6" s="1"/>
  <c r="L35" i="6" s="1"/>
  <c r="L26" i="5"/>
  <c r="N110" i="5"/>
  <c r="E203" i="6" s="1"/>
  <c r="L203" i="6" s="1"/>
  <c r="L110" i="5"/>
  <c r="M110" i="5"/>
  <c r="D203" i="6" s="1"/>
  <c r="P203" i="6" s="1"/>
  <c r="L113" i="5"/>
  <c r="N113" i="5"/>
  <c r="E209" i="6" s="1"/>
  <c r="M209" i="6" s="1"/>
  <c r="M113" i="5"/>
  <c r="D209" i="6" s="1"/>
  <c r="P209" i="6" s="1"/>
  <c r="O113" i="5"/>
  <c r="F209" i="6" s="1"/>
  <c r="L209" i="6" s="1"/>
  <c r="M120" i="5"/>
  <c r="D223" i="6" s="1"/>
  <c r="P223" i="6" s="1"/>
  <c r="N120" i="5"/>
  <c r="E223" i="6" s="1"/>
  <c r="N223" i="6" s="1"/>
  <c r="O120" i="5"/>
  <c r="F223" i="6" s="1"/>
  <c r="M223" i="6" s="1"/>
  <c r="L120" i="5"/>
  <c r="P120" i="5"/>
  <c r="G223" i="6" s="1"/>
  <c r="L223" i="6" s="1"/>
  <c r="N617" i="5"/>
  <c r="E1217" i="6" s="1"/>
  <c r="M1217" i="6" s="1"/>
  <c r="L617" i="5"/>
  <c r="M617" i="5"/>
  <c r="D1217" i="6" s="1"/>
  <c r="K1217" i="6" s="1"/>
  <c r="O617" i="5"/>
  <c r="F1217" i="6" s="1"/>
  <c r="L1217" i="6" s="1"/>
  <c r="M660" i="5"/>
  <c r="D1303" i="6" s="1"/>
  <c r="M1303" i="6" s="1"/>
  <c r="O660" i="5"/>
  <c r="F1303" i="6" s="1"/>
  <c r="N1303" i="6" s="1"/>
  <c r="N660" i="5"/>
  <c r="E1303" i="6" s="1"/>
  <c r="K1303" i="6" s="1"/>
  <c r="P660" i="5"/>
  <c r="G1303" i="6" s="1"/>
  <c r="L1303" i="6" s="1"/>
  <c r="L660" i="5"/>
  <c r="C389" i="6"/>
  <c r="L389" i="6" s="1"/>
  <c r="R203" i="5"/>
  <c r="I389" i="6" s="1"/>
  <c r="R207" i="5"/>
  <c r="I397" i="6" s="1"/>
  <c r="C397" i="6"/>
  <c r="L397" i="6" s="1"/>
  <c r="M652" i="5"/>
  <c r="D1287" i="6" s="1"/>
  <c r="L1287" i="6" s="1"/>
  <c r="L652" i="5"/>
  <c r="M668" i="5"/>
  <c r="D1319" i="6" s="1"/>
  <c r="M1319" i="6" s="1"/>
  <c r="L668" i="5"/>
  <c r="N668" i="5"/>
  <c r="E1319" i="6" s="1"/>
  <c r="L1319" i="6" s="1"/>
  <c r="N252" i="5"/>
  <c r="E487" i="6" s="1"/>
  <c r="L487" i="6" s="1"/>
  <c r="L252" i="5"/>
  <c r="M252" i="5"/>
  <c r="D487" i="6" s="1"/>
  <c r="K487" i="6" s="1"/>
  <c r="N256" i="5"/>
  <c r="E495" i="6" s="1"/>
  <c r="N495" i="6" s="1"/>
  <c r="O256" i="5"/>
  <c r="F495" i="6" s="1"/>
  <c r="L495" i="6" s="1"/>
  <c r="L256" i="5"/>
  <c r="M256" i="5"/>
  <c r="D495" i="6" s="1"/>
  <c r="K495" i="6" s="1"/>
  <c r="O269" i="5"/>
  <c r="F521" i="6" s="1"/>
  <c r="L521" i="6" s="1"/>
  <c r="L269" i="5"/>
  <c r="N269" i="5"/>
  <c r="E521" i="6" s="1"/>
  <c r="P521" i="6" s="1"/>
  <c r="M269" i="5"/>
  <c r="D521" i="6" s="1"/>
  <c r="K521" i="6" s="1"/>
  <c r="M286" i="5"/>
  <c r="D555" i="6" s="1"/>
  <c r="L555" i="6" s="1"/>
  <c r="L286" i="5"/>
  <c r="R202" i="5"/>
  <c r="I387" i="6" s="1"/>
  <c r="C387" i="6"/>
  <c r="L387" i="6" s="1"/>
  <c r="M307" i="5"/>
  <c r="D597" i="6" s="1"/>
  <c r="N597" i="6" s="1"/>
  <c r="L307" i="5"/>
  <c r="N307" i="5"/>
  <c r="E597" i="6" s="1"/>
  <c r="L597" i="6" s="1"/>
  <c r="M357" i="5"/>
  <c r="D697" i="6" s="1"/>
  <c r="P697" i="6" s="1"/>
  <c r="L357" i="5"/>
  <c r="N357" i="5"/>
  <c r="E697" i="6" s="1"/>
  <c r="L697" i="6" s="1"/>
  <c r="M288" i="5"/>
  <c r="D559" i="6" s="1"/>
  <c r="L559" i="6" s="1"/>
  <c r="L288" i="5"/>
  <c r="M290" i="5"/>
  <c r="D563" i="6" s="1"/>
  <c r="L563" i="6" s="1"/>
  <c r="L290" i="5"/>
  <c r="O298" i="5"/>
  <c r="F579" i="6" s="1"/>
  <c r="L579" i="6" s="1"/>
  <c r="L298" i="5"/>
  <c r="N298" i="5"/>
  <c r="E579" i="6" s="1"/>
  <c r="K579" i="6" s="1"/>
  <c r="M298" i="5"/>
  <c r="D579" i="6" s="1"/>
  <c r="N579" i="6" s="1"/>
  <c r="L306" i="5"/>
  <c r="M306" i="5"/>
  <c r="D595" i="6" s="1"/>
  <c r="N595" i="6" s="1"/>
  <c r="N306" i="5"/>
  <c r="E595" i="6" s="1"/>
  <c r="L595" i="6" s="1"/>
  <c r="M692" i="5"/>
  <c r="D1367" i="6" s="1"/>
  <c r="N1367" i="6" s="1"/>
  <c r="L692" i="5"/>
  <c r="N692" i="5"/>
  <c r="E1367" i="6" s="1"/>
  <c r="L1367" i="6" s="1"/>
  <c r="L316" i="5"/>
  <c r="M316" i="5"/>
  <c r="D615" i="6" s="1"/>
  <c r="N615" i="6" s="1"/>
  <c r="P316" i="5"/>
  <c r="G615" i="6" s="1"/>
  <c r="L615" i="6" s="1"/>
  <c r="N316" i="5"/>
  <c r="E615" i="6" s="1"/>
  <c r="P615" i="6" s="1"/>
  <c r="O316" i="5"/>
  <c r="F615" i="6" s="1"/>
  <c r="K615" i="6" s="1"/>
  <c r="E1005" i="6"/>
  <c r="P1005" i="6" s="1"/>
  <c r="R511" i="5"/>
  <c r="I1005" i="6" s="1"/>
  <c r="E1401" i="6"/>
  <c r="K1401" i="6" s="1"/>
  <c r="R709" i="5"/>
  <c r="I1401" i="6" s="1"/>
  <c r="C237" i="6"/>
  <c r="K237" i="6" s="1"/>
  <c r="R127" i="5"/>
  <c r="I237" i="6" s="1"/>
  <c r="M523" i="5"/>
  <c r="D1029" i="6" s="1"/>
  <c r="L1029" i="6" s="1"/>
  <c r="L523" i="5"/>
  <c r="O508" i="5"/>
  <c r="F999" i="6" s="1"/>
  <c r="L999" i="6" s="1"/>
  <c r="M508" i="5"/>
  <c r="D999" i="6" s="1"/>
  <c r="K999" i="6" s="1"/>
  <c r="L508" i="5"/>
  <c r="N508" i="5"/>
  <c r="E999" i="6" s="1"/>
  <c r="P999" i="6" s="1"/>
  <c r="N721" i="5"/>
  <c r="E1425" i="6" s="1"/>
  <c r="M1425" i="6" s="1"/>
  <c r="L721" i="5"/>
  <c r="O721" i="5"/>
  <c r="F1425" i="6" s="1"/>
  <c r="L1425" i="6" s="1"/>
  <c r="M721" i="5"/>
  <c r="D1425" i="6" s="1"/>
  <c r="O1425" i="6" s="1"/>
  <c r="P718" i="5"/>
  <c r="G1419" i="6" s="1"/>
  <c r="L1419" i="6" s="1"/>
  <c r="O718" i="5"/>
  <c r="N717" i="5"/>
  <c r="E1417" i="6" s="1"/>
  <c r="L1417" i="6" s="1"/>
  <c r="M717" i="5"/>
  <c r="N716" i="5"/>
  <c r="E1415" i="6" s="1"/>
  <c r="L1415" i="6" s="1"/>
  <c r="M716" i="5"/>
  <c r="P708" i="5"/>
  <c r="G1399" i="6" s="1"/>
  <c r="L1399" i="6" s="1"/>
  <c r="M708" i="5"/>
  <c r="L707" i="5"/>
  <c r="M707" i="5"/>
  <c r="D1397" i="6" s="1"/>
  <c r="O1397" i="6" s="1"/>
  <c r="N707" i="5"/>
  <c r="E1397" i="6" s="1"/>
  <c r="K1397" i="6" s="1"/>
  <c r="O707" i="5"/>
  <c r="F1397" i="6" s="1"/>
  <c r="L1397" i="6" s="1"/>
  <c r="N679" i="5"/>
  <c r="O679" i="5"/>
  <c r="F1341" i="6" s="1"/>
  <c r="L1341" i="6" s="1"/>
  <c r="M667" i="5"/>
  <c r="N667" i="5"/>
  <c r="E1317" i="6" s="1"/>
  <c r="L1317" i="6" s="1"/>
  <c r="O630" i="5"/>
  <c r="F1243" i="6" s="1"/>
  <c r="M1243" i="6" s="1"/>
  <c r="N630" i="5"/>
  <c r="P630" i="5"/>
  <c r="G1243" i="6" s="1"/>
  <c r="L1243" i="6" s="1"/>
  <c r="O556" i="5"/>
  <c r="F1095" i="6" s="1"/>
  <c r="K1095" i="6" s="1"/>
  <c r="P556" i="5"/>
  <c r="G1095" i="6" s="1"/>
  <c r="L1095" i="6" s="1"/>
  <c r="N546" i="5"/>
  <c r="E1075" i="6" s="1"/>
  <c r="L1075" i="6" s="1"/>
  <c r="M546" i="5"/>
  <c r="D1075" i="6" s="1"/>
  <c r="M1075" i="6" s="1"/>
  <c r="L546" i="5"/>
  <c r="L510" i="5"/>
  <c r="P510" i="5"/>
  <c r="G1003" i="6" s="1"/>
  <c r="L1003" i="6" s="1"/>
  <c r="O510" i="5"/>
  <c r="F1003" i="6" s="1"/>
  <c r="M1003" i="6" s="1"/>
  <c r="M510" i="5"/>
  <c r="D1003" i="6" s="1"/>
  <c r="K1003" i="6" s="1"/>
  <c r="P500" i="5"/>
  <c r="G983" i="6" s="1"/>
  <c r="L983" i="6" s="1"/>
  <c r="L500" i="5"/>
  <c r="O500" i="5"/>
  <c r="F983" i="6" s="1"/>
  <c r="P983" i="6" s="1"/>
  <c r="L493" i="5"/>
  <c r="M493" i="5"/>
  <c r="D969" i="6" s="1"/>
  <c r="K969" i="6" s="1"/>
  <c r="N493" i="5"/>
  <c r="E969" i="6" s="1"/>
  <c r="L969" i="6" s="1"/>
  <c r="N587" i="5"/>
  <c r="O587" i="5"/>
  <c r="F1157" i="6" s="1"/>
  <c r="L1157" i="6" s="1"/>
  <c r="L529" i="5"/>
  <c r="M529" i="5"/>
  <c r="D1041" i="6" s="1"/>
  <c r="L1041" i="6" s="1"/>
  <c r="O620" i="5"/>
  <c r="P620" i="5"/>
  <c r="G1223" i="6" s="1"/>
  <c r="L1223" i="6" s="1"/>
  <c r="P676" i="5"/>
  <c r="G1335" i="6" s="1"/>
  <c r="L1335" i="6" s="1"/>
  <c r="O676" i="5"/>
  <c r="M598" i="5"/>
  <c r="D1179" i="6" s="1"/>
  <c r="P1179" i="6" s="1"/>
  <c r="P598" i="5"/>
  <c r="G1179" i="6" s="1"/>
  <c r="L1179" i="6" s="1"/>
  <c r="O598" i="5"/>
  <c r="F1179" i="6" s="1"/>
  <c r="K1179" i="6" s="1"/>
  <c r="N598" i="5"/>
  <c r="E1179" i="6" s="1"/>
  <c r="M1179" i="6" s="1"/>
  <c r="L598" i="5"/>
  <c r="O559" i="5"/>
  <c r="F1101" i="6" s="1"/>
  <c r="L1101" i="6" s="1"/>
  <c r="M559" i="5"/>
  <c r="D1101" i="6" s="1"/>
  <c r="M1101" i="6" s="1"/>
  <c r="L559" i="5"/>
  <c r="N559" i="5"/>
  <c r="E1101" i="6" s="1"/>
  <c r="P1101" i="6" s="1"/>
  <c r="N492" i="5"/>
  <c r="E967" i="6" s="1"/>
  <c r="L967" i="6" s="1"/>
  <c r="M492" i="5"/>
  <c r="D967" i="6" s="1"/>
  <c r="K967" i="6" s="1"/>
  <c r="L492" i="5"/>
  <c r="L526" i="5"/>
  <c r="M526" i="5"/>
  <c r="D1035" i="6" s="1"/>
  <c r="L1035" i="6" s="1"/>
  <c r="L367" i="5"/>
  <c r="N367" i="5"/>
  <c r="E717" i="6" s="1"/>
  <c r="O717" i="6" s="1"/>
  <c r="O367" i="5"/>
  <c r="F717" i="6" s="1"/>
  <c r="L717" i="6" s="1"/>
  <c r="M367" i="5"/>
  <c r="D717" i="6" s="1"/>
  <c r="P717" i="6" s="1"/>
  <c r="P364" i="5"/>
  <c r="G711" i="6" s="1"/>
  <c r="L711" i="6" s="1"/>
  <c r="N364" i="5"/>
  <c r="O364" i="5"/>
  <c r="F711" i="6" s="1"/>
  <c r="K711" i="6" s="1"/>
  <c r="N355" i="5"/>
  <c r="E693" i="6" s="1"/>
  <c r="L693" i="6" s="1"/>
  <c r="M355" i="5"/>
  <c r="D693" i="6" s="1"/>
  <c r="P693" i="6" s="1"/>
  <c r="L355" i="5"/>
  <c r="N354" i="5"/>
  <c r="E691" i="6" s="1"/>
  <c r="L691" i="6" s="1"/>
  <c r="M354" i="5"/>
  <c r="D691" i="6" s="1"/>
  <c r="P691" i="6" s="1"/>
  <c r="L354" i="5"/>
  <c r="P350" i="5"/>
  <c r="G683" i="6" s="1"/>
  <c r="L683" i="6" s="1"/>
  <c r="N350" i="5"/>
  <c r="E683" i="6" s="1"/>
  <c r="K683" i="6" s="1"/>
  <c r="O350" i="5"/>
  <c r="F683" i="6" s="1"/>
  <c r="O683" i="6" s="1"/>
  <c r="N346" i="5"/>
  <c r="E675" i="6" s="1"/>
  <c r="K675" i="6" s="1"/>
  <c r="O346" i="5"/>
  <c r="F675" i="6" s="1"/>
  <c r="L675" i="6" s="1"/>
  <c r="N343" i="5"/>
  <c r="E669" i="6" s="1"/>
  <c r="P669" i="6" s="1"/>
  <c r="M343" i="5"/>
  <c r="O343" i="5"/>
  <c r="F669" i="6" s="1"/>
  <c r="L669" i="6" s="1"/>
  <c r="O340" i="5"/>
  <c r="F663" i="6" s="1"/>
  <c r="K663" i="6" s="1"/>
  <c r="P340" i="5"/>
  <c r="G663" i="6" s="1"/>
  <c r="L663" i="6" s="1"/>
  <c r="L331" i="5"/>
  <c r="M331" i="5"/>
  <c r="D645" i="6" s="1"/>
  <c r="O645" i="6" s="1"/>
  <c r="N331" i="5"/>
  <c r="E645" i="6" s="1"/>
  <c r="L645" i="6" s="1"/>
  <c r="N330" i="5"/>
  <c r="E643" i="6" s="1"/>
  <c r="L643" i="6" s="1"/>
  <c r="M330" i="5"/>
  <c r="D643" i="6" s="1"/>
  <c r="O643" i="6" s="1"/>
  <c r="L330" i="5"/>
  <c r="P326" i="5"/>
  <c r="G635" i="6" s="1"/>
  <c r="L635" i="6" s="1"/>
  <c r="O326" i="5"/>
  <c r="F635" i="6" s="1"/>
  <c r="P635" i="6" s="1"/>
  <c r="N326" i="5"/>
  <c r="E635" i="6" s="1"/>
  <c r="K635" i="6" s="1"/>
  <c r="M326" i="5"/>
  <c r="L322" i="5"/>
  <c r="M322" i="5"/>
  <c r="D627" i="6" s="1"/>
  <c r="O627" i="6" s="1"/>
  <c r="N322" i="5"/>
  <c r="E627" i="6" s="1"/>
  <c r="K627" i="6" s="1"/>
  <c r="O322" i="5"/>
  <c r="F627" i="6" s="1"/>
  <c r="L627" i="6" s="1"/>
  <c r="O629" i="5"/>
  <c r="F1241" i="6" s="1"/>
  <c r="L1241" i="6" s="1"/>
  <c r="N629" i="5"/>
  <c r="E1241" i="6" s="1"/>
  <c r="O1241" i="6" s="1"/>
  <c r="M629" i="5"/>
  <c r="M612" i="5"/>
  <c r="N612" i="5"/>
  <c r="E1207" i="6" s="1"/>
  <c r="L1207" i="6" s="1"/>
  <c r="O601" i="5"/>
  <c r="F1185" i="6" s="1"/>
  <c r="L1185" i="6" s="1"/>
  <c r="N601" i="5"/>
  <c r="E1185" i="6" s="1"/>
  <c r="M1185" i="6" s="1"/>
  <c r="L601" i="5"/>
  <c r="M601" i="5"/>
  <c r="D1185" i="6" s="1"/>
  <c r="P1185" i="6" s="1"/>
  <c r="M285" i="5"/>
  <c r="D553" i="6" s="1"/>
  <c r="L553" i="6" s="1"/>
  <c r="L285" i="5"/>
  <c r="L284" i="5"/>
  <c r="M284" i="5"/>
  <c r="D551" i="6" s="1"/>
  <c r="L551" i="6" s="1"/>
  <c r="L283" i="5"/>
  <c r="M283" i="5"/>
  <c r="D549" i="6" s="1"/>
  <c r="L549" i="6" s="1"/>
  <c r="M282" i="5"/>
  <c r="D547" i="6" s="1"/>
  <c r="L547" i="6" s="1"/>
  <c r="L282" i="5"/>
  <c r="M281" i="5"/>
  <c r="D545" i="6" s="1"/>
  <c r="L545" i="6" s="1"/>
  <c r="L281" i="5"/>
  <c r="L280" i="5"/>
  <c r="M280" i="5"/>
  <c r="D543" i="6" s="1"/>
  <c r="L543" i="6" s="1"/>
  <c r="O272" i="5"/>
  <c r="P272" i="5"/>
  <c r="G527" i="6" s="1"/>
  <c r="L527" i="6" s="1"/>
  <c r="O268" i="5"/>
  <c r="F519" i="6" s="1"/>
  <c r="L519" i="6" s="1"/>
  <c r="M268" i="5"/>
  <c r="N268" i="5"/>
  <c r="E519" i="6" s="1"/>
  <c r="P519" i="6" s="1"/>
  <c r="P266" i="5"/>
  <c r="G515" i="6" s="1"/>
  <c r="L515" i="6" s="1"/>
  <c r="O266" i="5"/>
  <c r="F515" i="6" s="1"/>
  <c r="P515" i="6" s="1"/>
  <c r="N266" i="5"/>
  <c r="O262" i="5"/>
  <c r="F507" i="6" s="1"/>
  <c r="L507" i="6" s="1"/>
  <c r="N262" i="5"/>
  <c r="L251" i="5"/>
  <c r="N251" i="5"/>
  <c r="E485" i="6" s="1"/>
  <c r="L485" i="6" s="1"/>
  <c r="M251" i="5"/>
  <c r="D485" i="6" s="1"/>
  <c r="K485" i="6" s="1"/>
  <c r="N250" i="5"/>
  <c r="E483" i="6" s="1"/>
  <c r="L483" i="6" s="1"/>
  <c r="M250" i="5"/>
  <c r="D483" i="6" s="1"/>
  <c r="K483" i="6" s="1"/>
  <c r="L250" i="5"/>
  <c r="P542" i="5"/>
  <c r="N542" i="5"/>
  <c r="E1067" i="6" s="1"/>
  <c r="K1067" i="6" s="1"/>
  <c r="L542" i="5"/>
  <c r="O542" i="5"/>
  <c r="F1067" i="6" s="1"/>
  <c r="P1067" i="6" s="1"/>
  <c r="M542" i="5"/>
  <c r="D1067" i="6" s="1"/>
  <c r="M1067" i="6" s="1"/>
  <c r="M527" i="5"/>
  <c r="D1037" i="6" s="1"/>
  <c r="L1037" i="6" s="1"/>
  <c r="L527" i="5"/>
  <c r="O509" i="5"/>
  <c r="F1001" i="6" s="1"/>
  <c r="L1001" i="6" s="1"/>
  <c r="M509" i="5"/>
  <c r="N509" i="5"/>
  <c r="E1001" i="6" s="1"/>
  <c r="P1001" i="6" s="1"/>
  <c r="C383" i="6"/>
  <c r="L383" i="6" s="1"/>
  <c r="R200" i="5"/>
  <c r="I383" i="6" s="1"/>
  <c r="R199" i="5"/>
  <c r="I381" i="6" s="1"/>
  <c r="C381" i="6"/>
  <c r="L381" i="6" s="1"/>
  <c r="S381" i="6" s="1"/>
  <c r="T199" i="5" s="1"/>
  <c r="R191" i="5"/>
  <c r="I365" i="6" s="1"/>
  <c r="C365" i="6"/>
  <c r="L365" i="6" s="1"/>
  <c r="S365" i="6" s="1"/>
  <c r="T191" i="5" s="1"/>
  <c r="C363" i="6"/>
  <c r="L363" i="6" s="1"/>
  <c r="R190" i="5"/>
  <c r="I363" i="6" s="1"/>
  <c r="N613" i="5"/>
  <c r="E1209" i="6" s="1"/>
  <c r="L1209" i="6" s="1"/>
  <c r="M613" i="5"/>
  <c r="D1209" i="6" s="1"/>
  <c r="K1209" i="6" s="1"/>
  <c r="L596" i="5"/>
  <c r="M596" i="5"/>
  <c r="D1175" i="6" s="1"/>
  <c r="P1175" i="6" s="1"/>
  <c r="M531" i="5"/>
  <c r="D1045" i="6" s="1"/>
  <c r="L1045" i="6" s="1"/>
  <c r="L531" i="5"/>
  <c r="M530" i="5"/>
  <c r="D1043" i="6" s="1"/>
  <c r="L1043" i="6" s="1"/>
  <c r="L530" i="5"/>
  <c r="M528" i="5"/>
  <c r="D1039" i="6" s="1"/>
  <c r="L1039" i="6" s="1"/>
  <c r="L528" i="5"/>
  <c r="P126" i="5"/>
  <c r="G235" i="6" s="1"/>
  <c r="L235" i="6" s="1"/>
  <c r="O126" i="5"/>
  <c r="F235" i="6" s="1"/>
  <c r="M235" i="6" s="1"/>
  <c r="N126" i="5"/>
  <c r="O125" i="5"/>
  <c r="F233" i="6" s="1"/>
  <c r="L233" i="6" s="1"/>
  <c r="N125" i="5"/>
  <c r="O116" i="5"/>
  <c r="P116" i="5"/>
  <c r="G215" i="6" s="1"/>
  <c r="L215" i="6" s="1"/>
  <c r="N112" i="5"/>
  <c r="E207" i="6" s="1"/>
  <c r="M207" i="6" s="1"/>
  <c r="O112" i="5"/>
  <c r="F207" i="6" s="1"/>
  <c r="L207" i="6" s="1"/>
  <c r="M112" i="5"/>
  <c r="D207" i="6" s="1"/>
  <c r="P207" i="6" s="1"/>
  <c r="L112" i="5"/>
  <c r="N109" i="5"/>
  <c r="E201" i="6" s="1"/>
  <c r="L201" i="6" s="1"/>
  <c r="M109" i="5"/>
  <c r="D201" i="6" s="1"/>
  <c r="P201" i="6" s="1"/>
  <c r="L109" i="5"/>
  <c r="N108" i="5"/>
  <c r="E199" i="6" s="1"/>
  <c r="L199" i="6" s="1"/>
  <c r="L108" i="5"/>
  <c r="M108" i="5"/>
  <c r="D199" i="6" s="1"/>
  <c r="P199" i="6" s="1"/>
  <c r="P102" i="5"/>
  <c r="G187" i="6" s="1"/>
  <c r="L187" i="6" s="1"/>
  <c r="M102" i="5"/>
  <c r="O102" i="5"/>
  <c r="F187" i="6" s="1"/>
  <c r="M187" i="6" s="1"/>
  <c r="N102" i="5"/>
  <c r="E187" i="6" s="1"/>
  <c r="P187" i="6" s="1"/>
  <c r="O101" i="5"/>
  <c r="F185" i="6" s="1"/>
  <c r="L185" i="6" s="1"/>
  <c r="M101" i="5"/>
  <c r="N101" i="5"/>
  <c r="E185" i="6" s="1"/>
  <c r="P185" i="6" s="1"/>
  <c r="P92" i="5"/>
  <c r="G167" i="6" s="1"/>
  <c r="L167" i="6" s="1"/>
  <c r="O92" i="5"/>
  <c r="F167" i="6" s="1"/>
  <c r="P167" i="6" s="1"/>
  <c r="M92" i="5"/>
  <c r="D167" i="6" s="1"/>
  <c r="O167" i="6" s="1"/>
  <c r="L92" i="5"/>
  <c r="N92" i="5"/>
  <c r="E167" i="6" s="1"/>
  <c r="M167" i="6" s="1"/>
  <c r="L88" i="5"/>
  <c r="M88" i="5"/>
  <c r="D159" i="6" s="1"/>
  <c r="O159" i="6" s="1"/>
  <c r="O88" i="5"/>
  <c r="F159" i="6" s="1"/>
  <c r="L159" i="6" s="1"/>
  <c r="N88" i="5"/>
  <c r="E159" i="6" s="1"/>
  <c r="M159" i="6" s="1"/>
  <c r="L85" i="5"/>
  <c r="M85" i="5"/>
  <c r="D153" i="6" s="1"/>
  <c r="O153" i="6" s="1"/>
  <c r="N85" i="5"/>
  <c r="E153" i="6" s="1"/>
  <c r="L153" i="6" s="1"/>
  <c r="L84" i="5"/>
  <c r="M84" i="5"/>
  <c r="D151" i="6" s="1"/>
  <c r="O151" i="6" s="1"/>
  <c r="N84" i="5"/>
  <c r="E151" i="6" s="1"/>
  <c r="L151" i="6" s="1"/>
  <c r="M21" i="5"/>
  <c r="D25" i="6" s="1"/>
  <c r="L25" i="6" s="1"/>
  <c r="L21" i="5"/>
  <c r="L19" i="5"/>
  <c r="M19" i="5"/>
  <c r="D21" i="6" s="1"/>
  <c r="L21" i="6" s="1"/>
  <c r="L18" i="5"/>
  <c r="M18" i="5"/>
  <c r="D19" i="6" s="1"/>
  <c r="L19" i="6" s="1"/>
  <c r="N666" i="5"/>
  <c r="E1315" i="6" s="1"/>
  <c r="L1315" i="6" s="1"/>
  <c r="M666" i="5"/>
  <c r="D1315" i="6" s="1"/>
  <c r="M1315" i="6" s="1"/>
  <c r="L666" i="5"/>
  <c r="P662" i="5"/>
  <c r="G1307" i="6" s="1"/>
  <c r="L1307" i="6" s="1"/>
  <c r="O662" i="5"/>
  <c r="F1307" i="6" s="1"/>
  <c r="O1307" i="6" s="1"/>
  <c r="N662" i="5"/>
  <c r="O658" i="5"/>
  <c r="F1299" i="6" s="1"/>
  <c r="L1299" i="6" s="1"/>
  <c r="M658" i="5"/>
  <c r="N658" i="5"/>
  <c r="E1299" i="6" s="1"/>
  <c r="K1299" i="6" s="1"/>
  <c r="L597" i="5"/>
  <c r="M597" i="5"/>
  <c r="D1177" i="6" s="1"/>
  <c r="P1177" i="6" s="1"/>
  <c r="M547" i="5"/>
  <c r="D1077" i="6" s="1"/>
  <c r="M1077" i="6" s="1"/>
  <c r="L547" i="5"/>
  <c r="N547" i="5"/>
  <c r="E1077" i="6" s="1"/>
  <c r="L1077" i="6" s="1"/>
  <c r="O496" i="5"/>
  <c r="F975" i="6" s="1"/>
  <c r="L975" i="6" s="1"/>
  <c r="L496" i="5"/>
  <c r="N56" i="5"/>
  <c r="E95" i="6" s="1"/>
  <c r="P95" i="6" s="1"/>
  <c r="O56" i="5"/>
  <c r="P56" i="5"/>
  <c r="G95" i="6" s="1"/>
  <c r="L95" i="6" s="1"/>
  <c r="P50" i="5"/>
  <c r="G83" i="6" s="1"/>
  <c r="L83" i="6" s="1"/>
  <c r="O50" i="5"/>
  <c r="F83" i="6" s="1"/>
  <c r="P83" i="6" s="1"/>
  <c r="N50" i="5"/>
  <c r="E83" i="6" s="1"/>
  <c r="O83" i="6" s="1"/>
  <c r="N46" i="5"/>
  <c r="O46" i="5"/>
  <c r="F75" i="6" s="1"/>
  <c r="L75" i="6" s="1"/>
  <c r="L20" i="5"/>
  <c r="M20" i="5"/>
  <c r="D23" i="6" s="1"/>
  <c r="L23" i="6" s="1"/>
  <c r="L17" i="5"/>
  <c r="M17" i="5"/>
  <c r="D17" i="6" s="1"/>
  <c r="L17" i="6" s="1"/>
  <c r="L16" i="5"/>
  <c r="M16" i="5"/>
  <c r="D15" i="6" s="1"/>
  <c r="L15" i="6" s="1"/>
  <c r="N538" i="5"/>
  <c r="E1059" i="6" s="1"/>
  <c r="K1059" i="6" s="1"/>
  <c r="M538" i="5"/>
  <c r="D1059" i="6" s="1"/>
  <c r="M1059" i="6" s="1"/>
  <c r="L538" i="5"/>
  <c r="O538" i="5"/>
  <c r="F1059" i="6" s="1"/>
  <c r="L1059" i="6" s="1"/>
  <c r="C281" i="6"/>
  <c r="L281" i="6" s="1"/>
  <c r="R149" i="5"/>
  <c r="I281" i="6" s="1"/>
  <c r="R148" i="5"/>
  <c r="I279" i="6" s="1"/>
  <c r="C279" i="6"/>
  <c r="L279" i="6" s="1"/>
  <c r="S279" i="6" s="1"/>
  <c r="T148" i="5" s="1"/>
  <c r="C273" i="6"/>
  <c r="L273" i="6" s="1"/>
  <c r="R145" i="5"/>
  <c r="I273" i="6" s="1"/>
  <c r="C263" i="6"/>
  <c r="L263" i="6" s="1"/>
  <c r="R140" i="5"/>
  <c r="I263" i="6" s="1"/>
  <c r="C395" i="6"/>
  <c r="L395" i="6" s="1"/>
  <c r="R206" i="5"/>
  <c r="I395" i="6" s="1"/>
  <c r="C393" i="6"/>
  <c r="L393" i="6" s="1"/>
  <c r="R205" i="5"/>
  <c r="I393" i="6" s="1"/>
  <c r="O727" i="5"/>
  <c r="F1437" i="6" s="1"/>
  <c r="L1437" i="6" s="1"/>
  <c r="N727" i="5"/>
  <c r="E1437" i="6" s="1"/>
  <c r="N1437" i="6" s="1"/>
  <c r="L727" i="5"/>
  <c r="C1437" i="6" s="1"/>
  <c r="P1437" i="6" s="1"/>
  <c r="M727" i="5"/>
  <c r="M724" i="5"/>
  <c r="L724" i="5"/>
  <c r="C1431" i="6" s="1"/>
  <c r="P1431" i="6" s="1"/>
  <c r="N724" i="5"/>
  <c r="E1431" i="6" s="1"/>
  <c r="N1431" i="6" s="1"/>
  <c r="P724" i="5"/>
  <c r="G1431" i="6" s="1"/>
  <c r="L1431" i="6" s="1"/>
  <c r="O724" i="5"/>
  <c r="F1431" i="6" s="1"/>
  <c r="K1431" i="6" s="1"/>
  <c r="L715" i="5"/>
  <c r="C1413" i="6" s="1"/>
  <c r="P1413" i="6" s="1"/>
  <c r="N715" i="5"/>
  <c r="E1413" i="6" s="1"/>
  <c r="L1413" i="6" s="1"/>
  <c r="M715" i="5"/>
  <c r="L714" i="5"/>
  <c r="C1411" i="6" s="1"/>
  <c r="P1411" i="6" s="1"/>
  <c r="M714" i="5"/>
  <c r="N714" i="5"/>
  <c r="E1411" i="6" s="1"/>
  <c r="L1411" i="6" s="1"/>
  <c r="M710" i="5"/>
  <c r="D1403" i="6" s="1"/>
  <c r="O1403" i="6" s="1"/>
  <c r="P710" i="5"/>
  <c r="G1403" i="6" s="1"/>
  <c r="L1403" i="6" s="1"/>
  <c r="O710" i="5"/>
  <c r="F1403" i="6" s="1"/>
  <c r="N1403" i="6" s="1"/>
  <c r="N710" i="5"/>
  <c r="L710" i="5"/>
  <c r="C1403" i="6" s="1"/>
  <c r="P1403" i="6" s="1"/>
  <c r="O703" i="5"/>
  <c r="F1389" i="6" s="1"/>
  <c r="L1389" i="6" s="1"/>
  <c r="M703" i="5"/>
  <c r="N703" i="5"/>
  <c r="E1389" i="6" s="1"/>
  <c r="O1389" i="6" s="1"/>
  <c r="L703" i="5"/>
  <c r="C1389" i="6" s="1"/>
  <c r="P1389" i="6" s="1"/>
  <c r="P686" i="5"/>
  <c r="G1355" i="6" s="1"/>
  <c r="L1355" i="6" s="1"/>
  <c r="M686" i="5"/>
  <c r="L686" i="5"/>
  <c r="C1355" i="6" s="1"/>
  <c r="P1355" i="6" s="1"/>
  <c r="N686" i="5"/>
  <c r="E1355" i="6" s="1"/>
  <c r="K1355" i="6" s="1"/>
  <c r="O686" i="5"/>
  <c r="F1355" i="6" s="1"/>
  <c r="O1355" i="6" s="1"/>
  <c r="M632" i="5"/>
  <c r="D1247" i="6" s="1"/>
  <c r="K1247" i="6" s="1"/>
  <c r="P632" i="5"/>
  <c r="G1247" i="6" s="1"/>
  <c r="L1247" i="6" s="1"/>
  <c r="O632" i="5"/>
  <c r="F1247" i="6" s="1"/>
  <c r="N1247" i="6" s="1"/>
  <c r="N632" i="5"/>
  <c r="E1247" i="6" s="1"/>
  <c r="O1247" i="6" s="1"/>
  <c r="L632" i="5"/>
  <c r="N611" i="5"/>
  <c r="E1205" i="6" s="1"/>
  <c r="L1205" i="6" s="1"/>
  <c r="L611" i="5"/>
  <c r="M611" i="5"/>
  <c r="D1205" i="6" s="1"/>
  <c r="K1205" i="6" s="1"/>
  <c r="P604" i="5"/>
  <c r="G1191" i="6" s="1"/>
  <c r="L1191" i="6" s="1"/>
  <c r="M604" i="5"/>
  <c r="D1191" i="6" s="1"/>
  <c r="P1191" i="6" s="1"/>
  <c r="L604" i="5"/>
  <c r="O604" i="5"/>
  <c r="F1191" i="6" s="1"/>
  <c r="K1191" i="6" s="1"/>
  <c r="N604" i="5"/>
  <c r="E1191" i="6" s="1"/>
  <c r="N1191" i="6" s="1"/>
  <c r="N594" i="5"/>
  <c r="E1171" i="6" s="1"/>
  <c r="L1171" i="6" s="1"/>
  <c r="M594" i="5"/>
  <c r="D1171" i="6" s="1"/>
  <c r="P1171" i="6" s="1"/>
  <c r="L594" i="5"/>
  <c r="L502" i="5"/>
  <c r="C987" i="6" s="1"/>
  <c r="O987" i="6" s="1"/>
  <c r="M502" i="5"/>
  <c r="N502" i="5"/>
  <c r="E987" i="6" s="1"/>
  <c r="N987" i="6" s="1"/>
  <c r="O502" i="5"/>
  <c r="F987" i="6" s="1"/>
  <c r="L987" i="6" s="1"/>
  <c r="M590" i="5"/>
  <c r="D1163" i="6" s="1"/>
  <c r="P1163" i="6" s="1"/>
  <c r="N590" i="5"/>
  <c r="E1163" i="6" s="1"/>
  <c r="K1163" i="6" s="1"/>
  <c r="O590" i="5"/>
  <c r="F1163" i="6" s="1"/>
  <c r="N1163" i="6" s="1"/>
  <c r="P590" i="5"/>
  <c r="G1163" i="6" s="1"/>
  <c r="L1163" i="6" s="1"/>
  <c r="L590" i="5"/>
  <c r="N586" i="5"/>
  <c r="E1155" i="6" s="1"/>
  <c r="K1155" i="6" s="1"/>
  <c r="L586" i="5"/>
  <c r="M586" i="5"/>
  <c r="D1155" i="6" s="1"/>
  <c r="P1155" i="6" s="1"/>
  <c r="O586" i="5"/>
  <c r="F1155" i="6" s="1"/>
  <c r="L1155" i="6" s="1"/>
  <c r="O583" i="5"/>
  <c r="F1149" i="6" s="1"/>
  <c r="L1149" i="6" s="1"/>
  <c r="L583" i="5"/>
  <c r="M583" i="5"/>
  <c r="D1149" i="6" s="1"/>
  <c r="N1149" i="6" s="1"/>
  <c r="N583" i="5"/>
  <c r="E1149" i="6" s="1"/>
  <c r="P1149" i="6" s="1"/>
  <c r="P580" i="5"/>
  <c r="G1143" i="6" s="1"/>
  <c r="L1143" i="6" s="1"/>
  <c r="L580" i="5"/>
  <c r="M580" i="5"/>
  <c r="D1143" i="6" s="1"/>
  <c r="N1143" i="6" s="1"/>
  <c r="N580" i="5"/>
  <c r="E1143" i="6" s="1"/>
  <c r="P1143" i="6" s="1"/>
  <c r="O580" i="5"/>
  <c r="F1143" i="6" s="1"/>
  <c r="K1143" i="6" s="1"/>
  <c r="M487" i="5"/>
  <c r="D957" i="6" s="1"/>
  <c r="P957" i="6" s="1"/>
  <c r="N487" i="5"/>
  <c r="E957" i="6" s="1"/>
  <c r="O957" i="6" s="1"/>
  <c r="L487" i="5"/>
  <c r="O487" i="5"/>
  <c r="F957" i="6" s="1"/>
  <c r="L957" i="6" s="1"/>
  <c r="M484" i="5"/>
  <c r="D951" i="6" s="1"/>
  <c r="P951" i="6" s="1"/>
  <c r="O484" i="5"/>
  <c r="F951" i="6" s="1"/>
  <c r="K951" i="6" s="1"/>
  <c r="P484" i="5"/>
  <c r="G951" i="6" s="1"/>
  <c r="L951" i="6" s="1"/>
  <c r="L484" i="5"/>
  <c r="N484" i="5"/>
  <c r="E951" i="6" s="1"/>
  <c r="O951" i="6" s="1"/>
  <c r="N475" i="5"/>
  <c r="E933" i="6" s="1"/>
  <c r="L933" i="6" s="1"/>
  <c r="M475" i="5"/>
  <c r="D933" i="6" s="1"/>
  <c r="P933" i="6" s="1"/>
  <c r="L475" i="5"/>
  <c r="M474" i="5"/>
  <c r="D931" i="6" s="1"/>
  <c r="P931" i="6" s="1"/>
  <c r="N474" i="5"/>
  <c r="E931" i="6" s="1"/>
  <c r="L931" i="6" s="1"/>
  <c r="L474" i="5"/>
  <c r="L470" i="5"/>
  <c r="M470" i="5"/>
  <c r="D923" i="6" s="1"/>
  <c r="P923" i="6" s="1"/>
  <c r="O470" i="5"/>
  <c r="F923" i="6" s="1"/>
  <c r="O923" i="6" s="1"/>
  <c r="P470" i="5"/>
  <c r="G923" i="6" s="1"/>
  <c r="L923" i="6" s="1"/>
  <c r="N470" i="5"/>
  <c r="E923" i="6" s="1"/>
  <c r="K923" i="6" s="1"/>
  <c r="M466" i="5"/>
  <c r="D915" i="6" s="1"/>
  <c r="P915" i="6" s="1"/>
  <c r="L466" i="5"/>
  <c r="N466" i="5"/>
  <c r="E915" i="6" s="1"/>
  <c r="K915" i="6" s="1"/>
  <c r="O466" i="5"/>
  <c r="F915" i="6" s="1"/>
  <c r="L915" i="6" s="1"/>
  <c r="M463" i="5"/>
  <c r="D909" i="6" s="1"/>
  <c r="O909" i="6" s="1"/>
  <c r="N463" i="5"/>
  <c r="E909" i="6" s="1"/>
  <c r="P909" i="6" s="1"/>
  <c r="L463" i="5"/>
  <c r="O463" i="5"/>
  <c r="F909" i="6" s="1"/>
  <c r="L909" i="6" s="1"/>
  <c r="N607" i="5"/>
  <c r="E1197" i="6" s="1"/>
  <c r="N1197" i="6" s="1"/>
  <c r="M607" i="5"/>
  <c r="D1197" i="6" s="1"/>
  <c r="P1197" i="6" s="1"/>
  <c r="O607" i="5"/>
  <c r="F1197" i="6" s="1"/>
  <c r="L1197" i="6" s="1"/>
  <c r="L607" i="5"/>
  <c r="M570" i="5"/>
  <c r="D1123" i="6" s="1"/>
  <c r="N1123" i="6" s="1"/>
  <c r="N570" i="5"/>
  <c r="E1123" i="6" s="1"/>
  <c r="L1123" i="6" s="1"/>
  <c r="L570" i="5"/>
  <c r="M520" i="5"/>
  <c r="D1023" i="6" s="1"/>
  <c r="L1023" i="6" s="1"/>
  <c r="L520" i="5"/>
  <c r="P512" i="5"/>
  <c r="G1007" i="6" s="1"/>
  <c r="L1007" i="6" s="1"/>
  <c r="L512" i="5"/>
  <c r="M512" i="5"/>
  <c r="D1007" i="6" s="1"/>
  <c r="K1007" i="6" s="1"/>
  <c r="O512" i="5"/>
  <c r="F1007" i="6" s="1"/>
  <c r="N1007" i="6" s="1"/>
  <c r="N512" i="5"/>
  <c r="E1007" i="6" s="1"/>
  <c r="P1007" i="6" s="1"/>
  <c r="P506" i="5"/>
  <c r="G995" i="6" s="1"/>
  <c r="L995" i="6" s="1"/>
  <c r="O506" i="5"/>
  <c r="F995" i="6" s="1"/>
  <c r="P995" i="6" s="1"/>
  <c r="N506" i="5"/>
  <c r="E995" i="6" s="1"/>
  <c r="N995" i="6" s="1"/>
  <c r="M506" i="5"/>
  <c r="D995" i="6" s="1"/>
  <c r="K995" i="6" s="1"/>
  <c r="L506" i="5"/>
  <c r="O460" i="5"/>
  <c r="F903" i="6" s="1"/>
  <c r="K903" i="6" s="1"/>
  <c r="M460" i="5"/>
  <c r="D903" i="6" s="1"/>
  <c r="O903" i="6" s="1"/>
  <c r="L460" i="5"/>
  <c r="N460" i="5"/>
  <c r="E903" i="6" s="1"/>
  <c r="P903" i="6" s="1"/>
  <c r="P460" i="5"/>
  <c r="G903" i="6" s="1"/>
  <c r="L903" i="6" s="1"/>
  <c r="L451" i="5"/>
  <c r="M451" i="5"/>
  <c r="D885" i="6" s="1"/>
  <c r="O885" i="6" s="1"/>
  <c r="N451" i="5"/>
  <c r="E885" i="6" s="1"/>
  <c r="L885" i="6" s="1"/>
  <c r="N450" i="5"/>
  <c r="E883" i="6" s="1"/>
  <c r="L883" i="6" s="1"/>
  <c r="L450" i="5"/>
  <c r="C883" i="6" s="1"/>
  <c r="N883" i="6" s="1"/>
  <c r="M450" i="5"/>
  <c r="P446" i="5"/>
  <c r="G875" i="6" s="1"/>
  <c r="L875" i="6" s="1"/>
  <c r="M446" i="5"/>
  <c r="D875" i="6" s="1"/>
  <c r="O875" i="6" s="1"/>
  <c r="O446" i="5"/>
  <c r="F875" i="6" s="1"/>
  <c r="P875" i="6" s="1"/>
  <c r="L446" i="5"/>
  <c r="N446" i="5"/>
  <c r="E875" i="6" s="1"/>
  <c r="K875" i="6" s="1"/>
  <c r="L442" i="5"/>
  <c r="C867" i="6" s="1"/>
  <c r="N867" i="6" s="1"/>
  <c r="O442" i="5"/>
  <c r="F867" i="6" s="1"/>
  <c r="L867" i="6" s="1"/>
  <c r="N442" i="5"/>
  <c r="E867" i="6" s="1"/>
  <c r="K867" i="6" s="1"/>
  <c r="M442" i="5"/>
  <c r="M404" i="5"/>
  <c r="D791" i="6" s="1"/>
  <c r="L791" i="6" s="1"/>
  <c r="L404" i="5"/>
  <c r="L402" i="5"/>
  <c r="M402" i="5"/>
  <c r="D787" i="6" s="1"/>
  <c r="L787" i="6" s="1"/>
  <c r="L400" i="5"/>
  <c r="M400" i="5"/>
  <c r="D783" i="6" s="1"/>
  <c r="L783" i="6" s="1"/>
  <c r="L392" i="5"/>
  <c r="C767" i="6" s="1"/>
  <c r="N767" i="6" s="1"/>
  <c r="P392" i="5"/>
  <c r="G767" i="6" s="1"/>
  <c r="L767" i="6" s="1"/>
  <c r="O392" i="5"/>
  <c r="F767" i="6" s="1"/>
  <c r="O767" i="6" s="1"/>
  <c r="M392" i="5"/>
  <c r="N392" i="5"/>
  <c r="E767" i="6" s="1"/>
  <c r="P767" i="6" s="1"/>
  <c r="O388" i="5"/>
  <c r="F759" i="6" s="1"/>
  <c r="L759" i="6" s="1"/>
  <c r="N388" i="5"/>
  <c r="E759" i="6" s="1"/>
  <c r="P759" i="6" s="1"/>
  <c r="M388" i="5"/>
  <c r="D759" i="6" s="1"/>
  <c r="K759" i="6" s="1"/>
  <c r="L388" i="5"/>
  <c r="L622" i="5"/>
  <c r="N622" i="5"/>
  <c r="E1227" i="6" s="1"/>
  <c r="N1227" i="6" s="1"/>
  <c r="M622" i="5"/>
  <c r="D1227" i="6" s="1"/>
  <c r="K1227" i="6" s="1"/>
  <c r="O622" i="5"/>
  <c r="F1227" i="6" s="1"/>
  <c r="L1227" i="6" s="1"/>
  <c r="M405" i="5"/>
  <c r="D793" i="6" s="1"/>
  <c r="L793" i="6" s="1"/>
  <c r="L405" i="5"/>
  <c r="M403" i="5"/>
  <c r="D789" i="6" s="1"/>
  <c r="L789" i="6" s="1"/>
  <c r="L403" i="5"/>
  <c r="M401" i="5"/>
  <c r="D785" i="6" s="1"/>
  <c r="L785" i="6" s="1"/>
  <c r="L401" i="5"/>
  <c r="P386" i="5"/>
  <c r="G755" i="6" s="1"/>
  <c r="L755" i="6" s="1"/>
  <c r="O386" i="5"/>
  <c r="F755" i="6" s="1"/>
  <c r="P755" i="6" s="1"/>
  <c r="N386" i="5"/>
  <c r="E755" i="6" s="1"/>
  <c r="O755" i="6" s="1"/>
  <c r="L386" i="5"/>
  <c r="M386" i="5"/>
  <c r="D755" i="6" s="1"/>
  <c r="K755" i="6" s="1"/>
  <c r="M640" i="5"/>
  <c r="D1263" i="6" s="1"/>
  <c r="L1263" i="6" s="1"/>
  <c r="L640" i="5"/>
  <c r="N382" i="5"/>
  <c r="E747" i="6" s="1"/>
  <c r="O747" i="6" s="1"/>
  <c r="M382" i="5"/>
  <c r="D747" i="6" s="1"/>
  <c r="K747" i="6" s="1"/>
  <c r="L382" i="5"/>
  <c r="O382" i="5"/>
  <c r="F747" i="6" s="1"/>
  <c r="L747" i="6" s="1"/>
  <c r="M371" i="5"/>
  <c r="D725" i="6" s="1"/>
  <c r="K725" i="6" s="1"/>
  <c r="N371" i="5"/>
  <c r="E725" i="6" s="1"/>
  <c r="L725" i="6" s="1"/>
  <c r="L371" i="5"/>
  <c r="N370" i="5"/>
  <c r="E723" i="6" s="1"/>
  <c r="L723" i="6" s="1"/>
  <c r="L370" i="5"/>
  <c r="M370" i="5"/>
  <c r="D723" i="6" s="1"/>
  <c r="K723" i="6" s="1"/>
  <c r="M645" i="5"/>
  <c r="D1273" i="6" s="1"/>
  <c r="L1273" i="6" s="1"/>
  <c r="L645" i="5"/>
  <c r="M644" i="5"/>
  <c r="D1271" i="6" s="1"/>
  <c r="L1271" i="6" s="1"/>
  <c r="L644" i="5"/>
  <c r="N626" i="5"/>
  <c r="E1235" i="6" s="1"/>
  <c r="N1235" i="6" s="1"/>
  <c r="P626" i="5"/>
  <c r="G1235" i="6" s="1"/>
  <c r="L1235" i="6" s="1"/>
  <c r="O626" i="5"/>
  <c r="F1235" i="6" s="1"/>
  <c r="O1235" i="6" s="1"/>
  <c r="M626" i="5"/>
  <c r="D1235" i="6" s="1"/>
  <c r="K1235" i="6" s="1"/>
  <c r="L626" i="5"/>
  <c r="M521" i="5"/>
  <c r="D1025" i="6" s="1"/>
  <c r="L1025" i="6" s="1"/>
  <c r="L521" i="5"/>
  <c r="M490" i="5"/>
  <c r="D963" i="6" s="1"/>
  <c r="K963" i="6" s="1"/>
  <c r="L490" i="5"/>
  <c r="N490" i="5"/>
  <c r="E963" i="6" s="1"/>
  <c r="L963" i="6" s="1"/>
  <c r="L691" i="5"/>
  <c r="N691" i="5"/>
  <c r="E1365" i="6" s="1"/>
  <c r="L1365" i="6" s="1"/>
  <c r="M691" i="5"/>
  <c r="D1365" i="6" s="1"/>
  <c r="N1365" i="6" s="1"/>
  <c r="L690" i="5"/>
  <c r="M690" i="5"/>
  <c r="D1363" i="6" s="1"/>
  <c r="N1363" i="6" s="1"/>
  <c r="N690" i="5"/>
  <c r="E1363" i="6" s="1"/>
  <c r="L1363" i="6" s="1"/>
  <c r="M643" i="5"/>
  <c r="D1269" i="6" s="1"/>
  <c r="L1269" i="6" s="1"/>
  <c r="L643" i="5"/>
  <c r="L642" i="5"/>
  <c r="M642" i="5"/>
  <c r="D1267" i="6" s="1"/>
  <c r="L1267" i="6" s="1"/>
  <c r="L610" i="5"/>
  <c r="M610" i="5"/>
  <c r="D1203" i="6" s="1"/>
  <c r="K1203" i="6" s="1"/>
  <c r="N610" i="5"/>
  <c r="E1203" i="6" s="1"/>
  <c r="L1203" i="6" s="1"/>
  <c r="L571" i="5"/>
  <c r="M571" i="5"/>
  <c r="D1125" i="6" s="1"/>
  <c r="N1125" i="6" s="1"/>
  <c r="N571" i="5"/>
  <c r="E1125" i="6" s="1"/>
  <c r="L1125" i="6" s="1"/>
  <c r="N562" i="5"/>
  <c r="E1107" i="6" s="1"/>
  <c r="K1107" i="6" s="1"/>
  <c r="M562" i="5"/>
  <c r="D1107" i="6" s="1"/>
  <c r="N1107" i="6" s="1"/>
  <c r="O562" i="5"/>
  <c r="F1107" i="6" s="1"/>
  <c r="L1107" i="6" s="1"/>
  <c r="L562" i="5"/>
  <c r="L524" i="5"/>
  <c r="M524" i="5"/>
  <c r="D1031" i="6" s="1"/>
  <c r="L1031" i="6" s="1"/>
  <c r="L491" i="5"/>
  <c r="M491" i="5"/>
  <c r="D965" i="6" s="1"/>
  <c r="K965" i="6" s="1"/>
  <c r="N491" i="5"/>
  <c r="E965" i="6" s="1"/>
  <c r="L965" i="6" s="1"/>
  <c r="L641" i="5"/>
  <c r="M641" i="5"/>
  <c r="D1265" i="6" s="1"/>
  <c r="L1265" i="6" s="1"/>
  <c r="L525" i="5"/>
  <c r="M525" i="5"/>
  <c r="D1033" i="6" s="1"/>
  <c r="L1033" i="6" s="1"/>
  <c r="L522" i="5"/>
  <c r="M522" i="5"/>
  <c r="D1027" i="6" s="1"/>
  <c r="L1027" i="6" s="1"/>
  <c r="N128" i="5"/>
  <c r="E239" i="6" s="1"/>
  <c r="O239" i="6" s="1"/>
  <c r="P128" i="5"/>
  <c r="G239" i="6" s="1"/>
  <c r="L239" i="6" s="1"/>
  <c r="M128" i="5"/>
  <c r="D239" i="6" s="1"/>
  <c r="P239" i="6" s="1"/>
  <c r="L128" i="5"/>
  <c r="O128" i="5"/>
  <c r="F239" i="6" s="1"/>
  <c r="N239" i="6" s="1"/>
  <c r="N124" i="5"/>
  <c r="E231" i="6" s="1"/>
  <c r="O231" i="6" s="1"/>
  <c r="O124" i="5"/>
  <c r="F231" i="6" s="1"/>
  <c r="L231" i="6" s="1"/>
  <c r="M124" i="5"/>
  <c r="D231" i="6" s="1"/>
  <c r="P231" i="6" s="1"/>
  <c r="L124" i="5"/>
  <c r="L122" i="5"/>
  <c r="O122" i="5"/>
  <c r="F227" i="6" s="1"/>
  <c r="O227" i="6" s="1"/>
  <c r="P122" i="5"/>
  <c r="G227" i="6" s="1"/>
  <c r="L227" i="6" s="1"/>
  <c r="N122" i="5"/>
  <c r="E227" i="6" s="1"/>
  <c r="N227" i="6" s="1"/>
  <c r="M122" i="5"/>
  <c r="D227" i="6" s="1"/>
  <c r="P227" i="6" s="1"/>
  <c r="L118" i="5"/>
  <c r="M118" i="5"/>
  <c r="D219" i="6" s="1"/>
  <c r="P219" i="6" s="1"/>
  <c r="O118" i="5"/>
  <c r="F219" i="6" s="1"/>
  <c r="L219" i="6" s="1"/>
  <c r="N118" i="5"/>
  <c r="E219" i="6" s="1"/>
  <c r="N219" i="6" s="1"/>
  <c r="N107" i="5"/>
  <c r="E197" i="6" s="1"/>
  <c r="L197" i="6" s="1"/>
  <c r="L107" i="5"/>
  <c r="M107" i="5"/>
  <c r="D197" i="6" s="1"/>
  <c r="P197" i="6" s="1"/>
  <c r="N106" i="5"/>
  <c r="E195" i="6" s="1"/>
  <c r="L195" i="6" s="1"/>
  <c r="M106" i="5"/>
  <c r="D195" i="6" s="1"/>
  <c r="P195" i="6" s="1"/>
  <c r="L106" i="5"/>
  <c r="L104" i="5"/>
  <c r="N104" i="5"/>
  <c r="E191" i="6" s="1"/>
  <c r="P191" i="6" s="1"/>
  <c r="M104" i="5"/>
  <c r="D191" i="6" s="1"/>
  <c r="O191" i="6" s="1"/>
  <c r="O104" i="5"/>
  <c r="F191" i="6" s="1"/>
  <c r="N191" i="6" s="1"/>
  <c r="P104" i="5"/>
  <c r="G191" i="6" s="1"/>
  <c r="L191" i="6" s="1"/>
  <c r="O100" i="5"/>
  <c r="F183" i="6" s="1"/>
  <c r="L183" i="6" s="1"/>
  <c r="M100" i="5"/>
  <c r="D183" i="6" s="1"/>
  <c r="O183" i="6" s="1"/>
  <c r="L100" i="5"/>
  <c r="N100" i="5"/>
  <c r="E183" i="6" s="1"/>
  <c r="P183" i="6" s="1"/>
  <c r="P98" i="5"/>
  <c r="G179" i="6" s="1"/>
  <c r="L179" i="6" s="1"/>
  <c r="N98" i="5"/>
  <c r="E179" i="6" s="1"/>
  <c r="N179" i="6" s="1"/>
  <c r="M98" i="5"/>
  <c r="D179" i="6" s="1"/>
  <c r="O179" i="6" s="1"/>
  <c r="O98" i="5"/>
  <c r="F179" i="6" s="1"/>
  <c r="P179" i="6" s="1"/>
  <c r="L98" i="5"/>
  <c r="L94" i="5"/>
  <c r="M94" i="5"/>
  <c r="D171" i="6" s="1"/>
  <c r="O171" i="6" s="1"/>
  <c r="O94" i="5"/>
  <c r="F171" i="6" s="1"/>
  <c r="L171" i="6" s="1"/>
  <c r="N94" i="5"/>
  <c r="E171" i="6" s="1"/>
  <c r="N171" i="6" s="1"/>
  <c r="M83" i="5"/>
  <c r="D149" i="6" s="1"/>
  <c r="O149" i="6" s="1"/>
  <c r="N83" i="5"/>
  <c r="E149" i="6" s="1"/>
  <c r="L149" i="6" s="1"/>
  <c r="L83" i="5"/>
  <c r="N82" i="5"/>
  <c r="E147" i="6" s="1"/>
  <c r="L147" i="6" s="1"/>
  <c r="M82" i="5"/>
  <c r="D147" i="6" s="1"/>
  <c r="O147" i="6" s="1"/>
  <c r="L82" i="5"/>
  <c r="L80" i="5"/>
  <c r="N80" i="5"/>
  <c r="E143" i="6" s="1"/>
  <c r="P143" i="6" s="1"/>
  <c r="M80" i="5"/>
  <c r="D143" i="6" s="1"/>
  <c r="N143" i="6" s="1"/>
  <c r="O80" i="5"/>
  <c r="F143" i="6" s="1"/>
  <c r="O143" i="6" s="1"/>
  <c r="P80" i="5"/>
  <c r="G143" i="6" s="1"/>
  <c r="L143" i="6" s="1"/>
  <c r="M15" i="5"/>
  <c r="D13" i="6" s="1"/>
  <c r="L13" i="6" s="1"/>
  <c r="L15" i="5"/>
  <c r="M13" i="5"/>
  <c r="D9" i="6" s="1"/>
  <c r="L9" i="6" s="1"/>
  <c r="L13" i="5"/>
  <c r="M11" i="5"/>
  <c r="D5" i="6" s="1"/>
  <c r="L5" i="6" s="1"/>
  <c r="L11" i="5"/>
  <c r="O682" i="5"/>
  <c r="F1347" i="6" s="1"/>
  <c r="L1347" i="6" s="1"/>
  <c r="M682" i="5"/>
  <c r="D1347" i="6" s="1"/>
  <c r="N1347" i="6" s="1"/>
  <c r="N682" i="5"/>
  <c r="E1347" i="6" s="1"/>
  <c r="K1347" i="6" s="1"/>
  <c r="L682" i="5"/>
  <c r="O628" i="5"/>
  <c r="F1239" i="6" s="1"/>
  <c r="L1239" i="6" s="1"/>
  <c r="L628" i="5"/>
  <c r="M628" i="5"/>
  <c r="D1239" i="6" s="1"/>
  <c r="K1239" i="6" s="1"/>
  <c r="N628" i="5"/>
  <c r="E1239" i="6" s="1"/>
  <c r="O1239" i="6" s="1"/>
  <c r="O76" i="5"/>
  <c r="F135" i="6" s="1"/>
  <c r="L135" i="6" s="1"/>
  <c r="L76" i="5"/>
  <c r="M76" i="5"/>
  <c r="D135" i="6" s="1"/>
  <c r="N135" i="6" s="1"/>
  <c r="N76" i="5"/>
  <c r="E135" i="6" s="1"/>
  <c r="P135" i="6" s="1"/>
  <c r="P74" i="5"/>
  <c r="G131" i="6" s="1"/>
  <c r="L131" i="6" s="1"/>
  <c r="O74" i="5"/>
  <c r="F131" i="6" s="1"/>
  <c r="P131" i="6" s="1"/>
  <c r="N74" i="5"/>
  <c r="E131" i="6" s="1"/>
  <c r="O131" i="6" s="1"/>
  <c r="L74" i="5"/>
  <c r="M74" i="5"/>
  <c r="D131" i="6" s="1"/>
  <c r="N131" i="6" s="1"/>
  <c r="N70" i="5"/>
  <c r="E123" i="6" s="1"/>
  <c r="O123" i="6" s="1"/>
  <c r="L70" i="5"/>
  <c r="M70" i="5"/>
  <c r="D123" i="6" s="1"/>
  <c r="N123" i="6" s="1"/>
  <c r="O70" i="5"/>
  <c r="F123" i="6" s="1"/>
  <c r="L123" i="6" s="1"/>
  <c r="L59" i="5"/>
  <c r="M59" i="5"/>
  <c r="D101" i="6" s="1"/>
  <c r="N101" i="6" s="1"/>
  <c r="N59" i="5"/>
  <c r="E101" i="6" s="1"/>
  <c r="L101" i="6" s="1"/>
  <c r="M58" i="5"/>
  <c r="D99" i="6" s="1"/>
  <c r="N99" i="6" s="1"/>
  <c r="N58" i="5"/>
  <c r="E99" i="6" s="1"/>
  <c r="L99" i="6" s="1"/>
  <c r="L58" i="5"/>
  <c r="M14" i="5"/>
  <c r="D11" i="6" s="1"/>
  <c r="L11" i="6" s="1"/>
  <c r="L14" i="5"/>
  <c r="M12" i="5"/>
  <c r="D7" i="6" s="1"/>
  <c r="L7" i="6" s="1"/>
  <c r="L12" i="5"/>
  <c r="M10" i="5"/>
  <c r="D3" i="6" s="1"/>
  <c r="L3" i="6" s="1"/>
  <c r="L10" i="5"/>
  <c r="N706" i="5"/>
  <c r="O706" i="5"/>
  <c r="F1395" i="6" s="1"/>
  <c r="L1395" i="6" s="1"/>
  <c r="L706" i="5"/>
  <c r="C1395" i="6" s="1"/>
  <c r="P1395" i="6" s="1"/>
  <c r="M706" i="5"/>
  <c r="D1395" i="6" s="1"/>
  <c r="O1395" i="6" s="1"/>
  <c r="L700" i="5"/>
  <c r="C1383" i="6" s="1"/>
  <c r="P1383" i="6" s="1"/>
  <c r="O700" i="5"/>
  <c r="F1383" i="6" s="1"/>
  <c r="K1383" i="6" s="1"/>
  <c r="N700" i="5"/>
  <c r="E1383" i="6" s="1"/>
  <c r="O1383" i="6" s="1"/>
  <c r="M700" i="5"/>
  <c r="P700" i="5"/>
  <c r="G1383" i="6" s="1"/>
  <c r="L1383" i="6" s="1"/>
  <c r="N595" i="5"/>
  <c r="E1173" i="6" s="1"/>
  <c r="L1173" i="6" s="1"/>
  <c r="M595" i="5"/>
  <c r="D1173" i="6" s="1"/>
  <c r="P1173" i="6" s="1"/>
  <c r="L595" i="5"/>
  <c r="P566" i="5"/>
  <c r="G1115" i="6" s="1"/>
  <c r="L1115" i="6" s="1"/>
  <c r="L566" i="5"/>
  <c r="M566" i="5"/>
  <c r="D1115" i="6" s="1"/>
  <c r="N1115" i="6" s="1"/>
  <c r="O566" i="5"/>
  <c r="F1115" i="6" s="1"/>
  <c r="P1115" i="6" s="1"/>
  <c r="N566" i="5"/>
  <c r="E1115" i="6" s="1"/>
  <c r="K1115" i="6" s="1"/>
  <c r="R271" i="5"/>
  <c r="I525" i="6" s="1"/>
  <c r="C525" i="6"/>
  <c r="M525" i="6" s="1"/>
  <c r="T525" i="6" s="1"/>
  <c r="U271" i="5" s="1"/>
  <c r="E73" i="6"/>
  <c r="N73" i="6" s="1"/>
  <c r="R45" i="5"/>
  <c r="I73" i="6" s="1"/>
  <c r="E93" i="6"/>
  <c r="P93" i="6" s="1"/>
  <c r="R55" i="5"/>
  <c r="I93" i="6" s="1"/>
  <c r="D121" i="6"/>
  <c r="N121" i="6" s="1"/>
  <c r="R69" i="5"/>
  <c r="I121" i="6" s="1"/>
  <c r="D141" i="6"/>
  <c r="N141" i="6" s="1"/>
  <c r="R79" i="5"/>
  <c r="I141" i="6" s="1"/>
  <c r="C213" i="6"/>
  <c r="K213" i="6" s="1"/>
  <c r="R115" i="5"/>
  <c r="I213" i="6" s="1"/>
  <c r="C225" i="6"/>
  <c r="K225" i="6" s="1"/>
  <c r="R121" i="5"/>
  <c r="I225" i="6" s="1"/>
  <c r="E505" i="6"/>
  <c r="N505" i="6" s="1"/>
  <c r="R261" i="5"/>
  <c r="I505" i="6" s="1"/>
  <c r="T505" i="6" s="1"/>
  <c r="U261" i="5" s="1"/>
  <c r="D453" i="6"/>
  <c r="P453" i="6" s="1"/>
  <c r="R235" i="5"/>
  <c r="I453" i="6" s="1"/>
  <c r="D455" i="6"/>
  <c r="P455" i="6" s="1"/>
  <c r="R236" i="5"/>
  <c r="I455" i="6" s="1"/>
  <c r="D465" i="6"/>
  <c r="P465" i="6" s="1"/>
  <c r="R241" i="5"/>
  <c r="I465" i="6" s="1"/>
  <c r="D467" i="6"/>
  <c r="P467" i="6" s="1"/>
  <c r="R242" i="5"/>
  <c r="I467" i="6" s="1"/>
  <c r="D473" i="6"/>
  <c r="P473" i="6" s="1"/>
  <c r="R245" i="5"/>
  <c r="I473" i="6" s="1"/>
  <c r="C623" i="6"/>
  <c r="M623" i="6" s="1"/>
  <c r="R320" i="5"/>
  <c r="I623" i="6" s="1"/>
  <c r="R362" i="5"/>
  <c r="I707" i="6" s="1"/>
  <c r="C707" i="6"/>
  <c r="M707" i="6" s="1"/>
  <c r="T707" i="6" s="1"/>
  <c r="U362" i="5" s="1"/>
  <c r="C713" i="6"/>
  <c r="M713" i="6" s="1"/>
  <c r="R365" i="5"/>
  <c r="I713" i="6" s="1"/>
  <c r="D863" i="6"/>
  <c r="M863" i="6" s="1"/>
  <c r="R440" i="5"/>
  <c r="I863" i="6" s="1"/>
  <c r="R482" i="5"/>
  <c r="I947" i="6" s="1"/>
  <c r="C947" i="6"/>
  <c r="N947" i="6" s="1"/>
  <c r="U947" i="6" s="1"/>
  <c r="V482" i="5" s="1"/>
  <c r="F829" i="6"/>
  <c r="P829" i="6" s="1"/>
  <c r="R423" i="5"/>
  <c r="I829" i="6" s="1"/>
  <c r="R381" i="5"/>
  <c r="I745" i="6" s="1"/>
  <c r="C745" i="6"/>
  <c r="N745" i="6" s="1"/>
  <c r="U745" i="6" s="1"/>
  <c r="V381" i="5" s="1"/>
  <c r="C765" i="6"/>
  <c r="N765" i="6" s="1"/>
  <c r="R391" i="5"/>
  <c r="I765" i="6" s="1"/>
  <c r="R625" i="5"/>
  <c r="I1233" i="6" s="1"/>
  <c r="C1233" i="6"/>
  <c r="P1233" i="6" s="1"/>
  <c r="W1233" i="6" s="1"/>
  <c r="X625" i="5" s="1"/>
  <c r="C1237" i="6"/>
  <c r="P1237" i="6" s="1"/>
  <c r="R627" i="5"/>
  <c r="I1237" i="6" s="1"/>
  <c r="D881" i="6"/>
  <c r="O881" i="6" s="1"/>
  <c r="R449" i="5"/>
  <c r="I881" i="6" s="1"/>
  <c r="D879" i="6"/>
  <c r="O879" i="6" s="1"/>
  <c r="R448" i="5"/>
  <c r="I879" i="6" s="1"/>
  <c r="C1221" i="6"/>
  <c r="P1221" i="6" s="1"/>
  <c r="R619" i="5"/>
  <c r="I1221" i="6" s="1"/>
  <c r="C1199" i="6"/>
  <c r="O1199" i="6" s="1"/>
  <c r="R608" i="5"/>
  <c r="I1199" i="6" s="1"/>
  <c r="C1249" i="6"/>
  <c r="P1249" i="6" s="1"/>
  <c r="R633" i="5"/>
  <c r="I1249" i="6" s="1"/>
  <c r="R649" i="5"/>
  <c r="I1281" i="6" s="1"/>
  <c r="C1281" i="6"/>
  <c r="P1281" i="6" s="1"/>
  <c r="W1281" i="6" s="1"/>
  <c r="X649" i="5" s="1"/>
  <c r="R637" i="5"/>
  <c r="I1257" i="6" s="1"/>
  <c r="C1257" i="6"/>
  <c r="P1257" i="6" s="1"/>
  <c r="W1257" i="6" s="1"/>
  <c r="X637" i="5" s="1"/>
  <c r="R634" i="5"/>
  <c r="I1251" i="6" s="1"/>
  <c r="C1251" i="6"/>
  <c r="P1251" i="6" s="1"/>
  <c r="W1251" i="6" s="1"/>
  <c r="X634" i="5" s="1"/>
  <c r="R639" i="5"/>
  <c r="I1261" i="6" s="1"/>
  <c r="C1261" i="6"/>
  <c r="P1261" i="6" s="1"/>
  <c r="W1261" i="6" s="1"/>
  <c r="X639" i="5" s="1"/>
  <c r="D1429" i="6"/>
  <c r="O1429" i="6" s="1"/>
  <c r="R723" i="5"/>
  <c r="I1429" i="6" s="1"/>
  <c r="D1409" i="6"/>
  <c r="O1409" i="6" s="1"/>
  <c r="R713" i="5"/>
  <c r="I1409" i="6" s="1"/>
  <c r="C295" i="6"/>
  <c r="L295" i="6" s="1"/>
  <c r="R156" i="5"/>
  <c r="I295" i="6" s="1"/>
  <c r="C335" i="6"/>
  <c r="L335" i="6" s="1"/>
  <c r="R176" i="5"/>
  <c r="I335" i="6" s="1"/>
  <c r="C325" i="6"/>
  <c r="L325" i="6" s="1"/>
  <c r="R171" i="5"/>
  <c r="I325" i="6" s="1"/>
  <c r="C315" i="6"/>
  <c r="L315" i="6" s="1"/>
  <c r="R166" i="5"/>
  <c r="I315" i="6" s="1"/>
  <c r="R162" i="5"/>
  <c r="I307" i="6" s="1"/>
  <c r="C307" i="6"/>
  <c r="L307" i="6" s="1"/>
  <c r="S307" i="6" s="1"/>
  <c r="T162" i="5" s="1"/>
  <c r="C301" i="6"/>
  <c r="L301" i="6" s="1"/>
  <c r="R159" i="5"/>
  <c r="I301" i="6" s="1"/>
  <c r="C293" i="6"/>
  <c r="L293" i="6" s="1"/>
  <c r="R155" i="5"/>
  <c r="I293" i="6" s="1"/>
  <c r="C385" i="6"/>
  <c r="L385" i="6" s="1"/>
  <c r="R201" i="5"/>
  <c r="I385" i="6" s="1"/>
  <c r="R195" i="5"/>
  <c r="I373" i="6" s="1"/>
  <c r="C373" i="6"/>
  <c r="L373" i="6" s="1"/>
  <c r="S373" i="6" s="1"/>
  <c r="T195" i="5" s="1"/>
  <c r="R185" i="5"/>
  <c r="I353" i="6" s="1"/>
  <c r="C353" i="6"/>
  <c r="L353" i="6" s="1"/>
  <c r="S353" i="6" s="1"/>
  <c r="T185" i="5" s="1"/>
  <c r="C347" i="6"/>
  <c r="L347" i="6" s="1"/>
  <c r="R182" i="5"/>
  <c r="I347" i="6" s="1"/>
  <c r="C343" i="6"/>
  <c r="L343" i="6" s="1"/>
  <c r="R180" i="5"/>
  <c r="I343" i="6" s="1"/>
  <c r="R249" i="5"/>
  <c r="I481" i="6" s="1"/>
  <c r="C481" i="6"/>
  <c r="L481" i="6" s="1"/>
  <c r="S481" i="6" s="1"/>
  <c r="T249" i="5" s="1"/>
  <c r="C475" i="6"/>
  <c r="L475" i="6" s="1"/>
  <c r="R246" i="5"/>
  <c r="I475" i="6" s="1"/>
  <c r="C461" i="6"/>
  <c r="L461" i="6" s="1"/>
  <c r="R239" i="5"/>
  <c r="I461" i="6" s="1"/>
  <c r="R237" i="5"/>
  <c r="I457" i="6" s="1"/>
  <c r="C457" i="6"/>
  <c r="L457" i="6" s="1"/>
  <c r="S457" i="6" s="1"/>
  <c r="T237" i="5" s="1"/>
  <c r="C451" i="6"/>
  <c r="L451" i="6" s="1"/>
  <c r="R234" i="5"/>
  <c r="I451" i="6" s="1"/>
  <c r="R233" i="5"/>
  <c r="I449" i="6" s="1"/>
  <c r="C449" i="6"/>
  <c r="L449" i="6" s="1"/>
  <c r="S449" i="6" s="1"/>
  <c r="T233" i="5" s="1"/>
  <c r="C421" i="6"/>
  <c r="L421" i="6" s="1"/>
  <c r="R219" i="5"/>
  <c r="I421" i="6" s="1"/>
  <c r="C415" i="6"/>
  <c r="L415" i="6" s="1"/>
  <c r="R216" i="5"/>
  <c r="I415" i="6" s="1"/>
  <c r="C399" i="6"/>
  <c r="L399" i="6" s="1"/>
  <c r="R208" i="5"/>
  <c r="I399" i="6" s="1"/>
  <c r="C331" i="6"/>
  <c r="L331" i="6" s="1"/>
  <c r="R174" i="5"/>
  <c r="I331" i="6" s="1"/>
  <c r="C319" i="6"/>
  <c r="L319" i="6" s="1"/>
  <c r="R168" i="5"/>
  <c r="I319" i="6" s="1"/>
  <c r="C299" i="6"/>
  <c r="L299" i="6" s="1"/>
  <c r="R158" i="5"/>
  <c r="I299" i="6" s="1"/>
  <c r="C379" i="6"/>
  <c r="L379" i="6" s="1"/>
  <c r="R198" i="5"/>
  <c r="I379" i="6" s="1"/>
  <c r="R183" i="5"/>
  <c r="I349" i="6" s="1"/>
  <c r="C349" i="6"/>
  <c r="L349" i="6" s="1"/>
  <c r="S349" i="6" s="1"/>
  <c r="T183" i="5" s="1"/>
  <c r="R178" i="5"/>
  <c r="I339" i="6" s="1"/>
  <c r="C339" i="6"/>
  <c r="L339" i="6" s="1"/>
  <c r="S339" i="6" s="1"/>
  <c r="T178" i="5" s="1"/>
  <c r="R247" i="5"/>
  <c r="I477" i="6" s="1"/>
  <c r="C477" i="6"/>
  <c r="L477" i="6" s="1"/>
  <c r="S477" i="6" s="1"/>
  <c r="T247" i="5" s="1"/>
  <c r="C427" i="6"/>
  <c r="L427" i="6" s="1"/>
  <c r="R222" i="5"/>
  <c r="I427" i="6" s="1"/>
  <c r="C291" i="6"/>
  <c r="L291" i="6" s="1"/>
  <c r="R154" i="5"/>
  <c r="I291" i="6" s="1"/>
  <c r="C337" i="6"/>
  <c r="L337" i="6" s="1"/>
  <c r="R177" i="5"/>
  <c r="I337" i="6" s="1"/>
  <c r="C333" i="6"/>
  <c r="L333" i="6" s="1"/>
  <c r="R175" i="5"/>
  <c r="I333" i="6" s="1"/>
  <c r="C317" i="6"/>
  <c r="L317" i="6" s="1"/>
  <c r="R167" i="5"/>
  <c r="I317" i="6" s="1"/>
  <c r="R165" i="5"/>
  <c r="I313" i="6" s="1"/>
  <c r="C313" i="6"/>
  <c r="L313" i="6" s="1"/>
  <c r="R157" i="5"/>
  <c r="I297" i="6" s="1"/>
  <c r="C297" i="6"/>
  <c r="L297" i="6" s="1"/>
  <c r="S297" i="6" s="1"/>
  <c r="T157" i="5" s="1"/>
  <c r="R192" i="5"/>
  <c r="I367" i="6" s="1"/>
  <c r="C367" i="6"/>
  <c r="L367" i="6" s="1"/>
  <c r="R184" i="5"/>
  <c r="I351" i="6" s="1"/>
  <c r="C351" i="6"/>
  <c r="L351" i="6" s="1"/>
  <c r="C345" i="6"/>
  <c r="L345" i="6" s="1"/>
  <c r="R181" i="5"/>
  <c r="I345" i="6" s="1"/>
  <c r="R179" i="5"/>
  <c r="I341" i="6" s="1"/>
  <c r="C341" i="6"/>
  <c r="L341" i="6" s="1"/>
  <c r="S341" i="6" s="1"/>
  <c r="T179" i="5" s="1"/>
  <c r="C479" i="6"/>
  <c r="L479" i="6" s="1"/>
  <c r="R248" i="5"/>
  <c r="I479" i="6" s="1"/>
  <c r="C469" i="6"/>
  <c r="L469" i="6" s="1"/>
  <c r="R243" i="5"/>
  <c r="I469" i="6" s="1"/>
  <c r="C463" i="6"/>
  <c r="L463" i="6" s="1"/>
  <c r="R240" i="5"/>
  <c r="I463" i="6" s="1"/>
  <c r="C459" i="6"/>
  <c r="L459" i="6" s="1"/>
  <c r="R238" i="5"/>
  <c r="I459" i="6" s="1"/>
  <c r="C447" i="6"/>
  <c r="L447" i="6" s="1"/>
  <c r="R232" i="5"/>
  <c r="I447" i="6" s="1"/>
  <c r="C913" i="6"/>
  <c r="N913" i="6" s="1"/>
  <c r="R465" i="5"/>
  <c r="I913" i="6" s="1"/>
  <c r="R456" i="5"/>
  <c r="I895" i="6" s="1"/>
  <c r="C895" i="6"/>
  <c r="N895" i="6" s="1"/>
  <c r="C433" i="6"/>
  <c r="L433" i="6" s="1"/>
  <c r="R225" i="5"/>
  <c r="I433" i="6" s="1"/>
  <c r="R209" i="5"/>
  <c r="I401" i="6" s="1"/>
  <c r="C401" i="6"/>
  <c r="L401" i="6" s="1"/>
  <c r="S401" i="6" s="1"/>
  <c r="T209" i="5" s="1"/>
  <c r="C241" i="6"/>
  <c r="K241" i="6" s="1"/>
  <c r="R129" i="5"/>
  <c r="I241" i="6" s="1"/>
  <c r="D769" i="6"/>
  <c r="K769" i="6" s="1"/>
  <c r="R393" i="5"/>
  <c r="I769" i="6" s="1"/>
  <c r="D757" i="6"/>
  <c r="K757" i="6" s="1"/>
  <c r="R387" i="5"/>
  <c r="I757" i="6" s="1"/>
  <c r="C877" i="6"/>
  <c r="N877" i="6" s="1"/>
  <c r="R447" i="5"/>
  <c r="I877" i="6" s="1"/>
  <c r="R485" i="5"/>
  <c r="I953" i="6" s="1"/>
  <c r="C953" i="6"/>
  <c r="N953" i="6" s="1"/>
  <c r="U953" i="6" s="1"/>
  <c r="V485" i="5" s="1"/>
  <c r="R711" i="5"/>
  <c r="I1405" i="6" s="1"/>
  <c r="C1405" i="6"/>
  <c r="P1405" i="6" s="1"/>
  <c r="E1009" i="6"/>
  <c r="P1009" i="6" s="1"/>
  <c r="R513" i="5"/>
  <c r="I1009" i="6" s="1"/>
  <c r="R75" i="5"/>
  <c r="I133" i="6" s="1"/>
  <c r="C133" i="6"/>
  <c r="K133" i="6" s="1"/>
  <c r="R133" i="6" s="1"/>
  <c r="D145" i="6"/>
  <c r="N145" i="6" s="1"/>
  <c r="R81" i="5"/>
  <c r="I145" i="6" s="1"/>
  <c r="C181" i="6"/>
  <c r="K181" i="6" s="1"/>
  <c r="R99" i="5"/>
  <c r="I181" i="6" s="1"/>
  <c r="C193" i="6"/>
  <c r="K193" i="6" s="1"/>
  <c r="R105" i="5"/>
  <c r="I193" i="6" s="1"/>
  <c r="C229" i="6"/>
  <c r="K229" i="6" s="1"/>
  <c r="R123" i="5"/>
  <c r="I229" i="6" s="1"/>
  <c r="D997" i="6"/>
  <c r="K997" i="6" s="1"/>
  <c r="R507" i="5"/>
  <c r="I997" i="6" s="1"/>
  <c r="C1181" i="6"/>
  <c r="O1181" i="6" s="1"/>
  <c r="R599" i="5"/>
  <c r="I1181" i="6" s="1"/>
  <c r="R704" i="5"/>
  <c r="I1391" i="6" s="1"/>
  <c r="C1391" i="6"/>
  <c r="P1391" i="6" s="1"/>
  <c r="W1391" i="6" s="1"/>
  <c r="X704" i="5" s="1"/>
  <c r="R661" i="5"/>
  <c r="I1305" i="6" s="1"/>
  <c r="C1305" i="6"/>
  <c r="P1305" i="6" s="1"/>
  <c r="W1305" i="6" s="1"/>
  <c r="X661" i="5" s="1"/>
  <c r="R663" i="5"/>
  <c r="I1309" i="6" s="1"/>
  <c r="C1309" i="6"/>
  <c r="P1309" i="6" s="1"/>
  <c r="W1309" i="6" s="1"/>
  <c r="X663" i="5" s="1"/>
  <c r="C1373" i="6"/>
  <c r="P1373" i="6" s="1"/>
  <c r="R695" i="5"/>
  <c r="I1373" i="6" s="1"/>
  <c r="C1357" i="6"/>
  <c r="P1357" i="6" s="1"/>
  <c r="R687" i="5"/>
  <c r="I1357" i="6" s="1"/>
  <c r="C959" i="6"/>
  <c r="N959" i="6" s="1"/>
  <c r="R488" i="5"/>
  <c r="I959" i="6" s="1"/>
  <c r="R584" i="5"/>
  <c r="I1151" i="6" s="1"/>
  <c r="D1151" i="6"/>
  <c r="N1151" i="6" s="1"/>
  <c r="U1151" i="6" s="1"/>
  <c r="V584" i="5" s="1"/>
  <c r="R719" i="5"/>
  <c r="I1421" i="6" s="1"/>
  <c r="C1421" i="6"/>
  <c r="P1421" i="6" s="1"/>
  <c r="W1421" i="6" s="1"/>
  <c r="X719" i="5" s="1"/>
  <c r="C1439" i="6"/>
  <c r="P1439" i="6" s="1"/>
  <c r="R728" i="5"/>
  <c r="I1439" i="6" s="1"/>
  <c r="R161" i="5"/>
  <c r="I305" i="6" s="1"/>
  <c r="C305" i="6"/>
  <c r="L305" i="6" s="1"/>
  <c r="S305" i="6" s="1"/>
  <c r="T161" i="5" s="1"/>
  <c r="C303" i="6"/>
  <c r="L303" i="6" s="1"/>
  <c r="R160" i="5"/>
  <c r="I303" i="6" s="1"/>
  <c r="C413" i="6"/>
  <c r="L413" i="6" s="1"/>
  <c r="R215" i="5"/>
  <c r="I413" i="6" s="1"/>
  <c r="R214" i="5"/>
  <c r="I411" i="6" s="1"/>
  <c r="C411" i="6"/>
  <c r="L411" i="6" s="1"/>
  <c r="R213" i="5"/>
  <c r="I409" i="6" s="1"/>
  <c r="C409" i="6"/>
  <c r="L409" i="6" s="1"/>
  <c r="D1379" i="6"/>
  <c r="N1379" i="6" s="1"/>
  <c r="R698" i="5"/>
  <c r="I1379" i="6" s="1"/>
  <c r="D1385" i="6"/>
  <c r="N1385" i="6" s="1"/>
  <c r="R701" i="5"/>
  <c r="I1385" i="6" s="1"/>
  <c r="D1331" i="6"/>
  <c r="M1331" i="6" s="1"/>
  <c r="R674" i="5"/>
  <c r="I1331" i="6" s="1"/>
  <c r="D1337" i="6"/>
  <c r="M1337" i="6" s="1"/>
  <c r="R677" i="5"/>
  <c r="I1337" i="6" s="1"/>
  <c r="R560" i="5"/>
  <c r="I1103" i="6" s="1"/>
  <c r="C1103" i="6"/>
  <c r="O1103" i="6" s="1"/>
  <c r="V1103" i="6" s="1"/>
  <c r="W560" i="5" s="1"/>
  <c r="R605" i="5"/>
  <c r="I1193" i="6" s="1"/>
  <c r="C1193" i="6"/>
  <c r="O1193" i="6" s="1"/>
  <c r="V1193" i="6" s="1"/>
  <c r="W605" i="5" s="1"/>
  <c r="D1325" i="6"/>
  <c r="M1325" i="6" s="1"/>
  <c r="R671" i="5"/>
  <c r="I1325" i="6" s="1"/>
  <c r="W1325" i="6" s="1"/>
  <c r="X671" i="5" s="1"/>
  <c r="C1117" i="6"/>
  <c r="O1117" i="6" s="1"/>
  <c r="R567" i="5"/>
  <c r="I1117" i="6" s="1"/>
  <c r="C1187" i="6"/>
  <c r="O1187" i="6" s="1"/>
  <c r="R602" i="5"/>
  <c r="I1187" i="6" s="1"/>
  <c r="C1353" i="6"/>
  <c r="P1353" i="6" s="1"/>
  <c r="R685" i="5"/>
  <c r="I1353" i="6" s="1"/>
  <c r="R725" i="5"/>
  <c r="I1433" i="6" s="1"/>
  <c r="C1433" i="6"/>
  <c r="P1433" i="6" s="1"/>
  <c r="W1433" i="6" s="1"/>
  <c r="X725" i="5" s="1"/>
  <c r="R303" i="5"/>
  <c r="I589" i="6" s="1"/>
  <c r="C589" i="6"/>
  <c r="M589" i="6" s="1"/>
  <c r="T589" i="6" s="1"/>
  <c r="U303" i="5" s="1"/>
  <c r="C671" i="6"/>
  <c r="M671" i="6" s="1"/>
  <c r="R344" i="5"/>
  <c r="I671" i="6" s="1"/>
  <c r="C701" i="6"/>
  <c r="M701" i="6" s="1"/>
  <c r="R359" i="5"/>
  <c r="I701" i="6" s="1"/>
  <c r="R368" i="5"/>
  <c r="I719" i="6" s="1"/>
  <c r="C719" i="6"/>
  <c r="M719" i="6" s="1"/>
  <c r="T719" i="6" s="1"/>
  <c r="U368" i="5" s="1"/>
  <c r="C1343" i="6"/>
  <c r="P1343" i="6" s="1"/>
  <c r="R680" i="5"/>
  <c r="I1343" i="6" s="1"/>
  <c r="R722" i="5"/>
  <c r="I1427" i="6" s="1"/>
  <c r="C1427" i="6"/>
  <c r="P1427" i="6" s="1"/>
  <c r="R464" i="5"/>
  <c r="I911" i="6" s="1"/>
  <c r="C911" i="6"/>
  <c r="N911" i="6" s="1"/>
  <c r="U911" i="6" s="1"/>
  <c r="V464" i="5" s="1"/>
  <c r="R479" i="5"/>
  <c r="I941" i="6" s="1"/>
  <c r="C941" i="6"/>
  <c r="N941" i="6" s="1"/>
  <c r="U941" i="6" s="1"/>
  <c r="V479" i="5" s="1"/>
  <c r="C961" i="6"/>
  <c r="N961" i="6" s="1"/>
  <c r="R489" i="5"/>
  <c r="I961" i="6" s="1"/>
  <c r="C949" i="6"/>
  <c r="N949" i="6" s="1"/>
  <c r="R483" i="5"/>
  <c r="I949" i="6" s="1"/>
  <c r="R486" i="5"/>
  <c r="I955" i="6" s="1"/>
  <c r="C955" i="6"/>
  <c r="N955" i="6" s="1"/>
  <c r="C1375" i="6"/>
  <c r="P1375" i="6" s="1"/>
  <c r="R696" i="5"/>
  <c r="I1375" i="6" s="1"/>
  <c r="R675" i="5"/>
  <c r="I1333" i="6" s="1"/>
  <c r="C1333" i="6"/>
  <c r="P1333" i="6" s="1"/>
  <c r="W1333" i="6" s="1"/>
  <c r="X675" i="5" s="1"/>
  <c r="C1255" i="6"/>
  <c r="P1255" i="6" s="1"/>
  <c r="R636" i="5"/>
  <c r="I1255" i="6" s="1"/>
  <c r="C1259" i="6"/>
  <c r="P1259" i="6" s="1"/>
  <c r="R638" i="5"/>
  <c r="I1259" i="6" s="1"/>
  <c r="C1253" i="6"/>
  <c r="P1253" i="6" s="1"/>
  <c r="R635" i="5"/>
  <c r="I1253" i="6" s="1"/>
  <c r="U829" i="6"/>
  <c r="V423" i="5" s="1"/>
  <c r="T517" i="6"/>
  <c r="U267" i="5" s="1"/>
  <c r="R210" i="5"/>
  <c r="I403" i="6" s="1"/>
  <c r="C403" i="6"/>
  <c r="L403" i="6" s="1"/>
  <c r="S403" i="6" s="1"/>
  <c r="T210" i="5" s="1"/>
  <c r="D355" i="6"/>
  <c r="N355" i="6" s="1"/>
  <c r="R186" i="5"/>
  <c r="I355" i="6" s="1"/>
  <c r="D361" i="6"/>
  <c r="N361" i="6" s="1"/>
  <c r="R189" i="5"/>
  <c r="I361" i="6" s="1"/>
  <c r="D429" i="6"/>
  <c r="O429" i="6" s="1"/>
  <c r="R223" i="5"/>
  <c r="I429" i="6" s="1"/>
  <c r="D431" i="6"/>
  <c r="O431" i="6" s="1"/>
  <c r="R224" i="5"/>
  <c r="I431" i="6" s="1"/>
  <c r="R648" i="5"/>
  <c r="I1279" i="6" s="1"/>
  <c r="C1279" i="6"/>
  <c r="P1279" i="6" s="1"/>
  <c r="W1279" i="6" s="1"/>
  <c r="X648" i="5" s="1"/>
  <c r="D1441" i="6"/>
  <c r="O1441" i="6" s="1"/>
  <c r="R729" i="5"/>
  <c r="I1441" i="6" s="1"/>
  <c r="D1435" i="6"/>
  <c r="O1435" i="6" s="1"/>
  <c r="R726" i="5"/>
  <c r="I1435" i="6" s="1"/>
  <c r="E721" i="6"/>
  <c r="O721" i="6" s="1"/>
  <c r="R369" i="5"/>
  <c r="I721" i="6" s="1"/>
  <c r="D715" i="6"/>
  <c r="P715" i="6" s="1"/>
  <c r="R366" i="5"/>
  <c r="I715" i="6" s="1"/>
  <c r="F709" i="6"/>
  <c r="O709" i="6" s="1"/>
  <c r="R363" i="5"/>
  <c r="I709" i="6" s="1"/>
  <c r="D673" i="6"/>
  <c r="O673" i="6" s="1"/>
  <c r="R345" i="5"/>
  <c r="I673" i="6" s="1"/>
  <c r="D655" i="6"/>
  <c r="O655" i="6" s="1"/>
  <c r="R336" i="5"/>
  <c r="I655" i="6" s="1"/>
  <c r="D641" i="6"/>
  <c r="O641" i="6" s="1"/>
  <c r="R329" i="5"/>
  <c r="I641" i="6" s="1"/>
  <c r="D639" i="6"/>
  <c r="O639" i="6" s="1"/>
  <c r="R328" i="5"/>
  <c r="I639" i="6" s="1"/>
  <c r="D1359" i="6"/>
  <c r="N1359" i="6" s="1"/>
  <c r="R688" i="5"/>
  <c r="I1359" i="6" s="1"/>
  <c r="D1387" i="6"/>
  <c r="N1387" i="6" s="1"/>
  <c r="R702" i="5"/>
  <c r="I1387" i="6" s="1"/>
  <c r="E1393" i="6"/>
  <c r="O1393" i="6" s="1"/>
  <c r="R705" i="5"/>
  <c r="I1393" i="6" s="1"/>
  <c r="S255" i="6"/>
  <c r="T136" i="5" s="1"/>
  <c r="U1069" i="6"/>
  <c r="V543" i="5" s="1"/>
  <c r="S1069" i="6"/>
  <c r="T543" i="5" s="1"/>
  <c r="V1069" i="6"/>
  <c r="E1345" i="6"/>
  <c r="O1345" i="6" s="1"/>
  <c r="R681" i="5"/>
  <c r="I1345" i="6" s="1"/>
  <c r="D1311" i="6"/>
  <c r="M1311" i="6" s="1"/>
  <c r="R664" i="5"/>
  <c r="I1311" i="6" s="1"/>
  <c r="E1339" i="6"/>
  <c r="O1339" i="6" s="1"/>
  <c r="R678" i="5"/>
  <c r="I1339" i="6" s="1"/>
  <c r="S383" i="6"/>
  <c r="T200" i="5" s="1"/>
  <c r="S363" i="6"/>
  <c r="T190" i="5" s="1"/>
  <c r="D993" i="6"/>
  <c r="K993" i="6" s="1"/>
  <c r="R505" i="5"/>
  <c r="I993" i="6" s="1"/>
  <c r="D1437" i="6"/>
  <c r="O1437" i="6" s="1"/>
  <c r="R727" i="5"/>
  <c r="I1437" i="6" s="1"/>
  <c r="D1431" i="6"/>
  <c r="O1431" i="6" s="1"/>
  <c r="R724" i="5"/>
  <c r="I1431" i="6" s="1"/>
  <c r="D1413" i="6"/>
  <c r="O1413" i="6" s="1"/>
  <c r="R715" i="5"/>
  <c r="I1413" i="6" s="1"/>
  <c r="D1411" i="6"/>
  <c r="O1411" i="6" s="1"/>
  <c r="R714" i="5"/>
  <c r="I1411" i="6" s="1"/>
  <c r="E1403" i="6"/>
  <c r="K1403" i="6" s="1"/>
  <c r="R710" i="5"/>
  <c r="I1403" i="6" s="1"/>
  <c r="D1389" i="6"/>
  <c r="N1389" i="6" s="1"/>
  <c r="R703" i="5"/>
  <c r="I1389" i="6" s="1"/>
  <c r="D1355" i="6"/>
  <c r="N1355" i="6" s="1"/>
  <c r="R686" i="5"/>
  <c r="I1355" i="6" s="1"/>
  <c r="D987" i="6"/>
  <c r="K987" i="6" s="1"/>
  <c r="R502" i="5"/>
  <c r="I987" i="6" s="1"/>
  <c r="D883" i="6"/>
  <c r="O883" i="6" s="1"/>
  <c r="R450" i="5"/>
  <c r="I883" i="6" s="1"/>
  <c r="D867" i="6"/>
  <c r="O867" i="6" s="1"/>
  <c r="R442" i="5"/>
  <c r="I867" i="6" s="1"/>
  <c r="D767" i="6"/>
  <c r="K767" i="6" s="1"/>
  <c r="R392" i="5"/>
  <c r="I767" i="6" s="1"/>
  <c r="E235" i="6"/>
  <c r="O235" i="6" s="1"/>
  <c r="R126" i="5"/>
  <c r="I235" i="6" s="1"/>
  <c r="E233" i="6"/>
  <c r="O233" i="6" s="1"/>
  <c r="R125" i="5"/>
  <c r="I233" i="6" s="1"/>
  <c r="F215" i="6"/>
  <c r="O215" i="6" s="1"/>
  <c r="R116" i="5"/>
  <c r="I215" i="6" s="1"/>
  <c r="D187" i="6"/>
  <c r="O187" i="6" s="1"/>
  <c r="R102" i="5"/>
  <c r="I187" i="6" s="1"/>
  <c r="E1307" i="6"/>
  <c r="K1307" i="6" s="1"/>
  <c r="R662" i="5"/>
  <c r="I1307" i="6" s="1"/>
  <c r="D1299" i="6"/>
  <c r="M1299" i="6" s="1"/>
  <c r="R658" i="5"/>
  <c r="I1299" i="6" s="1"/>
  <c r="F95" i="6"/>
  <c r="O95" i="6" s="1"/>
  <c r="R56" i="5"/>
  <c r="I95" i="6" s="1"/>
  <c r="E75" i="6"/>
  <c r="O75" i="6" s="1"/>
  <c r="R46" i="5"/>
  <c r="I75" i="6" s="1"/>
  <c r="D1423" i="6"/>
  <c r="O1423" i="6" s="1"/>
  <c r="R720" i="5"/>
  <c r="I1423" i="6" s="1"/>
  <c r="D1407" i="6"/>
  <c r="O1407" i="6" s="1"/>
  <c r="R712" i="5"/>
  <c r="I1407" i="6" s="1"/>
  <c r="T75" i="6"/>
  <c r="U46" i="5" s="1"/>
  <c r="U75" i="6"/>
  <c r="V46" i="5" s="1"/>
  <c r="W75" i="6"/>
  <c r="X46" i="5" s="1"/>
  <c r="T85" i="6"/>
  <c r="U51" i="5" s="1"/>
  <c r="U85" i="6"/>
  <c r="V51" i="5" s="1"/>
  <c r="V85" i="6"/>
  <c r="W51" i="5" s="1"/>
  <c r="W85" i="6"/>
  <c r="X51" i="5" s="1"/>
  <c r="S85" i="6"/>
  <c r="T51" i="5" s="1"/>
  <c r="X85" i="6"/>
  <c r="S51" i="5"/>
  <c r="W95" i="6"/>
  <c r="X56" i="5" s="1"/>
  <c r="T95" i="6"/>
  <c r="U56" i="5" s="1"/>
  <c r="U95" i="6"/>
  <c r="V56" i="5" s="1"/>
  <c r="R554" i="5"/>
  <c r="I1091" i="6" s="1"/>
  <c r="C1091" i="6"/>
  <c r="O1091" i="6" s="1"/>
  <c r="V1091" i="6" s="1"/>
  <c r="W554" i="5" s="1"/>
  <c r="C1163" i="6"/>
  <c r="O1163" i="6" s="1"/>
  <c r="R590" i="5"/>
  <c r="I1163" i="6" s="1"/>
  <c r="R589" i="5"/>
  <c r="I1161" i="6" s="1"/>
  <c r="C1161" i="6"/>
  <c r="O1161" i="6" s="1"/>
  <c r="V1161" i="6" s="1"/>
  <c r="W589" i="5" s="1"/>
  <c r="R588" i="5"/>
  <c r="I1159" i="6" s="1"/>
  <c r="C1159" i="6"/>
  <c r="O1159" i="6" s="1"/>
  <c r="C1157" i="6"/>
  <c r="O1157" i="6" s="1"/>
  <c r="R586" i="5"/>
  <c r="I1155" i="6" s="1"/>
  <c r="C1155" i="6"/>
  <c r="O1155" i="6" s="1"/>
  <c r="R581" i="5"/>
  <c r="I1145" i="6" s="1"/>
  <c r="C1145" i="6"/>
  <c r="O1145" i="6" s="1"/>
  <c r="R580" i="5"/>
  <c r="I1143" i="6" s="1"/>
  <c r="C1143" i="6"/>
  <c r="O1143" i="6" s="1"/>
  <c r="R471" i="5"/>
  <c r="I925" i="6" s="1"/>
  <c r="C925" i="6"/>
  <c r="N925" i="6" s="1"/>
  <c r="U925" i="6" s="1"/>
  <c r="V471" i="5" s="1"/>
  <c r="R469" i="5"/>
  <c r="I921" i="6" s="1"/>
  <c r="C921" i="6"/>
  <c r="N921" i="6" s="1"/>
  <c r="U921" i="6" s="1"/>
  <c r="V469" i="5" s="1"/>
  <c r="R466" i="5"/>
  <c r="I915" i="6" s="1"/>
  <c r="C915" i="6"/>
  <c r="N915" i="6" s="1"/>
  <c r="U915" i="6" s="1"/>
  <c r="V466" i="5" s="1"/>
  <c r="C857" i="6"/>
  <c r="N857" i="6" s="1"/>
  <c r="R437" i="5"/>
  <c r="I857" i="6" s="1"/>
  <c r="R351" i="5"/>
  <c r="I685" i="6" s="1"/>
  <c r="C685" i="6"/>
  <c r="M685" i="6" s="1"/>
  <c r="R349" i="5"/>
  <c r="I681" i="6" s="1"/>
  <c r="C681" i="6"/>
  <c r="M681" i="6" s="1"/>
  <c r="T681" i="6" s="1"/>
  <c r="U349" i="5" s="1"/>
  <c r="R317" i="5"/>
  <c r="I617" i="6" s="1"/>
  <c r="C617" i="6"/>
  <c r="M617" i="6" s="1"/>
  <c r="T617" i="6" s="1"/>
  <c r="U317" i="5" s="1"/>
  <c r="R591" i="5"/>
  <c r="I1165" i="6" s="1"/>
  <c r="C1165" i="6"/>
  <c r="O1165" i="6" s="1"/>
  <c r="R557" i="5"/>
  <c r="I1097" i="6" s="1"/>
  <c r="C1097" i="6"/>
  <c r="O1097" i="6" s="1"/>
  <c r="R578" i="5"/>
  <c r="I1139" i="6" s="1"/>
  <c r="C1139" i="6"/>
  <c r="O1139" i="6" s="1"/>
  <c r="V1139" i="6" s="1"/>
  <c r="W578" i="5" s="1"/>
  <c r="R499" i="5"/>
  <c r="I981" i="6" s="1"/>
  <c r="C981" i="6"/>
  <c r="O981" i="6" s="1"/>
  <c r="V981" i="6" s="1"/>
  <c r="W499" i="5" s="1"/>
  <c r="R583" i="5"/>
  <c r="I1149" i="6" s="1"/>
  <c r="C1149" i="6"/>
  <c r="O1149" i="6" s="1"/>
  <c r="V1149" i="6" s="1"/>
  <c r="W583" i="5" s="1"/>
  <c r="R582" i="5"/>
  <c r="I1147" i="6" s="1"/>
  <c r="C1147" i="6"/>
  <c r="O1147" i="6" s="1"/>
  <c r="V1147" i="6" s="1"/>
  <c r="W582" i="5" s="1"/>
  <c r="R575" i="5"/>
  <c r="I1133" i="6" s="1"/>
  <c r="C1133" i="6"/>
  <c r="O1133" i="6" s="1"/>
  <c r="R475" i="5"/>
  <c r="I933" i="6" s="1"/>
  <c r="C933" i="6"/>
  <c r="N933" i="6" s="1"/>
  <c r="U933" i="6" s="1"/>
  <c r="V475" i="5" s="1"/>
  <c r="R474" i="5"/>
  <c r="I931" i="6" s="1"/>
  <c r="C931" i="6"/>
  <c r="N931" i="6" s="1"/>
  <c r="U931" i="6" s="1"/>
  <c r="V474" i="5" s="1"/>
  <c r="R473" i="5"/>
  <c r="I929" i="6" s="1"/>
  <c r="C929" i="6"/>
  <c r="N929" i="6" s="1"/>
  <c r="U929" i="6" s="1"/>
  <c r="V473" i="5" s="1"/>
  <c r="R472" i="5"/>
  <c r="I927" i="6" s="1"/>
  <c r="C927" i="6"/>
  <c r="N927" i="6" s="1"/>
  <c r="C1177" i="6"/>
  <c r="O1177" i="6" s="1"/>
  <c r="R597" i="5"/>
  <c r="I1177" i="6" s="1"/>
  <c r="R438" i="5"/>
  <c r="I859" i="6" s="1"/>
  <c r="C859" i="6"/>
  <c r="N859" i="6" s="1"/>
  <c r="U859" i="6" s="1"/>
  <c r="V438" i="5" s="1"/>
  <c r="C1171" i="6"/>
  <c r="O1171" i="6" s="1"/>
  <c r="R594" i="5"/>
  <c r="I1171" i="6" s="1"/>
  <c r="R353" i="5"/>
  <c r="I689" i="6" s="1"/>
  <c r="C689" i="6"/>
  <c r="M689" i="6" s="1"/>
  <c r="R352" i="5"/>
  <c r="I687" i="6" s="1"/>
  <c r="C687" i="6"/>
  <c r="M687" i="6" s="1"/>
  <c r="R318" i="5"/>
  <c r="I619" i="6" s="1"/>
  <c r="C619" i="6"/>
  <c r="M619" i="6" s="1"/>
  <c r="R595" i="5"/>
  <c r="I1173" i="6" s="1"/>
  <c r="C1173" i="6"/>
  <c r="O1173" i="6" s="1"/>
  <c r="V1173" i="6" s="1"/>
  <c r="W595" i="5" s="1"/>
  <c r="R566" i="5"/>
  <c r="I1115" i="6" s="1"/>
  <c r="C1115" i="6"/>
  <c r="O1115" i="6" s="1"/>
  <c r="V1115" i="6" s="1"/>
  <c r="W566" i="5" s="1"/>
  <c r="R593" i="5"/>
  <c r="I1169" i="6" s="1"/>
  <c r="C1169" i="6"/>
  <c r="O1169" i="6" s="1"/>
  <c r="V1169" i="6" s="1"/>
  <c r="W593" i="5" s="1"/>
  <c r="C1093" i="6"/>
  <c r="O1093" i="6" s="1"/>
  <c r="R555" i="5"/>
  <c r="I1093" i="6" s="1"/>
  <c r="R551" i="5"/>
  <c r="I1085" i="6" s="1"/>
  <c r="C1085" i="6"/>
  <c r="O1085" i="6" s="1"/>
  <c r="C1167" i="6"/>
  <c r="O1167" i="6" s="1"/>
  <c r="R592" i="5"/>
  <c r="I1167" i="6" s="1"/>
  <c r="R109" i="5"/>
  <c r="I201" i="6" s="1"/>
  <c r="C201" i="6"/>
  <c r="K201" i="6" s="1"/>
  <c r="R201" i="6" s="1"/>
  <c r="R108" i="5"/>
  <c r="I199" i="6" s="1"/>
  <c r="C199" i="6"/>
  <c r="K199" i="6" s="1"/>
  <c r="R91" i="5"/>
  <c r="I165" i="6" s="1"/>
  <c r="C165" i="6"/>
  <c r="K165" i="6" s="1"/>
  <c r="R579" i="5"/>
  <c r="I1141" i="6" s="1"/>
  <c r="C1141" i="6"/>
  <c r="O1141" i="6" s="1"/>
  <c r="R76" i="5"/>
  <c r="I135" i="6" s="1"/>
  <c r="C135" i="6"/>
  <c r="K135" i="6" s="1"/>
  <c r="R135" i="6" s="1"/>
  <c r="R73" i="5"/>
  <c r="I129" i="6" s="1"/>
  <c r="C129" i="6"/>
  <c r="K129" i="6" s="1"/>
  <c r="C1099" i="6"/>
  <c r="O1099" i="6" s="1"/>
  <c r="R558" i="5"/>
  <c r="I1099" i="6" s="1"/>
  <c r="C1067" i="6"/>
  <c r="O1067" i="6" s="1"/>
  <c r="C1105" i="6"/>
  <c r="O1105" i="6" s="1"/>
  <c r="R561" i="5"/>
  <c r="I1105" i="6" s="1"/>
  <c r="R585" i="5"/>
  <c r="I1153" i="6" s="1"/>
  <c r="C1153" i="6"/>
  <c r="O1153" i="6" s="1"/>
  <c r="R480" i="5"/>
  <c r="I943" i="6" s="1"/>
  <c r="C943" i="6"/>
  <c r="N943" i="6" s="1"/>
  <c r="R606" i="5"/>
  <c r="I1195" i="6" s="1"/>
  <c r="C1195" i="6"/>
  <c r="O1195" i="6" s="1"/>
  <c r="R441" i="5"/>
  <c r="I865" i="6" s="1"/>
  <c r="C865" i="6"/>
  <c r="N865" i="6" s="1"/>
  <c r="R399" i="5"/>
  <c r="I781" i="6" s="1"/>
  <c r="C781" i="6"/>
  <c r="N781" i="6" s="1"/>
  <c r="R398" i="5"/>
  <c r="I779" i="6" s="1"/>
  <c r="C779" i="6"/>
  <c r="N779" i="6" s="1"/>
  <c r="U779" i="6" s="1"/>
  <c r="V398" i="5" s="1"/>
  <c r="C777" i="6"/>
  <c r="N777" i="6" s="1"/>
  <c r="R397" i="5"/>
  <c r="I777" i="6" s="1"/>
  <c r="C773" i="6"/>
  <c r="N773" i="6" s="1"/>
  <c r="R395" i="5"/>
  <c r="I773" i="6" s="1"/>
  <c r="R544" i="5"/>
  <c r="I1071" i="6" s="1"/>
  <c r="C1071" i="6"/>
  <c r="O1071" i="6" s="1"/>
  <c r="V1071" i="6" s="1"/>
  <c r="W544" i="5" s="1"/>
  <c r="R516" i="5"/>
  <c r="I1015" i="6" s="1"/>
  <c r="C1015" i="6"/>
  <c r="O1015" i="6" s="1"/>
  <c r="V1015" i="6" s="1"/>
  <c r="W516" i="5" s="1"/>
  <c r="C847" i="6"/>
  <c r="N847" i="6" s="1"/>
  <c r="R432" i="5"/>
  <c r="I847" i="6" s="1"/>
  <c r="C833" i="6"/>
  <c r="N833" i="6" s="1"/>
  <c r="R425" i="5"/>
  <c r="I833" i="6" s="1"/>
  <c r="R424" i="5"/>
  <c r="I831" i="6" s="1"/>
  <c r="C831" i="6"/>
  <c r="N831" i="6" s="1"/>
  <c r="R396" i="5"/>
  <c r="I775" i="6" s="1"/>
  <c r="C775" i="6"/>
  <c r="N775" i="6" s="1"/>
  <c r="R394" i="5"/>
  <c r="I771" i="6" s="1"/>
  <c r="C771" i="6"/>
  <c r="N771" i="6" s="1"/>
  <c r="R609" i="5"/>
  <c r="I1201" i="6" s="1"/>
  <c r="C1201" i="6"/>
  <c r="O1201" i="6" s="1"/>
  <c r="V1201" i="6" s="1"/>
  <c r="W609" i="5" s="1"/>
  <c r="R603" i="5"/>
  <c r="I1189" i="6" s="1"/>
  <c r="C1189" i="6"/>
  <c r="O1189" i="6" s="1"/>
  <c r="V1189" i="6" s="1"/>
  <c r="W603" i="5" s="1"/>
  <c r="C1121" i="6"/>
  <c r="O1121" i="6" s="1"/>
  <c r="R569" i="5"/>
  <c r="I1121" i="6" s="1"/>
  <c r="R360" i="5"/>
  <c r="I703" i="6" s="1"/>
  <c r="C703" i="6"/>
  <c r="M703" i="6" s="1"/>
  <c r="R545" i="5"/>
  <c r="I1073" i="6" s="1"/>
  <c r="C1073" i="6"/>
  <c r="O1073" i="6" s="1"/>
  <c r="C1021" i="6"/>
  <c r="O1021" i="6" s="1"/>
  <c r="R519" i="5"/>
  <c r="I1021" i="6" s="1"/>
  <c r="R518" i="5"/>
  <c r="I1019" i="6" s="1"/>
  <c r="C1019" i="6"/>
  <c r="O1019" i="6" s="1"/>
  <c r="V1019" i="6" s="1"/>
  <c r="W518" i="5" s="1"/>
  <c r="R305" i="5"/>
  <c r="I593" i="6" s="1"/>
  <c r="C593" i="6"/>
  <c r="M593" i="6" s="1"/>
  <c r="T593" i="6" s="1"/>
  <c r="U305" i="5" s="1"/>
  <c r="R304" i="5"/>
  <c r="I591" i="6" s="1"/>
  <c r="C591" i="6"/>
  <c r="M591" i="6" s="1"/>
  <c r="T591" i="6" s="1"/>
  <c r="U304" i="5" s="1"/>
  <c r="R279" i="5"/>
  <c r="I541" i="6" s="1"/>
  <c r="C541" i="6"/>
  <c r="M541" i="6" s="1"/>
  <c r="T541" i="6" s="1"/>
  <c r="U279" i="5" s="1"/>
  <c r="R278" i="5"/>
  <c r="I539" i="6" s="1"/>
  <c r="C539" i="6"/>
  <c r="M539" i="6" s="1"/>
  <c r="T539" i="6" s="1"/>
  <c r="U278" i="5" s="1"/>
  <c r="R277" i="5"/>
  <c r="I537" i="6" s="1"/>
  <c r="C537" i="6"/>
  <c r="M537" i="6" s="1"/>
  <c r="T537" i="6" s="1"/>
  <c r="U277" i="5" s="1"/>
  <c r="R276" i="5"/>
  <c r="I535" i="6" s="1"/>
  <c r="C535" i="6"/>
  <c r="M535" i="6" s="1"/>
  <c r="R275" i="5"/>
  <c r="I533" i="6" s="1"/>
  <c r="C533" i="6"/>
  <c r="M533" i="6" s="1"/>
  <c r="T533" i="6" s="1"/>
  <c r="U275" i="5" s="1"/>
  <c r="R274" i="5"/>
  <c r="I531" i="6" s="1"/>
  <c r="C531" i="6"/>
  <c r="M531" i="6" s="1"/>
  <c r="T531" i="6" s="1"/>
  <c r="U274" i="5" s="1"/>
  <c r="R285" i="6"/>
  <c r="W285" i="6"/>
  <c r="X151" i="5" s="1"/>
  <c r="U285" i="6"/>
  <c r="V151" i="5" s="1"/>
  <c r="V285" i="6"/>
  <c r="W151" i="5" s="1"/>
  <c r="T285" i="6"/>
  <c r="U151" i="5" s="1"/>
  <c r="R277" i="6"/>
  <c r="W277" i="6"/>
  <c r="X147" i="5" s="1"/>
  <c r="V277" i="6"/>
  <c r="W147" i="5" s="1"/>
  <c r="U277" i="6"/>
  <c r="V147" i="5" s="1"/>
  <c r="T277" i="6"/>
  <c r="U147" i="5" s="1"/>
  <c r="T255" i="6"/>
  <c r="U136" i="5" s="1"/>
  <c r="R255" i="6"/>
  <c r="U255" i="6"/>
  <c r="V136" i="5" s="1"/>
  <c r="V255" i="6"/>
  <c r="W136" i="5" s="1"/>
  <c r="W255" i="6"/>
  <c r="X136" i="5" s="1"/>
  <c r="R665" i="5"/>
  <c r="I1313" i="6" s="1"/>
  <c r="C1313" i="6"/>
  <c r="P1313" i="6" s="1"/>
  <c r="C1135" i="6"/>
  <c r="O1135" i="6" s="1"/>
  <c r="R576" i="5"/>
  <c r="I1135" i="6" s="1"/>
  <c r="R568" i="5"/>
  <c r="I1119" i="6" s="1"/>
  <c r="C1119" i="6"/>
  <c r="O1119" i="6" s="1"/>
  <c r="R552" i="5"/>
  <c r="I1087" i="6" s="1"/>
  <c r="C1087" i="6"/>
  <c r="O1087" i="6" s="1"/>
  <c r="R514" i="5"/>
  <c r="I1011" i="6" s="1"/>
  <c r="C1011" i="6"/>
  <c r="O1011" i="6" s="1"/>
  <c r="V1011" i="6" s="1"/>
  <c r="W514" i="5" s="1"/>
  <c r="R289" i="6"/>
  <c r="W289" i="6"/>
  <c r="X153" i="5" s="1"/>
  <c r="V289" i="6"/>
  <c r="W153" i="5" s="1"/>
  <c r="U289" i="6"/>
  <c r="V153" i="5" s="1"/>
  <c r="T289" i="6"/>
  <c r="U153" i="5" s="1"/>
  <c r="R517" i="5"/>
  <c r="I1017" i="6" s="1"/>
  <c r="C1017" i="6"/>
  <c r="O1017" i="6" s="1"/>
  <c r="V1017" i="6" s="1"/>
  <c r="W517" i="5" s="1"/>
  <c r="R515" i="5"/>
  <c r="I1013" i="6" s="1"/>
  <c r="C1013" i="6"/>
  <c r="O1013" i="6" s="1"/>
  <c r="R689" i="5"/>
  <c r="I1361" i="6" s="1"/>
  <c r="C1361" i="6"/>
  <c r="P1361" i="6" s="1"/>
  <c r="W1361" i="6" s="1"/>
  <c r="X689" i="5" s="1"/>
  <c r="R600" i="5"/>
  <c r="I1183" i="6" s="1"/>
  <c r="C1183" i="6"/>
  <c r="O1183" i="6" s="1"/>
  <c r="V1183" i="6" s="1"/>
  <c r="W600" i="5" s="1"/>
  <c r="T745" i="6"/>
  <c r="U381" i="5" s="1"/>
  <c r="R745" i="6"/>
  <c r="V745" i="6"/>
  <c r="W381" i="5" s="1"/>
  <c r="W745" i="6"/>
  <c r="X381" i="5" s="1"/>
  <c r="S745" i="6"/>
  <c r="T381" i="5" s="1"/>
  <c r="W765" i="6"/>
  <c r="X391" i="5" s="1"/>
  <c r="T765" i="6"/>
  <c r="U391" i="5" s="1"/>
  <c r="R765" i="6"/>
  <c r="V765" i="6"/>
  <c r="W391" i="5" s="1"/>
  <c r="S765" i="6"/>
  <c r="T391" i="5" s="1"/>
  <c r="T879" i="6"/>
  <c r="U448" i="5" s="1"/>
  <c r="R879" i="6"/>
  <c r="W879" i="6"/>
  <c r="X448" i="5" s="1"/>
  <c r="W881" i="6"/>
  <c r="X449" i="5" s="1"/>
  <c r="R881" i="6"/>
  <c r="T881" i="6"/>
  <c r="U449" i="5" s="1"/>
  <c r="W947" i="6"/>
  <c r="X482" i="5" s="1"/>
  <c r="T947" i="6"/>
  <c r="U482" i="5" s="1"/>
  <c r="V947" i="6"/>
  <c r="W482" i="5" s="1"/>
  <c r="R947" i="6"/>
  <c r="S947" i="6"/>
  <c r="T482" i="5" s="1"/>
  <c r="U505" i="6"/>
  <c r="V261" i="5" s="1"/>
  <c r="W505" i="6"/>
  <c r="X261" i="5" s="1"/>
  <c r="R505" i="6"/>
  <c r="V505" i="6"/>
  <c r="W261" i="5" s="1"/>
  <c r="S505" i="6"/>
  <c r="T261" i="5" s="1"/>
  <c r="R517" i="6"/>
  <c r="V517" i="6"/>
  <c r="W267" i="5" s="1"/>
  <c r="U517" i="6"/>
  <c r="V267" i="5" s="1"/>
  <c r="W517" i="6"/>
  <c r="X267" i="5" s="1"/>
  <c r="S517" i="6"/>
  <c r="T267" i="5" s="1"/>
  <c r="W525" i="6"/>
  <c r="X271" i="5" s="1"/>
  <c r="R525" i="6"/>
  <c r="U525" i="6"/>
  <c r="V271" i="5" s="1"/>
  <c r="V525" i="6"/>
  <c r="W271" i="5" s="1"/>
  <c r="S525" i="6"/>
  <c r="T271" i="5" s="1"/>
  <c r="W529" i="6"/>
  <c r="X273" i="5" s="1"/>
  <c r="R529" i="6"/>
  <c r="V529" i="6"/>
  <c r="W273" i="5" s="1"/>
  <c r="U529" i="6"/>
  <c r="V273" i="5" s="1"/>
  <c r="S529" i="6"/>
  <c r="T273" i="5" s="1"/>
  <c r="T217" i="6"/>
  <c r="U117" i="5" s="1"/>
  <c r="W217" i="6"/>
  <c r="X117" i="5" s="1"/>
  <c r="U217" i="6"/>
  <c r="V117" i="5" s="1"/>
  <c r="V217" i="6"/>
  <c r="W117" i="5" s="1"/>
  <c r="S217" i="6"/>
  <c r="T117" i="5" s="1"/>
  <c r="T213" i="6"/>
  <c r="U115" i="5" s="1"/>
  <c r="W213" i="6"/>
  <c r="X115" i="5" s="1"/>
  <c r="U213" i="6"/>
  <c r="V115" i="5" s="1"/>
  <c r="V213" i="6"/>
  <c r="W115" i="5" s="1"/>
  <c r="S213" i="6"/>
  <c r="T115" i="5" s="1"/>
  <c r="U623" i="6"/>
  <c r="V320" i="5" s="1"/>
  <c r="W623" i="6"/>
  <c r="X320" i="5" s="1"/>
  <c r="R623" i="6"/>
  <c r="V623" i="6"/>
  <c r="W320" i="5" s="1"/>
  <c r="S623" i="6"/>
  <c r="T320" i="5" s="1"/>
  <c r="W707" i="6"/>
  <c r="X362" i="5" s="1"/>
  <c r="U707" i="6"/>
  <c r="V362" i="5" s="1"/>
  <c r="R707" i="6"/>
  <c r="V707" i="6"/>
  <c r="W362" i="5" s="1"/>
  <c r="S707" i="6"/>
  <c r="T362" i="5" s="1"/>
  <c r="W713" i="6"/>
  <c r="X365" i="5" s="1"/>
  <c r="V713" i="6"/>
  <c r="W365" i="5" s="1"/>
  <c r="R713" i="6"/>
  <c r="U713" i="6"/>
  <c r="V365" i="5" s="1"/>
  <c r="S713" i="6"/>
  <c r="T365" i="5" s="1"/>
  <c r="R613" i="5"/>
  <c r="I1209" i="6" s="1"/>
  <c r="C1209" i="6"/>
  <c r="P1209" i="6" s="1"/>
  <c r="C1243" i="6"/>
  <c r="P1243" i="6" s="1"/>
  <c r="C1223" i="6"/>
  <c r="P1223" i="6" s="1"/>
  <c r="C1207" i="6"/>
  <c r="P1207" i="6" s="1"/>
  <c r="R646" i="5"/>
  <c r="I1275" i="6" s="1"/>
  <c r="C1275" i="6"/>
  <c r="P1275" i="6" s="1"/>
  <c r="C1283" i="6"/>
  <c r="P1283" i="6" s="1"/>
  <c r="R650" i="5"/>
  <c r="I1283" i="6" s="1"/>
  <c r="R616" i="5"/>
  <c r="I1215" i="6" s="1"/>
  <c r="C1215" i="6"/>
  <c r="P1215" i="6" s="1"/>
  <c r="W1215" i="6" s="1"/>
  <c r="X616" i="5" s="1"/>
  <c r="R231" i="5"/>
  <c r="I445" i="6" s="1"/>
  <c r="C445" i="6"/>
  <c r="L445" i="6" s="1"/>
  <c r="S445" i="6" s="1"/>
  <c r="T231" i="5" s="1"/>
  <c r="R230" i="5"/>
  <c r="I443" i="6" s="1"/>
  <c r="C443" i="6"/>
  <c r="L443" i="6" s="1"/>
  <c r="S443" i="6" s="1"/>
  <c r="T230" i="5" s="1"/>
  <c r="R229" i="5"/>
  <c r="I441" i="6" s="1"/>
  <c r="C441" i="6"/>
  <c r="L441" i="6" s="1"/>
  <c r="S441" i="6" s="1"/>
  <c r="T229" i="5" s="1"/>
  <c r="R228" i="5"/>
  <c r="I439" i="6" s="1"/>
  <c r="C439" i="6"/>
  <c r="L439" i="6" s="1"/>
  <c r="S439" i="6" s="1"/>
  <c r="T228" i="5" s="1"/>
  <c r="R227" i="5"/>
  <c r="I437" i="6" s="1"/>
  <c r="C437" i="6"/>
  <c r="L437" i="6" s="1"/>
  <c r="S437" i="6" s="1"/>
  <c r="T227" i="5" s="1"/>
  <c r="R226" i="5"/>
  <c r="I435" i="6" s="1"/>
  <c r="C435" i="6"/>
  <c r="L435" i="6" s="1"/>
  <c r="R647" i="5"/>
  <c r="I1277" i="6" s="1"/>
  <c r="C1277" i="6"/>
  <c r="P1277" i="6" s="1"/>
  <c r="C1241" i="6"/>
  <c r="P1241" i="6" s="1"/>
  <c r="R651" i="5"/>
  <c r="I1285" i="6" s="1"/>
  <c r="C1285" i="6"/>
  <c r="P1285" i="6" s="1"/>
  <c r="W1285" i="6" s="1"/>
  <c r="X651" i="5" s="1"/>
  <c r="C851" i="6"/>
  <c r="N851" i="6" s="1"/>
  <c r="R434" i="5"/>
  <c r="I851" i="6" s="1"/>
  <c r="C611" i="6"/>
  <c r="M611" i="6" s="1"/>
  <c r="R314" i="5"/>
  <c r="I611" i="6" s="1"/>
  <c r="C825" i="6"/>
  <c r="N825" i="6" s="1"/>
  <c r="R421" i="5"/>
  <c r="I825" i="6" s="1"/>
  <c r="R565" i="5"/>
  <c r="I1113" i="6" s="1"/>
  <c r="C1113" i="6"/>
  <c r="O1113" i="6" s="1"/>
  <c r="V1113" i="6" s="1"/>
  <c r="W565" i="5" s="1"/>
  <c r="C1065" i="6"/>
  <c r="O1065" i="6" s="1"/>
  <c r="R541" i="5"/>
  <c r="I1065" i="6" s="1"/>
  <c r="R445" i="5"/>
  <c r="I873" i="6" s="1"/>
  <c r="C873" i="6"/>
  <c r="N873" i="6" s="1"/>
  <c r="U873" i="6" s="1"/>
  <c r="V445" i="5" s="1"/>
  <c r="R435" i="5"/>
  <c r="I853" i="6" s="1"/>
  <c r="C853" i="6"/>
  <c r="N853" i="6" s="1"/>
  <c r="C845" i="6"/>
  <c r="N845" i="6" s="1"/>
  <c r="R431" i="5"/>
  <c r="I845" i="6" s="1"/>
  <c r="R385" i="5"/>
  <c r="I753" i="6" s="1"/>
  <c r="C753" i="6"/>
  <c r="N753" i="6" s="1"/>
  <c r="C741" i="6"/>
  <c r="N741" i="6" s="1"/>
  <c r="R379" i="5"/>
  <c r="I741" i="6" s="1"/>
  <c r="C653" i="6"/>
  <c r="M653" i="6" s="1"/>
  <c r="R335" i="5"/>
  <c r="I653" i="6" s="1"/>
  <c r="C613" i="6"/>
  <c r="M613" i="6" s="1"/>
  <c r="R315" i="5"/>
  <c r="I613" i="6" s="1"/>
  <c r="C605" i="6"/>
  <c r="M605" i="6" s="1"/>
  <c r="R311" i="5"/>
  <c r="I605" i="6" s="1"/>
  <c r="C585" i="6"/>
  <c r="M585" i="6" s="1"/>
  <c r="R301" i="5"/>
  <c r="I585" i="6" s="1"/>
  <c r="C515" i="6"/>
  <c r="M515" i="6" s="1"/>
  <c r="C513" i="6"/>
  <c r="M513" i="6" s="1"/>
  <c r="R265" i="5"/>
  <c r="I513" i="6" s="1"/>
  <c r="C501" i="6"/>
  <c r="M501" i="6" s="1"/>
  <c r="R259" i="5"/>
  <c r="I501" i="6" s="1"/>
  <c r="C131" i="6"/>
  <c r="K131" i="6" s="1"/>
  <c r="R74" i="5"/>
  <c r="I131" i="6" s="1"/>
  <c r="C117" i="6"/>
  <c r="K117" i="6" s="1"/>
  <c r="R67" i="5"/>
  <c r="I117" i="6" s="1"/>
  <c r="C87" i="6"/>
  <c r="K87" i="6" s="1"/>
  <c r="R52" i="5"/>
  <c r="I87" i="6" s="1"/>
  <c r="C83" i="6"/>
  <c r="K83" i="6" s="1"/>
  <c r="R50" i="5"/>
  <c r="I83" i="6" s="1"/>
  <c r="C81" i="6"/>
  <c r="K81" i="6" s="1"/>
  <c r="R49" i="5"/>
  <c r="I81" i="6" s="1"/>
  <c r="C69" i="6"/>
  <c r="K69" i="6" s="1"/>
  <c r="R43" i="5"/>
  <c r="I69" i="6" s="1"/>
  <c r="C1341" i="6"/>
  <c r="P1341" i="6" s="1"/>
  <c r="C1335" i="6"/>
  <c r="P1335" i="6" s="1"/>
  <c r="C527" i="6"/>
  <c r="M527" i="6" s="1"/>
  <c r="C507" i="6"/>
  <c r="M507" i="6" s="1"/>
  <c r="C51" i="6"/>
  <c r="K51" i="6" s="1"/>
  <c r="R34" i="5"/>
  <c r="I51" i="6" s="1"/>
  <c r="C53" i="6"/>
  <c r="K53" i="6" s="1"/>
  <c r="R35" i="5"/>
  <c r="I53" i="6" s="1"/>
  <c r="C625" i="6"/>
  <c r="M625" i="6" s="1"/>
  <c r="R321" i="5"/>
  <c r="I625" i="6" s="1"/>
  <c r="C607" i="6"/>
  <c r="M607" i="6" s="1"/>
  <c r="R312" i="5"/>
  <c r="I607" i="6" s="1"/>
  <c r="T529" i="6"/>
  <c r="U273" i="5" s="1"/>
  <c r="S285" i="6"/>
  <c r="T151" i="5" s="1"/>
  <c r="S277" i="6"/>
  <c r="T147" i="5" s="1"/>
  <c r="S289" i="6"/>
  <c r="T153" i="5" s="1"/>
  <c r="D905" i="6"/>
  <c r="O905" i="6" s="1"/>
  <c r="R461" i="5"/>
  <c r="I905" i="6" s="1"/>
  <c r="D899" i="6"/>
  <c r="O899" i="6" s="1"/>
  <c r="R458" i="5"/>
  <c r="I899" i="6" s="1"/>
  <c r="F885" i="6"/>
  <c r="M885" i="6" s="1"/>
  <c r="D665" i="6"/>
  <c r="O665" i="6" s="1"/>
  <c r="R341" i="5"/>
  <c r="I665" i="6" s="1"/>
  <c r="D659" i="6"/>
  <c r="O659" i="6" s="1"/>
  <c r="R338" i="5"/>
  <c r="I659" i="6" s="1"/>
  <c r="D425" i="6"/>
  <c r="O425" i="6" s="1"/>
  <c r="R221" i="5"/>
  <c r="I425" i="6" s="1"/>
  <c r="D423" i="6"/>
  <c r="O423" i="6" s="1"/>
  <c r="R220" i="5"/>
  <c r="I423" i="6" s="1"/>
  <c r="D419" i="6"/>
  <c r="O419" i="6" s="1"/>
  <c r="R218" i="5"/>
  <c r="I419" i="6" s="1"/>
  <c r="D417" i="6"/>
  <c r="O417" i="6" s="1"/>
  <c r="R217" i="5"/>
  <c r="I417" i="6" s="1"/>
  <c r="D407" i="6"/>
  <c r="O407" i="6" s="1"/>
  <c r="R212" i="5"/>
  <c r="I407" i="6" s="1"/>
  <c r="D405" i="6"/>
  <c r="O405" i="6" s="1"/>
  <c r="R211" i="5"/>
  <c r="I405" i="6" s="1"/>
  <c r="D377" i="6"/>
  <c r="N377" i="6" s="1"/>
  <c r="R197" i="5"/>
  <c r="I377" i="6" s="1"/>
  <c r="D375" i="6"/>
  <c r="N375" i="6" s="1"/>
  <c r="R196" i="5"/>
  <c r="I375" i="6" s="1"/>
  <c r="E371" i="6"/>
  <c r="O371" i="6" s="1"/>
  <c r="R194" i="5"/>
  <c r="I371" i="6" s="1"/>
  <c r="D369" i="6"/>
  <c r="N369" i="6" s="1"/>
  <c r="R193" i="5"/>
  <c r="I369" i="6" s="1"/>
  <c r="D359" i="6"/>
  <c r="N359" i="6" s="1"/>
  <c r="R188" i="5"/>
  <c r="I359" i="6" s="1"/>
  <c r="D329" i="6"/>
  <c r="M329" i="6" s="1"/>
  <c r="R173" i="5"/>
  <c r="I329" i="6" s="1"/>
  <c r="D327" i="6"/>
  <c r="M327" i="6" s="1"/>
  <c r="R172" i="5"/>
  <c r="I327" i="6" s="1"/>
  <c r="E323" i="6"/>
  <c r="O323" i="6" s="1"/>
  <c r="R170" i="5"/>
  <c r="I323" i="6" s="1"/>
  <c r="E321" i="6"/>
  <c r="O321" i="6" s="1"/>
  <c r="R169" i="5"/>
  <c r="I321" i="6" s="1"/>
  <c r="D311" i="6"/>
  <c r="M311" i="6" s="1"/>
  <c r="R164" i="5"/>
  <c r="I311" i="6" s="1"/>
  <c r="D1001" i="6"/>
  <c r="K1001" i="6" s="1"/>
  <c r="R509" i="5"/>
  <c r="I1001" i="6" s="1"/>
  <c r="D907" i="6"/>
  <c r="O907" i="6" s="1"/>
  <c r="R462" i="5"/>
  <c r="I907" i="6" s="1"/>
  <c r="D901" i="6"/>
  <c r="O901" i="6" s="1"/>
  <c r="R459" i="5"/>
  <c r="I901" i="6" s="1"/>
  <c r="D893" i="6"/>
  <c r="O893" i="6" s="1"/>
  <c r="R455" i="5"/>
  <c r="I893" i="6" s="1"/>
  <c r="D667" i="6"/>
  <c r="O667" i="6" s="1"/>
  <c r="R342" i="5"/>
  <c r="I667" i="6" s="1"/>
  <c r="D661" i="6"/>
  <c r="O661" i="6" s="1"/>
  <c r="R339" i="5"/>
  <c r="I661" i="6" s="1"/>
  <c r="E633" i="6"/>
  <c r="K633" i="6" s="1"/>
  <c r="R325" i="5"/>
  <c r="I633" i="6" s="1"/>
  <c r="D185" i="6"/>
  <c r="O185" i="6" s="1"/>
  <c r="R101" i="5"/>
  <c r="I185" i="6" s="1"/>
  <c r="D177" i="6"/>
  <c r="O177" i="6" s="1"/>
  <c r="R97" i="5"/>
  <c r="I177" i="6" s="1"/>
  <c r="E1395" i="6"/>
  <c r="K1395" i="6" s="1"/>
  <c r="R706" i="5"/>
  <c r="I1395" i="6" s="1"/>
  <c r="D1327" i="6"/>
  <c r="M1327" i="6" s="1"/>
  <c r="R672" i="5"/>
  <c r="I1327" i="6" s="1"/>
  <c r="D357" i="6"/>
  <c r="N357" i="6" s="1"/>
  <c r="R187" i="5"/>
  <c r="I357" i="6" s="1"/>
  <c r="D309" i="6"/>
  <c r="M309" i="6" s="1"/>
  <c r="R163" i="5"/>
  <c r="I309" i="6" s="1"/>
  <c r="D1383" i="6"/>
  <c r="N1383" i="6" s="1"/>
  <c r="R700" i="5"/>
  <c r="I1383" i="6" s="1"/>
  <c r="D1419" i="6"/>
  <c r="O1419" i="6" s="1"/>
  <c r="D1381" i="6"/>
  <c r="N1381" i="6" s="1"/>
  <c r="R699" i="5"/>
  <c r="I1381" i="6" s="1"/>
  <c r="R217" i="6" l="1"/>
  <c r="S387" i="6"/>
  <c r="T202" i="5" s="1"/>
  <c r="S411" i="6"/>
  <c r="T214" i="5" s="1"/>
  <c r="S313" i="6"/>
  <c r="T165" i="5" s="1"/>
  <c r="S351" i="6"/>
  <c r="T184" i="5" s="1"/>
  <c r="S409" i="6"/>
  <c r="T213" i="5" s="1"/>
  <c r="R596" i="5"/>
  <c r="I1175" i="6" s="1"/>
  <c r="C1175" i="6"/>
  <c r="O1175" i="6" s="1"/>
  <c r="R92" i="5"/>
  <c r="I167" i="6" s="1"/>
  <c r="C167" i="6"/>
  <c r="K167" i="6" s="1"/>
  <c r="C957" i="6"/>
  <c r="N957" i="6" s="1"/>
  <c r="R487" i="5"/>
  <c r="I957" i="6" s="1"/>
  <c r="R470" i="5"/>
  <c r="I923" i="6" s="1"/>
  <c r="C923" i="6"/>
  <c r="N923" i="6" s="1"/>
  <c r="R607" i="5"/>
  <c r="I1197" i="6" s="1"/>
  <c r="C1197" i="6"/>
  <c r="O1197" i="6" s="1"/>
  <c r="V1197" i="6" s="1"/>
  <c r="W607" i="5" s="1"/>
  <c r="C1123" i="6"/>
  <c r="O1123" i="6" s="1"/>
  <c r="R570" i="5"/>
  <c r="I1123" i="6" s="1"/>
  <c r="R520" i="5"/>
  <c r="I1023" i="6" s="1"/>
  <c r="C1023" i="6"/>
  <c r="O1023" i="6" s="1"/>
  <c r="R512" i="5"/>
  <c r="I1007" i="6" s="1"/>
  <c r="C1007" i="6"/>
  <c r="O1007" i="6" s="1"/>
  <c r="C791" i="6"/>
  <c r="N791" i="6" s="1"/>
  <c r="R404" i="5"/>
  <c r="I791" i="6" s="1"/>
  <c r="R402" i="5"/>
  <c r="I787" i="6" s="1"/>
  <c r="C787" i="6"/>
  <c r="N787" i="6" s="1"/>
  <c r="R400" i="5"/>
  <c r="I783" i="6" s="1"/>
  <c r="C783" i="6"/>
  <c r="N783" i="6" s="1"/>
  <c r="U783" i="6" s="1"/>
  <c r="V400" i="5" s="1"/>
  <c r="R405" i="5"/>
  <c r="I793" i="6" s="1"/>
  <c r="C793" i="6"/>
  <c r="N793" i="6" s="1"/>
  <c r="U793" i="6" s="1"/>
  <c r="V405" i="5" s="1"/>
  <c r="R403" i="5"/>
  <c r="I789" i="6" s="1"/>
  <c r="C789" i="6"/>
  <c r="N789" i="6" s="1"/>
  <c r="U789" i="6" s="1"/>
  <c r="V403" i="5" s="1"/>
  <c r="R401" i="5"/>
  <c r="I785" i="6" s="1"/>
  <c r="C785" i="6"/>
  <c r="N785" i="6" s="1"/>
  <c r="R371" i="5"/>
  <c r="I725" i="6" s="1"/>
  <c r="C725" i="6"/>
  <c r="N725" i="6" s="1"/>
  <c r="U725" i="6" s="1"/>
  <c r="V371" i="5" s="1"/>
  <c r="R370" i="5"/>
  <c r="I723" i="6" s="1"/>
  <c r="C723" i="6"/>
  <c r="N723" i="6" s="1"/>
  <c r="U723" i="6" s="1"/>
  <c r="V370" i="5" s="1"/>
  <c r="C1025" i="6"/>
  <c r="O1025" i="6" s="1"/>
  <c r="R521" i="5"/>
  <c r="I1025" i="6" s="1"/>
  <c r="C963" i="6"/>
  <c r="O963" i="6" s="1"/>
  <c r="R490" i="5"/>
  <c r="I963" i="6" s="1"/>
  <c r="C1125" i="6"/>
  <c r="O1125" i="6" s="1"/>
  <c r="R571" i="5"/>
  <c r="I1125" i="6" s="1"/>
  <c r="C1031" i="6"/>
  <c r="O1031" i="6" s="1"/>
  <c r="R524" i="5"/>
  <c r="I1031" i="6" s="1"/>
  <c r="R491" i="5"/>
  <c r="I965" i="6" s="1"/>
  <c r="C965" i="6"/>
  <c r="O965" i="6" s="1"/>
  <c r="C1033" i="6"/>
  <c r="O1033" i="6" s="1"/>
  <c r="R525" i="5"/>
  <c r="I1033" i="6" s="1"/>
  <c r="R107" i="5"/>
  <c r="I197" i="6" s="1"/>
  <c r="C197" i="6"/>
  <c r="K197" i="6" s="1"/>
  <c r="R106" i="5"/>
  <c r="I195" i="6" s="1"/>
  <c r="C195" i="6"/>
  <c r="K195" i="6" s="1"/>
  <c r="R169" i="6"/>
  <c r="S471" i="6"/>
  <c r="T244" i="5" s="1"/>
  <c r="S247" i="6"/>
  <c r="T132" i="5" s="1"/>
  <c r="S397" i="6"/>
  <c r="W1005" i="6"/>
  <c r="R1401" i="6"/>
  <c r="S367" i="6"/>
  <c r="T192" i="5" s="1"/>
  <c r="W829" i="6"/>
  <c r="U955" i="6"/>
  <c r="V486" i="5" s="1"/>
  <c r="V1175" i="6"/>
  <c r="W596" i="5" s="1"/>
  <c r="W1245" i="6"/>
  <c r="W1225" i="6"/>
  <c r="S269" i="6"/>
  <c r="T143" i="5" s="1"/>
  <c r="T637" i="6"/>
  <c r="S271" i="6"/>
  <c r="T144" i="5" s="1"/>
  <c r="S283" i="6"/>
  <c r="T150" i="5" s="1"/>
  <c r="S267" i="6"/>
  <c r="T142" i="5" s="1"/>
  <c r="S391" i="6"/>
  <c r="T204" i="5" s="1"/>
  <c r="U189" i="6"/>
  <c r="V103" i="5" s="1"/>
  <c r="T189" i="6"/>
  <c r="U103" i="5" s="1"/>
  <c r="V189" i="6"/>
  <c r="W103" i="5" s="1"/>
  <c r="S189" i="6"/>
  <c r="T103" i="5" s="1"/>
  <c r="R189" i="6"/>
  <c r="W189" i="6"/>
  <c r="X103" i="5" s="1"/>
  <c r="U985" i="6"/>
  <c r="V501" i="5" s="1"/>
  <c r="S985" i="6"/>
  <c r="T501" i="5" s="1"/>
  <c r="W985" i="6"/>
  <c r="X501" i="5" s="1"/>
  <c r="V985" i="6"/>
  <c r="W501" i="5" s="1"/>
  <c r="R985" i="6"/>
  <c r="T985" i="6"/>
  <c r="U501" i="5" s="1"/>
  <c r="R457" i="5"/>
  <c r="I897" i="6" s="1"/>
  <c r="C897" i="6"/>
  <c r="N897" i="6" s="1"/>
  <c r="C889" i="6"/>
  <c r="N889" i="6" s="1"/>
  <c r="R453" i="5"/>
  <c r="I889" i="6" s="1"/>
  <c r="D869" i="6"/>
  <c r="O869" i="6" s="1"/>
  <c r="R443" i="5"/>
  <c r="I869" i="6" s="1"/>
  <c r="R430" i="5"/>
  <c r="I843" i="6" s="1"/>
  <c r="C843" i="6"/>
  <c r="N843" i="6" s="1"/>
  <c r="C823" i="6"/>
  <c r="N823" i="6" s="1"/>
  <c r="R420" i="5"/>
  <c r="I823" i="6" s="1"/>
  <c r="R416" i="5"/>
  <c r="I815" i="6" s="1"/>
  <c r="C815" i="6"/>
  <c r="N815" i="6" s="1"/>
  <c r="U815" i="6" s="1"/>
  <c r="V416" i="5" s="1"/>
  <c r="R413" i="5"/>
  <c r="I809" i="6" s="1"/>
  <c r="C809" i="6"/>
  <c r="N809" i="6" s="1"/>
  <c r="U809" i="6" s="1"/>
  <c r="V413" i="5" s="1"/>
  <c r="C1053" i="6"/>
  <c r="O1053" i="6" s="1"/>
  <c r="R535" i="5"/>
  <c r="I1053" i="6" s="1"/>
  <c r="C751" i="6"/>
  <c r="N751" i="6" s="1"/>
  <c r="R384" i="5"/>
  <c r="I751" i="6" s="1"/>
  <c r="C737" i="6"/>
  <c r="N737" i="6" s="1"/>
  <c r="R377" i="5"/>
  <c r="I737" i="6" s="1"/>
  <c r="C657" i="6"/>
  <c r="M657" i="6" s="1"/>
  <c r="R337" i="5"/>
  <c r="I657" i="6" s="1"/>
  <c r="C631" i="6"/>
  <c r="M631" i="6" s="1"/>
  <c r="R324" i="5"/>
  <c r="I631" i="6" s="1"/>
  <c r="C609" i="6"/>
  <c r="M609" i="6" s="1"/>
  <c r="R313" i="5"/>
  <c r="I609" i="6" s="1"/>
  <c r="R572" i="5"/>
  <c r="I1127" i="6" s="1"/>
  <c r="C1127" i="6"/>
  <c r="O1127" i="6" s="1"/>
  <c r="V1127" i="6" s="1"/>
  <c r="W572" i="5" s="1"/>
  <c r="C601" i="6"/>
  <c r="M601" i="6" s="1"/>
  <c r="R309" i="5"/>
  <c r="I601" i="6" s="1"/>
  <c r="R297" i="5"/>
  <c r="I577" i="6" s="1"/>
  <c r="C577" i="6"/>
  <c r="M577" i="6" s="1"/>
  <c r="R294" i="5"/>
  <c r="I571" i="6" s="1"/>
  <c r="C571" i="6"/>
  <c r="M571" i="6" s="1"/>
  <c r="T571" i="6" s="1"/>
  <c r="U294" i="5" s="1"/>
  <c r="C511" i="6"/>
  <c r="M511" i="6" s="1"/>
  <c r="R264" i="5"/>
  <c r="I511" i="6" s="1"/>
  <c r="C499" i="6"/>
  <c r="M499" i="6" s="1"/>
  <c r="R258" i="5"/>
  <c r="I499" i="6" s="1"/>
  <c r="C491" i="6"/>
  <c r="M491" i="6" s="1"/>
  <c r="R254" i="5"/>
  <c r="I491" i="6" s="1"/>
  <c r="R553" i="5"/>
  <c r="I1089" i="6" s="1"/>
  <c r="C1089" i="6"/>
  <c r="O1089" i="6" s="1"/>
  <c r="V1089" i="6" s="1"/>
  <c r="W553" i="5" s="1"/>
  <c r="C971" i="6"/>
  <c r="O971" i="6" s="1"/>
  <c r="R494" i="5"/>
  <c r="I971" i="6" s="1"/>
  <c r="R539" i="5"/>
  <c r="I1061" i="6" s="1"/>
  <c r="C1061" i="6"/>
  <c r="O1061" i="6" s="1"/>
  <c r="R95" i="5"/>
  <c r="I173" i="6" s="1"/>
  <c r="D173" i="6"/>
  <c r="O173" i="6" s="1"/>
  <c r="V173" i="6" s="1"/>
  <c r="W95" i="5" s="1"/>
  <c r="R86" i="5"/>
  <c r="I155" i="6" s="1"/>
  <c r="C155" i="6"/>
  <c r="K155" i="6" s="1"/>
  <c r="R155" i="6" s="1"/>
  <c r="R32" i="5"/>
  <c r="I47" i="6" s="1"/>
  <c r="C47" i="6"/>
  <c r="K47" i="6" s="1"/>
  <c r="R47" i="6" s="1"/>
  <c r="S32" i="5" s="1"/>
  <c r="R28" i="5"/>
  <c r="I39" i="6" s="1"/>
  <c r="C39" i="6"/>
  <c r="K39" i="6" s="1"/>
  <c r="R39" i="6" s="1"/>
  <c r="C127" i="6"/>
  <c r="K127" i="6" s="1"/>
  <c r="R72" i="5"/>
  <c r="I127" i="6" s="1"/>
  <c r="C113" i="6"/>
  <c r="K113" i="6" s="1"/>
  <c r="R65" i="5"/>
  <c r="I113" i="6" s="1"/>
  <c r="R48" i="5"/>
  <c r="I79" i="6" s="1"/>
  <c r="C79" i="6"/>
  <c r="K79" i="6" s="1"/>
  <c r="R79" i="6" s="1"/>
  <c r="S48" i="5" s="1"/>
  <c r="R41" i="5"/>
  <c r="I65" i="6" s="1"/>
  <c r="C65" i="6"/>
  <c r="K65" i="6" s="1"/>
  <c r="R65" i="6" s="1"/>
  <c r="S41" i="5" s="1"/>
  <c r="C43" i="6"/>
  <c r="K43" i="6" s="1"/>
  <c r="R30" i="5"/>
  <c r="I43" i="6" s="1"/>
  <c r="C1063" i="6"/>
  <c r="O1063" i="6" s="1"/>
  <c r="R540" i="5"/>
  <c r="I1063" i="6" s="1"/>
  <c r="C175" i="6"/>
  <c r="K175" i="6" s="1"/>
  <c r="R96" i="5"/>
  <c r="I175" i="6" s="1"/>
  <c r="R89" i="5"/>
  <c r="I161" i="6" s="1"/>
  <c r="C161" i="6"/>
  <c r="K161" i="6" s="1"/>
  <c r="R161" i="6" s="1"/>
  <c r="C49" i="6"/>
  <c r="K49" i="6" s="1"/>
  <c r="R33" i="5"/>
  <c r="I49" i="6" s="1"/>
  <c r="C41" i="6"/>
  <c r="K41" i="6" s="1"/>
  <c r="R29" i="5"/>
  <c r="I41" i="6" s="1"/>
  <c r="R495" i="5"/>
  <c r="I973" i="6" s="1"/>
  <c r="C973" i="6"/>
  <c r="O973" i="6" s="1"/>
  <c r="V973" i="6" s="1"/>
  <c r="W495" i="5" s="1"/>
  <c r="R66" i="5"/>
  <c r="I115" i="6" s="1"/>
  <c r="C115" i="6"/>
  <c r="K115" i="6" s="1"/>
  <c r="R115" i="6" s="1"/>
  <c r="C107" i="6"/>
  <c r="K107" i="6" s="1"/>
  <c r="R62" i="5"/>
  <c r="I107" i="6" s="1"/>
  <c r="C67" i="6"/>
  <c r="K67" i="6" s="1"/>
  <c r="R42" i="5"/>
  <c r="I67" i="6" s="1"/>
  <c r="C59" i="6"/>
  <c r="K59" i="6" s="1"/>
  <c r="R38" i="5"/>
  <c r="I59" i="6" s="1"/>
  <c r="C1081" i="6"/>
  <c r="O1081" i="6" s="1"/>
  <c r="R549" i="5"/>
  <c r="I1081" i="6" s="1"/>
  <c r="R564" i="5"/>
  <c r="I1111" i="6" s="1"/>
  <c r="C1111" i="6"/>
  <c r="O1111" i="6" s="1"/>
  <c r="V1111" i="6" s="1"/>
  <c r="W564" i="5" s="1"/>
  <c r="C1051" i="6"/>
  <c r="O1051" i="6" s="1"/>
  <c r="R534" i="5"/>
  <c r="I1051" i="6" s="1"/>
  <c r="C891" i="6"/>
  <c r="N891" i="6" s="1"/>
  <c r="R454" i="5"/>
  <c r="I891" i="6" s="1"/>
  <c r="C871" i="6"/>
  <c r="N871" i="6" s="1"/>
  <c r="R444" i="5"/>
  <c r="I871" i="6" s="1"/>
  <c r="C849" i="6"/>
  <c r="N849" i="6" s="1"/>
  <c r="R433" i="5"/>
  <c r="I849" i="6" s="1"/>
  <c r="R429" i="5"/>
  <c r="I841" i="6" s="1"/>
  <c r="C841" i="6"/>
  <c r="N841" i="6" s="1"/>
  <c r="U841" i="6" s="1"/>
  <c r="V429" i="5" s="1"/>
  <c r="R419" i="5"/>
  <c r="I821" i="6" s="1"/>
  <c r="C821" i="6"/>
  <c r="N821" i="6" s="1"/>
  <c r="U821" i="6" s="1"/>
  <c r="V419" i="5" s="1"/>
  <c r="R415" i="5"/>
  <c r="I813" i="6" s="1"/>
  <c r="C813" i="6"/>
  <c r="N813" i="6" s="1"/>
  <c r="U813" i="6" s="1"/>
  <c r="V415" i="5" s="1"/>
  <c r="R412" i="5"/>
  <c r="I807" i="6" s="1"/>
  <c r="C807" i="6"/>
  <c r="N807" i="6" s="1"/>
  <c r="R532" i="5"/>
  <c r="I1047" i="6" s="1"/>
  <c r="C1047" i="6"/>
  <c r="O1047" i="6" s="1"/>
  <c r="V1047" i="6" s="1"/>
  <c r="W532" i="5" s="1"/>
  <c r="C749" i="6"/>
  <c r="N749" i="6" s="1"/>
  <c r="R383" i="5"/>
  <c r="I749" i="6" s="1"/>
  <c r="R375" i="5"/>
  <c r="I733" i="6" s="1"/>
  <c r="C733" i="6"/>
  <c r="N733" i="6" s="1"/>
  <c r="U733" i="6" s="1"/>
  <c r="V375" i="5" s="1"/>
  <c r="C651" i="6"/>
  <c r="M651" i="6" s="1"/>
  <c r="R334" i="5"/>
  <c r="I651" i="6" s="1"/>
  <c r="R332" i="5"/>
  <c r="I647" i="6" s="1"/>
  <c r="C647" i="6"/>
  <c r="M647" i="6" s="1"/>
  <c r="T647" i="6" s="1"/>
  <c r="U332" i="5" s="1"/>
  <c r="R310" i="5"/>
  <c r="I603" i="6" s="1"/>
  <c r="C603" i="6"/>
  <c r="M603" i="6" s="1"/>
  <c r="C1131" i="6"/>
  <c r="O1131" i="6" s="1"/>
  <c r="R574" i="5"/>
  <c r="I1131" i="6" s="1"/>
  <c r="C599" i="6"/>
  <c r="M599" i="6" s="1"/>
  <c r="R308" i="5"/>
  <c r="I599" i="6" s="1"/>
  <c r="R299" i="5"/>
  <c r="I581" i="6" s="1"/>
  <c r="C581" i="6"/>
  <c r="M581" i="6" s="1"/>
  <c r="T581" i="6" s="1"/>
  <c r="U299" i="5" s="1"/>
  <c r="R295" i="5"/>
  <c r="I573" i="6" s="1"/>
  <c r="C573" i="6"/>
  <c r="M573" i="6" s="1"/>
  <c r="T573" i="6" s="1"/>
  <c r="U295" i="5" s="1"/>
  <c r="R293" i="5"/>
  <c r="I569" i="6" s="1"/>
  <c r="C569" i="6"/>
  <c r="M569" i="6" s="1"/>
  <c r="T569" i="6" s="1"/>
  <c r="U293" i="5" s="1"/>
  <c r="R263" i="5"/>
  <c r="I509" i="6" s="1"/>
  <c r="C509" i="6"/>
  <c r="M509" i="6" s="1"/>
  <c r="T509" i="6" s="1"/>
  <c r="U263" i="5" s="1"/>
  <c r="C493" i="6"/>
  <c r="M493" i="6" s="1"/>
  <c r="R255" i="5"/>
  <c r="I493" i="6" s="1"/>
  <c r="C1109" i="6"/>
  <c r="O1109" i="6" s="1"/>
  <c r="R563" i="5"/>
  <c r="I1109" i="6" s="1"/>
  <c r="C991" i="6"/>
  <c r="O991" i="6" s="1"/>
  <c r="R504" i="5"/>
  <c r="I991" i="6" s="1"/>
  <c r="R536" i="5"/>
  <c r="I1055" i="6" s="1"/>
  <c r="C1055" i="6"/>
  <c r="O1055" i="6" s="1"/>
  <c r="C163" i="6"/>
  <c r="K163" i="6" s="1"/>
  <c r="R90" i="5"/>
  <c r="I163" i="6" s="1"/>
  <c r="C157" i="6"/>
  <c r="K157" i="6" s="1"/>
  <c r="R87" i="5"/>
  <c r="I157" i="6" s="1"/>
  <c r="R31" i="5"/>
  <c r="I45" i="6" s="1"/>
  <c r="C45" i="6"/>
  <c r="K45" i="6" s="1"/>
  <c r="R45" i="6" s="1"/>
  <c r="R497" i="5"/>
  <c r="I977" i="6" s="1"/>
  <c r="C977" i="6"/>
  <c r="O977" i="6" s="1"/>
  <c r="V977" i="6" s="1"/>
  <c r="W497" i="5" s="1"/>
  <c r="C125" i="6"/>
  <c r="K125" i="6" s="1"/>
  <c r="R71" i="5"/>
  <c r="I125" i="6" s="1"/>
  <c r="R63" i="5"/>
  <c r="I109" i="6" s="1"/>
  <c r="C109" i="6"/>
  <c r="K109" i="6" s="1"/>
  <c r="R109" i="6" s="1"/>
  <c r="C77" i="6"/>
  <c r="K77" i="6" s="1"/>
  <c r="R47" i="5"/>
  <c r="I77" i="6" s="1"/>
  <c r="C61" i="6"/>
  <c r="K61" i="6" s="1"/>
  <c r="R39" i="5"/>
  <c r="I61" i="6" s="1"/>
  <c r="C1129" i="6"/>
  <c r="O1129" i="6" s="1"/>
  <c r="R573" i="5"/>
  <c r="I1129" i="6" s="1"/>
  <c r="D989" i="6"/>
  <c r="K989" i="6" s="1"/>
  <c r="R503" i="5"/>
  <c r="I989" i="6" s="1"/>
  <c r="C887" i="6"/>
  <c r="N887" i="6" s="1"/>
  <c r="R452" i="5"/>
  <c r="I887" i="6" s="1"/>
  <c r="R548" i="5"/>
  <c r="I1079" i="6" s="1"/>
  <c r="C1079" i="6"/>
  <c r="O1079" i="6" s="1"/>
  <c r="V1079" i="6" s="1"/>
  <c r="W548" i="5" s="1"/>
  <c r="R428" i="5"/>
  <c r="I839" i="6" s="1"/>
  <c r="C839" i="6"/>
  <c r="N839" i="6" s="1"/>
  <c r="U839" i="6" s="1"/>
  <c r="V428" i="5" s="1"/>
  <c r="R417" i="5"/>
  <c r="I817" i="6" s="1"/>
  <c r="C817" i="6"/>
  <c r="N817" i="6" s="1"/>
  <c r="U817" i="6" s="1"/>
  <c r="V417" i="5" s="1"/>
  <c r="C811" i="6"/>
  <c r="N811" i="6" s="1"/>
  <c r="R414" i="5"/>
  <c r="I811" i="6" s="1"/>
  <c r="C1057" i="6"/>
  <c r="O1057" i="6" s="1"/>
  <c r="R537" i="5"/>
  <c r="I1057" i="6" s="1"/>
  <c r="C979" i="6"/>
  <c r="O979" i="6" s="1"/>
  <c r="R498" i="5"/>
  <c r="I979" i="6" s="1"/>
  <c r="C739" i="6"/>
  <c r="N739" i="6" s="1"/>
  <c r="R378" i="5"/>
  <c r="I739" i="6" s="1"/>
  <c r="R374" i="5"/>
  <c r="I731" i="6" s="1"/>
  <c r="C731" i="6"/>
  <c r="N731" i="6" s="1"/>
  <c r="U731" i="6" s="1"/>
  <c r="V374" i="5" s="1"/>
  <c r="R333" i="5"/>
  <c r="I649" i="6" s="1"/>
  <c r="C649" i="6"/>
  <c r="M649" i="6" s="1"/>
  <c r="T649" i="6" s="1"/>
  <c r="U333" i="5" s="1"/>
  <c r="D629" i="6"/>
  <c r="O629" i="6" s="1"/>
  <c r="R323" i="5"/>
  <c r="I629" i="6" s="1"/>
  <c r="C1137" i="6"/>
  <c r="O1137" i="6" s="1"/>
  <c r="R577" i="5"/>
  <c r="I1137" i="6" s="1"/>
  <c r="R533" i="5"/>
  <c r="I1049" i="6" s="1"/>
  <c r="C1049" i="6"/>
  <c r="O1049" i="6" s="1"/>
  <c r="V1049" i="6" s="1"/>
  <c r="W533" i="5" s="1"/>
  <c r="C583" i="6"/>
  <c r="M583" i="6" s="1"/>
  <c r="R300" i="5"/>
  <c r="I583" i="6" s="1"/>
  <c r="R296" i="5"/>
  <c r="I575" i="6" s="1"/>
  <c r="C575" i="6"/>
  <c r="M575" i="6" s="1"/>
  <c r="R292" i="5"/>
  <c r="I567" i="6" s="1"/>
  <c r="C567" i="6"/>
  <c r="M567" i="6" s="1"/>
  <c r="T567" i="6" s="1"/>
  <c r="U292" i="5" s="1"/>
  <c r="C497" i="6"/>
  <c r="M497" i="6" s="1"/>
  <c r="R257" i="5"/>
  <c r="I497" i="6" s="1"/>
  <c r="C1083" i="6"/>
  <c r="O1083" i="6" s="1"/>
  <c r="R550" i="5"/>
  <c r="I1083" i="6" s="1"/>
  <c r="S249" i="6"/>
  <c r="T133" i="5" s="1"/>
  <c r="W249" i="6"/>
  <c r="X133" i="5" s="1"/>
  <c r="T249" i="6"/>
  <c r="U133" i="5" s="1"/>
  <c r="R249" i="6"/>
  <c r="V249" i="6"/>
  <c r="W133" i="5" s="1"/>
  <c r="U249" i="6"/>
  <c r="V133" i="5" s="1"/>
  <c r="W265" i="6"/>
  <c r="X141" i="5" s="1"/>
  <c r="U265" i="6"/>
  <c r="V141" i="5" s="1"/>
  <c r="V265" i="6"/>
  <c r="W141" i="5" s="1"/>
  <c r="T265" i="6"/>
  <c r="U141" i="5" s="1"/>
  <c r="R265" i="6"/>
  <c r="S265" i="6"/>
  <c r="T141" i="5" s="1"/>
  <c r="V169" i="6"/>
  <c r="W93" i="5" s="1"/>
  <c r="U169" i="6"/>
  <c r="V93" i="5" s="1"/>
  <c r="T169" i="6"/>
  <c r="U93" i="5" s="1"/>
  <c r="S169" i="6"/>
  <c r="T93" i="5" s="1"/>
  <c r="W169" i="6"/>
  <c r="X93" i="5" s="1"/>
  <c r="S261" i="6"/>
  <c r="T139" i="5" s="1"/>
  <c r="R261" i="6"/>
  <c r="V261" i="6"/>
  <c r="W139" i="5" s="1"/>
  <c r="U261" i="6"/>
  <c r="V139" i="5" s="1"/>
  <c r="W261" i="6"/>
  <c r="X139" i="5" s="1"/>
  <c r="T261" i="6"/>
  <c r="U139" i="5" s="1"/>
  <c r="V97" i="6"/>
  <c r="W57" i="5" s="1"/>
  <c r="S97" i="6"/>
  <c r="W97" i="6"/>
  <c r="X57" i="5" s="1"/>
  <c r="T97" i="6"/>
  <c r="U57" i="5" s="1"/>
  <c r="U97" i="6"/>
  <c r="V57" i="5" s="1"/>
  <c r="V637" i="6"/>
  <c r="W327" i="5" s="1"/>
  <c r="W637" i="6"/>
  <c r="X327" i="5" s="1"/>
  <c r="U637" i="6"/>
  <c r="V327" i="5" s="1"/>
  <c r="S637" i="6"/>
  <c r="T327" i="5" s="1"/>
  <c r="R637" i="6"/>
  <c r="S327" i="5" s="1"/>
  <c r="R556" i="5"/>
  <c r="I1095" i="6" s="1"/>
  <c r="C1095" i="6"/>
  <c r="O1095" i="6" s="1"/>
  <c r="V1095" i="6" s="1"/>
  <c r="W556" i="5" s="1"/>
  <c r="R350" i="5"/>
  <c r="I683" i="6" s="1"/>
  <c r="C683" i="6"/>
  <c r="M683" i="6" s="1"/>
  <c r="C675" i="6"/>
  <c r="M675" i="6" s="1"/>
  <c r="R346" i="5"/>
  <c r="I675" i="6" s="1"/>
  <c r="R340" i="5"/>
  <c r="I663" i="6" s="1"/>
  <c r="D663" i="6"/>
  <c r="O663" i="6" s="1"/>
  <c r="V663" i="6" s="1"/>
  <c r="W340" i="5" s="1"/>
  <c r="V1245" i="6"/>
  <c r="W631" i="5" s="1"/>
  <c r="S1245" i="6"/>
  <c r="T631" i="5" s="1"/>
  <c r="U1245" i="6"/>
  <c r="V631" i="5" s="1"/>
  <c r="T1245" i="6"/>
  <c r="U631" i="5" s="1"/>
  <c r="R1245" i="6"/>
  <c r="S1225" i="6"/>
  <c r="T621" i="5" s="1"/>
  <c r="V1225" i="6"/>
  <c r="W621" i="5" s="1"/>
  <c r="U1225" i="6"/>
  <c r="V621" i="5" s="1"/>
  <c r="R1225" i="6"/>
  <c r="T1225" i="6"/>
  <c r="U621" i="5" s="1"/>
  <c r="C763" i="6"/>
  <c r="N763" i="6" s="1"/>
  <c r="R390" i="5"/>
  <c r="I763" i="6" s="1"/>
  <c r="C827" i="6"/>
  <c r="N827" i="6" s="1"/>
  <c r="R422" i="5"/>
  <c r="I827" i="6" s="1"/>
  <c r="C917" i="6"/>
  <c r="N917" i="6" s="1"/>
  <c r="R467" i="5"/>
  <c r="I917" i="6" s="1"/>
  <c r="C935" i="6"/>
  <c r="N935" i="6" s="1"/>
  <c r="R476" i="5"/>
  <c r="I935" i="6" s="1"/>
  <c r="C937" i="6"/>
  <c r="N937" i="6" s="1"/>
  <c r="R477" i="5"/>
  <c r="I937" i="6" s="1"/>
  <c r="R68" i="5"/>
  <c r="I119" i="6" s="1"/>
  <c r="C119" i="6"/>
  <c r="K119" i="6" s="1"/>
  <c r="R111" i="5"/>
  <c r="I205" i="6" s="1"/>
  <c r="C205" i="6"/>
  <c r="K205" i="6" s="1"/>
  <c r="R347" i="5"/>
  <c r="I677" i="6" s="1"/>
  <c r="C677" i="6"/>
  <c r="M677" i="6" s="1"/>
  <c r="T677" i="6" s="1"/>
  <c r="U347" i="5" s="1"/>
  <c r="C695" i="6"/>
  <c r="M695" i="6" s="1"/>
  <c r="R356" i="5"/>
  <c r="I695" i="6" s="1"/>
  <c r="C1295" i="6"/>
  <c r="P1295" i="6" s="1"/>
  <c r="R656" i="5"/>
  <c r="I1295" i="6" s="1"/>
  <c r="C1323" i="6"/>
  <c r="P1323" i="6" s="1"/>
  <c r="R670" i="5"/>
  <c r="I1323" i="6" s="1"/>
  <c r="C489" i="6"/>
  <c r="M489" i="6" s="1"/>
  <c r="R253" i="5"/>
  <c r="I489" i="6" s="1"/>
  <c r="C503" i="6"/>
  <c r="M503" i="6" s="1"/>
  <c r="R260" i="5"/>
  <c r="I503" i="6" s="1"/>
  <c r="R270" i="5"/>
  <c r="I523" i="6" s="1"/>
  <c r="C523" i="6"/>
  <c r="M523" i="6" s="1"/>
  <c r="C561" i="6"/>
  <c r="M561" i="6" s="1"/>
  <c r="R289" i="5"/>
  <c r="I561" i="6" s="1"/>
  <c r="C565" i="6"/>
  <c r="M565" i="6" s="1"/>
  <c r="R291" i="5"/>
  <c r="I565" i="6" s="1"/>
  <c r="C587" i="6"/>
  <c r="M587" i="6" s="1"/>
  <c r="R302" i="5"/>
  <c r="I587" i="6" s="1"/>
  <c r="C1293" i="6"/>
  <c r="P1293" i="6" s="1"/>
  <c r="R655" i="5"/>
  <c r="I1293" i="6" s="1"/>
  <c r="R697" i="5"/>
  <c r="I1377" i="6" s="1"/>
  <c r="C1377" i="6"/>
  <c r="P1377" i="6" s="1"/>
  <c r="W1377" i="6" s="1"/>
  <c r="X697" i="5" s="1"/>
  <c r="R319" i="5"/>
  <c r="I621" i="6" s="1"/>
  <c r="C621" i="6"/>
  <c r="M621" i="6" s="1"/>
  <c r="T621" i="6" s="1"/>
  <c r="U319" i="5" s="1"/>
  <c r="R348" i="5"/>
  <c r="I679" i="6" s="1"/>
  <c r="C679" i="6"/>
  <c r="M679" i="6" s="1"/>
  <c r="T679" i="6" s="1"/>
  <c r="U348" i="5" s="1"/>
  <c r="C699" i="6"/>
  <c r="M699" i="6" s="1"/>
  <c r="R358" i="5"/>
  <c r="I699" i="6" s="1"/>
  <c r="R372" i="5"/>
  <c r="I727" i="6" s="1"/>
  <c r="C727" i="6"/>
  <c r="N727" i="6" s="1"/>
  <c r="U727" i="6" s="1"/>
  <c r="V372" i="5" s="1"/>
  <c r="R376" i="5"/>
  <c r="I735" i="6" s="1"/>
  <c r="C735" i="6"/>
  <c r="N735" i="6" s="1"/>
  <c r="U735" i="6" s="1"/>
  <c r="V376" i="5" s="1"/>
  <c r="C761" i="6"/>
  <c r="N761" i="6" s="1"/>
  <c r="R389" i="5"/>
  <c r="I761" i="6" s="1"/>
  <c r="R406" i="5"/>
  <c r="I795" i="6" s="1"/>
  <c r="C795" i="6"/>
  <c r="N795" i="6" s="1"/>
  <c r="C799" i="6"/>
  <c r="N799" i="6" s="1"/>
  <c r="R408" i="5"/>
  <c r="I799" i="6" s="1"/>
  <c r="R410" i="5"/>
  <c r="I803" i="6" s="1"/>
  <c r="C803" i="6"/>
  <c r="N803" i="6" s="1"/>
  <c r="R418" i="5"/>
  <c r="I819" i="6" s="1"/>
  <c r="C819" i="6"/>
  <c r="N819" i="6" s="1"/>
  <c r="U819" i="6" s="1"/>
  <c r="V418" i="5" s="1"/>
  <c r="C835" i="6"/>
  <c r="N835" i="6" s="1"/>
  <c r="R426" i="5"/>
  <c r="I835" i="6" s="1"/>
  <c r="R436" i="5"/>
  <c r="I855" i="6" s="1"/>
  <c r="C855" i="6"/>
  <c r="N855" i="6" s="1"/>
  <c r="U855" i="6" s="1"/>
  <c r="V436" i="5" s="1"/>
  <c r="R439" i="5"/>
  <c r="I861" i="6" s="1"/>
  <c r="C861" i="6"/>
  <c r="N861" i="6" s="1"/>
  <c r="U861" i="6" s="1"/>
  <c r="V439" i="5" s="1"/>
  <c r="C1229" i="6"/>
  <c r="P1229" i="6" s="1"/>
  <c r="R623" i="5"/>
  <c r="I1229" i="6" s="1"/>
  <c r="R468" i="5"/>
  <c r="I919" i="6" s="1"/>
  <c r="C919" i="6"/>
  <c r="N919" i="6" s="1"/>
  <c r="U919" i="6" s="1"/>
  <c r="V468" i="5" s="1"/>
  <c r="C939" i="6"/>
  <c r="N939" i="6" s="1"/>
  <c r="R478" i="5"/>
  <c r="I939" i="6" s="1"/>
  <c r="C1231" i="6"/>
  <c r="P1231" i="6" s="1"/>
  <c r="R624" i="5"/>
  <c r="I1231" i="6" s="1"/>
  <c r="C1321" i="6"/>
  <c r="P1321" i="6" s="1"/>
  <c r="R669" i="5"/>
  <c r="I1321" i="6" s="1"/>
  <c r="C1351" i="6"/>
  <c r="P1351" i="6" s="1"/>
  <c r="R684" i="5"/>
  <c r="I1351" i="6" s="1"/>
  <c r="R287" i="5"/>
  <c r="I557" i="6" s="1"/>
  <c r="C557" i="6"/>
  <c r="M557" i="6" s="1"/>
  <c r="T557" i="6" s="1"/>
  <c r="U287" i="5" s="1"/>
  <c r="R653" i="5"/>
  <c r="I1289" i="6" s="1"/>
  <c r="C1289" i="6"/>
  <c r="P1289" i="6" s="1"/>
  <c r="W1289" i="6" s="1"/>
  <c r="X653" i="5" s="1"/>
  <c r="R24" i="5"/>
  <c r="I31" i="6" s="1"/>
  <c r="C31" i="6"/>
  <c r="K31" i="6" s="1"/>
  <c r="R31" i="6" s="1"/>
  <c r="R27" i="5"/>
  <c r="I37" i="6" s="1"/>
  <c r="C37" i="6"/>
  <c r="K37" i="6" s="1"/>
  <c r="R37" i="6" s="1"/>
  <c r="C57" i="6"/>
  <c r="K57" i="6" s="1"/>
  <c r="R37" i="5"/>
  <c r="I57" i="6" s="1"/>
  <c r="C71" i="6"/>
  <c r="K71" i="6" s="1"/>
  <c r="R44" i="5"/>
  <c r="I71" i="6" s="1"/>
  <c r="R53" i="5"/>
  <c r="I89" i="6" s="1"/>
  <c r="C89" i="6"/>
  <c r="K89" i="6" s="1"/>
  <c r="R89" i="6" s="1"/>
  <c r="R60" i="5"/>
  <c r="I103" i="6" s="1"/>
  <c r="C103" i="6"/>
  <c r="K103" i="6" s="1"/>
  <c r="R103" i="6" s="1"/>
  <c r="S60" i="5" s="1"/>
  <c r="R64" i="5"/>
  <c r="I111" i="6" s="1"/>
  <c r="C111" i="6"/>
  <c r="K111" i="6" s="1"/>
  <c r="R111" i="6" s="1"/>
  <c r="R77" i="5"/>
  <c r="I137" i="6" s="1"/>
  <c r="C137" i="6"/>
  <c r="K137" i="6" s="1"/>
  <c r="R137" i="6" s="1"/>
  <c r="S77" i="5" s="1"/>
  <c r="C1213" i="6"/>
  <c r="P1213" i="6" s="1"/>
  <c r="R615" i="5"/>
  <c r="I1213" i="6" s="1"/>
  <c r="C1329" i="6"/>
  <c r="P1329" i="6" s="1"/>
  <c r="R673" i="5"/>
  <c r="I1329" i="6" s="1"/>
  <c r="R26" i="5"/>
  <c r="I35" i="6" s="1"/>
  <c r="C35" i="6"/>
  <c r="K35" i="6" s="1"/>
  <c r="R35" i="6" s="1"/>
  <c r="R110" i="5"/>
  <c r="I203" i="6" s="1"/>
  <c r="C203" i="6"/>
  <c r="K203" i="6" s="1"/>
  <c r="R203" i="6" s="1"/>
  <c r="R113" i="5"/>
  <c r="I209" i="6" s="1"/>
  <c r="C209" i="6"/>
  <c r="K209" i="6" s="1"/>
  <c r="R209" i="6" s="1"/>
  <c r="C223" i="6"/>
  <c r="K223" i="6" s="1"/>
  <c r="R120" i="5"/>
  <c r="I223" i="6" s="1"/>
  <c r="C1217" i="6"/>
  <c r="P1217" i="6" s="1"/>
  <c r="R617" i="5"/>
  <c r="I1217" i="6" s="1"/>
  <c r="C1303" i="6"/>
  <c r="P1303" i="6" s="1"/>
  <c r="R660" i="5"/>
  <c r="I1303" i="6" s="1"/>
  <c r="W1303" i="6" s="1"/>
  <c r="X660" i="5" s="1"/>
  <c r="T389" i="6"/>
  <c r="U203" i="5" s="1"/>
  <c r="W389" i="6"/>
  <c r="X203" i="5" s="1"/>
  <c r="U389" i="6"/>
  <c r="V203" i="5" s="1"/>
  <c r="R389" i="6"/>
  <c r="S203" i="5" s="1"/>
  <c r="V389" i="6"/>
  <c r="W203" i="5" s="1"/>
  <c r="W397" i="6"/>
  <c r="X207" i="5" s="1"/>
  <c r="V397" i="6"/>
  <c r="W207" i="5" s="1"/>
  <c r="R397" i="6"/>
  <c r="S207" i="5" s="1"/>
  <c r="U397" i="6"/>
  <c r="V207" i="5" s="1"/>
  <c r="T397" i="6"/>
  <c r="U207" i="5" s="1"/>
  <c r="C1287" i="6"/>
  <c r="P1287" i="6" s="1"/>
  <c r="R652" i="5"/>
  <c r="I1287" i="6" s="1"/>
  <c r="C1319" i="6"/>
  <c r="P1319" i="6" s="1"/>
  <c r="R668" i="5"/>
  <c r="I1319" i="6" s="1"/>
  <c r="C487" i="6"/>
  <c r="M487" i="6" s="1"/>
  <c r="R252" i="5"/>
  <c r="I487" i="6" s="1"/>
  <c r="R256" i="5"/>
  <c r="I495" i="6" s="1"/>
  <c r="C495" i="6"/>
  <c r="M495" i="6" s="1"/>
  <c r="T495" i="6" s="1"/>
  <c r="U256" i="5" s="1"/>
  <c r="C521" i="6"/>
  <c r="M521" i="6" s="1"/>
  <c r="R269" i="5"/>
  <c r="I521" i="6" s="1"/>
  <c r="C555" i="6"/>
  <c r="M555" i="6" s="1"/>
  <c r="R286" i="5"/>
  <c r="I555" i="6" s="1"/>
  <c r="W387" i="6"/>
  <c r="X202" i="5" s="1"/>
  <c r="T387" i="6"/>
  <c r="U202" i="5" s="1"/>
  <c r="R387" i="6"/>
  <c r="U387" i="6"/>
  <c r="V202" i="5" s="1"/>
  <c r="V387" i="6"/>
  <c r="W202" i="5" s="1"/>
  <c r="R307" i="5"/>
  <c r="I597" i="6" s="1"/>
  <c r="C597" i="6"/>
  <c r="M597" i="6" s="1"/>
  <c r="R357" i="5"/>
  <c r="I697" i="6" s="1"/>
  <c r="C697" i="6"/>
  <c r="M697" i="6" s="1"/>
  <c r="C559" i="6"/>
  <c r="M559" i="6" s="1"/>
  <c r="R288" i="5"/>
  <c r="I559" i="6" s="1"/>
  <c r="C563" i="6"/>
  <c r="M563" i="6" s="1"/>
  <c r="R290" i="5"/>
  <c r="I563" i="6" s="1"/>
  <c r="C579" i="6"/>
  <c r="M579" i="6" s="1"/>
  <c r="R298" i="5"/>
  <c r="I579" i="6" s="1"/>
  <c r="C595" i="6"/>
  <c r="M595" i="6" s="1"/>
  <c r="R306" i="5"/>
  <c r="I595" i="6" s="1"/>
  <c r="R692" i="5"/>
  <c r="I1367" i="6" s="1"/>
  <c r="C1367" i="6"/>
  <c r="P1367" i="6" s="1"/>
  <c r="R316" i="5"/>
  <c r="I615" i="6" s="1"/>
  <c r="C615" i="6"/>
  <c r="M615" i="6" s="1"/>
  <c r="T615" i="6" s="1"/>
  <c r="U316" i="5" s="1"/>
  <c r="V1005" i="6"/>
  <c r="W511" i="5" s="1"/>
  <c r="S1005" i="6"/>
  <c r="T511" i="5" s="1"/>
  <c r="R1005" i="6"/>
  <c r="S511" i="5" s="1"/>
  <c r="T1005" i="6"/>
  <c r="U511" i="5" s="1"/>
  <c r="U1005" i="6"/>
  <c r="V511" i="5" s="1"/>
  <c r="W1401" i="6"/>
  <c r="X709" i="5" s="1"/>
  <c r="U1401" i="6"/>
  <c r="V709" i="5" s="1"/>
  <c r="T1401" i="6"/>
  <c r="U709" i="5" s="1"/>
  <c r="S1401" i="6"/>
  <c r="T709" i="5" s="1"/>
  <c r="V1401" i="6"/>
  <c r="W709" i="5" s="1"/>
  <c r="W237" i="6"/>
  <c r="X127" i="5" s="1"/>
  <c r="U237" i="6"/>
  <c r="V127" i="5" s="1"/>
  <c r="S237" i="6"/>
  <c r="V237" i="6"/>
  <c r="W127" i="5" s="1"/>
  <c r="T237" i="6"/>
  <c r="U127" i="5" s="1"/>
  <c r="C1029" i="6"/>
  <c r="O1029" i="6" s="1"/>
  <c r="R523" i="5"/>
  <c r="I1029" i="6" s="1"/>
  <c r="C999" i="6"/>
  <c r="O999" i="6" s="1"/>
  <c r="R508" i="5"/>
  <c r="I999" i="6" s="1"/>
  <c r="C1425" i="6"/>
  <c r="P1425" i="6" s="1"/>
  <c r="R721" i="5"/>
  <c r="I1425" i="6" s="1"/>
  <c r="F1419" i="6"/>
  <c r="K1419" i="6" s="1"/>
  <c r="R718" i="5"/>
  <c r="I1419" i="6" s="1"/>
  <c r="R717" i="5"/>
  <c r="I1417" i="6" s="1"/>
  <c r="D1417" i="6"/>
  <c r="O1417" i="6" s="1"/>
  <c r="V1417" i="6" s="1"/>
  <c r="W717" i="5" s="1"/>
  <c r="D1415" i="6"/>
  <c r="O1415" i="6" s="1"/>
  <c r="R716" i="5"/>
  <c r="I1415" i="6" s="1"/>
  <c r="D1399" i="6"/>
  <c r="O1399" i="6" s="1"/>
  <c r="R708" i="5"/>
  <c r="I1399" i="6" s="1"/>
  <c r="C1397" i="6"/>
  <c r="P1397" i="6" s="1"/>
  <c r="R707" i="5"/>
  <c r="I1397" i="6" s="1"/>
  <c r="E1341" i="6"/>
  <c r="O1341" i="6" s="1"/>
  <c r="R679" i="5"/>
  <c r="I1341" i="6" s="1"/>
  <c r="R667" i="5"/>
  <c r="I1317" i="6" s="1"/>
  <c r="D1317" i="6"/>
  <c r="M1317" i="6" s="1"/>
  <c r="T1317" i="6" s="1"/>
  <c r="U667" i="5" s="1"/>
  <c r="E1243" i="6"/>
  <c r="O1243" i="6" s="1"/>
  <c r="R630" i="5"/>
  <c r="I1243" i="6" s="1"/>
  <c r="C1075" i="6"/>
  <c r="O1075" i="6" s="1"/>
  <c r="R546" i="5"/>
  <c r="I1075" i="6" s="1"/>
  <c r="R510" i="5"/>
  <c r="I1003" i="6" s="1"/>
  <c r="C1003" i="6"/>
  <c r="O1003" i="6" s="1"/>
  <c r="C983" i="6"/>
  <c r="O983" i="6" s="1"/>
  <c r="R500" i="5"/>
  <c r="I983" i="6" s="1"/>
  <c r="C969" i="6"/>
  <c r="O969" i="6" s="1"/>
  <c r="R493" i="5"/>
  <c r="I969" i="6" s="1"/>
  <c r="E1157" i="6"/>
  <c r="K1157" i="6" s="1"/>
  <c r="R587" i="5"/>
  <c r="I1157" i="6" s="1"/>
  <c r="V1157" i="6" s="1"/>
  <c r="W587" i="5" s="1"/>
  <c r="R529" i="5"/>
  <c r="I1041" i="6" s="1"/>
  <c r="C1041" i="6"/>
  <c r="O1041" i="6" s="1"/>
  <c r="V1041" i="6" s="1"/>
  <c r="W529" i="5" s="1"/>
  <c r="F1223" i="6"/>
  <c r="O1223" i="6" s="1"/>
  <c r="R620" i="5"/>
  <c r="I1223" i="6" s="1"/>
  <c r="F1335" i="6"/>
  <c r="K1335" i="6" s="1"/>
  <c r="R676" i="5"/>
  <c r="I1335" i="6" s="1"/>
  <c r="R598" i="5"/>
  <c r="I1179" i="6" s="1"/>
  <c r="C1179" i="6"/>
  <c r="O1179" i="6" s="1"/>
  <c r="R559" i="5"/>
  <c r="I1101" i="6" s="1"/>
  <c r="C1101" i="6"/>
  <c r="O1101" i="6" s="1"/>
  <c r="V1101" i="6" s="1"/>
  <c r="W559" i="5" s="1"/>
  <c r="C967" i="6"/>
  <c r="O967" i="6" s="1"/>
  <c r="R492" i="5"/>
  <c r="I967" i="6" s="1"/>
  <c r="C1035" i="6"/>
  <c r="O1035" i="6" s="1"/>
  <c r="R526" i="5"/>
  <c r="I1035" i="6" s="1"/>
  <c r="C717" i="6"/>
  <c r="M717" i="6" s="1"/>
  <c r="R367" i="5"/>
  <c r="I717" i="6" s="1"/>
  <c r="E711" i="6"/>
  <c r="O711" i="6" s="1"/>
  <c r="R364" i="5"/>
  <c r="I711" i="6" s="1"/>
  <c r="C693" i="6"/>
  <c r="M693" i="6" s="1"/>
  <c r="R355" i="5"/>
  <c r="I693" i="6" s="1"/>
  <c r="R354" i="5"/>
  <c r="I691" i="6" s="1"/>
  <c r="V691" i="6" s="1"/>
  <c r="W354" i="5" s="1"/>
  <c r="C691" i="6"/>
  <c r="M691" i="6" s="1"/>
  <c r="D669" i="6"/>
  <c r="O669" i="6" s="1"/>
  <c r="R343" i="5"/>
  <c r="I669" i="6" s="1"/>
  <c r="C645" i="6"/>
  <c r="M645" i="6" s="1"/>
  <c r="R331" i="5"/>
  <c r="I645" i="6" s="1"/>
  <c r="C643" i="6"/>
  <c r="M643" i="6" s="1"/>
  <c r="R330" i="5"/>
  <c r="I643" i="6" s="1"/>
  <c r="D635" i="6"/>
  <c r="O635" i="6" s="1"/>
  <c r="R326" i="5"/>
  <c r="I635" i="6" s="1"/>
  <c r="C627" i="6"/>
  <c r="M627" i="6" s="1"/>
  <c r="R322" i="5"/>
  <c r="I627" i="6" s="1"/>
  <c r="D1241" i="6"/>
  <c r="K1241" i="6" s="1"/>
  <c r="R629" i="5"/>
  <c r="I1241" i="6" s="1"/>
  <c r="D1207" i="6"/>
  <c r="K1207" i="6" s="1"/>
  <c r="R612" i="5"/>
  <c r="I1207" i="6" s="1"/>
  <c r="R601" i="5"/>
  <c r="I1185" i="6" s="1"/>
  <c r="C1185" i="6"/>
  <c r="O1185" i="6" s="1"/>
  <c r="V1185" i="6" s="1"/>
  <c r="W601" i="5" s="1"/>
  <c r="R285" i="5"/>
  <c r="I553" i="6" s="1"/>
  <c r="C553" i="6"/>
  <c r="M553" i="6" s="1"/>
  <c r="C551" i="6"/>
  <c r="M551" i="6" s="1"/>
  <c r="R284" i="5"/>
  <c r="I551" i="6" s="1"/>
  <c r="C549" i="6"/>
  <c r="M549" i="6" s="1"/>
  <c r="R283" i="5"/>
  <c r="I549" i="6" s="1"/>
  <c r="F527" i="6"/>
  <c r="O527" i="6" s="1"/>
  <c r="R272" i="5"/>
  <c r="I527" i="6" s="1"/>
  <c r="R268" i="5"/>
  <c r="I519" i="6" s="1"/>
  <c r="D519" i="6"/>
  <c r="K519" i="6" s="1"/>
  <c r="R519" i="6" s="1"/>
  <c r="E515" i="6"/>
  <c r="O515" i="6" s="1"/>
  <c r="R266" i="5"/>
  <c r="I515" i="6" s="1"/>
  <c r="E507" i="6"/>
  <c r="O507" i="6" s="1"/>
  <c r="R262" i="5"/>
  <c r="I507" i="6" s="1"/>
  <c r="G1067" i="6"/>
  <c r="L1067" i="6" s="1"/>
  <c r="R542" i="5"/>
  <c r="I1067" i="6" s="1"/>
  <c r="C747" i="6"/>
  <c r="N747" i="6" s="1"/>
  <c r="R382" i="5"/>
  <c r="I747" i="6" s="1"/>
  <c r="C1365" i="6"/>
  <c r="P1365" i="6" s="1"/>
  <c r="R691" i="5"/>
  <c r="I1365" i="6" s="1"/>
  <c r="C1363" i="6"/>
  <c r="P1363" i="6" s="1"/>
  <c r="R690" i="5"/>
  <c r="I1363" i="6" s="1"/>
  <c r="C1107" i="6"/>
  <c r="O1107" i="6" s="1"/>
  <c r="R562" i="5"/>
  <c r="I1107" i="6" s="1"/>
  <c r="C239" i="6"/>
  <c r="K239" i="6" s="1"/>
  <c r="R128" i="5"/>
  <c r="I239" i="6" s="1"/>
  <c r="C231" i="6"/>
  <c r="K231" i="6" s="1"/>
  <c r="R124" i="5"/>
  <c r="I231" i="6" s="1"/>
  <c r="C191" i="6"/>
  <c r="K191" i="6" s="1"/>
  <c r="R104" i="5"/>
  <c r="I191" i="6" s="1"/>
  <c r="C171" i="6"/>
  <c r="K171" i="6" s="1"/>
  <c r="R94" i="5"/>
  <c r="I171" i="6" s="1"/>
  <c r="R829" i="6"/>
  <c r="S829" i="6"/>
  <c r="T423" i="5" s="1"/>
  <c r="V829" i="6"/>
  <c r="W423" i="5" s="1"/>
  <c r="T829" i="6"/>
  <c r="U423" i="5" s="1"/>
  <c r="S389" i="6"/>
  <c r="R237" i="6"/>
  <c r="S127" i="5" s="1"/>
  <c r="S281" i="6"/>
  <c r="T149" i="5" s="1"/>
  <c r="S273" i="6"/>
  <c r="T145" i="5" s="1"/>
  <c r="S395" i="6"/>
  <c r="T206" i="5" s="1"/>
  <c r="W453" i="6"/>
  <c r="X235" i="5" s="1"/>
  <c r="W455" i="6"/>
  <c r="X236" i="5" s="1"/>
  <c r="W465" i="6"/>
  <c r="X241" i="5" s="1"/>
  <c r="W467" i="6"/>
  <c r="X242" i="5" s="1"/>
  <c r="W473" i="6"/>
  <c r="X245" i="5" s="1"/>
  <c r="U927" i="6"/>
  <c r="V472" i="5" s="1"/>
  <c r="V471" i="6"/>
  <c r="W244" i="5" s="1"/>
  <c r="U471" i="6"/>
  <c r="V244" i="5" s="1"/>
  <c r="R471" i="6"/>
  <c r="T471" i="6"/>
  <c r="U244" i="5" s="1"/>
  <c r="W471" i="6"/>
  <c r="X244" i="5" s="1"/>
  <c r="U245" i="6"/>
  <c r="V131" i="5" s="1"/>
  <c r="R245" i="6"/>
  <c r="T245" i="6"/>
  <c r="U131" i="5" s="1"/>
  <c r="W245" i="6"/>
  <c r="X131" i="5" s="1"/>
  <c r="V245" i="6"/>
  <c r="W131" i="5" s="1"/>
  <c r="U243" i="6"/>
  <c r="V130" i="5" s="1"/>
  <c r="T243" i="6"/>
  <c r="U130" i="5" s="1"/>
  <c r="R243" i="6"/>
  <c r="V243" i="6"/>
  <c r="W130" i="5" s="1"/>
  <c r="W243" i="6"/>
  <c r="X130" i="5" s="1"/>
  <c r="R275" i="6"/>
  <c r="U275" i="6"/>
  <c r="V146" i="5" s="1"/>
  <c r="W275" i="6"/>
  <c r="X146" i="5" s="1"/>
  <c r="T275" i="6"/>
  <c r="U146" i="5" s="1"/>
  <c r="V275" i="6"/>
  <c r="W146" i="5" s="1"/>
  <c r="W259" i="6"/>
  <c r="X138" i="5" s="1"/>
  <c r="U259" i="6"/>
  <c r="V138" i="5" s="1"/>
  <c r="R259" i="6"/>
  <c r="T259" i="6"/>
  <c r="U138" i="5" s="1"/>
  <c r="V259" i="6"/>
  <c r="W138" i="5" s="1"/>
  <c r="T271" i="6"/>
  <c r="U144" i="5" s="1"/>
  <c r="R271" i="6"/>
  <c r="V271" i="6"/>
  <c r="W144" i="5" s="1"/>
  <c r="W271" i="6"/>
  <c r="X144" i="5" s="1"/>
  <c r="U271" i="6"/>
  <c r="V144" i="5" s="1"/>
  <c r="U251" i="6"/>
  <c r="V134" i="5" s="1"/>
  <c r="R251" i="6"/>
  <c r="T251" i="6"/>
  <c r="U134" i="5" s="1"/>
  <c r="W251" i="6"/>
  <c r="X134" i="5" s="1"/>
  <c r="V251" i="6"/>
  <c r="W134" i="5" s="1"/>
  <c r="R283" i="6"/>
  <c r="T283" i="6"/>
  <c r="U150" i="5" s="1"/>
  <c r="U283" i="6"/>
  <c r="V150" i="5" s="1"/>
  <c r="V283" i="6"/>
  <c r="W150" i="5" s="1"/>
  <c r="W283" i="6"/>
  <c r="X150" i="5" s="1"/>
  <c r="U267" i="6"/>
  <c r="V142" i="5" s="1"/>
  <c r="W267" i="6"/>
  <c r="X142" i="5" s="1"/>
  <c r="V267" i="6"/>
  <c r="W142" i="5" s="1"/>
  <c r="T267" i="6"/>
  <c r="U142" i="5" s="1"/>
  <c r="R267" i="6"/>
  <c r="T247" i="6"/>
  <c r="U132" i="5" s="1"/>
  <c r="W247" i="6"/>
  <c r="X132" i="5" s="1"/>
  <c r="V247" i="6"/>
  <c r="W132" i="5" s="1"/>
  <c r="U247" i="6"/>
  <c r="V132" i="5" s="1"/>
  <c r="R247" i="6"/>
  <c r="R269" i="6"/>
  <c r="V269" i="6"/>
  <c r="W143" i="5" s="1"/>
  <c r="T269" i="6"/>
  <c r="U143" i="5" s="1"/>
  <c r="U269" i="6"/>
  <c r="V143" i="5" s="1"/>
  <c r="W269" i="6"/>
  <c r="X143" i="5" s="1"/>
  <c r="T287" i="6"/>
  <c r="U152" i="5" s="1"/>
  <c r="V287" i="6"/>
  <c r="W152" i="5" s="1"/>
  <c r="W287" i="6"/>
  <c r="X152" i="5" s="1"/>
  <c r="U287" i="6"/>
  <c r="V152" i="5" s="1"/>
  <c r="R287" i="6"/>
  <c r="W257" i="6"/>
  <c r="X137" i="5" s="1"/>
  <c r="U257" i="6"/>
  <c r="V137" i="5" s="1"/>
  <c r="R257" i="6"/>
  <c r="T257" i="6"/>
  <c r="U137" i="5" s="1"/>
  <c r="V257" i="6"/>
  <c r="W137" i="5" s="1"/>
  <c r="U253" i="6"/>
  <c r="V135" i="5" s="1"/>
  <c r="V253" i="6"/>
  <c r="W135" i="5" s="1"/>
  <c r="R253" i="6"/>
  <c r="T253" i="6"/>
  <c r="U135" i="5" s="1"/>
  <c r="W253" i="6"/>
  <c r="X135" i="5" s="1"/>
  <c r="R22" i="5"/>
  <c r="I27" i="6" s="1"/>
  <c r="C27" i="6"/>
  <c r="K27" i="6" s="1"/>
  <c r="C705" i="6"/>
  <c r="M705" i="6" s="1"/>
  <c r="R361" i="5"/>
  <c r="I705" i="6" s="1"/>
  <c r="R373" i="5"/>
  <c r="I729" i="6" s="1"/>
  <c r="C729" i="6"/>
  <c r="N729" i="6" s="1"/>
  <c r="U729" i="6" s="1"/>
  <c r="V373" i="5" s="1"/>
  <c r="R380" i="5"/>
  <c r="I743" i="6" s="1"/>
  <c r="C743" i="6"/>
  <c r="N743" i="6" s="1"/>
  <c r="U743" i="6" s="1"/>
  <c r="V380" i="5" s="1"/>
  <c r="R407" i="5"/>
  <c r="I797" i="6" s="1"/>
  <c r="C797" i="6"/>
  <c r="N797" i="6" s="1"/>
  <c r="U797" i="6" s="1"/>
  <c r="V407" i="5" s="1"/>
  <c r="R409" i="5"/>
  <c r="I801" i="6" s="1"/>
  <c r="C801" i="6"/>
  <c r="N801" i="6" s="1"/>
  <c r="U801" i="6" s="1"/>
  <c r="V409" i="5" s="1"/>
  <c r="C805" i="6"/>
  <c r="N805" i="6" s="1"/>
  <c r="R411" i="5"/>
  <c r="I805" i="6" s="1"/>
  <c r="R427" i="5"/>
  <c r="I837" i="6" s="1"/>
  <c r="C837" i="6"/>
  <c r="N837" i="6" s="1"/>
  <c r="U837" i="6" s="1"/>
  <c r="V427" i="5" s="1"/>
  <c r="C1371" i="6"/>
  <c r="P1371" i="6" s="1"/>
  <c r="R694" i="5"/>
  <c r="I1371" i="6" s="1"/>
  <c r="C1219" i="6"/>
  <c r="P1219" i="6" s="1"/>
  <c r="R618" i="5"/>
  <c r="I1219" i="6" s="1"/>
  <c r="C945" i="6"/>
  <c r="N945" i="6" s="1"/>
  <c r="R481" i="5"/>
  <c r="I945" i="6" s="1"/>
  <c r="C1301" i="6"/>
  <c r="P1301" i="6" s="1"/>
  <c r="R659" i="5"/>
  <c r="I1301" i="6" s="1"/>
  <c r="C1369" i="6"/>
  <c r="P1369" i="6" s="1"/>
  <c r="R693" i="5"/>
  <c r="I1369" i="6" s="1"/>
  <c r="R25" i="5"/>
  <c r="I33" i="6" s="1"/>
  <c r="C33" i="6"/>
  <c r="K33" i="6" s="1"/>
  <c r="R36" i="5"/>
  <c r="I55" i="6" s="1"/>
  <c r="C55" i="6"/>
  <c r="K55" i="6" s="1"/>
  <c r="R55" i="6" s="1"/>
  <c r="R40" i="5"/>
  <c r="I63" i="6" s="1"/>
  <c r="C63" i="6"/>
  <c r="K63" i="6" s="1"/>
  <c r="R63" i="6" s="1"/>
  <c r="R54" i="5"/>
  <c r="I91" i="6" s="1"/>
  <c r="C91" i="6"/>
  <c r="K91" i="6" s="1"/>
  <c r="R91" i="6" s="1"/>
  <c r="C105" i="6"/>
  <c r="K105" i="6" s="1"/>
  <c r="R61" i="5"/>
  <c r="I105" i="6" s="1"/>
  <c r="R78" i="5"/>
  <c r="I139" i="6" s="1"/>
  <c r="C139" i="6"/>
  <c r="K139" i="6" s="1"/>
  <c r="C1297" i="6"/>
  <c r="P1297" i="6" s="1"/>
  <c r="R657" i="5"/>
  <c r="I1297" i="6" s="1"/>
  <c r="R23" i="5"/>
  <c r="I29" i="6" s="1"/>
  <c r="C29" i="6"/>
  <c r="K29" i="6" s="1"/>
  <c r="C211" i="6"/>
  <c r="K211" i="6" s="1"/>
  <c r="R114" i="5"/>
  <c r="I211" i="6" s="1"/>
  <c r="R119" i="5"/>
  <c r="I221" i="6" s="1"/>
  <c r="C221" i="6"/>
  <c r="K221" i="6" s="1"/>
  <c r="R221" i="6" s="1"/>
  <c r="R614" i="5"/>
  <c r="I1211" i="6" s="1"/>
  <c r="C1211" i="6"/>
  <c r="P1211" i="6" s="1"/>
  <c r="W1211" i="6" s="1"/>
  <c r="X614" i="5" s="1"/>
  <c r="C1291" i="6"/>
  <c r="P1291" i="6" s="1"/>
  <c r="R654" i="5"/>
  <c r="I1291" i="6" s="1"/>
  <c r="C1349" i="6"/>
  <c r="P1349" i="6" s="1"/>
  <c r="R683" i="5"/>
  <c r="I1349" i="6" s="1"/>
  <c r="W391" i="6"/>
  <c r="X204" i="5" s="1"/>
  <c r="U391" i="6"/>
  <c r="V204" i="5" s="1"/>
  <c r="R391" i="6"/>
  <c r="T391" i="6"/>
  <c r="U204" i="5" s="1"/>
  <c r="V391" i="6"/>
  <c r="W204" i="5" s="1"/>
  <c r="R282" i="5"/>
  <c r="I547" i="6" s="1"/>
  <c r="C547" i="6"/>
  <c r="M547" i="6" s="1"/>
  <c r="T547" i="6" s="1"/>
  <c r="U282" i="5" s="1"/>
  <c r="C545" i="6"/>
  <c r="M545" i="6" s="1"/>
  <c r="R281" i="5"/>
  <c r="I545" i="6" s="1"/>
  <c r="C543" i="6"/>
  <c r="M543" i="6" s="1"/>
  <c r="R280" i="5"/>
  <c r="I543" i="6" s="1"/>
  <c r="C485" i="6"/>
  <c r="M485" i="6" s="1"/>
  <c r="R251" i="5"/>
  <c r="I485" i="6" s="1"/>
  <c r="C483" i="6"/>
  <c r="M483" i="6" s="1"/>
  <c r="R250" i="5"/>
  <c r="I483" i="6" s="1"/>
  <c r="C1037" i="6"/>
  <c r="O1037" i="6" s="1"/>
  <c r="R527" i="5"/>
  <c r="I1037" i="6" s="1"/>
  <c r="U383" i="6"/>
  <c r="V200" i="5" s="1"/>
  <c r="W383" i="6"/>
  <c r="X200" i="5" s="1"/>
  <c r="R383" i="6"/>
  <c r="T383" i="6"/>
  <c r="U200" i="5" s="1"/>
  <c r="V383" i="6"/>
  <c r="W200" i="5" s="1"/>
  <c r="W381" i="6"/>
  <c r="X199" i="5" s="1"/>
  <c r="U381" i="6"/>
  <c r="V199" i="5" s="1"/>
  <c r="T381" i="6"/>
  <c r="U199" i="5" s="1"/>
  <c r="R381" i="6"/>
  <c r="V381" i="6"/>
  <c r="W199" i="5" s="1"/>
  <c r="W365" i="6"/>
  <c r="X191" i="5" s="1"/>
  <c r="U365" i="6"/>
  <c r="V191" i="5" s="1"/>
  <c r="V365" i="6"/>
  <c r="W191" i="5" s="1"/>
  <c r="R365" i="6"/>
  <c r="T365" i="6"/>
  <c r="U191" i="5" s="1"/>
  <c r="V363" i="6"/>
  <c r="W190" i="5" s="1"/>
  <c r="W363" i="6"/>
  <c r="X190" i="5" s="1"/>
  <c r="R363" i="6"/>
  <c r="U363" i="6"/>
  <c r="V190" i="5" s="1"/>
  <c r="T363" i="6"/>
  <c r="U190" i="5" s="1"/>
  <c r="R531" i="5"/>
  <c r="I1045" i="6" s="1"/>
  <c r="C1045" i="6"/>
  <c r="O1045" i="6" s="1"/>
  <c r="C1043" i="6"/>
  <c r="O1043" i="6" s="1"/>
  <c r="R530" i="5"/>
  <c r="I1043" i="6" s="1"/>
  <c r="R528" i="5"/>
  <c r="I1039" i="6" s="1"/>
  <c r="C1039" i="6"/>
  <c r="O1039" i="6" s="1"/>
  <c r="R112" i="5"/>
  <c r="I207" i="6" s="1"/>
  <c r="C207" i="6"/>
  <c r="K207" i="6" s="1"/>
  <c r="R207" i="6" s="1"/>
  <c r="R88" i="5"/>
  <c r="I159" i="6" s="1"/>
  <c r="C159" i="6"/>
  <c r="K159" i="6" s="1"/>
  <c r="R159" i="6" s="1"/>
  <c r="S88" i="5" s="1"/>
  <c r="R85" i="5"/>
  <c r="I153" i="6" s="1"/>
  <c r="C153" i="6"/>
  <c r="K153" i="6" s="1"/>
  <c r="R84" i="5"/>
  <c r="I151" i="6" s="1"/>
  <c r="C151" i="6"/>
  <c r="K151" i="6" s="1"/>
  <c r="C25" i="6"/>
  <c r="K25" i="6" s="1"/>
  <c r="R21" i="5"/>
  <c r="I25" i="6" s="1"/>
  <c r="C21" i="6"/>
  <c r="K21" i="6" s="1"/>
  <c r="R19" i="5"/>
  <c r="I21" i="6" s="1"/>
  <c r="R18" i="5"/>
  <c r="I19" i="6" s="1"/>
  <c r="C19" i="6"/>
  <c r="K19" i="6" s="1"/>
  <c r="R19" i="6" s="1"/>
  <c r="S18" i="5" s="1"/>
  <c r="R666" i="5"/>
  <c r="I1315" i="6" s="1"/>
  <c r="C1315" i="6"/>
  <c r="P1315" i="6" s="1"/>
  <c r="W1315" i="6" s="1"/>
  <c r="X666" i="5" s="1"/>
  <c r="R547" i="5"/>
  <c r="I1077" i="6" s="1"/>
  <c r="C1077" i="6"/>
  <c r="O1077" i="6" s="1"/>
  <c r="V1077" i="6" s="1"/>
  <c r="W547" i="5" s="1"/>
  <c r="C975" i="6"/>
  <c r="O975" i="6" s="1"/>
  <c r="R496" i="5"/>
  <c r="I975" i="6" s="1"/>
  <c r="R20" i="5"/>
  <c r="I23" i="6" s="1"/>
  <c r="C23" i="6"/>
  <c r="K23" i="6" s="1"/>
  <c r="R23" i="6" s="1"/>
  <c r="S20" i="5" s="1"/>
  <c r="R17" i="5"/>
  <c r="I17" i="6" s="1"/>
  <c r="C17" i="6"/>
  <c r="K17" i="6" s="1"/>
  <c r="C15" i="6"/>
  <c r="K15" i="6" s="1"/>
  <c r="R16" i="5"/>
  <c r="I15" i="6" s="1"/>
  <c r="R538" i="5"/>
  <c r="I1059" i="6" s="1"/>
  <c r="C1059" i="6"/>
  <c r="O1059" i="6" s="1"/>
  <c r="T623" i="6"/>
  <c r="S263" i="6"/>
  <c r="T140" i="5" s="1"/>
  <c r="S393" i="6"/>
  <c r="T205" i="5" s="1"/>
  <c r="W1353" i="6"/>
  <c r="X685" i="5" s="1"/>
  <c r="U961" i="6"/>
  <c r="V489" i="5" s="1"/>
  <c r="V1145" i="6"/>
  <c r="W581" i="5" s="1"/>
  <c r="T579" i="6"/>
  <c r="U298" i="5" s="1"/>
  <c r="V1085" i="6"/>
  <c r="W551" i="5" s="1"/>
  <c r="U787" i="6"/>
  <c r="V402" i="5" s="1"/>
  <c r="T281" i="6"/>
  <c r="U149" i="5" s="1"/>
  <c r="W281" i="6"/>
  <c r="X149" i="5" s="1"/>
  <c r="V281" i="6"/>
  <c r="W149" i="5" s="1"/>
  <c r="R281" i="6"/>
  <c r="U281" i="6"/>
  <c r="V149" i="5" s="1"/>
  <c r="U279" i="6"/>
  <c r="V148" i="5" s="1"/>
  <c r="T279" i="6"/>
  <c r="U148" i="5" s="1"/>
  <c r="R279" i="6"/>
  <c r="W279" i="6"/>
  <c r="X148" i="5" s="1"/>
  <c r="V279" i="6"/>
  <c r="W148" i="5" s="1"/>
  <c r="W273" i="6"/>
  <c r="X145" i="5" s="1"/>
  <c r="T273" i="6"/>
  <c r="U145" i="5" s="1"/>
  <c r="R273" i="6"/>
  <c r="U273" i="6"/>
  <c r="V145" i="5" s="1"/>
  <c r="V273" i="6"/>
  <c r="W145" i="5" s="1"/>
  <c r="R263" i="6"/>
  <c r="U263" i="6"/>
  <c r="V140" i="5" s="1"/>
  <c r="W263" i="6"/>
  <c r="X140" i="5" s="1"/>
  <c r="T263" i="6"/>
  <c r="U140" i="5" s="1"/>
  <c r="V263" i="6"/>
  <c r="W140" i="5" s="1"/>
  <c r="T395" i="6"/>
  <c r="U206" i="5" s="1"/>
  <c r="W395" i="6"/>
  <c r="X206" i="5" s="1"/>
  <c r="R395" i="6"/>
  <c r="U395" i="6"/>
  <c r="V206" i="5" s="1"/>
  <c r="V395" i="6"/>
  <c r="W206" i="5" s="1"/>
  <c r="W393" i="6"/>
  <c r="X205" i="5" s="1"/>
  <c r="T393" i="6"/>
  <c r="U205" i="5" s="1"/>
  <c r="V393" i="6"/>
  <c r="W205" i="5" s="1"/>
  <c r="U393" i="6"/>
  <c r="V205" i="5" s="1"/>
  <c r="R393" i="6"/>
  <c r="C1247" i="6"/>
  <c r="P1247" i="6" s="1"/>
  <c r="R632" i="5"/>
  <c r="I1247" i="6" s="1"/>
  <c r="R611" i="5"/>
  <c r="I1205" i="6" s="1"/>
  <c r="C1205" i="6"/>
  <c r="P1205" i="6" s="1"/>
  <c r="W1205" i="6" s="1"/>
  <c r="X611" i="5" s="1"/>
  <c r="C1191" i="6"/>
  <c r="O1191" i="6" s="1"/>
  <c r="R604" i="5"/>
  <c r="I1191" i="6" s="1"/>
  <c r="R484" i="5"/>
  <c r="I951" i="6" s="1"/>
  <c r="C951" i="6"/>
  <c r="N951" i="6" s="1"/>
  <c r="U951" i="6" s="1"/>
  <c r="V484" i="5" s="1"/>
  <c r="C909" i="6"/>
  <c r="N909" i="6" s="1"/>
  <c r="R463" i="5"/>
  <c r="I909" i="6" s="1"/>
  <c r="C995" i="6"/>
  <c r="O995" i="6" s="1"/>
  <c r="R506" i="5"/>
  <c r="I995" i="6" s="1"/>
  <c r="C903" i="6"/>
  <c r="N903" i="6" s="1"/>
  <c r="R460" i="5"/>
  <c r="I903" i="6" s="1"/>
  <c r="C885" i="6"/>
  <c r="N885" i="6" s="1"/>
  <c r="R451" i="5"/>
  <c r="I885" i="6" s="1"/>
  <c r="C875" i="6"/>
  <c r="N875" i="6" s="1"/>
  <c r="R446" i="5"/>
  <c r="I875" i="6" s="1"/>
  <c r="C759" i="6"/>
  <c r="N759" i="6" s="1"/>
  <c r="R388" i="5"/>
  <c r="I759" i="6" s="1"/>
  <c r="C1227" i="6"/>
  <c r="P1227" i="6" s="1"/>
  <c r="R622" i="5"/>
  <c r="I1227" i="6" s="1"/>
  <c r="C755" i="6"/>
  <c r="N755" i="6" s="1"/>
  <c r="R386" i="5"/>
  <c r="I755" i="6" s="1"/>
  <c r="C1263" i="6"/>
  <c r="P1263" i="6" s="1"/>
  <c r="R640" i="5"/>
  <c r="I1263" i="6" s="1"/>
  <c r="C1273" i="6"/>
  <c r="P1273" i="6" s="1"/>
  <c r="R645" i="5"/>
  <c r="I1273" i="6" s="1"/>
  <c r="R644" i="5"/>
  <c r="I1271" i="6" s="1"/>
  <c r="C1271" i="6"/>
  <c r="P1271" i="6" s="1"/>
  <c r="C1235" i="6"/>
  <c r="P1235" i="6" s="1"/>
  <c r="R626" i="5"/>
  <c r="I1235" i="6" s="1"/>
  <c r="R643" i="5"/>
  <c r="I1269" i="6" s="1"/>
  <c r="C1269" i="6"/>
  <c r="P1269" i="6" s="1"/>
  <c r="C1267" i="6"/>
  <c r="P1267" i="6" s="1"/>
  <c r="R642" i="5"/>
  <c r="I1267" i="6" s="1"/>
  <c r="R610" i="5"/>
  <c r="I1203" i="6" s="1"/>
  <c r="C1203" i="6"/>
  <c r="P1203" i="6" s="1"/>
  <c r="W1203" i="6" s="1"/>
  <c r="X610" i="5" s="1"/>
  <c r="C1265" i="6"/>
  <c r="P1265" i="6" s="1"/>
  <c r="R641" i="5"/>
  <c r="I1265" i="6" s="1"/>
  <c r="R522" i="5"/>
  <c r="I1027" i="6" s="1"/>
  <c r="C1027" i="6"/>
  <c r="O1027" i="6" s="1"/>
  <c r="V1027" i="6" s="1"/>
  <c r="W522" i="5" s="1"/>
  <c r="R122" i="5"/>
  <c r="I227" i="6" s="1"/>
  <c r="C227" i="6"/>
  <c r="K227" i="6" s="1"/>
  <c r="R227" i="6" s="1"/>
  <c r="R118" i="5"/>
  <c r="I219" i="6" s="1"/>
  <c r="C219" i="6"/>
  <c r="K219" i="6" s="1"/>
  <c r="C183" i="6"/>
  <c r="K183" i="6" s="1"/>
  <c r="R100" i="5"/>
  <c r="I183" i="6" s="1"/>
  <c r="C179" i="6"/>
  <c r="K179" i="6" s="1"/>
  <c r="R98" i="5"/>
  <c r="I179" i="6" s="1"/>
  <c r="R83" i="5"/>
  <c r="I149" i="6" s="1"/>
  <c r="C149" i="6"/>
  <c r="K149" i="6" s="1"/>
  <c r="R82" i="5"/>
  <c r="I147" i="6" s="1"/>
  <c r="C147" i="6"/>
  <c r="K147" i="6" s="1"/>
  <c r="R147" i="6" s="1"/>
  <c r="R80" i="5"/>
  <c r="I143" i="6" s="1"/>
  <c r="C143" i="6"/>
  <c r="K143" i="6" s="1"/>
  <c r="R143" i="6" s="1"/>
  <c r="S80" i="5" s="1"/>
  <c r="R15" i="5"/>
  <c r="I13" i="6" s="1"/>
  <c r="C13" i="6"/>
  <c r="K13" i="6" s="1"/>
  <c r="R13" i="6" s="1"/>
  <c r="S15" i="5" s="1"/>
  <c r="R13" i="5"/>
  <c r="I9" i="6" s="1"/>
  <c r="C9" i="6"/>
  <c r="K9" i="6" s="1"/>
  <c r="R9" i="6" s="1"/>
  <c r="S13" i="5" s="1"/>
  <c r="R11" i="5"/>
  <c r="I5" i="6" s="1"/>
  <c r="C5" i="6"/>
  <c r="K5" i="6" s="1"/>
  <c r="R5" i="6" s="1"/>
  <c r="R682" i="5"/>
  <c r="I1347" i="6" s="1"/>
  <c r="C1347" i="6"/>
  <c r="P1347" i="6" s="1"/>
  <c r="R628" i="5"/>
  <c r="I1239" i="6" s="1"/>
  <c r="C1239" i="6"/>
  <c r="P1239" i="6" s="1"/>
  <c r="W1239" i="6" s="1"/>
  <c r="X628" i="5" s="1"/>
  <c r="R70" i="5"/>
  <c r="I123" i="6" s="1"/>
  <c r="C123" i="6"/>
  <c r="K123" i="6" s="1"/>
  <c r="R123" i="6" s="1"/>
  <c r="S70" i="5" s="1"/>
  <c r="C101" i="6"/>
  <c r="K101" i="6" s="1"/>
  <c r="R59" i="5"/>
  <c r="I101" i="6" s="1"/>
  <c r="R58" i="5"/>
  <c r="I99" i="6" s="1"/>
  <c r="C99" i="6"/>
  <c r="K99" i="6" s="1"/>
  <c r="R99" i="6" s="1"/>
  <c r="R14" i="5"/>
  <c r="I11" i="6" s="1"/>
  <c r="C11" i="6"/>
  <c r="K11" i="6" s="1"/>
  <c r="R12" i="5"/>
  <c r="I7" i="6" s="1"/>
  <c r="C7" i="6"/>
  <c r="K7" i="6" s="1"/>
  <c r="C3" i="6"/>
  <c r="K3" i="6" s="1"/>
  <c r="R10" i="5"/>
  <c r="I3" i="6" s="1"/>
  <c r="S453" i="6"/>
  <c r="T235" i="5" s="1"/>
  <c r="R453" i="6"/>
  <c r="T453" i="6"/>
  <c r="U235" i="5" s="1"/>
  <c r="U453" i="6"/>
  <c r="V235" i="5" s="1"/>
  <c r="V453" i="6"/>
  <c r="W235" i="5" s="1"/>
  <c r="S455" i="6"/>
  <c r="T236" i="5" s="1"/>
  <c r="R455" i="6"/>
  <c r="V455" i="6"/>
  <c r="W236" i="5" s="1"/>
  <c r="U455" i="6"/>
  <c r="V236" i="5" s="1"/>
  <c r="T455" i="6"/>
  <c r="U236" i="5" s="1"/>
  <c r="S465" i="6"/>
  <c r="T241" i="5" s="1"/>
  <c r="T465" i="6"/>
  <c r="U241" i="5" s="1"/>
  <c r="V465" i="6"/>
  <c r="W241" i="5" s="1"/>
  <c r="R465" i="6"/>
  <c r="U465" i="6"/>
  <c r="V241" i="5" s="1"/>
  <c r="S467" i="6"/>
  <c r="T242" i="5" s="1"/>
  <c r="V467" i="6"/>
  <c r="W242" i="5" s="1"/>
  <c r="U467" i="6"/>
  <c r="V242" i="5" s="1"/>
  <c r="R467" i="6"/>
  <c r="T467" i="6"/>
  <c r="U242" i="5" s="1"/>
  <c r="S473" i="6"/>
  <c r="T245" i="5" s="1"/>
  <c r="R473" i="6"/>
  <c r="U473" i="6"/>
  <c r="V245" i="5" s="1"/>
  <c r="T473" i="6"/>
  <c r="U245" i="5" s="1"/>
  <c r="V473" i="6"/>
  <c r="W245" i="5" s="1"/>
  <c r="R225" i="6"/>
  <c r="S121" i="5" s="1"/>
  <c r="T863" i="6"/>
  <c r="U440" i="5" s="1"/>
  <c r="S303" i="6"/>
  <c r="T160" i="5" s="1"/>
  <c r="T713" i="6"/>
  <c r="W1221" i="6"/>
  <c r="X619" i="5" s="1"/>
  <c r="V1119" i="6"/>
  <c r="W568" i="5" s="1"/>
  <c r="R213" i="6"/>
  <c r="U765" i="6"/>
  <c r="W1301" i="6"/>
  <c r="X659" i="5" s="1"/>
  <c r="W1237" i="6"/>
  <c r="X627" i="5" s="1"/>
  <c r="W1249" i="6"/>
  <c r="X633" i="5" s="1"/>
  <c r="U895" i="6"/>
  <c r="V456" i="5" s="1"/>
  <c r="R29" i="6"/>
  <c r="R73" i="6"/>
  <c r="W73" i="6"/>
  <c r="X45" i="5" s="1"/>
  <c r="U73" i="6"/>
  <c r="V45" i="5" s="1"/>
  <c r="T73" i="6"/>
  <c r="U45" i="5" s="1"/>
  <c r="V73" i="6"/>
  <c r="W45" i="5" s="1"/>
  <c r="S73" i="6"/>
  <c r="T45" i="5" s="1"/>
  <c r="V93" i="6"/>
  <c r="W55" i="5" s="1"/>
  <c r="S93" i="6"/>
  <c r="T55" i="5" s="1"/>
  <c r="R93" i="6"/>
  <c r="T93" i="6"/>
  <c r="U55" i="5" s="1"/>
  <c r="W93" i="6"/>
  <c r="X55" i="5" s="1"/>
  <c r="U93" i="6"/>
  <c r="V55" i="5" s="1"/>
  <c r="T121" i="6"/>
  <c r="U69" i="5" s="1"/>
  <c r="U121" i="6"/>
  <c r="V69" i="5" s="1"/>
  <c r="W121" i="6"/>
  <c r="X69" i="5" s="1"/>
  <c r="R121" i="6"/>
  <c r="S121" i="6"/>
  <c r="T69" i="5" s="1"/>
  <c r="V121" i="6"/>
  <c r="W69" i="5" s="1"/>
  <c r="V141" i="6"/>
  <c r="W79" i="5" s="1"/>
  <c r="S141" i="6"/>
  <c r="T79" i="5" s="1"/>
  <c r="R141" i="6"/>
  <c r="W141" i="6"/>
  <c r="X79" i="5" s="1"/>
  <c r="U141" i="6"/>
  <c r="V79" i="5" s="1"/>
  <c r="T141" i="6"/>
  <c r="U79" i="5" s="1"/>
  <c r="S225" i="6"/>
  <c r="W225" i="6"/>
  <c r="X121" i="5" s="1"/>
  <c r="U225" i="6"/>
  <c r="V121" i="5" s="1"/>
  <c r="T225" i="6"/>
  <c r="U121" i="5" s="1"/>
  <c r="V225" i="6"/>
  <c r="W121" i="5" s="1"/>
  <c r="W863" i="6"/>
  <c r="X440" i="5" s="1"/>
  <c r="R863" i="6"/>
  <c r="V863" i="6"/>
  <c r="W440" i="5" s="1"/>
  <c r="S863" i="6"/>
  <c r="T440" i="5" s="1"/>
  <c r="U863" i="6"/>
  <c r="V440" i="5" s="1"/>
  <c r="S1301" i="6"/>
  <c r="T659" i="5" s="1"/>
  <c r="R1301" i="6"/>
  <c r="T1301" i="6"/>
  <c r="U659" i="5" s="1"/>
  <c r="S1233" i="6"/>
  <c r="T625" i="5" s="1"/>
  <c r="V1233" i="6"/>
  <c r="W625" i="5" s="1"/>
  <c r="U1233" i="6"/>
  <c r="V625" i="5" s="1"/>
  <c r="R1233" i="6"/>
  <c r="T1233" i="6"/>
  <c r="U625" i="5" s="1"/>
  <c r="U1237" i="6"/>
  <c r="V627" i="5" s="1"/>
  <c r="V1237" i="6"/>
  <c r="W627" i="5" s="1"/>
  <c r="R1237" i="6"/>
  <c r="T1237" i="6"/>
  <c r="U627" i="5" s="1"/>
  <c r="S1237" i="6"/>
  <c r="T627" i="5" s="1"/>
  <c r="U881" i="6"/>
  <c r="V449" i="5" s="1"/>
  <c r="V881" i="6"/>
  <c r="W449" i="5" s="1"/>
  <c r="S881" i="6"/>
  <c r="U879" i="6"/>
  <c r="V448" i="5" s="1"/>
  <c r="V879" i="6"/>
  <c r="W448" i="5" s="1"/>
  <c r="S879" i="6"/>
  <c r="R1221" i="6"/>
  <c r="T1221" i="6"/>
  <c r="U619" i="5" s="1"/>
  <c r="V1221" i="6"/>
  <c r="W619" i="5" s="1"/>
  <c r="S1221" i="6"/>
  <c r="T619" i="5" s="1"/>
  <c r="U1221" i="6"/>
  <c r="V619" i="5" s="1"/>
  <c r="S1251" i="6"/>
  <c r="T634" i="5" s="1"/>
  <c r="R1251" i="6"/>
  <c r="U1251" i="6"/>
  <c r="V634" i="5" s="1"/>
  <c r="V1251" i="6"/>
  <c r="W634" i="5" s="1"/>
  <c r="T1251" i="6"/>
  <c r="U634" i="5" s="1"/>
  <c r="T1261" i="6"/>
  <c r="U639" i="5" s="1"/>
  <c r="R1261" i="6"/>
  <c r="S1261" i="6"/>
  <c r="T639" i="5" s="1"/>
  <c r="V1261" i="6"/>
  <c r="W639" i="5" s="1"/>
  <c r="U1261" i="6"/>
  <c r="V639" i="5" s="1"/>
  <c r="R1409" i="6"/>
  <c r="S713" i="5" s="1"/>
  <c r="U1409" i="6"/>
  <c r="V713" i="5" s="1"/>
  <c r="T1409" i="6"/>
  <c r="U713" i="5" s="1"/>
  <c r="T295" i="6"/>
  <c r="U156" i="5" s="1"/>
  <c r="U295" i="6"/>
  <c r="V156" i="5" s="1"/>
  <c r="V295" i="6"/>
  <c r="W156" i="5" s="1"/>
  <c r="W295" i="6"/>
  <c r="X156" i="5" s="1"/>
  <c r="R295" i="6"/>
  <c r="W335" i="6"/>
  <c r="X176" i="5" s="1"/>
  <c r="T335" i="6"/>
  <c r="U176" i="5" s="1"/>
  <c r="V335" i="6"/>
  <c r="W176" i="5" s="1"/>
  <c r="R335" i="6"/>
  <c r="U335" i="6"/>
  <c r="V176" i="5" s="1"/>
  <c r="T325" i="6"/>
  <c r="U171" i="5" s="1"/>
  <c r="V325" i="6"/>
  <c r="W171" i="5" s="1"/>
  <c r="U325" i="6"/>
  <c r="V171" i="5" s="1"/>
  <c r="R325" i="6"/>
  <c r="W325" i="6"/>
  <c r="X171" i="5" s="1"/>
  <c r="U315" i="6"/>
  <c r="V166" i="5" s="1"/>
  <c r="T315" i="6"/>
  <c r="U166" i="5" s="1"/>
  <c r="V315" i="6"/>
  <c r="W166" i="5" s="1"/>
  <c r="R315" i="6"/>
  <c r="W315" i="6"/>
  <c r="X166" i="5" s="1"/>
  <c r="W307" i="6"/>
  <c r="X162" i="5" s="1"/>
  <c r="V307" i="6"/>
  <c r="W162" i="5" s="1"/>
  <c r="T307" i="6"/>
  <c r="U162" i="5" s="1"/>
  <c r="R307" i="6"/>
  <c r="U307" i="6"/>
  <c r="V162" i="5" s="1"/>
  <c r="R331" i="6"/>
  <c r="W331" i="6"/>
  <c r="X174" i="5" s="1"/>
  <c r="U331" i="6"/>
  <c r="V174" i="5" s="1"/>
  <c r="T331" i="6"/>
  <c r="U174" i="5" s="1"/>
  <c r="V331" i="6"/>
  <c r="W174" i="5" s="1"/>
  <c r="W319" i="6"/>
  <c r="X168" i="5" s="1"/>
  <c r="R319" i="6"/>
  <c r="U319" i="6"/>
  <c r="V168" i="5" s="1"/>
  <c r="V319" i="6"/>
  <c r="W168" i="5" s="1"/>
  <c r="T319" i="6"/>
  <c r="U168" i="5" s="1"/>
  <c r="W291" i="6"/>
  <c r="X154" i="5" s="1"/>
  <c r="U291" i="6"/>
  <c r="V154" i="5" s="1"/>
  <c r="T291" i="6"/>
  <c r="U154" i="5" s="1"/>
  <c r="R291" i="6"/>
  <c r="V291" i="6"/>
  <c r="W154" i="5" s="1"/>
  <c r="R337" i="6"/>
  <c r="U337" i="6"/>
  <c r="V177" i="5" s="1"/>
  <c r="T337" i="6"/>
  <c r="U177" i="5" s="1"/>
  <c r="W337" i="6"/>
  <c r="X177" i="5" s="1"/>
  <c r="V337" i="6"/>
  <c r="W177" i="5" s="1"/>
  <c r="R333" i="6"/>
  <c r="U333" i="6"/>
  <c r="V175" i="5" s="1"/>
  <c r="V333" i="6"/>
  <c r="W175" i="5" s="1"/>
  <c r="W333" i="6"/>
  <c r="X175" i="5" s="1"/>
  <c r="T333" i="6"/>
  <c r="U175" i="5" s="1"/>
  <c r="W317" i="6"/>
  <c r="X167" i="5" s="1"/>
  <c r="R317" i="6"/>
  <c r="U317" i="6"/>
  <c r="V167" i="5" s="1"/>
  <c r="V317" i="6"/>
  <c r="W167" i="5" s="1"/>
  <c r="T317" i="6"/>
  <c r="U167" i="5" s="1"/>
  <c r="R313" i="6"/>
  <c r="V313" i="6"/>
  <c r="W165" i="5" s="1"/>
  <c r="T313" i="6"/>
  <c r="U165" i="5" s="1"/>
  <c r="W313" i="6"/>
  <c r="X165" i="5" s="1"/>
  <c r="U313" i="6"/>
  <c r="V165" i="5" s="1"/>
  <c r="T127" i="5"/>
  <c r="X237" i="6"/>
  <c r="V1165" i="6"/>
  <c r="W591" i="5" s="1"/>
  <c r="W1271" i="6"/>
  <c r="X644" i="5" s="1"/>
  <c r="S295" i="6"/>
  <c r="T156" i="5" s="1"/>
  <c r="S335" i="6"/>
  <c r="T176" i="5" s="1"/>
  <c r="S325" i="6"/>
  <c r="T171" i="5" s="1"/>
  <c r="S315" i="6"/>
  <c r="T166" i="5" s="1"/>
  <c r="S301" i="6"/>
  <c r="T159" i="5" s="1"/>
  <c r="S293" i="6"/>
  <c r="T155" i="5" s="1"/>
  <c r="S385" i="6"/>
  <c r="T201" i="5" s="1"/>
  <c r="S347" i="6"/>
  <c r="T182" i="5" s="1"/>
  <c r="S343" i="6"/>
  <c r="T180" i="5" s="1"/>
  <c r="S475" i="6"/>
  <c r="T246" i="5" s="1"/>
  <c r="S461" i="6"/>
  <c r="T239" i="5" s="1"/>
  <c r="S451" i="6"/>
  <c r="T234" i="5" s="1"/>
  <c r="S421" i="6"/>
  <c r="T219" i="5" s="1"/>
  <c r="S415" i="6"/>
  <c r="T216" i="5" s="1"/>
  <c r="S399" i="6"/>
  <c r="T208" i="5" s="1"/>
  <c r="S331" i="6"/>
  <c r="T174" i="5" s="1"/>
  <c r="S319" i="6"/>
  <c r="T168" i="5" s="1"/>
  <c r="S299" i="6"/>
  <c r="T158" i="5" s="1"/>
  <c r="S379" i="6"/>
  <c r="T198" i="5" s="1"/>
  <c r="S427" i="6"/>
  <c r="T222" i="5" s="1"/>
  <c r="S291" i="6"/>
  <c r="T154" i="5" s="1"/>
  <c r="S337" i="6"/>
  <c r="T177" i="5" s="1"/>
  <c r="S333" i="6"/>
  <c r="T175" i="5" s="1"/>
  <c r="S317" i="6"/>
  <c r="T167" i="5" s="1"/>
  <c r="S345" i="6"/>
  <c r="T181" i="5" s="1"/>
  <c r="S479" i="6"/>
  <c r="T248" i="5" s="1"/>
  <c r="S469" i="6"/>
  <c r="T243" i="5" s="1"/>
  <c r="S463" i="6"/>
  <c r="T240" i="5" s="1"/>
  <c r="S459" i="6"/>
  <c r="T238" i="5" s="1"/>
  <c r="S447" i="6"/>
  <c r="T232" i="5" s="1"/>
  <c r="U913" i="6"/>
  <c r="V465" i="5" s="1"/>
  <c r="S433" i="6"/>
  <c r="T225" i="5" s="1"/>
  <c r="R241" i="6"/>
  <c r="S129" i="5" s="1"/>
  <c r="U877" i="6"/>
  <c r="V447" i="5" s="1"/>
  <c r="W1009" i="6"/>
  <c r="X513" i="5" s="1"/>
  <c r="R193" i="6"/>
  <c r="S105" i="5" s="1"/>
  <c r="R229" i="6"/>
  <c r="S123" i="5" s="1"/>
  <c r="W1373" i="6"/>
  <c r="X695" i="5" s="1"/>
  <c r="W1357" i="6"/>
  <c r="X687" i="5" s="1"/>
  <c r="W1439" i="6"/>
  <c r="X728" i="5" s="1"/>
  <c r="S413" i="6"/>
  <c r="T215" i="5" s="1"/>
  <c r="V1117" i="6"/>
  <c r="W567" i="5" s="1"/>
  <c r="U949" i="6"/>
  <c r="V483" i="5" s="1"/>
  <c r="W1297" i="6"/>
  <c r="X657" i="5" s="1"/>
  <c r="W1259" i="6"/>
  <c r="X638" i="5" s="1"/>
  <c r="V1199" i="6"/>
  <c r="W608" i="5" s="1"/>
  <c r="W1199" i="6"/>
  <c r="X608" i="5" s="1"/>
  <c r="R1199" i="6"/>
  <c r="T1199" i="6"/>
  <c r="U608" i="5" s="1"/>
  <c r="U1199" i="6"/>
  <c r="V608" i="5" s="1"/>
  <c r="S1199" i="6"/>
  <c r="T608" i="5" s="1"/>
  <c r="R1249" i="6"/>
  <c r="V1249" i="6"/>
  <c r="W633" i="5" s="1"/>
  <c r="T1249" i="6"/>
  <c r="U633" i="5" s="1"/>
  <c r="U1249" i="6"/>
  <c r="V633" i="5" s="1"/>
  <c r="S1249" i="6"/>
  <c r="T633" i="5" s="1"/>
  <c r="S1281" i="6"/>
  <c r="T649" i="5" s="1"/>
  <c r="V1281" i="6"/>
  <c r="W649" i="5" s="1"/>
  <c r="T1281" i="6"/>
  <c r="U649" i="5" s="1"/>
  <c r="U1281" i="6"/>
  <c r="V649" i="5" s="1"/>
  <c r="R1281" i="6"/>
  <c r="U1257" i="6"/>
  <c r="V637" i="5" s="1"/>
  <c r="S1257" i="6"/>
  <c r="T637" i="5" s="1"/>
  <c r="R1257" i="6"/>
  <c r="V1257" i="6"/>
  <c r="W637" i="5" s="1"/>
  <c r="T1257" i="6"/>
  <c r="U637" i="5" s="1"/>
  <c r="R1429" i="6"/>
  <c r="S723" i="5" s="1"/>
  <c r="S1429" i="6"/>
  <c r="T1429" i="6"/>
  <c r="U723" i="5" s="1"/>
  <c r="W1429" i="6"/>
  <c r="X723" i="5" s="1"/>
  <c r="U1429" i="6"/>
  <c r="V723" i="5" s="1"/>
  <c r="V1429" i="6"/>
  <c r="W723" i="5" s="1"/>
  <c r="W1409" i="6"/>
  <c r="X713" i="5" s="1"/>
  <c r="V1409" i="6"/>
  <c r="W713" i="5" s="1"/>
  <c r="S1409" i="6"/>
  <c r="S1297" i="6"/>
  <c r="T657" i="5" s="1"/>
  <c r="T1297" i="6"/>
  <c r="U657" i="5" s="1"/>
  <c r="U1297" i="6"/>
  <c r="V657" i="5" s="1"/>
  <c r="V1297" i="6"/>
  <c r="W657" i="5" s="1"/>
  <c r="R1297" i="6"/>
  <c r="S1289" i="6"/>
  <c r="T653" i="5" s="1"/>
  <c r="R1289" i="6"/>
  <c r="U1289" i="6"/>
  <c r="V653" i="5" s="1"/>
  <c r="T1289" i="6"/>
  <c r="U653" i="5" s="1"/>
  <c r="V1289" i="6"/>
  <c r="W653" i="5" s="1"/>
  <c r="T1291" i="6"/>
  <c r="U654" i="5" s="1"/>
  <c r="V1291" i="6"/>
  <c r="W654" i="5" s="1"/>
  <c r="S1291" i="6"/>
  <c r="T654" i="5" s="1"/>
  <c r="R1291" i="6"/>
  <c r="U1291" i="6"/>
  <c r="V654" i="5" s="1"/>
  <c r="S1255" i="6"/>
  <c r="T636" i="5" s="1"/>
  <c r="V1255" i="6"/>
  <c r="W636" i="5" s="1"/>
  <c r="U1255" i="6"/>
  <c r="V636" i="5" s="1"/>
  <c r="R1255" i="6"/>
  <c r="T1255" i="6"/>
  <c r="U636" i="5" s="1"/>
  <c r="V1259" i="6"/>
  <c r="W638" i="5" s="1"/>
  <c r="S1259" i="6"/>
  <c r="T638" i="5" s="1"/>
  <c r="R1259" i="6"/>
  <c r="T1259" i="6"/>
  <c r="U638" i="5" s="1"/>
  <c r="U1259" i="6"/>
  <c r="V638" i="5" s="1"/>
  <c r="S1295" i="6"/>
  <c r="T656" i="5" s="1"/>
  <c r="V1295" i="6"/>
  <c r="W656" i="5" s="1"/>
  <c r="U1295" i="6"/>
  <c r="V656" i="5" s="1"/>
  <c r="R1295" i="6"/>
  <c r="S656" i="5" s="1"/>
  <c r="T1295" i="6"/>
  <c r="U656" i="5" s="1"/>
  <c r="U1287" i="6"/>
  <c r="V652" i="5" s="1"/>
  <c r="T1287" i="6"/>
  <c r="U652" i="5" s="1"/>
  <c r="V1287" i="6"/>
  <c r="W652" i="5" s="1"/>
  <c r="R1287" i="6"/>
  <c r="S1287" i="6"/>
  <c r="T652" i="5" s="1"/>
  <c r="U1253" i="6"/>
  <c r="V635" i="5" s="1"/>
  <c r="S1253" i="6"/>
  <c r="T635" i="5" s="1"/>
  <c r="T1253" i="6"/>
  <c r="U635" i="5" s="1"/>
  <c r="R1253" i="6"/>
  <c r="V1253" i="6"/>
  <c r="W635" i="5" s="1"/>
  <c r="W1287" i="6"/>
  <c r="X652" i="5" s="1"/>
  <c r="R1231" i="6"/>
  <c r="S624" i="5" s="1"/>
  <c r="R1229" i="6"/>
  <c r="S623" i="5" s="1"/>
  <c r="V1007" i="6"/>
  <c r="W512" i="5" s="1"/>
  <c r="W1273" i="6"/>
  <c r="X645" i="5" s="1"/>
  <c r="U959" i="6"/>
  <c r="V488" i="5" s="1"/>
  <c r="T701" i="6"/>
  <c r="U359" i="5" s="1"/>
  <c r="W1255" i="6"/>
  <c r="X636" i="5" s="1"/>
  <c r="V1339" i="6"/>
  <c r="W678" i="5" s="1"/>
  <c r="U943" i="6"/>
  <c r="V480" i="5" s="1"/>
  <c r="T535" i="6"/>
  <c r="U276" i="5" s="1"/>
  <c r="W1213" i="6"/>
  <c r="X615" i="5" s="1"/>
  <c r="W1405" i="6"/>
  <c r="X711" i="5" s="1"/>
  <c r="R181" i="6"/>
  <c r="W1367" i="6"/>
  <c r="X692" i="5" s="1"/>
  <c r="T671" i="6"/>
  <c r="U344" i="5" s="1"/>
  <c r="W1343" i="6"/>
  <c r="X680" i="5" s="1"/>
  <c r="W1427" i="6"/>
  <c r="X722" i="5" s="1"/>
  <c r="W1375" i="6"/>
  <c r="X696" i="5" s="1"/>
  <c r="W1253" i="6"/>
  <c r="X635" i="5" s="1"/>
  <c r="T1311" i="6"/>
  <c r="U664" i="5" s="1"/>
  <c r="T619" i="6"/>
  <c r="U318" i="5" s="1"/>
  <c r="T301" i="6"/>
  <c r="U159" i="5" s="1"/>
  <c r="R301" i="6"/>
  <c r="W301" i="6"/>
  <c r="X159" i="5" s="1"/>
  <c r="V301" i="6"/>
  <c r="W159" i="5" s="1"/>
  <c r="U301" i="6"/>
  <c r="V159" i="5" s="1"/>
  <c r="R293" i="6"/>
  <c r="W293" i="6"/>
  <c r="X155" i="5" s="1"/>
  <c r="U293" i="6"/>
  <c r="V155" i="5" s="1"/>
  <c r="T293" i="6"/>
  <c r="U155" i="5" s="1"/>
  <c r="V293" i="6"/>
  <c r="W155" i="5" s="1"/>
  <c r="U385" i="6"/>
  <c r="V201" i="5" s="1"/>
  <c r="W385" i="6"/>
  <c r="X201" i="5" s="1"/>
  <c r="T385" i="6"/>
  <c r="U201" i="5" s="1"/>
  <c r="V385" i="6"/>
  <c r="W201" i="5" s="1"/>
  <c r="R385" i="6"/>
  <c r="V373" i="6"/>
  <c r="W195" i="5" s="1"/>
  <c r="U373" i="6"/>
  <c r="V195" i="5" s="1"/>
  <c r="W373" i="6"/>
  <c r="X195" i="5" s="1"/>
  <c r="T373" i="6"/>
  <c r="U195" i="5" s="1"/>
  <c r="R373" i="6"/>
  <c r="V353" i="6"/>
  <c r="W185" i="5" s="1"/>
  <c r="T353" i="6"/>
  <c r="U185" i="5" s="1"/>
  <c r="U353" i="6"/>
  <c r="V185" i="5" s="1"/>
  <c r="W353" i="6"/>
  <c r="X185" i="5" s="1"/>
  <c r="R353" i="6"/>
  <c r="U347" i="6"/>
  <c r="V182" i="5" s="1"/>
  <c r="R347" i="6"/>
  <c r="W347" i="6"/>
  <c r="X182" i="5" s="1"/>
  <c r="T347" i="6"/>
  <c r="U182" i="5" s="1"/>
  <c r="V347" i="6"/>
  <c r="W182" i="5" s="1"/>
  <c r="T343" i="6"/>
  <c r="U180" i="5" s="1"/>
  <c r="W343" i="6"/>
  <c r="X180" i="5" s="1"/>
  <c r="V343" i="6"/>
  <c r="W180" i="5" s="1"/>
  <c r="U343" i="6"/>
  <c r="V180" i="5" s="1"/>
  <c r="R343" i="6"/>
  <c r="T481" i="6"/>
  <c r="U249" i="5" s="1"/>
  <c r="U481" i="6"/>
  <c r="V249" i="5" s="1"/>
  <c r="V481" i="6"/>
  <c r="W249" i="5" s="1"/>
  <c r="R481" i="6"/>
  <c r="W481" i="6"/>
  <c r="X249" i="5" s="1"/>
  <c r="V475" i="6"/>
  <c r="W246" i="5" s="1"/>
  <c r="U475" i="6"/>
  <c r="V246" i="5" s="1"/>
  <c r="R475" i="6"/>
  <c r="W475" i="6"/>
  <c r="X246" i="5" s="1"/>
  <c r="T475" i="6"/>
  <c r="U246" i="5" s="1"/>
  <c r="W461" i="6"/>
  <c r="X239" i="5" s="1"/>
  <c r="V461" i="6"/>
  <c r="W239" i="5" s="1"/>
  <c r="R461" i="6"/>
  <c r="T461" i="6"/>
  <c r="U239" i="5" s="1"/>
  <c r="U461" i="6"/>
  <c r="V239" i="5" s="1"/>
  <c r="R457" i="6"/>
  <c r="W457" i="6"/>
  <c r="X237" i="5" s="1"/>
  <c r="U457" i="6"/>
  <c r="V237" i="5" s="1"/>
  <c r="V457" i="6"/>
  <c r="W237" i="5" s="1"/>
  <c r="T457" i="6"/>
  <c r="U237" i="5" s="1"/>
  <c r="V451" i="6"/>
  <c r="W234" i="5" s="1"/>
  <c r="T451" i="6"/>
  <c r="U234" i="5" s="1"/>
  <c r="W451" i="6"/>
  <c r="X234" i="5" s="1"/>
  <c r="R451" i="6"/>
  <c r="U451" i="6"/>
  <c r="V234" i="5" s="1"/>
  <c r="V449" i="6"/>
  <c r="W233" i="5" s="1"/>
  <c r="R449" i="6"/>
  <c r="T449" i="6"/>
  <c r="U233" i="5" s="1"/>
  <c r="W449" i="6"/>
  <c r="X233" i="5" s="1"/>
  <c r="U449" i="6"/>
  <c r="V233" i="5" s="1"/>
  <c r="T421" i="6"/>
  <c r="U219" i="5" s="1"/>
  <c r="R421" i="6"/>
  <c r="U421" i="6"/>
  <c r="V219" i="5" s="1"/>
  <c r="W421" i="6"/>
  <c r="X219" i="5" s="1"/>
  <c r="V421" i="6"/>
  <c r="W219" i="5" s="1"/>
  <c r="T415" i="6"/>
  <c r="U216" i="5" s="1"/>
  <c r="V415" i="6"/>
  <c r="W216" i="5" s="1"/>
  <c r="W415" i="6"/>
  <c r="X216" i="5" s="1"/>
  <c r="U415" i="6"/>
  <c r="V216" i="5" s="1"/>
  <c r="R415" i="6"/>
  <c r="U399" i="6"/>
  <c r="V208" i="5" s="1"/>
  <c r="V399" i="6"/>
  <c r="W208" i="5" s="1"/>
  <c r="R399" i="6"/>
  <c r="W399" i="6"/>
  <c r="X208" i="5" s="1"/>
  <c r="T399" i="6"/>
  <c r="U208" i="5" s="1"/>
  <c r="T299" i="6"/>
  <c r="U158" i="5" s="1"/>
  <c r="U299" i="6"/>
  <c r="V158" i="5" s="1"/>
  <c r="V299" i="6"/>
  <c r="W158" i="5" s="1"/>
  <c r="W299" i="6"/>
  <c r="X158" i="5" s="1"/>
  <c r="R299" i="6"/>
  <c r="W379" i="6"/>
  <c r="X198" i="5" s="1"/>
  <c r="R379" i="6"/>
  <c r="U379" i="6"/>
  <c r="V198" i="5" s="1"/>
  <c r="V379" i="6"/>
  <c r="W198" i="5" s="1"/>
  <c r="T379" i="6"/>
  <c r="U198" i="5" s="1"/>
  <c r="T349" i="6"/>
  <c r="U183" i="5" s="1"/>
  <c r="U349" i="6"/>
  <c r="V183" i="5" s="1"/>
  <c r="V349" i="6"/>
  <c r="W183" i="5" s="1"/>
  <c r="R349" i="6"/>
  <c r="W349" i="6"/>
  <c r="X183" i="5" s="1"/>
  <c r="T339" i="6"/>
  <c r="U178" i="5" s="1"/>
  <c r="U339" i="6"/>
  <c r="V178" i="5" s="1"/>
  <c r="V339" i="6"/>
  <c r="W178" i="5" s="1"/>
  <c r="W339" i="6"/>
  <c r="X178" i="5" s="1"/>
  <c r="R339" i="6"/>
  <c r="T477" i="6"/>
  <c r="U247" i="5" s="1"/>
  <c r="W477" i="6"/>
  <c r="X247" i="5" s="1"/>
  <c r="R477" i="6"/>
  <c r="V477" i="6"/>
  <c r="W247" i="5" s="1"/>
  <c r="U477" i="6"/>
  <c r="V247" i="5" s="1"/>
  <c r="V495" i="6"/>
  <c r="W256" i="5" s="1"/>
  <c r="S495" i="6"/>
  <c r="T256" i="5" s="1"/>
  <c r="U495" i="6"/>
  <c r="V256" i="5" s="1"/>
  <c r="W495" i="6"/>
  <c r="X256" i="5" s="1"/>
  <c r="R495" i="6"/>
  <c r="V427" i="6"/>
  <c r="W222" i="5" s="1"/>
  <c r="T427" i="6"/>
  <c r="U222" i="5" s="1"/>
  <c r="W427" i="6"/>
  <c r="X222" i="5" s="1"/>
  <c r="U427" i="6"/>
  <c r="V222" i="5" s="1"/>
  <c r="R427" i="6"/>
  <c r="R297" i="6"/>
  <c r="T297" i="6"/>
  <c r="U157" i="5" s="1"/>
  <c r="W297" i="6"/>
  <c r="X157" i="5" s="1"/>
  <c r="V297" i="6"/>
  <c r="W157" i="5" s="1"/>
  <c r="U297" i="6"/>
  <c r="V157" i="5" s="1"/>
  <c r="W367" i="6"/>
  <c r="X192" i="5" s="1"/>
  <c r="T367" i="6"/>
  <c r="U192" i="5" s="1"/>
  <c r="R367" i="6"/>
  <c r="U367" i="6"/>
  <c r="V192" i="5" s="1"/>
  <c r="V367" i="6"/>
  <c r="W192" i="5" s="1"/>
  <c r="R351" i="6"/>
  <c r="W351" i="6"/>
  <c r="X184" i="5" s="1"/>
  <c r="U351" i="6"/>
  <c r="V184" i="5" s="1"/>
  <c r="V351" i="6"/>
  <c r="W184" i="5" s="1"/>
  <c r="T351" i="6"/>
  <c r="U184" i="5" s="1"/>
  <c r="V345" i="6"/>
  <c r="W181" i="5" s="1"/>
  <c r="U345" i="6"/>
  <c r="V181" i="5" s="1"/>
  <c r="W345" i="6"/>
  <c r="X181" i="5" s="1"/>
  <c r="T345" i="6"/>
  <c r="U181" i="5" s="1"/>
  <c r="R345" i="6"/>
  <c r="T341" i="6"/>
  <c r="U179" i="5" s="1"/>
  <c r="R341" i="6"/>
  <c r="U341" i="6"/>
  <c r="V179" i="5" s="1"/>
  <c r="V341" i="6"/>
  <c r="W179" i="5" s="1"/>
  <c r="W341" i="6"/>
  <c r="X179" i="5" s="1"/>
  <c r="W479" i="6"/>
  <c r="X248" i="5" s="1"/>
  <c r="T479" i="6"/>
  <c r="U248" i="5" s="1"/>
  <c r="R479" i="6"/>
  <c r="V479" i="6"/>
  <c r="W248" i="5" s="1"/>
  <c r="U479" i="6"/>
  <c r="V248" i="5" s="1"/>
  <c r="T469" i="6"/>
  <c r="U243" i="5" s="1"/>
  <c r="U469" i="6"/>
  <c r="V243" i="5" s="1"/>
  <c r="W469" i="6"/>
  <c r="X243" i="5" s="1"/>
  <c r="R469" i="6"/>
  <c r="V469" i="6"/>
  <c r="W243" i="5" s="1"/>
  <c r="W463" i="6"/>
  <c r="X240" i="5" s="1"/>
  <c r="V463" i="6"/>
  <c r="W240" i="5" s="1"/>
  <c r="T463" i="6"/>
  <c r="U240" i="5" s="1"/>
  <c r="U463" i="6"/>
  <c r="V240" i="5" s="1"/>
  <c r="R463" i="6"/>
  <c r="W459" i="6"/>
  <c r="X238" i="5" s="1"/>
  <c r="V459" i="6"/>
  <c r="W238" i="5" s="1"/>
  <c r="R459" i="6"/>
  <c r="U459" i="6"/>
  <c r="V238" i="5" s="1"/>
  <c r="T459" i="6"/>
  <c r="U238" i="5" s="1"/>
  <c r="V447" i="6"/>
  <c r="W232" i="5" s="1"/>
  <c r="R447" i="6"/>
  <c r="W447" i="6"/>
  <c r="X232" i="5" s="1"/>
  <c r="T447" i="6"/>
  <c r="U232" i="5" s="1"/>
  <c r="U447" i="6"/>
  <c r="V232" i="5" s="1"/>
  <c r="R913" i="6"/>
  <c r="S465" i="5" s="1"/>
  <c r="W913" i="6"/>
  <c r="X465" i="5" s="1"/>
  <c r="S913" i="6"/>
  <c r="V913" i="6"/>
  <c r="W465" i="5" s="1"/>
  <c r="T913" i="6"/>
  <c r="U465" i="5" s="1"/>
  <c r="W895" i="6"/>
  <c r="X456" i="5" s="1"/>
  <c r="V895" i="6"/>
  <c r="W456" i="5" s="1"/>
  <c r="S895" i="6"/>
  <c r="T456" i="5" s="1"/>
  <c r="T895" i="6"/>
  <c r="U456" i="5" s="1"/>
  <c r="R895" i="6"/>
  <c r="U433" i="6"/>
  <c r="V225" i="5" s="1"/>
  <c r="R433" i="6"/>
  <c r="T433" i="6"/>
  <c r="U225" i="5" s="1"/>
  <c r="W433" i="6"/>
  <c r="X225" i="5" s="1"/>
  <c r="V433" i="6"/>
  <c r="W225" i="5" s="1"/>
  <c r="T401" i="6"/>
  <c r="U209" i="5" s="1"/>
  <c r="R401" i="6"/>
  <c r="W401" i="6"/>
  <c r="X209" i="5" s="1"/>
  <c r="V401" i="6"/>
  <c r="W209" i="5" s="1"/>
  <c r="U401" i="6"/>
  <c r="V209" i="5" s="1"/>
  <c r="V1303" i="6"/>
  <c r="W660" i="5" s="1"/>
  <c r="S1303" i="6"/>
  <c r="T660" i="5" s="1"/>
  <c r="U1303" i="6"/>
  <c r="V660" i="5" s="1"/>
  <c r="T1303" i="6"/>
  <c r="U660" i="5" s="1"/>
  <c r="R1303" i="6"/>
  <c r="W241" i="6"/>
  <c r="X129" i="5" s="1"/>
  <c r="V241" i="6"/>
  <c r="W129" i="5" s="1"/>
  <c r="U241" i="6"/>
  <c r="V129" i="5" s="1"/>
  <c r="T241" i="6"/>
  <c r="U129" i="5" s="1"/>
  <c r="S241" i="6"/>
  <c r="V769" i="6"/>
  <c r="W393" i="5" s="1"/>
  <c r="T769" i="6"/>
  <c r="U393" i="5" s="1"/>
  <c r="R769" i="6"/>
  <c r="S769" i="6"/>
  <c r="T393" i="5" s="1"/>
  <c r="W769" i="6"/>
  <c r="X393" i="5" s="1"/>
  <c r="U769" i="6"/>
  <c r="V393" i="5" s="1"/>
  <c r="V757" i="6"/>
  <c r="W387" i="5" s="1"/>
  <c r="S757" i="6"/>
  <c r="T387" i="5" s="1"/>
  <c r="R757" i="6"/>
  <c r="T757" i="6"/>
  <c r="U387" i="5" s="1"/>
  <c r="U757" i="6"/>
  <c r="V387" i="5" s="1"/>
  <c r="W757" i="6"/>
  <c r="X387" i="5" s="1"/>
  <c r="R877" i="6"/>
  <c r="V877" i="6"/>
  <c r="W447" i="5" s="1"/>
  <c r="T877" i="6"/>
  <c r="U447" i="5" s="1"/>
  <c r="W877" i="6"/>
  <c r="X447" i="5" s="1"/>
  <c r="S877" i="6"/>
  <c r="T447" i="5" s="1"/>
  <c r="T953" i="6"/>
  <c r="U485" i="5" s="1"/>
  <c r="V953" i="6"/>
  <c r="W485" i="5" s="1"/>
  <c r="R953" i="6"/>
  <c r="W953" i="6"/>
  <c r="X485" i="5" s="1"/>
  <c r="S953" i="6"/>
  <c r="T485" i="5" s="1"/>
  <c r="V1405" i="6"/>
  <c r="W711" i="5" s="1"/>
  <c r="R1405" i="6"/>
  <c r="S1405" i="6"/>
  <c r="T711" i="5" s="1"/>
  <c r="T1405" i="6"/>
  <c r="U711" i="5" s="1"/>
  <c r="U1405" i="6"/>
  <c r="V711" i="5" s="1"/>
  <c r="R1009" i="6"/>
  <c r="V1009" i="6"/>
  <c r="W513" i="5" s="1"/>
  <c r="U1009" i="6"/>
  <c r="V513" i="5" s="1"/>
  <c r="S1009" i="6"/>
  <c r="T513" i="5" s="1"/>
  <c r="T1009" i="6"/>
  <c r="U513" i="5" s="1"/>
  <c r="U133" i="6"/>
  <c r="V75" i="5" s="1"/>
  <c r="W133" i="6"/>
  <c r="X75" i="5" s="1"/>
  <c r="V133" i="6"/>
  <c r="W75" i="5" s="1"/>
  <c r="T133" i="6"/>
  <c r="U75" i="5" s="1"/>
  <c r="S133" i="6"/>
  <c r="T75" i="5" s="1"/>
  <c r="X133" i="6"/>
  <c r="S75" i="5"/>
  <c r="U145" i="6"/>
  <c r="V81" i="5" s="1"/>
  <c r="S145" i="6"/>
  <c r="T81" i="5" s="1"/>
  <c r="T145" i="6"/>
  <c r="U81" i="5" s="1"/>
  <c r="R145" i="6"/>
  <c r="V145" i="6"/>
  <c r="W81" i="5" s="1"/>
  <c r="W145" i="6"/>
  <c r="X81" i="5" s="1"/>
  <c r="T181" i="6"/>
  <c r="U99" i="5" s="1"/>
  <c r="W181" i="6"/>
  <c r="X99" i="5" s="1"/>
  <c r="U181" i="6"/>
  <c r="V99" i="5" s="1"/>
  <c r="V181" i="6"/>
  <c r="W99" i="5" s="1"/>
  <c r="S181" i="6"/>
  <c r="T99" i="5" s="1"/>
  <c r="W193" i="6"/>
  <c r="X105" i="5" s="1"/>
  <c r="T193" i="6"/>
  <c r="U105" i="5" s="1"/>
  <c r="U193" i="6"/>
  <c r="V105" i="5" s="1"/>
  <c r="V193" i="6"/>
  <c r="W105" i="5" s="1"/>
  <c r="S193" i="6"/>
  <c r="T229" i="6"/>
  <c r="U123" i="5" s="1"/>
  <c r="S229" i="6"/>
  <c r="V229" i="6"/>
  <c r="W123" i="5" s="1"/>
  <c r="U229" i="6"/>
  <c r="V123" i="5" s="1"/>
  <c r="W229" i="6"/>
  <c r="X123" i="5" s="1"/>
  <c r="V997" i="6"/>
  <c r="W507" i="5" s="1"/>
  <c r="W997" i="6"/>
  <c r="X507" i="5" s="1"/>
  <c r="U997" i="6"/>
  <c r="V507" i="5" s="1"/>
  <c r="S997" i="6"/>
  <c r="T507" i="5" s="1"/>
  <c r="T997" i="6"/>
  <c r="U507" i="5" s="1"/>
  <c r="R997" i="6"/>
  <c r="W1181" i="6"/>
  <c r="X599" i="5" s="1"/>
  <c r="U1181" i="6"/>
  <c r="V599" i="5" s="1"/>
  <c r="V1181" i="6"/>
  <c r="W599" i="5" s="1"/>
  <c r="T1181" i="6"/>
  <c r="U599" i="5" s="1"/>
  <c r="R1181" i="6"/>
  <c r="S1181" i="6"/>
  <c r="T599" i="5" s="1"/>
  <c r="U1391" i="6"/>
  <c r="V704" i="5" s="1"/>
  <c r="R1391" i="6"/>
  <c r="S1391" i="6"/>
  <c r="T704" i="5" s="1"/>
  <c r="T1391" i="6"/>
  <c r="U704" i="5" s="1"/>
  <c r="V1391" i="6"/>
  <c r="W704" i="5" s="1"/>
  <c r="S1305" i="6"/>
  <c r="T661" i="5" s="1"/>
  <c r="R1305" i="6"/>
  <c r="T1305" i="6"/>
  <c r="U661" i="5" s="1"/>
  <c r="U1305" i="6"/>
  <c r="V661" i="5" s="1"/>
  <c r="V1305" i="6"/>
  <c r="W661" i="5" s="1"/>
  <c r="T1309" i="6"/>
  <c r="U663" i="5" s="1"/>
  <c r="S1309" i="6"/>
  <c r="T663" i="5" s="1"/>
  <c r="U1309" i="6"/>
  <c r="V663" i="5" s="1"/>
  <c r="R1309" i="6"/>
  <c r="V1309" i="6"/>
  <c r="W663" i="5" s="1"/>
  <c r="T1373" i="6"/>
  <c r="U695" i="5" s="1"/>
  <c r="V1373" i="6"/>
  <c r="W695" i="5" s="1"/>
  <c r="R1373" i="6"/>
  <c r="S1373" i="6"/>
  <c r="T695" i="5" s="1"/>
  <c r="U1373" i="6"/>
  <c r="V695" i="5" s="1"/>
  <c r="T1357" i="6"/>
  <c r="U687" i="5" s="1"/>
  <c r="S1357" i="6"/>
  <c r="T687" i="5" s="1"/>
  <c r="V1357" i="6"/>
  <c r="W687" i="5" s="1"/>
  <c r="R1357" i="6"/>
  <c r="U1357" i="6"/>
  <c r="V687" i="5" s="1"/>
  <c r="T959" i="6"/>
  <c r="U488" i="5" s="1"/>
  <c r="S959" i="6"/>
  <c r="T488" i="5" s="1"/>
  <c r="V959" i="6"/>
  <c r="W488" i="5" s="1"/>
  <c r="R959" i="6"/>
  <c r="W959" i="6"/>
  <c r="X488" i="5" s="1"/>
  <c r="R1151" i="6"/>
  <c r="W1151" i="6"/>
  <c r="X584" i="5" s="1"/>
  <c r="S1151" i="6"/>
  <c r="T584" i="5" s="1"/>
  <c r="V1151" i="6"/>
  <c r="W584" i="5" s="1"/>
  <c r="T1151" i="6"/>
  <c r="U584" i="5" s="1"/>
  <c r="R1421" i="6"/>
  <c r="T1421" i="6"/>
  <c r="U719" i="5" s="1"/>
  <c r="S1421" i="6"/>
  <c r="T719" i="5" s="1"/>
  <c r="V1421" i="6"/>
  <c r="W719" i="5" s="1"/>
  <c r="U1421" i="6"/>
  <c r="V719" i="5" s="1"/>
  <c r="V1439" i="6"/>
  <c r="W728" i="5" s="1"/>
  <c r="T1439" i="6"/>
  <c r="U728" i="5" s="1"/>
  <c r="R1439" i="6"/>
  <c r="U1439" i="6"/>
  <c r="V728" i="5" s="1"/>
  <c r="S1439" i="6"/>
  <c r="T728" i="5" s="1"/>
  <c r="V305" i="6"/>
  <c r="W161" i="5" s="1"/>
  <c r="U305" i="6"/>
  <c r="V161" i="5" s="1"/>
  <c r="R305" i="6"/>
  <c r="W305" i="6"/>
  <c r="X161" i="5" s="1"/>
  <c r="T305" i="6"/>
  <c r="U161" i="5" s="1"/>
  <c r="R303" i="6"/>
  <c r="V303" i="6"/>
  <c r="W160" i="5" s="1"/>
  <c r="U303" i="6"/>
  <c r="V160" i="5" s="1"/>
  <c r="W303" i="6"/>
  <c r="X160" i="5" s="1"/>
  <c r="T303" i="6"/>
  <c r="U160" i="5" s="1"/>
  <c r="T1367" i="6"/>
  <c r="U692" i="5" s="1"/>
  <c r="R1367" i="6"/>
  <c r="S1367" i="6"/>
  <c r="T692" i="5" s="1"/>
  <c r="V1367" i="6"/>
  <c r="W692" i="5" s="1"/>
  <c r="U1367" i="6"/>
  <c r="V692" i="5" s="1"/>
  <c r="R413" i="6"/>
  <c r="W413" i="6"/>
  <c r="X215" i="5" s="1"/>
  <c r="U413" i="6"/>
  <c r="V215" i="5" s="1"/>
  <c r="T413" i="6"/>
  <c r="U215" i="5" s="1"/>
  <c r="V413" i="6"/>
  <c r="W215" i="5" s="1"/>
  <c r="V411" i="6"/>
  <c r="W214" i="5" s="1"/>
  <c r="R411" i="6"/>
  <c r="U411" i="6"/>
  <c r="V214" i="5" s="1"/>
  <c r="T411" i="6"/>
  <c r="U214" i="5" s="1"/>
  <c r="W411" i="6"/>
  <c r="X214" i="5" s="1"/>
  <c r="T409" i="6"/>
  <c r="U213" i="5" s="1"/>
  <c r="W409" i="6"/>
  <c r="X213" i="5" s="1"/>
  <c r="R409" i="6"/>
  <c r="U409" i="6"/>
  <c r="V213" i="5" s="1"/>
  <c r="V409" i="6"/>
  <c r="W213" i="5" s="1"/>
  <c r="W1379" i="6"/>
  <c r="X698" i="5" s="1"/>
  <c r="T1379" i="6"/>
  <c r="U698" i="5" s="1"/>
  <c r="V1379" i="6"/>
  <c r="W698" i="5" s="1"/>
  <c r="R1379" i="6"/>
  <c r="U1379" i="6"/>
  <c r="V698" i="5" s="1"/>
  <c r="S1379" i="6"/>
  <c r="T698" i="5" s="1"/>
  <c r="W1385" i="6"/>
  <c r="X701" i="5" s="1"/>
  <c r="S1385" i="6"/>
  <c r="T701" i="5" s="1"/>
  <c r="T1385" i="6"/>
  <c r="U701" i="5" s="1"/>
  <c r="V1385" i="6"/>
  <c r="W701" i="5" s="1"/>
  <c r="R1385" i="6"/>
  <c r="U1385" i="6"/>
  <c r="V701" i="5" s="1"/>
  <c r="W1331" i="6"/>
  <c r="X674" i="5" s="1"/>
  <c r="S1331" i="6"/>
  <c r="T674" i="5" s="1"/>
  <c r="U1331" i="6"/>
  <c r="V674" i="5" s="1"/>
  <c r="V1331" i="6"/>
  <c r="W674" i="5" s="1"/>
  <c r="T1331" i="6"/>
  <c r="U674" i="5" s="1"/>
  <c r="R1331" i="6"/>
  <c r="W1337" i="6"/>
  <c r="X677" i="5" s="1"/>
  <c r="R1337" i="6"/>
  <c r="V1337" i="6"/>
  <c r="W677" i="5" s="1"/>
  <c r="T1337" i="6"/>
  <c r="U677" i="5" s="1"/>
  <c r="S1337" i="6"/>
  <c r="T677" i="5" s="1"/>
  <c r="U1337" i="6"/>
  <c r="V677" i="5" s="1"/>
  <c r="T1103" i="6"/>
  <c r="U560" i="5" s="1"/>
  <c r="R1103" i="6"/>
  <c r="W1103" i="6"/>
  <c r="X560" i="5" s="1"/>
  <c r="S1103" i="6"/>
  <c r="T560" i="5" s="1"/>
  <c r="U1103" i="6"/>
  <c r="V560" i="5" s="1"/>
  <c r="S1193" i="6"/>
  <c r="T605" i="5" s="1"/>
  <c r="W1193" i="6"/>
  <c r="X605" i="5" s="1"/>
  <c r="R1193" i="6"/>
  <c r="U1193" i="6"/>
  <c r="V605" i="5" s="1"/>
  <c r="T1193" i="6"/>
  <c r="U605" i="5" s="1"/>
  <c r="U1325" i="6"/>
  <c r="V671" i="5" s="1"/>
  <c r="T1325" i="6"/>
  <c r="U671" i="5" s="1"/>
  <c r="S1325" i="6"/>
  <c r="T671" i="5" s="1"/>
  <c r="V1325" i="6"/>
  <c r="W671" i="5" s="1"/>
  <c r="R1325" i="6"/>
  <c r="R1117" i="6"/>
  <c r="U1117" i="6"/>
  <c r="V567" i="5" s="1"/>
  <c r="W1117" i="6"/>
  <c r="X567" i="5" s="1"/>
  <c r="T1117" i="6"/>
  <c r="U567" i="5" s="1"/>
  <c r="S1117" i="6"/>
  <c r="T567" i="5" s="1"/>
  <c r="S1187" i="6"/>
  <c r="T602" i="5" s="1"/>
  <c r="V1187" i="6"/>
  <c r="W602" i="5" s="1"/>
  <c r="T1187" i="6"/>
  <c r="U602" i="5" s="1"/>
  <c r="U1187" i="6"/>
  <c r="V602" i="5" s="1"/>
  <c r="W1187" i="6"/>
  <c r="X602" i="5" s="1"/>
  <c r="R1187" i="6"/>
  <c r="T1353" i="6"/>
  <c r="U685" i="5" s="1"/>
  <c r="S1353" i="6"/>
  <c r="T685" i="5" s="1"/>
  <c r="V1353" i="6"/>
  <c r="W685" i="5" s="1"/>
  <c r="R1353" i="6"/>
  <c r="U1353" i="6"/>
  <c r="V685" i="5" s="1"/>
  <c r="V1433" i="6"/>
  <c r="W725" i="5" s="1"/>
  <c r="T1433" i="6"/>
  <c r="U725" i="5" s="1"/>
  <c r="S1433" i="6"/>
  <c r="T725" i="5" s="1"/>
  <c r="R1433" i="6"/>
  <c r="U1433" i="6"/>
  <c r="V725" i="5" s="1"/>
  <c r="U589" i="6"/>
  <c r="V303" i="5" s="1"/>
  <c r="W589" i="6"/>
  <c r="X303" i="5" s="1"/>
  <c r="S589" i="6"/>
  <c r="T303" i="5" s="1"/>
  <c r="R589" i="6"/>
  <c r="V589" i="6"/>
  <c r="W303" i="5" s="1"/>
  <c r="R671" i="6"/>
  <c r="U671" i="6"/>
  <c r="V344" i="5" s="1"/>
  <c r="W671" i="6"/>
  <c r="X344" i="5" s="1"/>
  <c r="S671" i="6"/>
  <c r="T344" i="5" s="1"/>
  <c r="V671" i="6"/>
  <c r="W344" i="5" s="1"/>
  <c r="S701" i="6"/>
  <c r="T359" i="5" s="1"/>
  <c r="W701" i="6"/>
  <c r="X359" i="5" s="1"/>
  <c r="R701" i="6"/>
  <c r="V701" i="6"/>
  <c r="W359" i="5" s="1"/>
  <c r="U701" i="6"/>
  <c r="V359" i="5" s="1"/>
  <c r="S719" i="6"/>
  <c r="T368" i="5" s="1"/>
  <c r="W719" i="6"/>
  <c r="X368" i="5" s="1"/>
  <c r="V719" i="6"/>
  <c r="W368" i="5" s="1"/>
  <c r="U719" i="6"/>
  <c r="V368" i="5" s="1"/>
  <c r="R719" i="6"/>
  <c r="V1343" i="6"/>
  <c r="W680" i="5" s="1"/>
  <c r="R1343" i="6"/>
  <c r="U1343" i="6"/>
  <c r="V680" i="5" s="1"/>
  <c r="T1343" i="6"/>
  <c r="U680" i="5" s="1"/>
  <c r="S1343" i="6"/>
  <c r="T680" i="5" s="1"/>
  <c r="U1427" i="6"/>
  <c r="V722" i="5" s="1"/>
  <c r="T1427" i="6"/>
  <c r="U722" i="5" s="1"/>
  <c r="R1427" i="6"/>
  <c r="V1427" i="6"/>
  <c r="W722" i="5" s="1"/>
  <c r="S1427" i="6"/>
  <c r="T722" i="5" s="1"/>
  <c r="V911" i="6"/>
  <c r="W464" i="5" s="1"/>
  <c r="R911" i="6"/>
  <c r="T911" i="6"/>
  <c r="U464" i="5" s="1"/>
  <c r="S911" i="6"/>
  <c r="T464" i="5" s="1"/>
  <c r="W911" i="6"/>
  <c r="X464" i="5" s="1"/>
  <c r="S941" i="6"/>
  <c r="T479" i="5" s="1"/>
  <c r="V941" i="6"/>
  <c r="W479" i="5" s="1"/>
  <c r="T941" i="6"/>
  <c r="U479" i="5" s="1"/>
  <c r="R941" i="6"/>
  <c r="W941" i="6"/>
  <c r="X479" i="5" s="1"/>
  <c r="T961" i="6"/>
  <c r="U489" i="5" s="1"/>
  <c r="R961" i="6"/>
  <c r="W961" i="6"/>
  <c r="X489" i="5" s="1"/>
  <c r="V961" i="6"/>
  <c r="W489" i="5" s="1"/>
  <c r="S961" i="6"/>
  <c r="T489" i="5" s="1"/>
  <c r="W949" i="6"/>
  <c r="X483" i="5" s="1"/>
  <c r="T949" i="6"/>
  <c r="U483" i="5" s="1"/>
  <c r="R949" i="6"/>
  <c r="V949" i="6"/>
  <c r="W483" i="5" s="1"/>
  <c r="S949" i="6"/>
  <c r="T483" i="5" s="1"/>
  <c r="S955" i="6"/>
  <c r="T486" i="5" s="1"/>
  <c r="R955" i="6"/>
  <c r="V955" i="6"/>
  <c r="W486" i="5" s="1"/>
  <c r="W955" i="6"/>
  <c r="X486" i="5" s="1"/>
  <c r="T955" i="6"/>
  <c r="U486" i="5" s="1"/>
  <c r="V1375" i="6"/>
  <c r="W696" i="5" s="1"/>
  <c r="R1375" i="6"/>
  <c r="U1375" i="6"/>
  <c r="V696" i="5" s="1"/>
  <c r="S1375" i="6"/>
  <c r="T696" i="5" s="1"/>
  <c r="T1375" i="6"/>
  <c r="U696" i="5" s="1"/>
  <c r="S1333" i="6"/>
  <c r="T675" i="5" s="1"/>
  <c r="R1333" i="6"/>
  <c r="V1333" i="6"/>
  <c r="W675" i="5" s="1"/>
  <c r="T1333" i="6"/>
  <c r="U675" i="5" s="1"/>
  <c r="U1333" i="6"/>
  <c r="V675" i="5" s="1"/>
  <c r="W1441" i="6"/>
  <c r="X729" i="5" s="1"/>
  <c r="R1441" i="6"/>
  <c r="T673" i="6"/>
  <c r="U345" i="5" s="1"/>
  <c r="R673" i="6"/>
  <c r="V965" i="6"/>
  <c r="W491" i="5" s="1"/>
  <c r="V1033" i="6"/>
  <c r="W525" i="5" s="1"/>
  <c r="W1209" i="6"/>
  <c r="X613" i="5" s="1"/>
  <c r="W1207" i="6"/>
  <c r="X612" i="5" s="1"/>
  <c r="V1087" i="6"/>
  <c r="W552" i="5" s="1"/>
  <c r="W1275" i="6"/>
  <c r="X646" i="5" s="1"/>
  <c r="T403" i="6"/>
  <c r="U210" i="5" s="1"/>
  <c r="R403" i="6"/>
  <c r="W403" i="6"/>
  <c r="X210" i="5" s="1"/>
  <c r="V403" i="6"/>
  <c r="W210" i="5" s="1"/>
  <c r="U403" i="6"/>
  <c r="V210" i="5" s="1"/>
  <c r="R355" i="6"/>
  <c r="S355" i="6"/>
  <c r="T186" i="5" s="1"/>
  <c r="U355" i="6"/>
  <c r="V186" i="5" s="1"/>
  <c r="W355" i="6"/>
  <c r="X186" i="5" s="1"/>
  <c r="V355" i="6"/>
  <c r="W186" i="5" s="1"/>
  <c r="T355" i="6"/>
  <c r="U186" i="5" s="1"/>
  <c r="V361" i="6"/>
  <c r="W189" i="5" s="1"/>
  <c r="T361" i="6"/>
  <c r="U189" i="5" s="1"/>
  <c r="W361" i="6"/>
  <c r="X189" i="5" s="1"/>
  <c r="U361" i="6"/>
  <c r="V189" i="5" s="1"/>
  <c r="S361" i="6"/>
  <c r="T189" i="5" s="1"/>
  <c r="R361" i="6"/>
  <c r="T429" i="6"/>
  <c r="U223" i="5" s="1"/>
  <c r="U429" i="6"/>
  <c r="V223" i="5" s="1"/>
  <c r="R429" i="6"/>
  <c r="W429" i="6"/>
  <c r="X223" i="5" s="1"/>
  <c r="V429" i="6"/>
  <c r="W223" i="5" s="1"/>
  <c r="S429" i="6"/>
  <c r="T223" i="5" s="1"/>
  <c r="W431" i="6"/>
  <c r="X224" i="5" s="1"/>
  <c r="R431" i="6"/>
  <c r="V431" i="6"/>
  <c r="W224" i="5" s="1"/>
  <c r="T431" i="6"/>
  <c r="U224" i="5" s="1"/>
  <c r="S431" i="6"/>
  <c r="T224" i="5" s="1"/>
  <c r="U431" i="6"/>
  <c r="V224" i="5" s="1"/>
  <c r="R1279" i="6"/>
  <c r="S1279" i="6"/>
  <c r="T648" i="5" s="1"/>
  <c r="U1279" i="6"/>
  <c r="V648" i="5" s="1"/>
  <c r="T1279" i="6"/>
  <c r="U648" i="5" s="1"/>
  <c r="V1279" i="6"/>
  <c r="W648" i="5" s="1"/>
  <c r="S1441" i="6"/>
  <c r="T729" i="5" s="1"/>
  <c r="V1441" i="6"/>
  <c r="W729" i="5" s="1"/>
  <c r="U1441" i="6"/>
  <c r="V729" i="5" s="1"/>
  <c r="T1441" i="6"/>
  <c r="U729" i="5" s="1"/>
  <c r="W1435" i="6"/>
  <c r="X726" i="5" s="1"/>
  <c r="V1435" i="6"/>
  <c r="W726" i="5" s="1"/>
  <c r="T1435" i="6"/>
  <c r="U726" i="5" s="1"/>
  <c r="R1435" i="6"/>
  <c r="S1435" i="6"/>
  <c r="T726" i="5" s="1"/>
  <c r="U1435" i="6"/>
  <c r="V726" i="5" s="1"/>
  <c r="S721" i="6"/>
  <c r="T369" i="5" s="1"/>
  <c r="W721" i="6"/>
  <c r="X369" i="5" s="1"/>
  <c r="T721" i="6"/>
  <c r="U369" i="5" s="1"/>
  <c r="V721" i="6"/>
  <c r="W369" i="5" s="1"/>
  <c r="U721" i="6"/>
  <c r="V369" i="5" s="1"/>
  <c r="R721" i="6"/>
  <c r="T715" i="6"/>
  <c r="U366" i="5" s="1"/>
  <c r="R715" i="6"/>
  <c r="S715" i="6"/>
  <c r="T366" i="5" s="1"/>
  <c r="V715" i="6"/>
  <c r="W366" i="5" s="1"/>
  <c r="W715" i="6"/>
  <c r="X366" i="5" s="1"/>
  <c r="U715" i="6"/>
  <c r="V366" i="5" s="1"/>
  <c r="U709" i="6"/>
  <c r="V363" i="5" s="1"/>
  <c r="R709" i="6"/>
  <c r="T709" i="6"/>
  <c r="U363" i="5" s="1"/>
  <c r="V709" i="6"/>
  <c r="W363" i="5" s="1"/>
  <c r="W709" i="6"/>
  <c r="X363" i="5" s="1"/>
  <c r="S709" i="6"/>
  <c r="T363" i="5" s="1"/>
  <c r="W673" i="6"/>
  <c r="X345" i="5" s="1"/>
  <c r="V673" i="6"/>
  <c r="W345" i="5" s="1"/>
  <c r="U673" i="6"/>
  <c r="V345" i="5" s="1"/>
  <c r="S673" i="6"/>
  <c r="T345" i="5" s="1"/>
  <c r="T655" i="6"/>
  <c r="U336" i="5" s="1"/>
  <c r="S655" i="6"/>
  <c r="T336" i="5" s="1"/>
  <c r="R655" i="6"/>
  <c r="V655" i="6"/>
  <c r="W336" i="5" s="1"/>
  <c r="U655" i="6"/>
  <c r="V336" i="5" s="1"/>
  <c r="W655" i="6"/>
  <c r="X336" i="5" s="1"/>
  <c r="T641" i="6"/>
  <c r="U329" i="5" s="1"/>
  <c r="U641" i="6"/>
  <c r="V329" i="5" s="1"/>
  <c r="V641" i="6"/>
  <c r="W329" i="5" s="1"/>
  <c r="R641" i="6"/>
  <c r="W641" i="6"/>
  <c r="X329" i="5" s="1"/>
  <c r="S641" i="6"/>
  <c r="T329" i="5" s="1"/>
  <c r="T639" i="6"/>
  <c r="U328" i="5" s="1"/>
  <c r="R639" i="6"/>
  <c r="W639" i="6"/>
  <c r="X328" i="5" s="1"/>
  <c r="U639" i="6"/>
  <c r="V328" i="5" s="1"/>
  <c r="S639" i="6"/>
  <c r="T328" i="5" s="1"/>
  <c r="V639" i="6"/>
  <c r="W328" i="5" s="1"/>
  <c r="W1359" i="6"/>
  <c r="X688" i="5" s="1"/>
  <c r="T1359" i="6"/>
  <c r="U688" i="5" s="1"/>
  <c r="V1359" i="6"/>
  <c r="W688" i="5" s="1"/>
  <c r="S1359" i="6"/>
  <c r="T688" i="5" s="1"/>
  <c r="U1359" i="6"/>
  <c r="V688" i="5" s="1"/>
  <c r="R1359" i="6"/>
  <c r="W1387" i="6"/>
  <c r="X702" i="5" s="1"/>
  <c r="U1387" i="6"/>
  <c r="V702" i="5" s="1"/>
  <c r="V1387" i="6"/>
  <c r="W702" i="5" s="1"/>
  <c r="S1387" i="6"/>
  <c r="T702" i="5" s="1"/>
  <c r="R1387" i="6"/>
  <c r="T1387" i="6"/>
  <c r="U702" i="5" s="1"/>
  <c r="T1393" i="6"/>
  <c r="U705" i="5" s="1"/>
  <c r="V1393" i="6"/>
  <c r="W705" i="5" s="1"/>
  <c r="U1393" i="6"/>
  <c r="V705" i="5" s="1"/>
  <c r="S1393" i="6"/>
  <c r="T705" i="5" s="1"/>
  <c r="W1393" i="6"/>
  <c r="X705" i="5" s="1"/>
  <c r="R1393" i="6"/>
  <c r="U1319" i="6"/>
  <c r="V668" i="5" s="1"/>
  <c r="V1319" i="6"/>
  <c r="W668" i="5" s="1"/>
  <c r="S1319" i="6"/>
  <c r="T668" i="5" s="1"/>
  <c r="R1319" i="6"/>
  <c r="T1319" i="6"/>
  <c r="U668" i="5" s="1"/>
  <c r="S423" i="5"/>
  <c r="R1345" i="6"/>
  <c r="S681" i="5" s="1"/>
  <c r="T1345" i="6"/>
  <c r="U681" i="5" s="1"/>
  <c r="W1311" i="6"/>
  <c r="X664" i="5" s="1"/>
  <c r="S1311" i="6"/>
  <c r="T664" i="5" s="1"/>
  <c r="U1311" i="6"/>
  <c r="V664" i="5" s="1"/>
  <c r="R1311" i="6"/>
  <c r="V1311" i="6"/>
  <c r="W664" i="5" s="1"/>
  <c r="W1339" i="6"/>
  <c r="X678" i="5" s="1"/>
  <c r="S1339" i="6"/>
  <c r="T678" i="5" s="1"/>
  <c r="T1339" i="6"/>
  <c r="U678" i="5" s="1"/>
  <c r="R1339" i="6"/>
  <c r="U1339" i="6"/>
  <c r="V678" i="5" s="1"/>
  <c r="U923" i="6"/>
  <c r="V470" i="5" s="1"/>
  <c r="V1097" i="6"/>
  <c r="W557" i="5" s="1"/>
  <c r="R165" i="6"/>
  <c r="V1045" i="6"/>
  <c r="W531" i="5" s="1"/>
  <c r="U865" i="6"/>
  <c r="V441" i="5" s="1"/>
  <c r="U831" i="6"/>
  <c r="V424" i="5" s="1"/>
  <c r="U945" i="6"/>
  <c r="V481" i="5" s="1"/>
  <c r="R139" i="6"/>
  <c r="R105" i="6"/>
  <c r="V1039" i="6"/>
  <c r="W528" i="5" s="1"/>
  <c r="R15" i="6"/>
  <c r="V1059" i="6"/>
  <c r="W538" i="5" s="1"/>
  <c r="T703" i="6"/>
  <c r="U360" i="5" s="1"/>
  <c r="W1241" i="6"/>
  <c r="X629" i="5" s="1"/>
  <c r="R25" i="6"/>
  <c r="V1195" i="6"/>
  <c r="W606" i="5" s="1"/>
  <c r="R27" i="6"/>
  <c r="R195" i="6"/>
  <c r="U781" i="6"/>
  <c r="V399" i="5" s="1"/>
  <c r="U771" i="6"/>
  <c r="V394" i="5" s="1"/>
  <c r="R153" i="6"/>
  <c r="V1153" i="6"/>
  <c r="W585" i="5" s="1"/>
  <c r="V1073" i="6"/>
  <c r="W545" i="5" s="1"/>
  <c r="W543" i="5"/>
  <c r="X1069" i="6"/>
  <c r="U1345" i="6"/>
  <c r="V681" i="5" s="1"/>
  <c r="V1345" i="6"/>
  <c r="W681" i="5" s="1"/>
  <c r="S1345" i="6"/>
  <c r="W1345" i="6"/>
  <c r="X681" i="5" s="1"/>
  <c r="V1155" i="6"/>
  <c r="W586" i="5" s="1"/>
  <c r="V1133" i="6"/>
  <c r="W575" i="5" s="1"/>
  <c r="T691" i="6"/>
  <c r="U354" i="5" s="1"/>
  <c r="T689" i="6"/>
  <c r="U353" i="5" s="1"/>
  <c r="R199" i="6"/>
  <c r="V1143" i="6"/>
  <c r="W580" i="5" s="1"/>
  <c r="V1141" i="6"/>
  <c r="W579" i="5" s="1"/>
  <c r="T553" i="6"/>
  <c r="U285" i="5" s="1"/>
  <c r="V1159" i="6"/>
  <c r="W588" i="5" s="1"/>
  <c r="T697" i="6"/>
  <c r="U357" i="5" s="1"/>
  <c r="T687" i="6"/>
  <c r="U352" i="5" s="1"/>
  <c r="V1023" i="6"/>
  <c r="W520" i="5" s="1"/>
  <c r="V1219" i="6"/>
  <c r="W618" i="5" s="1"/>
  <c r="U1219" i="6"/>
  <c r="V618" i="5" s="1"/>
  <c r="S1219" i="6"/>
  <c r="T618" i="5" s="1"/>
  <c r="R1219" i="6"/>
  <c r="T1219" i="6"/>
  <c r="U618" i="5" s="1"/>
  <c r="W1219" i="6"/>
  <c r="X618" i="5" s="1"/>
  <c r="W1355" i="6"/>
  <c r="X686" i="5" s="1"/>
  <c r="T1355" i="6"/>
  <c r="R191" i="6"/>
  <c r="T191" i="6"/>
  <c r="U104" i="5" s="1"/>
  <c r="R187" i="6"/>
  <c r="U187" i="6"/>
  <c r="V102" i="5" s="1"/>
  <c r="W1265" i="6"/>
  <c r="X641" i="5" s="1"/>
  <c r="U845" i="6"/>
  <c r="V431" i="5" s="1"/>
  <c r="T613" i="6"/>
  <c r="U315" i="5" s="1"/>
  <c r="T605" i="6"/>
  <c r="U311" i="5" s="1"/>
  <c r="T501" i="6"/>
  <c r="U259" i="5" s="1"/>
  <c r="R69" i="6"/>
  <c r="S43" i="5" s="1"/>
  <c r="T507" i="6"/>
  <c r="U262" i="5" s="1"/>
  <c r="R197" i="6"/>
  <c r="R151" i="6"/>
  <c r="S84" i="5" s="1"/>
  <c r="R87" i="6"/>
  <c r="S52" i="5" s="1"/>
  <c r="T685" i="6"/>
  <c r="U351" i="5" s="1"/>
  <c r="T693" i="6"/>
  <c r="U355" i="5" s="1"/>
  <c r="U785" i="6"/>
  <c r="V401" i="5" s="1"/>
  <c r="U775" i="6"/>
  <c r="V396" i="5" s="1"/>
  <c r="R205" i="6"/>
  <c r="R129" i="6"/>
  <c r="V1067" i="6"/>
  <c r="W542" i="5" s="1"/>
  <c r="R17" i="6"/>
  <c r="S17" i="5" s="1"/>
  <c r="U993" i="6"/>
  <c r="V505" i="5" s="1"/>
  <c r="R993" i="6"/>
  <c r="T993" i="6"/>
  <c r="U505" i="5" s="1"/>
  <c r="W993" i="6"/>
  <c r="X505" i="5" s="1"/>
  <c r="V993" i="6"/>
  <c r="W505" i="5" s="1"/>
  <c r="S993" i="6"/>
  <c r="T505" i="5" s="1"/>
  <c r="W1437" i="6"/>
  <c r="X727" i="5" s="1"/>
  <c r="R1437" i="6"/>
  <c r="V1437" i="6"/>
  <c r="W727" i="5" s="1"/>
  <c r="T1437" i="6"/>
  <c r="U727" i="5" s="1"/>
  <c r="U1437" i="6"/>
  <c r="V727" i="5" s="1"/>
  <c r="S1437" i="6"/>
  <c r="T727" i="5" s="1"/>
  <c r="W1431" i="6"/>
  <c r="X724" i="5" s="1"/>
  <c r="V1431" i="6"/>
  <c r="W724" i="5" s="1"/>
  <c r="U1431" i="6"/>
  <c r="V724" i="5" s="1"/>
  <c r="R1431" i="6"/>
  <c r="T1431" i="6"/>
  <c r="U724" i="5" s="1"/>
  <c r="S1431" i="6"/>
  <c r="T724" i="5" s="1"/>
  <c r="V1413" i="6"/>
  <c r="W715" i="5" s="1"/>
  <c r="S1413" i="6"/>
  <c r="T715" i="5" s="1"/>
  <c r="W1413" i="6"/>
  <c r="X715" i="5" s="1"/>
  <c r="T1413" i="6"/>
  <c r="U715" i="5" s="1"/>
  <c r="U1413" i="6"/>
  <c r="V715" i="5" s="1"/>
  <c r="R1413" i="6"/>
  <c r="W1411" i="6"/>
  <c r="X714" i="5" s="1"/>
  <c r="V1411" i="6"/>
  <c r="W714" i="5" s="1"/>
  <c r="U1411" i="6"/>
  <c r="V714" i="5" s="1"/>
  <c r="R1411" i="6"/>
  <c r="T1411" i="6"/>
  <c r="U714" i="5" s="1"/>
  <c r="S1411" i="6"/>
  <c r="T714" i="5" s="1"/>
  <c r="W1403" i="6"/>
  <c r="X710" i="5" s="1"/>
  <c r="R1403" i="6"/>
  <c r="S1403" i="6"/>
  <c r="T710" i="5" s="1"/>
  <c r="U1403" i="6"/>
  <c r="V710" i="5" s="1"/>
  <c r="V1403" i="6"/>
  <c r="W710" i="5" s="1"/>
  <c r="T1403" i="6"/>
  <c r="U710" i="5" s="1"/>
  <c r="W1389" i="6"/>
  <c r="X703" i="5" s="1"/>
  <c r="S1389" i="6"/>
  <c r="T703" i="5" s="1"/>
  <c r="V1389" i="6"/>
  <c r="W703" i="5" s="1"/>
  <c r="U1389" i="6"/>
  <c r="V703" i="5" s="1"/>
  <c r="R1389" i="6"/>
  <c r="T1389" i="6"/>
  <c r="U703" i="5" s="1"/>
  <c r="V1355" i="6"/>
  <c r="W686" i="5" s="1"/>
  <c r="U1355" i="6"/>
  <c r="V686" i="5" s="1"/>
  <c r="S1355" i="6"/>
  <c r="T686" i="5" s="1"/>
  <c r="R1355" i="6"/>
  <c r="S686" i="5" s="1"/>
  <c r="R987" i="6"/>
  <c r="S502" i="5" s="1"/>
  <c r="U987" i="6"/>
  <c r="V502" i="5" s="1"/>
  <c r="S987" i="6"/>
  <c r="T502" i="5" s="1"/>
  <c r="W987" i="6"/>
  <c r="X502" i="5" s="1"/>
  <c r="T987" i="6"/>
  <c r="V987" i="6"/>
  <c r="W502" i="5" s="1"/>
  <c r="U957" i="6"/>
  <c r="V487" i="5" s="1"/>
  <c r="V957" i="6"/>
  <c r="W487" i="5" s="1"/>
  <c r="W957" i="6"/>
  <c r="X487" i="5" s="1"/>
  <c r="S957" i="6"/>
  <c r="T487" i="5" s="1"/>
  <c r="T957" i="6"/>
  <c r="U487" i="5" s="1"/>
  <c r="R957" i="6"/>
  <c r="U883" i="6"/>
  <c r="V450" i="5" s="1"/>
  <c r="V883" i="6"/>
  <c r="W450" i="5" s="1"/>
  <c r="W883" i="6"/>
  <c r="X450" i="5" s="1"/>
  <c r="T883" i="6"/>
  <c r="U450" i="5" s="1"/>
  <c r="R883" i="6"/>
  <c r="S883" i="6"/>
  <c r="T450" i="5" s="1"/>
  <c r="U867" i="6"/>
  <c r="V442" i="5" s="1"/>
  <c r="S867" i="6"/>
  <c r="T442" i="5" s="1"/>
  <c r="R867" i="6"/>
  <c r="V867" i="6"/>
  <c r="W442" i="5" s="1"/>
  <c r="W867" i="6"/>
  <c r="X442" i="5" s="1"/>
  <c r="T867" i="6"/>
  <c r="U442" i="5" s="1"/>
  <c r="T767" i="6"/>
  <c r="U392" i="5" s="1"/>
  <c r="V767" i="6"/>
  <c r="W392" i="5" s="1"/>
  <c r="S767" i="6"/>
  <c r="T392" i="5" s="1"/>
  <c r="U767" i="6"/>
  <c r="V392" i="5" s="1"/>
  <c r="W767" i="6"/>
  <c r="X392" i="5" s="1"/>
  <c r="R767" i="6"/>
  <c r="U747" i="6"/>
  <c r="V382" i="5" s="1"/>
  <c r="V747" i="6"/>
  <c r="W382" i="5" s="1"/>
  <c r="R747" i="6"/>
  <c r="S747" i="6"/>
  <c r="T382" i="5" s="1"/>
  <c r="T747" i="6"/>
  <c r="U382" i="5" s="1"/>
  <c r="W747" i="6"/>
  <c r="X382" i="5" s="1"/>
  <c r="R1365" i="6"/>
  <c r="W1365" i="6"/>
  <c r="X691" i="5" s="1"/>
  <c r="U1365" i="6"/>
  <c r="V691" i="5" s="1"/>
  <c r="T1365" i="6"/>
  <c r="U691" i="5" s="1"/>
  <c r="V1365" i="6"/>
  <c r="W691" i="5" s="1"/>
  <c r="S1365" i="6"/>
  <c r="T691" i="5" s="1"/>
  <c r="W1363" i="6"/>
  <c r="X690" i="5" s="1"/>
  <c r="U1363" i="6"/>
  <c r="V690" i="5" s="1"/>
  <c r="S1363" i="6"/>
  <c r="T690" i="5" s="1"/>
  <c r="V1363" i="6"/>
  <c r="W690" i="5" s="1"/>
  <c r="R1363" i="6"/>
  <c r="T1363" i="6"/>
  <c r="U690" i="5" s="1"/>
  <c r="S1107" i="6"/>
  <c r="T562" i="5" s="1"/>
  <c r="U1107" i="6"/>
  <c r="V562" i="5" s="1"/>
  <c r="V1107" i="6"/>
  <c r="W562" i="5" s="1"/>
  <c r="T1107" i="6"/>
  <c r="U562" i="5" s="1"/>
  <c r="W1107" i="6"/>
  <c r="X562" i="5" s="1"/>
  <c r="R1107" i="6"/>
  <c r="R239" i="6"/>
  <c r="S128" i="5" s="1"/>
  <c r="V239" i="6"/>
  <c r="W128" i="5" s="1"/>
  <c r="T239" i="6"/>
  <c r="U128" i="5" s="1"/>
  <c r="U239" i="6"/>
  <c r="V128" i="5" s="1"/>
  <c r="S239" i="6"/>
  <c r="W239" i="6"/>
  <c r="X128" i="5" s="1"/>
  <c r="R231" i="6"/>
  <c r="U231" i="6"/>
  <c r="V124" i="5" s="1"/>
  <c r="W231" i="6"/>
  <c r="X124" i="5" s="1"/>
  <c r="V231" i="6"/>
  <c r="W124" i="5" s="1"/>
  <c r="T231" i="6"/>
  <c r="U124" i="5" s="1"/>
  <c r="S231" i="6"/>
  <c r="T124" i="5" s="1"/>
  <c r="S191" i="6"/>
  <c r="T104" i="5" s="1"/>
  <c r="V191" i="6"/>
  <c r="W104" i="5" s="1"/>
  <c r="W191" i="6"/>
  <c r="X104" i="5" s="1"/>
  <c r="U191" i="6"/>
  <c r="V104" i="5" s="1"/>
  <c r="R171" i="6"/>
  <c r="S94" i="5" s="1"/>
  <c r="T171" i="6"/>
  <c r="U94" i="5" s="1"/>
  <c r="W171" i="6"/>
  <c r="X94" i="5" s="1"/>
  <c r="S171" i="6"/>
  <c r="U171" i="6"/>
  <c r="V94" i="5" s="1"/>
  <c r="V171" i="6"/>
  <c r="W94" i="5" s="1"/>
  <c r="W1425" i="6"/>
  <c r="X721" i="5" s="1"/>
  <c r="V1425" i="6"/>
  <c r="W721" i="5" s="1"/>
  <c r="T1425" i="6"/>
  <c r="U721" i="5" s="1"/>
  <c r="R235" i="6"/>
  <c r="S126" i="5" s="1"/>
  <c r="V235" i="6"/>
  <c r="W126" i="5" s="1"/>
  <c r="S235" i="6"/>
  <c r="U235" i="6"/>
  <c r="V126" i="5" s="1"/>
  <c r="W235" i="6"/>
  <c r="X126" i="5" s="1"/>
  <c r="T235" i="6"/>
  <c r="U126" i="5" s="1"/>
  <c r="R233" i="6"/>
  <c r="S125" i="5" s="1"/>
  <c r="S233" i="6"/>
  <c r="T233" i="6"/>
  <c r="U125" i="5" s="1"/>
  <c r="U233" i="6"/>
  <c r="V125" i="5" s="1"/>
  <c r="W233" i="6"/>
  <c r="X125" i="5" s="1"/>
  <c r="V233" i="6"/>
  <c r="W125" i="5" s="1"/>
  <c r="R215" i="6"/>
  <c r="S116" i="5" s="1"/>
  <c r="S215" i="6"/>
  <c r="U215" i="6"/>
  <c r="V116" i="5" s="1"/>
  <c r="V215" i="6"/>
  <c r="W116" i="5" s="1"/>
  <c r="W215" i="6"/>
  <c r="X116" i="5" s="1"/>
  <c r="T215" i="6"/>
  <c r="U116" i="5" s="1"/>
  <c r="S187" i="6"/>
  <c r="T102" i="5" s="1"/>
  <c r="T187" i="6"/>
  <c r="U102" i="5" s="1"/>
  <c r="V187" i="6"/>
  <c r="W102" i="5" s="1"/>
  <c r="W187" i="6"/>
  <c r="X102" i="5" s="1"/>
  <c r="W1307" i="6"/>
  <c r="X662" i="5" s="1"/>
  <c r="S1307" i="6"/>
  <c r="T662" i="5" s="1"/>
  <c r="T1307" i="6"/>
  <c r="U662" i="5" s="1"/>
  <c r="U1307" i="6"/>
  <c r="V662" i="5" s="1"/>
  <c r="V1307" i="6"/>
  <c r="W662" i="5" s="1"/>
  <c r="R1307" i="6"/>
  <c r="W1299" i="6"/>
  <c r="X658" i="5" s="1"/>
  <c r="S1299" i="6"/>
  <c r="T658" i="5" s="1"/>
  <c r="V1299" i="6"/>
  <c r="W658" i="5" s="1"/>
  <c r="R1299" i="6"/>
  <c r="T1299" i="6"/>
  <c r="U658" i="5" s="1"/>
  <c r="U1299" i="6"/>
  <c r="V658" i="5" s="1"/>
  <c r="R95" i="6"/>
  <c r="S56" i="5" s="1"/>
  <c r="V95" i="6"/>
  <c r="W56" i="5" s="1"/>
  <c r="S95" i="6"/>
  <c r="R75" i="6"/>
  <c r="S46" i="5" s="1"/>
  <c r="V75" i="6"/>
  <c r="W46" i="5" s="1"/>
  <c r="S75" i="6"/>
  <c r="W739" i="6"/>
  <c r="X378" i="5" s="1"/>
  <c r="R739" i="6"/>
  <c r="T739" i="6"/>
  <c r="U378" i="5" s="1"/>
  <c r="V739" i="6"/>
  <c r="W378" i="5" s="1"/>
  <c r="S739" i="6"/>
  <c r="T378" i="5" s="1"/>
  <c r="U739" i="6"/>
  <c r="V378" i="5" s="1"/>
  <c r="U629" i="6"/>
  <c r="V323" i="5" s="1"/>
  <c r="W629" i="6"/>
  <c r="X323" i="5" s="1"/>
  <c r="T629" i="6"/>
  <c r="U323" i="5" s="1"/>
  <c r="V629" i="6"/>
  <c r="W323" i="5" s="1"/>
  <c r="R629" i="6"/>
  <c r="S629" i="6"/>
  <c r="T323" i="5" s="1"/>
  <c r="T497" i="6"/>
  <c r="U257" i="5" s="1"/>
  <c r="S497" i="6"/>
  <c r="T257" i="5" s="1"/>
  <c r="W497" i="6"/>
  <c r="X257" i="5" s="1"/>
  <c r="R497" i="6"/>
  <c r="U497" i="6"/>
  <c r="V257" i="5" s="1"/>
  <c r="V497" i="6"/>
  <c r="W257" i="5" s="1"/>
  <c r="V1083" i="6"/>
  <c r="W550" i="5" s="1"/>
  <c r="T1083" i="6"/>
  <c r="U550" i="5" s="1"/>
  <c r="U1083" i="6"/>
  <c r="V550" i="5" s="1"/>
  <c r="S1083" i="6"/>
  <c r="T550" i="5" s="1"/>
  <c r="W1083" i="6"/>
  <c r="X550" i="5" s="1"/>
  <c r="R1083" i="6"/>
  <c r="W1423" i="6"/>
  <c r="X720" i="5" s="1"/>
  <c r="T1423" i="6"/>
  <c r="U720" i="5" s="1"/>
  <c r="S1423" i="6"/>
  <c r="T720" i="5" s="1"/>
  <c r="V1423" i="6"/>
  <c r="W720" i="5" s="1"/>
  <c r="R1423" i="6"/>
  <c r="U1423" i="6"/>
  <c r="V720" i="5" s="1"/>
  <c r="W1407" i="6"/>
  <c r="X712" i="5" s="1"/>
  <c r="V1407" i="6"/>
  <c r="W712" i="5" s="1"/>
  <c r="S1407" i="6"/>
  <c r="T712" i="5" s="1"/>
  <c r="T1407" i="6"/>
  <c r="U712" i="5" s="1"/>
  <c r="R1407" i="6"/>
  <c r="U1407" i="6"/>
  <c r="V712" i="5" s="1"/>
  <c r="V763" i="6"/>
  <c r="W390" i="5" s="1"/>
  <c r="U763" i="6"/>
  <c r="V390" i="5" s="1"/>
  <c r="R763" i="6"/>
  <c r="T763" i="6"/>
  <c r="U390" i="5" s="1"/>
  <c r="S763" i="6"/>
  <c r="T390" i="5" s="1"/>
  <c r="W763" i="6"/>
  <c r="X390" i="5" s="1"/>
  <c r="W1091" i="6"/>
  <c r="X554" i="5" s="1"/>
  <c r="U1091" i="6"/>
  <c r="V554" i="5" s="1"/>
  <c r="T1091" i="6"/>
  <c r="U554" i="5" s="1"/>
  <c r="R1091" i="6"/>
  <c r="S1091" i="6"/>
  <c r="T554" i="5" s="1"/>
  <c r="W1163" i="6"/>
  <c r="X590" i="5" s="1"/>
  <c r="S1163" i="6"/>
  <c r="T590" i="5" s="1"/>
  <c r="U1163" i="6"/>
  <c r="V590" i="5" s="1"/>
  <c r="R1163" i="6"/>
  <c r="T1163" i="6"/>
  <c r="U590" i="5" s="1"/>
  <c r="W1161" i="6"/>
  <c r="X589" i="5" s="1"/>
  <c r="T1161" i="6"/>
  <c r="U589" i="5" s="1"/>
  <c r="R1161" i="6"/>
  <c r="U1161" i="6"/>
  <c r="V589" i="5" s="1"/>
  <c r="S1161" i="6"/>
  <c r="T589" i="5" s="1"/>
  <c r="W1159" i="6"/>
  <c r="X588" i="5" s="1"/>
  <c r="R1159" i="6"/>
  <c r="T1159" i="6"/>
  <c r="U588" i="5" s="1"/>
  <c r="S1159" i="6"/>
  <c r="T588" i="5" s="1"/>
  <c r="U1159" i="6"/>
  <c r="V588" i="5" s="1"/>
  <c r="W1157" i="6"/>
  <c r="X587" i="5" s="1"/>
  <c r="R1157" i="6"/>
  <c r="S1157" i="6"/>
  <c r="T587" i="5" s="1"/>
  <c r="U1157" i="6"/>
  <c r="V587" i="5" s="1"/>
  <c r="T1157" i="6"/>
  <c r="U587" i="5" s="1"/>
  <c r="W1155" i="6"/>
  <c r="X586" i="5" s="1"/>
  <c r="S1155" i="6"/>
  <c r="T586" i="5" s="1"/>
  <c r="R1155" i="6"/>
  <c r="T1155" i="6"/>
  <c r="U586" i="5" s="1"/>
  <c r="U1155" i="6"/>
  <c r="V586" i="5" s="1"/>
  <c r="U1145" i="6"/>
  <c r="V581" i="5" s="1"/>
  <c r="W1145" i="6"/>
  <c r="X581" i="5" s="1"/>
  <c r="T1145" i="6"/>
  <c r="U581" i="5" s="1"/>
  <c r="R1145" i="6"/>
  <c r="S1145" i="6"/>
  <c r="T581" i="5" s="1"/>
  <c r="U1143" i="6"/>
  <c r="V580" i="5" s="1"/>
  <c r="W1143" i="6"/>
  <c r="X580" i="5" s="1"/>
  <c r="S1143" i="6"/>
  <c r="T580" i="5" s="1"/>
  <c r="R1143" i="6"/>
  <c r="T1143" i="6"/>
  <c r="U580" i="5" s="1"/>
  <c r="W925" i="6"/>
  <c r="X471" i="5" s="1"/>
  <c r="R925" i="6"/>
  <c r="T925" i="6"/>
  <c r="U471" i="5" s="1"/>
  <c r="V925" i="6"/>
  <c r="W471" i="5" s="1"/>
  <c r="S925" i="6"/>
  <c r="T471" i="5" s="1"/>
  <c r="W923" i="6"/>
  <c r="X470" i="5" s="1"/>
  <c r="S923" i="6"/>
  <c r="T470" i="5" s="1"/>
  <c r="V923" i="6"/>
  <c r="W470" i="5" s="1"/>
  <c r="R923" i="6"/>
  <c r="T923" i="6"/>
  <c r="U470" i="5" s="1"/>
  <c r="W921" i="6"/>
  <c r="X469" i="5" s="1"/>
  <c r="T921" i="6"/>
  <c r="U469" i="5" s="1"/>
  <c r="R921" i="6"/>
  <c r="V921" i="6"/>
  <c r="W469" i="5" s="1"/>
  <c r="S921" i="6"/>
  <c r="T469" i="5" s="1"/>
  <c r="W919" i="6"/>
  <c r="X468" i="5" s="1"/>
  <c r="T919" i="6"/>
  <c r="U468" i="5" s="1"/>
  <c r="R919" i="6"/>
  <c r="S919" i="6"/>
  <c r="T468" i="5" s="1"/>
  <c r="V919" i="6"/>
  <c r="W468" i="5" s="1"/>
  <c r="S917" i="6"/>
  <c r="T467" i="5" s="1"/>
  <c r="R917" i="6"/>
  <c r="W917" i="6"/>
  <c r="X467" i="5" s="1"/>
  <c r="V917" i="6"/>
  <c r="W467" i="5" s="1"/>
  <c r="T917" i="6"/>
  <c r="U467" i="5" s="1"/>
  <c r="W915" i="6"/>
  <c r="X466" i="5" s="1"/>
  <c r="S915" i="6"/>
  <c r="T466" i="5" s="1"/>
  <c r="R915" i="6"/>
  <c r="T915" i="6"/>
  <c r="U466" i="5" s="1"/>
  <c r="V915" i="6"/>
  <c r="W466" i="5" s="1"/>
  <c r="T857" i="6"/>
  <c r="U437" i="5" s="1"/>
  <c r="W857" i="6"/>
  <c r="X437" i="5" s="1"/>
  <c r="R857" i="6"/>
  <c r="V857" i="6"/>
  <c r="W437" i="5" s="1"/>
  <c r="S857" i="6"/>
  <c r="T437" i="5" s="1"/>
  <c r="S855" i="6"/>
  <c r="T436" i="5" s="1"/>
  <c r="R855" i="6"/>
  <c r="W855" i="6"/>
  <c r="X436" i="5" s="1"/>
  <c r="T855" i="6"/>
  <c r="U436" i="5" s="1"/>
  <c r="V855" i="6"/>
  <c r="W436" i="5" s="1"/>
  <c r="W685" i="6"/>
  <c r="X351" i="5" s="1"/>
  <c r="R685" i="6"/>
  <c r="V685" i="6"/>
  <c r="W351" i="5" s="1"/>
  <c r="U685" i="6"/>
  <c r="V351" i="5" s="1"/>
  <c r="S685" i="6"/>
  <c r="T351" i="5" s="1"/>
  <c r="W683" i="6"/>
  <c r="X350" i="5" s="1"/>
  <c r="S683" i="6"/>
  <c r="T350" i="5" s="1"/>
  <c r="V683" i="6"/>
  <c r="W350" i="5" s="1"/>
  <c r="R683" i="6"/>
  <c r="U683" i="6"/>
  <c r="V350" i="5" s="1"/>
  <c r="W681" i="6"/>
  <c r="X349" i="5" s="1"/>
  <c r="U681" i="6"/>
  <c r="V349" i="5" s="1"/>
  <c r="R681" i="6"/>
  <c r="V681" i="6"/>
  <c r="W349" i="5" s="1"/>
  <c r="S681" i="6"/>
  <c r="T349" i="5" s="1"/>
  <c r="W679" i="6"/>
  <c r="X348" i="5" s="1"/>
  <c r="S679" i="6"/>
  <c r="T348" i="5" s="1"/>
  <c r="U679" i="6"/>
  <c r="V348" i="5" s="1"/>
  <c r="R679" i="6"/>
  <c r="V679" i="6"/>
  <c r="W348" i="5" s="1"/>
  <c r="S677" i="6"/>
  <c r="T347" i="5" s="1"/>
  <c r="R677" i="6"/>
  <c r="W677" i="6"/>
  <c r="X347" i="5" s="1"/>
  <c r="V677" i="6"/>
  <c r="W347" i="5" s="1"/>
  <c r="U677" i="6"/>
  <c r="V347" i="5" s="1"/>
  <c r="W675" i="6"/>
  <c r="X346" i="5" s="1"/>
  <c r="S675" i="6"/>
  <c r="T346" i="5" s="1"/>
  <c r="R675" i="6"/>
  <c r="U675" i="6"/>
  <c r="V346" i="5" s="1"/>
  <c r="V675" i="6"/>
  <c r="W346" i="5" s="1"/>
  <c r="U617" i="6"/>
  <c r="V317" i="5" s="1"/>
  <c r="W617" i="6"/>
  <c r="X317" i="5" s="1"/>
  <c r="R617" i="6"/>
  <c r="V617" i="6"/>
  <c r="W317" i="5" s="1"/>
  <c r="S617" i="6"/>
  <c r="T317" i="5" s="1"/>
  <c r="S615" i="6"/>
  <c r="T316" i="5" s="1"/>
  <c r="R615" i="6"/>
  <c r="W615" i="6"/>
  <c r="X316" i="5" s="1"/>
  <c r="U615" i="6"/>
  <c r="V316" i="5" s="1"/>
  <c r="V615" i="6"/>
  <c r="W316" i="5" s="1"/>
  <c r="W1165" i="6"/>
  <c r="X591" i="5" s="1"/>
  <c r="U1165" i="6"/>
  <c r="V591" i="5" s="1"/>
  <c r="R1165" i="6"/>
  <c r="T1165" i="6"/>
  <c r="U591" i="5" s="1"/>
  <c r="S1165" i="6"/>
  <c r="T591" i="5" s="1"/>
  <c r="W1095" i="6"/>
  <c r="X556" i="5" s="1"/>
  <c r="T1095" i="6"/>
  <c r="U556" i="5" s="1"/>
  <c r="R1095" i="6"/>
  <c r="S1095" i="6"/>
  <c r="T556" i="5" s="1"/>
  <c r="U1095" i="6"/>
  <c r="V556" i="5" s="1"/>
  <c r="S631" i="5"/>
  <c r="W1097" i="6"/>
  <c r="X557" i="5" s="1"/>
  <c r="T1097" i="6"/>
  <c r="U557" i="5" s="1"/>
  <c r="R1097" i="6"/>
  <c r="U1097" i="6"/>
  <c r="V557" i="5" s="1"/>
  <c r="S1097" i="6"/>
  <c r="T557" i="5" s="1"/>
  <c r="W1139" i="6"/>
  <c r="X578" i="5" s="1"/>
  <c r="T1139" i="6"/>
  <c r="U578" i="5" s="1"/>
  <c r="U1139" i="6"/>
  <c r="V578" i="5" s="1"/>
  <c r="R1139" i="6"/>
  <c r="S1139" i="6"/>
  <c r="T578" i="5" s="1"/>
  <c r="S621" i="5"/>
  <c r="U981" i="6"/>
  <c r="V499" i="5" s="1"/>
  <c r="R981" i="6"/>
  <c r="W981" i="6"/>
  <c r="X499" i="5" s="1"/>
  <c r="T981" i="6"/>
  <c r="U499" i="5" s="1"/>
  <c r="S981" i="6"/>
  <c r="T499" i="5" s="1"/>
  <c r="U1149" i="6"/>
  <c r="V583" i="5" s="1"/>
  <c r="W1149" i="6"/>
  <c r="X583" i="5" s="1"/>
  <c r="S1149" i="6"/>
  <c r="T583" i="5" s="1"/>
  <c r="T1149" i="6"/>
  <c r="U583" i="5" s="1"/>
  <c r="R1149" i="6"/>
  <c r="U1147" i="6"/>
  <c r="V582" i="5" s="1"/>
  <c r="W1147" i="6"/>
  <c r="X582" i="5" s="1"/>
  <c r="S1147" i="6"/>
  <c r="T582" i="5" s="1"/>
  <c r="R1147" i="6"/>
  <c r="T1147" i="6"/>
  <c r="U582" i="5" s="1"/>
  <c r="W1133" i="6"/>
  <c r="X575" i="5" s="1"/>
  <c r="U1133" i="6"/>
  <c r="V575" i="5" s="1"/>
  <c r="T1133" i="6"/>
  <c r="U575" i="5" s="1"/>
  <c r="R1133" i="6"/>
  <c r="S1133" i="6"/>
  <c r="T575" i="5" s="1"/>
  <c r="W937" i="6"/>
  <c r="X477" i="5" s="1"/>
  <c r="S937" i="6"/>
  <c r="T477" i="5" s="1"/>
  <c r="V937" i="6"/>
  <c r="W477" i="5" s="1"/>
  <c r="T937" i="6"/>
  <c r="U477" i="5" s="1"/>
  <c r="R937" i="6"/>
  <c r="W935" i="6"/>
  <c r="X476" i="5" s="1"/>
  <c r="S935" i="6"/>
  <c r="T476" i="5" s="1"/>
  <c r="V935" i="6"/>
  <c r="W476" i="5" s="1"/>
  <c r="R935" i="6"/>
  <c r="T935" i="6"/>
  <c r="U476" i="5" s="1"/>
  <c r="W933" i="6"/>
  <c r="X475" i="5" s="1"/>
  <c r="T933" i="6"/>
  <c r="U475" i="5" s="1"/>
  <c r="S933" i="6"/>
  <c r="T475" i="5" s="1"/>
  <c r="V933" i="6"/>
  <c r="W475" i="5" s="1"/>
  <c r="R933" i="6"/>
  <c r="W931" i="6"/>
  <c r="X474" i="5" s="1"/>
  <c r="T931" i="6"/>
  <c r="U474" i="5" s="1"/>
  <c r="S931" i="6"/>
  <c r="T474" i="5" s="1"/>
  <c r="R931" i="6"/>
  <c r="V931" i="6"/>
  <c r="W474" i="5" s="1"/>
  <c r="W929" i="6"/>
  <c r="X473" i="5" s="1"/>
  <c r="R929" i="6"/>
  <c r="S929" i="6"/>
  <c r="T473" i="5" s="1"/>
  <c r="V929" i="6"/>
  <c r="W473" i="5" s="1"/>
  <c r="T929" i="6"/>
  <c r="U473" i="5" s="1"/>
  <c r="W927" i="6"/>
  <c r="X472" i="5" s="1"/>
  <c r="S927" i="6"/>
  <c r="T472" i="5" s="1"/>
  <c r="T927" i="6"/>
  <c r="U472" i="5" s="1"/>
  <c r="R927" i="6"/>
  <c r="V927" i="6"/>
  <c r="W472" i="5" s="1"/>
  <c r="S634" i="5"/>
  <c r="X1251" i="6"/>
  <c r="W1177" i="6"/>
  <c r="X597" i="5" s="1"/>
  <c r="U1177" i="6"/>
  <c r="V597" i="5" s="1"/>
  <c r="S1177" i="6"/>
  <c r="T597" i="5" s="1"/>
  <c r="T1177" i="6"/>
  <c r="U597" i="5" s="1"/>
  <c r="R1177" i="6"/>
  <c r="W983" i="6"/>
  <c r="X500" i="5" s="1"/>
  <c r="R983" i="6"/>
  <c r="T983" i="6"/>
  <c r="U500" i="5" s="1"/>
  <c r="S983" i="6"/>
  <c r="T500" i="5" s="1"/>
  <c r="U983" i="6"/>
  <c r="V500" i="5" s="1"/>
  <c r="W861" i="6"/>
  <c r="X439" i="5" s="1"/>
  <c r="T861" i="6"/>
  <c r="U439" i="5" s="1"/>
  <c r="S861" i="6"/>
  <c r="T439" i="5" s="1"/>
  <c r="V861" i="6"/>
  <c r="W439" i="5" s="1"/>
  <c r="R861" i="6"/>
  <c r="T859" i="6"/>
  <c r="U438" i="5" s="1"/>
  <c r="W859" i="6"/>
  <c r="X438" i="5" s="1"/>
  <c r="S859" i="6"/>
  <c r="T438" i="5" s="1"/>
  <c r="R859" i="6"/>
  <c r="V859" i="6"/>
  <c r="W438" i="5" s="1"/>
  <c r="S639" i="5"/>
  <c r="X1261" i="6"/>
  <c r="W827" i="6"/>
  <c r="X422" i="5" s="1"/>
  <c r="T827" i="6"/>
  <c r="U422" i="5" s="1"/>
  <c r="R827" i="6"/>
  <c r="S827" i="6"/>
  <c r="T422" i="5" s="1"/>
  <c r="V827" i="6"/>
  <c r="W422" i="5" s="1"/>
  <c r="W1171" i="6"/>
  <c r="X594" i="5" s="1"/>
  <c r="T1171" i="6"/>
  <c r="U594" i="5" s="1"/>
  <c r="S1171" i="6"/>
  <c r="T594" i="5" s="1"/>
  <c r="R1171" i="6"/>
  <c r="U1171" i="6"/>
  <c r="V594" i="5" s="1"/>
  <c r="R999" i="6"/>
  <c r="W999" i="6"/>
  <c r="X508" i="5" s="1"/>
  <c r="S999" i="6"/>
  <c r="T508" i="5" s="1"/>
  <c r="T999" i="6"/>
  <c r="U508" i="5" s="1"/>
  <c r="U999" i="6"/>
  <c r="V508" i="5" s="1"/>
  <c r="W697" i="6"/>
  <c r="X357" i="5" s="1"/>
  <c r="S697" i="6"/>
  <c r="T357" i="5" s="1"/>
  <c r="V697" i="6"/>
  <c r="W357" i="5" s="1"/>
  <c r="U697" i="6"/>
  <c r="V357" i="5" s="1"/>
  <c r="R697" i="6"/>
  <c r="W695" i="6"/>
  <c r="X356" i="5" s="1"/>
  <c r="V695" i="6"/>
  <c r="W356" i="5" s="1"/>
  <c r="S695" i="6"/>
  <c r="T356" i="5" s="1"/>
  <c r="R695" i="6"/>
  <c r="U695" i="6"/>
  <c r="V356" i="5" s="1"/>
  <c r="W693" i="6"/>
  <c r="X355" i="5" s="1"/>
  <c r="U693" i="6"/>
  <c r="V355" i="5" s="1"/>
  <c r="S693" i="6"/>
  <c r="T355" i="5" s="1"/>
  <c r="V693" i="6"/>
  <c r="W355" i="5" s="1"/>
  <c r="R693" i="6"/>
  <c r="W691" i="6"/>
  <c r="X354" i="5" s="1"/>
  <c r="S691" i="6"/>
  <c r="T354" i="5" s="1"/>
  <c r="U691" i="6"/>
  <c r="V354" i="5" s="1"/>
  <c r="R691" i="6"/>
  <c r="W689" i="6"/>
  <c r="X353" i="5" s="1"/>
  <c r="R689" i="6"/>
  <c r="S689" i="6"/>
  <c r="T353" i="5" s="1"/>
  <c r="V689" i="6"/>
  <c r="W353" i="5" s="1"/>
  <c r="U689" i="6"/>
  <c r="V353" i="5" s="1"/>
  <c r="W687" i="6"/>
  <c r="X352" i="5" s="1"/>
  <c r="S687" i="6"/>
  <c r="T352" i="5" s="1"/>
  <c r="R687" i="6"/>
  <c r="U687" i="6"/>
  <c r="V352" i="5" s="1"/>
  <c r="V687" i="6"/>
  <c r="W352" i="5" s="1"/>
  <c r="U619" i="6"/>
  <c r="V318" i="5" s="1"/>
  <c r="W619" i="6"/>
  <c r="X318" i="5" s="1"/>
  <c r="S619" i="6"/>
  <c r="T318" i="5" s="1"/>
  <c r="R619" i="6"/>
  <c r="V619" i="6"/>
  <c r="W318" i="5" s="1"/>
  <c r="W1173" i="6"/>
  <c r="X595" i="5" s="1"/>
  <c r="S1173" i="6"/>
  <c r="T595" i="5" s="1"/>
  <c r="T1173" i="6"/>
  <c r="U595" i="5" s="1"/>
  <c r="U1173" i="6"/>
  <c r="V595" i="5" s="1"/>
  <c r="R1173" i="6"/>
  <c r="W1115" i="6"/>
  <c r="X566" i="5" s="1"/>
  <c r="R1115" i="6"/>
  <c r="U1115" i="6"/>
  <c r="V566" i="5" s="1"/>
  <c r="S1115" i="6"/>
  <c r="T566" i="5" s="1"/>
  <c r="T1115" i="6"/>
  <c r="U566" i="5" s="1"/>
  <c r="W1169" i="6"/>
  <c r="X593" i="5" s="1"/>
  <c r="S1169" i="6"/>
  <c r="T593" i="5" s="1"/>
  <c r="R1169" i="6"/>
  <c r="U1169" i="6"/>
  <c r="V593" i="5" s="1"/>
  <c r="T1169" i="6"/>
  <c r="U593" i="5" s="1"/>
  <c r="W1093" i="6"/>
  <c r="X555" i="5" s="1"/>
  <c r="T1093" i="6"/>
  <c r="U555" i="5" s="1"/>
  <c r="U1093" i="6"/>
  <c r="V555" i="5" s="1"/>
  <c r="S1093" i="6"/>
  <c r="T555" i="5" s="1"/>
  <c r="R1093" i="6"/>
  <c r="T1085" i="6"/>
  <c r="U551" i="5" s="1"/>
  <c r="U1085" i="6"/>
  <c r="V551" i="5" s="1"/>
  <c r="R1085" i="6"/>
  <c r="W1085" i="6"/>
  <c r="X551" i="5" s="1"/>
  <c r="S1085" i="6"/>
  <c r="T551" i="5" s="1"/>
  <c r="W1167" i="6"/>
  <c r="X592" i="5" s="1"/>
  <c r="S1167" i="6"/>
  <c r="T592" i="5" s="1"/>
  <c r="T1167" i="6"/>
  <c r="U592" i="5" s="1"/>
  <c r="R1167" i="6"/>
  <c r="U1167" i="6"/>
  <c r="V592" i="5" s="1"/>
  <c r="W205" i="6"/>
  <c r="X111" i="5" s="1"/>
  <c r="S205" i="6"/>
  <c r="T111" i="5" s="1"/>
  <c r="U205" i="6"/>
  <c r="V111" i="5" s="1"/>
  <c r="V205" i="6"/>
  <c r="W111" i="5" s="1"/>
  <c r="T205" i="6"/>
  <c r="U111" i="5" s="1"/>
  <c r="W201" i="6"/>
  <c r="X109" i="5" s="1"/>
  <c r="S201" i="6"/>
  <c r="T109" i="5" s="1"/>
  <c r="U201" i="6"/>
  <c r="V109" i="5" s="1"/>
  <c r="V201" i="6"/>
  <c r="W109" i="5" s="1"/>
  <c r="T201" i="6"/>
  <c r="U109" i="5" s="1"/>
  <c r="S109" i="5"/>
  <c r="X201" i="6"/>
  <c r="W199" i="6"/>
  <c r="X108" i="5" s="1"/>
  <c r="U199" i="6"/>
  <c r="V108" i="5" s="1"/>
  <c r="S199" i="6"/>
  <c r="T108" i="5" s="1"/>
  <c r="T199" i="6"/>
  <c r="U108" i="5" s="1"/>
  <c r="V199" i="6"/>
  <c r="W108" i="5" s="1"/>
  <c r="W197" i="6"/>
  <c r="X107" i="5" s="1"/>
  <c r="S197" i="6"/>
  <c r="T107" i="5" s="1"/>
  <c r="T197" i="6"/>
  <c r="U107" i="5" s="1"/>
  <c r="V197" i="6"/>
  <c r="W107" i="5" s="1"/>
  <c r="U197" i="6"/>
  <c r="V107" i="5" s="1"/>
  <c r="W195" i="6"/>
  <c r="X106" i="5" s="1"/>
  <c r="T195" i="6"/>
  <c r="U106" i="5" s="1"/>
  <c r="S195" i="6"/>
  <c r="T106" i="5" s="1"/>
  <c r="U195" i="6"/>
  <c r="V106" i="5" s="1"/>
  <c r="V195" i="6"/>
  <c r="W106" i="5" s="1"/>
  <c r="T167" i="6"/>
  <c r="U92" i="5" s="1"/>
  <c r="V167" i="6"/>
  <c r="W92" i="5" s="1"/>
  <c r="W167" i="6"/>
  <c r="X92" i="5" s="1"/>
  <c r="S167" i="6"/>
  <c r="T92" i="5" s="1"/>
  <c r="U167" i="6"/>
  <c r="V92" i="5" s="1"/>
  <c r="U165" i="6"/>
  <c r="V91" i="5" s="1"/>
  <c r="W165" i="6"/>
  <c r="X91" i="5" s="1"/>
  <c r="V165" i="6"/>
  <c r="W91" i="5" s="1"/>
  <c r="T165" i="6"/>
  <c r="U91" i="5" s="1"/>
  <c r="S165" i="6"/>
  <c r="T91" i="5" s="1"/>
  <c r="W1175" i="6"/>
  <c r="X596" i="5" s="1"/>
  <c r="S1175" i="6"/>
  <c r="T596" i="5" s="1"/>
  <c r="U1175" i="6"/>
  <c r="V596" i="5" s="1"/>
  <c r="R1175" i="6"/>
  <c r="T1175" i="6"/>
  <c r="U596" i="5" s="1"/>
  <c r="T1141" i="6"/>
  <c r="U579" i="5" s="1"/>
  <c r="W1141" i="6"/>
  <c r="X579" i="5" s="1"/>
  <c r="U1141" i="6"/>
  <c r="V579" i="5" s="1"/>
  <c r="S1141" i="6"/>
  <c r="T579" i="5" s="1"/>
  <c r="R1141" i="6"/>
  <c r="U135" i="6"/>
  <c r="V76" i="5" s="1"/>
  <c r="W135" i="6"/>
  <c r="X76" i="5" s="1"/>
  <c r="S135" i="6"/>
  <c r="T76" i="5" s="1"/>
  <c r="T135" i="6"/>
  <c r="U76" i="5" s="1"/>
  <c r="V135" i="6"/>
  <c r="W76" i="5" s="1"/>
  <c r="X135" i="6"/>
  <c r="S76" i="5"/>
  <c r="W129" i="6"/>
  <c r="X73" i="5" s="1"/>
  <c r="T129" i="6"/>
  <c r="U73" i="5" s="1"/>
  <c r="V129" i="6"/>
  <c r="W73" i="5" s="1"/>
  <c r="U129" i="6"/>
  <c r="V73" i="5" s="1"/>
  <c r="S129" i="6"/>
  <c r="T73" i="5" s="1"/>
  <c r="U119" i="6"/>
  <c r="V68" i="5" s="1"/>
  <c r="W119" i="6"/>
  <c r="X68" i="5" s="1"/>
  <c r="T119" i="6"/>
  <c r="U68" i="5" s="1"/>
  <c r="S119" i="6"/>
  <c r="T68" i="5" s="1"/>
  <c r="V119" i="6"/>
  <c r="W68" i="5" s="1"/>
  <c r="W1099" i="6"/>
  <c r="X558" i="5" s="1"/>
  <c r="T1099" i="6"/>
  <c r="U558" i="5" s="1"/>
  <c r="S1099" i="6"/>
  <c r="T558" i="5" s="1"/>
  <c r="R1099" i="6"/>
  <c r="U1099" i="6"/>
  <c r="V558" i="5" s="1"/>
  <c r="W1067" i="6"/>
  <c r="X542" i="5" s="1"/>
  <c r="T1067" i="6"/>
  <c r="U542" i="5" s="1"/>
  <c r="R1067" i="6"/>
  <c r="S1067" i="6"/>
  <c r="T542" i="5" s="1"/>
  <c r="U1067" i="6"/>
  <c r="V542" i="5" s="1"/>
  <c r="S1197" i="6"/>
  <c r="T607" i="5" s="1"/>
  <c r="W1197" i="6"/>
  <c r="X607" i="5" s="1"/>
  <c r="U1197" i="6"/>
  <c r="V607" i="5" s="1"/>
  <c r="T1197" i="6"/>
  <c r="U607" i="5" s="1"/>
  <c r="R1197" i="6"/>
  <c r="S1123" i="6"/>
  <c r="T570" i="5" s="1"/>
  <c r="U1123" i="6"/>
  <c r="V570" i="5" s="1"/>
  <c r="R1123" i="6"/>
  <c r="T1123" i="6"/>
  <c r="U570" i="5" s="1"/>
  <c r="W1123" i="6"/>
  <c r="X570" i="5" s="1"/>
  <c r="S1023" i="6"/>
  <c r="T520" i="5" s="1"/>
  <c r="T1023" i="6"/>
  <c r="U520" i="5" s="1"/>
  <c r="R1023" i="6"/>
  <c r="U1023" i="6"/>
  <c r="V520" i="5" s="1"/>
  <c r="W1023" i="6"/>
  <c r="X520" i="5" s="1"/>
  <c r="S1007" i="6"/>
  <c r="T512" i="5" s="1"/>
  <c r="W1007" i="6"/>
  <c r="X512" i="5" s="1"/>
  <c r="U1007" i="6"/>
  <c r="V512" i="5" s="1"/>
  <c r="R1007" i="6"/>
  <c r="T1007" i="6"/>
  <c r="U512" i="5" s="1"/>
  <c r="W791" i="6"/>
  <c r="X404" i="5" s="1"/>
  <c r="T791" i="6"/>
  <c r="U404" i="5" s="1"/>
  <c r="S791" i="6"/>
  <c r="T404" i="5" s="1"/>
  <c r="R791" i="6"/>
  <c r="V791" i="6"/>
  <c r="W404" i="5" s="1"/>
  <c r="S787" i="6"/>
  <c r="T402" i="5" s="1"/>
  <c r="T787" i="6"/>
  <c r="U402" i="5" s="1"/>
  <c r="R787" i="6"/>
  <c r="V787" i="6"/>
  <c r="W402" i="5" s="1"/>
  <c r="W787" i="6"/>
  <c r="X402" i="5" s="1"/>
  <c r="S783" i="6"/>
  <c r="T400" i="5" s="1"/>
  <c r="T783" i="6"/>
  <c r="U400" i="5" s="1"/>
  <c r="R783" i="6"/>
  <c r="V783" i="6"/>
  <c r="W400" i="5" s="1"/>
  <c r="W783" i="6"/>
  <c r="X400" i="5" s="1"/>
  <c r="S793" i="6"/>
  <c r="T405" i="5" s="1"/>
  <c r="T793" i="6"/>
  <c r="U405" i="5" s="1"/>
  <c r="W793" i="6"/>
  <c r="X405" i="5" s="1"/>
  <c r="V793" i="6"/>
  <c r="W405" i="5" s="1"/>
  <c r="R793" i="6"/>
  <c r="V789" i="6"/>
  <c r="W403" i="5" s="1"/>
  <c r="W789" i="6"/>
  <c r="X403" i="5" s="1"/>
  <c r="S789" i="6"/>
  <c r="T403" i="5" s="1"/>
  <c r="T789" i="6"/>
  <c r="U403" i="5" s="1"/>
  <c r="R789" i="6"/>
  <c r="S785" i="6"/>
  <c r="T401" i="5" s="1"/>
  <c r="R785" i="6"/>
  <c r="T785" i="6"/>
  <c r="U401" i="5" s="1"/>
  <c r="W785" i="6"/>
  <c r="X401" i="5" s="1"/>
  <c r="V785" i="6"/>
  <c r="W401" i="5" s="1"/>
  <c r="S725" i="6"/>
  <c r="T371" i="5" s="1"/>
  <c r="R725" i="6"/>
  <c r="T725" i="6"/>
  <c r="U371" i="5" s="1"/>
  <c r="W725" i="6"/>
  <c r="X371" i="5" s="1"/>
  <c r="V725" i="6"/>
  <c r="W371" i="5" s="1"/>
  <c r="R723" i="6"/>
  <c r="S723" i="6"/>
  <c r="T370" i="5" s="1"/>
  <c r="T723" i="6"/>
  <c r="U370" i="5" s="1"/>
  <c r="V723" i="6"/>
  <c r="W370" i="5" s="1"/>
  <c r="W723" i="6"/>
  <c r="X370" i="5" s="1"/>
  <c r="S1025" i="6"/>
  <c r="T521" i="5" s="1"/>
  <c r="T1025" i="6"/>
  <c r="U521" i="5" s="1"/>
  <c r="R1025" i="6"/>
  <c r="W1025" i="6"/>
  <c r="X521" i="5" s="1"/>
  <c r="U1025" i="6"/>
  <c r="V521" i="5" s="1"/>
  <c r="R963" i="6"/>
  <c r="S963" i="6"/>
  <c r="T490" i="5" s="1"/>
  <c r="T963" i="6"/>
  <c r="U490" i="5" s="1"/>
  <c r="U963" i="6"/>
  <c r="V490" i="5" s="1"/>
  <c r="W963" i="6"/>
  <c r="X490" i="5" s="1"/>
  <c r="W1125" i="6"/>
  <c r="X571" i="5" s="1"/>
  <c r="T1125" i="6"/>
  <c r="U571" i="5" s="1"/>
  <c r="U1125" i="6"/>
  <c r="V571" i="5" s="1"/>
  <c r="S1125" i="6"/>
  <c r="T571" i="5" s="1"/>
  <c r="R1125" i="6"/>
  <c r="T1031" i="6"/>
  <c r="U524" i="5" s="1"/>
  <c r="W1031" i="6"/>
  <c r="X524" i="5" s="1"/>
  <c r="S1031" i="6"/>
  <c r="T524" i="5" s="1"/>
  <c r="R1031" i="6"/>
  <c r="U1031" i="6"/>
  <c r="V524" i="5" s="1"/>
  <c r="S965" i="6"/>
  <c r="T491" i="5" s="1"/>
  <c r="R965" i="6"/>
  <c r="T965" i="6"/>
  <c r="U491" i="5" s="1"/>
  <c r="W965" i="6"/>
  <c r="X491" i="5" s="1"/>
  <c r="U965" i="6"/>
  <c r="V491" i="5" s="1"/>
  <c r="S1033" i="6"/>
  <c r="T525" i="5" s="1"/>
  <c r="T1033" i="6"/>
  <c r="U525" i="5" s="1"/>
  <c r="W1033" i="6"/>
  <c r="X525" i="5" s="1"/>
  <c r="U1033" i="6"/>
  <c r="V525" i="5" s="1"/>
  <c r="R1033" i="6"/>
  <c r="S1105" i="6"/>
  <c r="T561" i="5" s="1"/>
  <c r="U1105" i="6"/>
  <c r="V561" i="5" s="1"/>
  <c r="W1105" i="6"/>
  <c r="X561" i="5" s="1"/>
  <c r="T1105" i="6"/>
  <c r="U561" i="5" s="1"/>
  <c r="R1105" i="6"/>
  <c r="S1153" i="6"/>
  <c r="T585" i="5" s="1"/>
  <c r="W1153" i="6"/>
  <c r="X585" i="5" s="1"/>
  <c r="U1153" i="6"/>
  <c r="V585" i="5" s="1"/>
  <c r="T1153" i="6"/>
  <c r="U585" i="5" s="1"/>
  <c r="R1153" i="6"/>
  <c r="S943" i="6"/>
  <c r="T480" i="5" s="1"/>
  <c r="T943" i="6"/>
  <c r="U480" i="5" s="1"/>
  <c r="W943" i="6"/>
  <c r="X480" i="5" s="1"/>
  <c r="R943" i="6"/>
  <c r="V943" i="6"/>
  <c r="W480" i="5" s="1"/>
  <c r="S1195" i="6"/>
  <c r="T606" i="5" s="1"/>
  <c r="W1195" i="6"/>
  <c r="X606" i="5" s="1"/>
  <c r="U1195" i="6"/>
  <c r="V606" i="5" s="1"/>
  <c r="R1195" i="6"/>
  <c r="T1195" i="6"/>
  <c r="U606" i="5" s="1"/>
  <c r="S865" i="6"/>
  <c r="T441" i="5" s="1"/>
  <c r="V865" i="6"/>
  <c r="W441" i="5" s="1"/>
  <c r="W865" i="6"/>
  <c r="X441" i="5" s="1"/>
  <c r="T865" i="6"/>
  <c r="U441" i="5" s="1"/>
  <c r="R865" i="6"/>
  <c r="S781" i="6"/>
  <c r="T399" i="5" s="1"/>
  <c r="R781" i="6"/>
  <c r="W781" i="6"/>
  <c r="X399" i="5" s="1"/>
  <c r="V781" i="6"/>
  <c r="W399" i="5" s="1"/>
  <c r="T781" i="6"/>
  <c r="U399" i="5" s="1"/>
  <c r="S779" i="6"/>
  <c r="T398" i="5" s="1"/>
  <c r="W779" i="6"/>
  <c r="X398" i="5" s="1"/>
  <c r="R779" i="6"/>
  <c r="T779" i="6"/>
  <c r="U398" i="5" s="1"/>
  <c r="V779" i="6"/>
  <c r="W398" i="5" s="1"/>
  <c r="S777" i="6"/>
  <c r="T397" i="5" s="1"/>
  <c r="R777" i="6"/>
  <c r="V777" i="6"/>
  <c r="W397" i="5" s="1"/>
  <c r="W777" i="6"/>
  <c r="X397" i="5" s="1"/>
  <c r="T777" i="6"/>
  <c r="U397" i="5" s="1"/>
  <c r="S773" i="6"/>
  <c r="T395" i="5" s="1"/>
  <c r="T773" i="6"/>
  <c r="U395" i="5" s="1"/>
  <c r="R773" i="6"/>
  <c r="W773" i="6"/>
  <c r="X395" i="5" s="1"/>
  <c r="V773" i="6"/>
  <c r="W395" i="5" s="1"/>
  <c r="S1071" i="6"/>
  <c r="T544" i="5" s="1"/>
  <c r="T1071" i="6"/>
  <c r="U544" i="5" s="1"/>
  <c r="R1071" i="6"/>
  <c r="U1071" i="6"/>
  <c r="V544" i="5" s="1"/>
  <c r="W1071" i="6"/>
  <c r="X544" i="5" s="1"/>
  <c r="S1015" i="6"/>
  <c r="T516" i="5" s="1"/>
  <c r="R1015" i="6"/>
  <c r="T1015" i="6"/>
  <c r="U516" i="5" s="1"/>
  <c r="U1015" i="6"/>
  <c r="V516" i="5" s="1"/>
  <c r="W1015" i="6"/>
  <c r="X516" i="5" s="1"/>
  <c r="S847" i="6"/>
  <c r="T432" i="5" s="1"/>
  <c r="V847" i="6"/>
  <c r="W432" i="5" s="1"/>
  <c r="T847" i="6"/>
  <c r="U432" i="5" s="1"/>
  <c r="R847" i="6"/>
  <c r="W847" i="6"/>
  <c r="X432" i="5" s="1"/>
  <c r="S833" i="6"/>
  <c r="T425" i="5" s="1"/>
  <c r="T833" i="6"/>
  <c r="U425" i="5" s="1"/>
  <c r="W833" i="6"/>
  <c r="X425" i="5" s="1"/>
  <c r="R833" i="6"/>
  <c r="V833" i="6"/>
  <c r="W425" i="5" s="1"/>
  <c r="S831" i="6"/>
  <c r="T424" i="5" s="1"/>
  <c r="T831" i="6"/>
  <c r="U424" i="5" s="1"/>
  <c r="R831" i="6"/>
  <c r="V831" i="6"/>
  <c r="W424" i="5" s="1"/>
  <c r="W831" i="6"/>
  <c r="X424" i="5" s="1"/>
  <c r="S775" i="6"/>
  <c r="T396" i="5" s="1"/>
  <c r="R775" i="6"/>
  <c r="V775" i="6"/>
  <c r="W396" i="5" s="1"/>
  <c r="T775" i="6"/>
  <c r="U396" i="5" s="1"/>
  <c r="W775" i="6"/>
  <c r="X396" i="5" s="1"/>
  <c r="S771" i="6"/>
  <c r="T394" i="5" s="1"/>
  <c r="T771" i="6"/>
  <c r="U394" i="5" s="1"/>
  <c r="R771" i="6"/>
  <c r="V771" i="6"/>
  <c r="W394" i="5" s="1"/>
  <c r="W771" i="6"/>
  <c r="X394" i="5" s="1"/>
  <c r="S1201" i="6"/>
  <c r="T609" i="5" s="1"/>
  <c r="U1201" i="6"/>
  <c r="V609" i="5" s="1"/>
  <c r="T1201" i="6"/>
  <c r="U609" i="5" s="1"/>
  <c r="W1201" i="6"/>
  <c r="X609" i="5" s="1"/>
  <c r="R1201" i="6"/>
  <c r="S1189" i="6"/>
  <c r="T603" i="5" s="1"/>
  <c r="U1189" i="6"/>
  <c r="V603" i="5" s="1"/>
  <c r="T1189" i="6"/>
  <c r="U603" i="5" s="1"/>
  <c r="W1189" i="6"/>
  <c r="X603" i="5" s="1"/>
  <c r="R1189" i="6"/>
  <c r="S1121" i="6"/>
  <c r="T569" i="5" s="1"/>
  <c r="U1121" i="6"/>
  <c r="V569" i="5" s="1"/>
  <c r="R1121" i="6"/>
  <c r="W1121" i="6"/>
  <c r="X569" i="5" s="1"/>
  <c r="T1121" i="6"/>
  <c r="U569" i="5" s="1"/>
  <c r="S703" i="6"/>
  <c r="T360" i="5" s="1"/>
  <c r="U703" i="6"/>
  <c r="V360" i="5" s="1"/>
  <c r="W703" i="6"/>
  <c r="X360" i="5" s="1"/>
  <c r="R703" i="6"/>
  <c r="V703" i="6"/>
  <c r="W360" i="5" s="1"/>
  <c r="S1073" i="6"/>
  <c r="T545" i="5" s="1"/>
  <c r="T1073" i="6"/>
  <c r="U545" i="5" s="1"/>
  <c r="R1073" i="6"/>
  <c r="W1073" i="6"/>
  <c r="X545" i="5" s="1"/>
  <c r="U1073" i="6"/>
  <c r="V545" i="5" s="1"/>
  <c r="S1021" i="6"/>
  <c r="T519" i="5" s="1"/>
  <c r="W1021" i="6"/>
  <c r="X519" i="5" s="1"/>
  <c r="R1021" i="6"/>
  <c r="U1021" i="6"/>
  <c r="V519" i="5" s="1"/>
  <c r="T1021" i="6"/>
  <c r="U519" i="5" s="1"/>
  <c r="S1019" i="6"/>
  <c r="T518" i="5" s="1"/>
  <c r="W1019" i="6"/>
  <c r="X518" i="5" s="1"/>
  <c r="R1019" i="6"/>
  <c r="T1019" i="6"/>
  <c r="U518" i="5" s="1"/>
  <c r="U1019" i="6"/>
  <c r="V518" i="5" s="1"/>
  <c r="S593" i="6"/>
  <c r="T305" i="5" s="1"/>
  <c r="U593" i="6"/>
  <c r="V305" i="5" s="1"/>
  <c r="W593" i="6"/>
  <c r="X305" i="5" s="1"/>
  <c r="R593" i="6"/>
  <c r="V593" i="6"/>
  <c r="W305" i="5" s="1"/>
  <c r="S591" i="6"/>
  <c r="T304" i="5" s="1"/>
  <c r="U591" i="6"/>
  <c r="V304" i="5" s="1"/>
  <c r="R591" i="6"/>
  <c r="V591" i="6"/>
  <c r="W304" i="5" s="1"/>
  <c r="W591" i="6"/>
  <c r="X304" i="5" s="1"/>
  <c r="S541" i="6"/>
  <c r="T279" i="5" s="1"/>
  <c r="R541" i="6"/>
  <c r="W541" i="6"/>
  <c r="X279" i="5" s="1"/>
  <c r="V541" i="6"/>
  <c r="W279" i="5" s="1"/>
  <c r="U541" i="6"/>
  <c r="V279" i="5" s="1"/>
  <c r="S539" i="6"/>
  <c r="T278" i="5" s="1"/>
  <c r="R539" i="6"/>
  <c r="U539" i="6"/>
  <c r="V278" i="5" s="1"/>
  <c r="W539" i="6"/>
  <c r="X278" i="5" s="1"/>
  <c r="V539" i="6"/>
  <c r="W278" i="5" s="1"/>
  <c r="S537" i="6"/>
  <c r="T277" i="5" s="1"/>
  <c r="R537" i="6"/>
  <c r="W537" i="6"/>
  <c r="X277" i="5" s="1"/>
  <c r="V537" i="6"/>
  <c r="W277" i="5" s="1"/>
  <c r="U537" i="6"/>
  <c r="V277" i="5" s="1"/>
  <c r="S535" i="6"/>
  <c r="T276" i="5" s="1"/>
  <c r="R535" i="6"/>
  <c r="V535" i="6"/>
  <c r="W276" i="5" s="1"/>
  <c r="U535" i="6"/>
  <c r="V276" i="5" s="1"/>
  <c r="W535" i="6"/>
  <c r="X276" i="5" s="1"/>
  <c r="S533" i="6"/>
  <c r="T275" i="5" s="1"/>
  <c r="U533" i="6"/>
  <c r="V275" i="5" s="1"/>
  <c r="R533" i="6"/>
  <c r="W533" i="6"/>
  <c r="X275" i="5" s="1"/>
  <c r="V533" i="6"/>
  <c r="W275" i="5" s="1"/>
  <c r="S531" i="6"/>
  <c r="T274" i="5" s="1"/>
  <c r="R531" i="6"/>
  <c r="U531" i="6"/>
  <c r="V274" i="5" s="1"/>
  <c r="V531" i="6"/>
  <c r="W274" i="5" s="1"/>
  <c r="W531" i="6"/>
  <c r="X274" i="5" s="1"/>
  <c r="X285" i="6"/>
  <c r="S151" i="5"/>
  <c r="S147" i="5"/>
  <c r="X277" i="6"/>
  <c r="S136" i="5"/>
  <c r="X255" i="6"/>
  <c r="S1313" i="6"/>
  <c r="T665" i="5" s="1"/>
  <c r="T1313" i="6"/>
  <c r="U665" i="5" s="1"/>
  <c r="R1313" i="6"/>
  <c r="V1313" i="6"/>
  <c r="W665" i="5" s="1"/>
  <c r="U1313" i="6"/>
  <c r="V665" i="5" s="1"/>
  <c r="S1135" i="6"/>
  <c r="T576" i="5" s="1"/>
  <c r="U1135" i="6"/>
  <c r="V576" i="5" s="1"/>
  <c r="T1135" i="6"/>
  <c r="U576" i="5" s="1"/>
  <c r="R1135" i="6"/>
  <c r="W1135" i="6"/>
  <c r="X576" i="5" s="1"/>
  <c r="S1119" i="6"/>
  <c r="T568" i="5" s="1"/>
  <c r="U1119" i="6"/>
  <c r="V568" i="5" s="1"/>
  <c r="T1119" i="6"/>
  <c r="U568" i="5" s="1"/>
  <c r="R1119" i="6"/>
  <c r="W1119" i="6"/>
  <c r="X568" i="5" s="1"/>
  <c r="S1087" i="6"/>
  <c r="T552" i="5" s="1"/>
  <c r="U1087" i="6"/>
  <c r="V552" i="5" s="1"/>
  <c r="T1087" i="6"/>
  <c r="U552" i="5" s="1"/>
  <c r="R1087" i="6"/>
  <c r="W1087" i="6"/>
  <c r="X552" i="5" s="1"/>
  <c r="S1011" i="6"/>
  <c r="T514" i="5" s="1"/>
  <c r="T1011" i="6"/>
  <c r="U514" i="5" s="1"/>
  <c r="R1011" i="6"/>
  <c r="U1011" i="6"/>
  <c r="V514" i="5" s="1"/>
  <c r="W1011" i="6"/>
  <c r="X514" i="5" s="1"/>
  <c r="S153" i="5"/>
  <c r="X289" i="6"/>
  <c r="S1017" i="6"/>
  <c r="T517" i="5" s="1"/>
  <c r="R1017" i="6"/>
  <c r="U1017" i="6"/>
  <c r="V517" i="5" s="1"/>
  <c r="W1017" i="6"/>
  <c r="X517" i="5" s="1"/>
  <c r="T1017" i="6"/>
  <c r="U517" i="5" s="1"/>
  <c r="S1013" i="6"/>
  <c r="T515" i="5" s="1"/>
  <c r="T1013" i="6"/>
  <c r="U515" i="5" s="1"/>
  <c r="R1013" i="6"/>
  <c r="W1013" i="6"/>
  <c r="X515" i="5" s="1"/>
  <c r="U1013" i="6"/>
  <c r="V515" i="5" s="1"/>
  <c r="S1361" i="6"/>
  <c r="T689" i="5" s="1"/>
  <c r="U1361" i="6"/>
  <c r="V689" i="5" s="1"/>
  <c r="R1361" i="6"/>
  <c r="V1361" i="6"/>
  <c r="W689" i="5" s="1"/>
  <c r="T1361" i="6"/>
  <c r="U689" i="5" s="1"/>
  <c r="S1183" i="6"/>
  <c r="T600" i="5" s="1"/>
  <c r="T1183" i="6"/>
  <c r="U600" i="5" s="1"/>
  <c r="W1183" i="6"/>
  <c r="X600" i="5" s="1"/>
  <c r="R1183" i="6"/>
  <c r="U1183" i="6"/>
  <c r="V600" i="5" s="1"/>
  <c r="W555" i="6"/>
  <c r="X286" i="5" s="1"/>
  <c r="S381" i="5"/>
  <c r="X745" i="6"/>
  <c r="S391" i="5"/>
  <c r="S448" i="5"/>
  <c r="S449" i="5"/>
  <c r="X947" i="6"/>
  <c r="S482" i="5"/>
  <c r="X505" i="6"/>
  <c r="S261" i="5"/>
  <c r="S267" i="5"/>
  <c r="X517" i="6"/>
  <c r="S271" i="5"/>
  <c r="X525" i="6"/>
  <c r="S273" i="5"/>
  <c r="X529" i="6"/>
  <c r="S320" i="5"/>
  <c r="X707" i="6"/>
  <c r="S362" i="5"/>
  <c r="S365" i="5"/>
  <c r="S1209" i="6"/>
  <c r="T613" i="5" s="1"/>
  <c r="R1209" i="6"/>
  <c r="U1209" i="6"/>
  <c r="V613" i="5" s="1"/>
  <c r="V1209" i="6"/>
  <c r="W613" i="5" s="1"/>
  <c r="T1209" i="6"/>
  <c r="U613" i="5" s="1"/>
  <c r="S1275" i="6"/>
  <c r="T646" i="5" s="1"/>
  <c r="T1275" i="6"/>
  <c r="U646" i="5" s="1"/>
  <c r="R1275" i="6"/>
  <c r="U1275" i="6"/>
  <c r="V646" i="5" s="1"/>
  <c r="V1275" i="6"/>
  <c r="W646" i="5" s="1"/>
  <c r="S1283" i="6"/>
  <c r="T650" i="5" s="1"/>
  <c r="U1283" i="6"/>
  <c r="V650" i="5" s="1"/>
  <c r="V1283" i="6"/>
  <c r="W650" i="5" s="1"/>
  <c r="R1283" i="6"/>
  <c r="T1283" i="6"/>
  <c r="U650" i="5" s="1"/>
  <c r="T1215" i="6"/>
  <c r="U616" i="5" s="1"/>
  <c r="R1215" i="6"/>
  <c r="S1215" i="6"/>
  <c r="T616" i="5" s="1"/>
  <c r="U1215" i="6"/>
  <c r="V616" i="5" s="1"/>
  <c r="V1215" i="6"/>
  <c r="W616" i="5" s="1"/>
  <c r="R445" i="6"/>
  <c r="W445" i="6"/>
  <c r="X231" i="5" s="1"/>
  <c r="V445" i="6"/>
  <c r="W231" i="5" s="1"/>
  <c r="U445" i="6"/>
  <c r="V231" i="5" s="1"/>
  <c r="T445" i="6"/>
  <c r="U231" i="5" s="1"/>
  <c r="R443" i="6"/>
  <c r="W443" i="6"/>
  <c r="X230" i="5" s="1"/>
  <c r="V443" i="6"/>
  <c r="W230" i="5" s="1"/>
  <c r="T443" i="6"/>
  <c r="U230" i="5" s="1"/>
  <c r="U443" i="6"/>
  <c r="V230" i="5" s="1"/>
  <c r="W441" i="6"/>
  <c r="X229" i="5" s="1"/>
  <c r="R441" i="6"/>
  <c r="U441" i="6"/>
  <c r="V229" i="5" s="1"/>
  <c r="V441" i="6"/>
  <c r="W229" i="5" s="1"/>
  <c r="T441" i="6"/>
  <c r="U229" i="5" s="1"/>
  <c r="W439" i="6"/>
  <c r="X228" i="5" s="1"/>
  <c r="R439" i="6"/>
  <c r="T439" i="6"/>
  <c r="U228" i="5" s="1"/>
  <c r="U439" i="6"/>
  <c r="V228" i="5" s="1"/>
  <c r="V439" i="6"/>
  <c r="W228" i="5" s="1"/>
  <c r="W437" i="6"/>
  <c r="X227" i="5" s="1"/>
  <c r="T437" i="6"/>
  <c r="U227" i="5" s="1"/>
  <c r="R437" i="6"/>
  <c r="V437" i="6"/>
  <c r="W227" i="5" s="1"/>
  <c r="U437" i="6"/>
  <c r="V227" i="5" s="1"/>
  <c r="W435" i="6"/>
  <c r="X226" i="5" s="1"/>
  <c r="T435" i="6"/>
  <c r="U226" i="5" s="1"/>
  <c r="R435" i="6"/>
  <c r="U435" i="6"/>
  <c r="V226" i="5" s="1"/>
  <c r="V435" i="6"/>
  <c r="W226" i="5" s="1"/>
  <c r="S1277" i="6"/>
  <c r="T647" i="5" s="1"/>
  <c r="R1277" i="6"/>
  <c r="U1277" i="6"/>
  <c r="V647" i="5" s="1"/>
  <c r="V1277" i="6"/>
  <c r="W647" i="5" s="1"/>
  <c r="T1277" i="6"/>
  <c r="U647" i="5" s="1"/>
  <c r="U1285" i="6"/>
  <c r="V651" i="5" s="1"/>
  <c r="S1285" i="6"/>
  <c r="T651" i="5" s="1"/>
  <c r="T1285" i="6"/>
  <c r="U651" i="5" s="1"/>
  <c r="V1285" i="6"/>
  <c r="W651" i="5" s="1"/>
  <c r="R1285" i="6"/>
  <c r="W851" i="6"/>
  <c r="X434" i="5" s="1"/>
  <c r="V851" i="6"/>
  <c r="W434" i="5" s="1"/>
  <c r="T851" i="6"/>
  <c r="U434" i="5" s="1"/>
  <c r="R851" i="6"/>
  <c r="S851" i="6"/>
  <c r="T434" i="5" s="1"/>
  <c r="W611" i="6"/>
  <c r="X314" i="5" s="1"/>
  <c r="U611" i="6"/>
  <c r="V314" i="5" s="1"/>
  <c r="V611" i="6"/>
  <c r="W314" i="5" s="1"/>
  <c r="R611" i="6"/>
  <c r="S611" i="6"/>
  <c r="T314" i="5" s="1"/>
  <c r="W825" i="6"/>
  <c r="X421" i="5" s="1"/>
  <c r="T825" i="6"/>
  <c r="U421" i="5" s="1"/>
  <c r="R825" i="6"/>
  <c r="V825" i="6"/>
  <c r="W421" i="5" s="1"/>
  <c r="S825" i="6"/>
  <c r="T421" i="5" s="1"/>
  <c r="T1113" i="6"/>
  <c r="U565" i="5" s="1"/>
  <c r="U1113" i="6"/>
  <c r="V565" i="5" s="1"/>
  <c r="W1113" i="6"/>
  <c r="X565" i="5" s="1"/>
  <c r="R1113" i="6"/>
  <c r="S1113" i="6"/>
  <c r="T565" i="5" s="1"/>
  <c r="R1065" i="6"/>
  <c r="W1065" i="6"/>
  <c r="X541" i="5" s="1"/>
  <c r="T1065" i="6"/>
  <c r="U541" i="5" s="1"/>
  <c r="U1065" i="6"/>
  <c r="V541" i="5" s="1"/>
  <c r="S1065" i="6"/>
  <c r="T541" i="5" s="1"/>
  <c r="T873" i="6"/>
  <c r="U445" i="5" s="1"/>
  <c r="V873" i="6"/>
  <c r="W445" i="5" s="1"/>
  <c r="W873" i="6"/>
  <c r="X445" i="5" s="1"/>
  <c r="R873" i="6"/>
  <c r="S873" i="6"/>
  <c r="T445" i="5" s="1"/>
  <c r="W853" i="6"/>
  <c r="X435" i="5" s="1"/>
  <c r="T853" i="6"/>
  <c r="U435" i="5" s="1"/>
  <c r="V853" i="6"/>
  <c r="W435" i="5" s="1"/>
  <c r="S853" i="6"/>
  <c r="T435" i="5" s="1"/>
  <c r="R853" i="6"/>
  <c r="W845" i="6"/>
  <c r="X431" i="5" s="1"/>
  <c r="V845" i="6"/>
  <c r="W431" i="5" s="1"/>
  <c r="R845" i="6"/>
  <c r="T845" i="6"/>
  <c r="U431" i="5" s="1"/>
  <c r="S845" i="6"/>
  <c r="T431" i="5" s="1"/>
  <c r="T753" i="6"/>
  <c r="U385" i="5" s="1"/>
  <c r="V753" i="6"/>
  <c r="W385" i="5" s="1"/>
  <c r="W753" i="6"/>
  <c r="X385" i="5" s="1"/>
  <c r="R753" i="6"/>
  <c r="S753" i="6"/>
  <c r="T385" i="5" s="1"/>
  <c r="V741" i="6"/>
  <c r="W379" i="5" s="1"/>
  <c r="R741" i="6"/>
  <c r="W741" i="6"/>
  <c r="X379" i="5" s="1"/>
  <c r="T741" i="6"/>
  <c r="U379" i="5" s="1"/>
  <c r="S741" i="6"/>
  <c r="T379" i="5" s="1"/>
  <c r="W653" i="6"/>
  <c r="X335" i="5" s="1"/>
  <c r="V653" i="6"/>
  <c r="W335" i="5" s="1"/>
  <c r="R653" i="6"/>
  <c r="U653" i="6"/>
  <c r="V335" i="5" s="1"/>
  <c r="S653" i="6"/>
  <c r="T335" i="5" s="1"/>
  <c r="V613" i="6"/>
  <c r="W315" i="5" s="1"/>
  <c r="W613" i="6"/>
  <c r="X315" i="5" s="1"/>
  <c r="U613" i="6"/>
  <c r="V315" i="5" s="1"/>
  <c r="S613" i="6"/>
  <c r="T315" i="5" s="1"/>
  <c r="R613" i="6"/>
  <c r="W605" i="6"/>
  <c r="X311" i="5" s="1"/>
  <c r="U605" i="6"/>
  <c r="V311" i="5" s="1"/>
  <c r="V605" i="6"/>
  <c r="W311" i="5" s="1"/>
  <c r="R605" i="6"/>
  <c r="S605" i="6"/>
  <c r="T311" i="5" s="1"/>
  <c r="W585" i="6"/>
  <c r="X301" i="5" s="1"/>
  <c r="U585" i="6"/>
  <c r="V301" i="5" s="1"/>
  <c r="V585" i="6"/>
  <c r="W301" i="5" s="1"/>
  <c r="R585" i="6"/>
  <c r="S585" i="6"/>
  <c r="T301" i="5" s="1"/>
  <c r="W513" i="6"/>
  <c r="X265" i="5" s="1"/>
  <c r="V513" i="6"/>
  <c r="W265" i="5" s="1"/>
  <c r="U513" i="6"/>
  <c r="V265" i="5" s="1"/>
  <c r="R513" i="6"/>
  <c r="S513" i="6"/>
  <c r="T265" i="5" s="1"/>
  <c r="W501" i="6"/>
  <c r="X259" i="5" s="1"/>
  <c r="U501" i="6"/>
  <c r="V259" i="5" s="1"/>
  <c r="R501" i="6"/>
  <c r="V501" i="6"/>
  <c r="W259" i="5" s="1"/>
  <c r="S501" i="6"/>
  <c r="T259" i="5" s="1"/>
  <c r="V131" i="6"/>
  <c r="W74" i="5" s="1"/>
  <c r="U131" i="6"/>
  <c r="V74" i="5" s="1"/>
  <c r="W131" i="6"/>
  <c r="X74" i="5" s="1"/>
  <c r="S131" i="6"/>
  <c r="T74" i="5" s="1"/>
  <c r="T131" i="6"/>
  <c r="U74" i="5" s="1"/>
  <c r="U117" i="6"/>
  <c r="V67" i="5" s="1"/>
  <c r="W117" i="6"/>
  <c r="X67" i="5" s="1"/>
  <c r="V117" i="6"/>
  <c r="W67" i="5" s="1"/>
  <c r="T117" i="6"/>
  <c r="U67" i="5" s="1"/>
  <c r="S117" i="6"/>
  <c r="T67" i="5" s="1"/>
  <c r="T87" i="6"/>
  <c r="U52" i="5" s="1"/>
  <c r="W87" i="6"/>
  <c r="X52" i="5" s="1"/>
  <c r="S87" i="6"/>
  <c r="U87" i="6"/>
  <c r="V52" i="5" s="1"/>
  <c r="V87" i="6"/>
  <c r="W52" i="5" s="1"/>
  <c r="T83" i="6"/>
  <c r="U50" i="5" s="1"/>
  <c r="W83" i="6"/>
  <c r="X50" i="5" s="1"/>
  <c r="V83" i="6"/>
  <c r="W50" i="5" s="1"/>
  <c r="S83" i="6"/>
  <c r="T50" i="5" s="1"/>
  <c r="U83" i="6"/>
  <c r="V50" i="5" s="1"/>
  <c r="T81" i="6"/>
  <c r="U49" i="5" s="1"/>
  <c r="W81" i="6"/>
  <c r="X49" i="5" s="1"/>
  <c r="V81" i="6"/>
  <c r="W49" i="5" s="1"/>
  <c r="U81" i="6"/>
  <c r="V49" i="5" s="1"/>
  <c r="S81" i="6"/>
  <c r="T49" i="5" s="1"/>
  <c r="U69" i="6"/>
  <c r="V43" i="5" s="1"/>
  <c r="T69" i="6"/>
  <c r="U43" i="5" s="1"/>
  <c r="W69" i="6"/>
  <c r="X43" i="5" s="1"/>
  <c r="V69" i="6"/>
  <c r="W43" i="5" s="1"/>
  <c r="S69" i="6"/>
  <c r="T51" i="6"/>
  <c r="U34" i="5" s="1"/>
  <c r="U51" i="6"/>
  <c r="V34" i="5" s="1"/>
  <c r="S51" i="6"/>
  <c r="T34" i="5" s="1"/>
  <c r="V51" i="6"/>
  <c r="W34" i="5" s="1"/>
  <c r="W51" i="6"/>
  <c r="X34" i="5" s="1"/>
  <c r="T53" i="6"/>
  <c r="U35" i="5" s="1"/>
  <c r="U53" i="6"/>
  <c r="V35" i="5" s="1"/>
  <c r="S53" i="6"/>
  <c r="T35" i="5" s="1"/>
  <c r="W53" i="6"/>
  <c r="X35" i="5" s="1"/>
  <c r="V53" i="6"/>
  <c r="W35" i="5" s="1"/>
  <c r="S625" i="6"/>
  <c r="T321" i="5" s="1"/>
  <c r="V625" i="6"/>
  <c r="W321" i="5" s="1"/>
  <c r="U625" i="6"/>
  <c r="V321" i="5" s="1"/>
  <c r="W625" i="6"/>
  <c r="X321" i="5" s="1"/>
  <c r="R625" i="6"/>
  <c r="U607" i="6"/>
  <c r="V312" i="5" s="1"/>
  <c r="S607" i="6"/>
  <c r="T312" i="5" s="1"/>
  <c r="V607" i="6"/>
  <c r="W312" i="5" s="1"/>
  <c r="R607" i="6"/>
  <c r="W607" i="6"/>
  <c r="X312" i="5" s="1"/>
  <c r="S57" i="5"/>
  <c r="W905" i="6"/>
  <c r="X461" i="5" s="1"/>
  <c r="U905" i="6"/>
  <c r="V461" i="5" s="1"/>
  <c r="S905" i="6"/>
  <c r="T461" i="5" s="1"/>
  <c r="R905" i="6"/>
  <c r="T905" i="6"/>
  <c r="U461" i="5" s="1"/>
  <c r="V905" i="6"/>
  <c r="W461" i="5" s="1"/>
  <c r="T899" i="6"/>
  <c r="U458" i="5" s="1"/>
  <c r="S899" i="6"/>
  <c r="T458" i="5" s="1"/>
  <c r="R899" i="6"/>
  <c r="V899" i="6"/>
  <c r="W458" i="5" s="1"/>
  <c r="U899" i="6"/>
  <c r="V458" i="5" s="1"/>
  <c r="W899" i="6"/>
  <c r="X458" i="5" s="1"/>
  <c r="W665" i="6"/>
  <c r="X341" i="5" s="1"/>
  <c r="T665" i="6"/>
  <c r="U341" i="5" s="1"/>
  <c r="V665" i="6"/>
  <c r="W341" i="5" s="1"/>
  <c r="S665" i="6"/>
  <c r="T341" i="5" s="1"/>
  <c r="U665" i="6"/>
  <c r="V341" i="5" s="1"/>
  <c r="R665" i="6"/>
  <c r="V659" i="6"/>
  <c r="W338" i="5" s="1"/>
  <c r="S659" i="6"/>
  <c r="T338" i="5" s="1"/>
  <c r="R659" i="6"/>
  <c r="U659" i="6"/>
  <c r="V338" i="5" s="1"/>
  <c r="W659" i="6"/>
  <c r="X338" i="5" s="1"/>
  <c r="T659" i="6"/>
  <c r="U338" i="5" s="1"/>
  <c r="S425" i="6"/>
  <c r="T221" i="5" s="1"/>
  <c r="W425" i="6"/>
  <c r="X221" i="5" s="1"/>
  <c r="T425" i="6"/>
  <c r="U221" i="5" s="1"/>
  <c r="U425" i="6"/>
  <c r="V221" i="5" s="1"/>
  <c r="R425" i="6"/>
  <c r="V425" i="6"/>
  <c r="W221" i="5" s="1"/>
  <c r="W423" i="6"/>
  <c r="X220" i="5" s="1"/>
  <c r="U423" i="6"/>
  <c r="V220" i="5" s="1"/>
  <c r="R423" i="6"/>
  <c r="T423" i="6"/>
  <c r="U220" i="5" s="1"/>
  <c r="V423" i="6"/>
  <c r="W220" i="5" s="1"/>
  <c r="S423" i="6"/>
  <c r="T220" i="5" s="1"/>
  <c r="V419" i="6"/>
  <c r="W218" i="5" s="1"/>
  <c r="S419" i="6"/>
  <c r="T218" i="5" s="1"/>
  <c r="W419" i="6"/>
  <c r="X218" i="5" s="1"/>
  <c r="U419" i="6"/>
  <c r="V218" i="5" s="1"/>
  <c r="T419" i="6"/>
  <c r="U218" i="5" s="1"/>
  <c r="R419" i="6"/>
  <c r="V417" i="6"/>
  <c r="W217" i="5" s="1"/>
  <c r="T417" i="6"/>
  <c r="U217" i="5" s="1"/>
  <c r="W417" i="6"/>
  <c r="X217" i="5" s="1"/>
  <c r="U417" i="6"/>
  <c r="V217" i="5" s="1"/>
  <c r="S417" i="6"/>
  <c r="T217" i="5" s="1"/>
  <c r="R417" i="6"/>
  <c r="T407" i="6"/>
  <c r="U212" i="5" s="1"/>
  <c r="S407" i="6"/>
  <c r="T212" i="5" s="1"/>
  <c r="W407" i="6"/>
  <c r="X212" i="5" s="1"/>
  <c r="V407" i="6"/>
  <c r="W212" i="5" s="1"/>
  <c r="U407" i="6"/>
  <c r="V212" i="5" s="1"/>
  <c r="R407" i="6"/>
  <c r="V405" i="6"/>
  <c r="W211" i="5" s="1"/>
  <c r="T405" i="6"/>
  <c r="U211" i="5" s="1"/>
  <c r="W405" i="6"/>
  <c r="X211" i="5" s="1"/>
  <c r="U405" i="6"/>
  <c r="V211" i="5" s="1"/>
  <c r="S405" i="6"/>
  <c r="T211" i="5" s="1"/>
  <c r="R405" i="6"/>
  <c r="S377" i="6"/>
  <c r="T197" i="5" s="1"/>
  <c r="T377" i="6"/>
  <c r="U197" i="5" s="1"/>
  <c r="V377" i="6"/>
  <c r="W197" i="5" s="1"/>
  <c r="R377" i="6"/>
  <c r="U377" i="6"/>
  <c r="V197" i="5" s="1"/>
  <c r="W377" i="6"/>
  <c r="X197" i="5" s="1"/>
  <c r="S375" i="6"/>
  <c r="T196" i="5" s="1"/>
  <c r="V375" i="6"/>
  <c r="W196" i="5" s="1"/>
  <c r="R375" i="6"/>
  <c r="T375" i="6"/>
  <c r="U196" i="5" s="1"/>
  <c r="W375" i="6"/>
  <c r="X196" i="5" s="1"/>
  <c r="U375" i="6"/>
  <c r="V196" i="5" s="1"/>
  <c r="S371" i="6"/>
  <c r="T194" i="5" s="1"/>
  <c r="T371" i="6"/>
  <c r="U194" i="5" s="1"/>
  <c r="R371" i="6"/>
  <c r="U371" i="6"/>
  <c r="V194" i="5" s="1"/>
  <c r="V371" i="6"/>
  <c r="W194" i="5" s="1"/>
  <c r="W371" i="6"/>
  <c r="X194" i="5" s="1"/>
  <c r="U369" i="6"/>
  <c r="V193" i="5" s="1"/>
  <c r="T369" i="6"/>
  <c r="U193" i="5" s="1"/>
  <c r="V369" i="6"/>
  <c r="W193" i="5" s="1"/>
  <c r="S369" i="6"/>
  <c r="T193" i="5" s="1"/>
  <c r="W369" i="6"/>
  <c r="X193" i="5" s="1"/>
  <c r="R369" i="6"/>
  <c r="S359" i="6"/>
  <c r="T188" i="5" s="1"/>
  <c r="V359" i="6"/>
  <c r="W188" i="5" s="1"/>
  <c r="R359" i="6"/>
  <c r="T359" i="6"/>
  <c r="U188" i="5" s="1"/>
  <c r="W359" i="6"/>
  <c r="X188" i="5" s="1"/>
  <c r="U359" i="6"/>
  <c r="V188" i="5" s="1"/>
  <c r="W329" i="6"/>
  <c r="X173" i="5" s="1"/>
  <c r="S329" i="6"/>
  <c r="T173" i="5" s="1"/>
  <c r="U329" i="6"/>
  <c r="V173" i="5" s="1"/>
  <c r="V329" i="6"/>
  <c r="W173" i="5" s="1"/>
  <c r="R329" i="6"/>
  <c r="T329" i="6"/>
  <c r="U173" i="5" s="1"/>
  <c r="V327" i="6"/>
  <c r="W172" i="5" s="1"/>
  <c r="U327" i="6"/>
  <c r="V172" i="5" s="1"/>
  <c r="R327" i="6"/>
  <c r="T327" i="6"/>
  <c r="U172" i="5" s="1"/>
  <c r="W327" i="6"/>
  <c r="X172" i="5" s="1"/>
  <c r="S327" i="6"/>
  <c r="T172" i="5" s="1"/>
  <c r="S323" i="6"/>
  <c r="T170" i="5" s="1"/>
  <c r="U323" i="6"/>
  <c r="V170" i="5" s="1"/>
  <c r="R323" i="6"/>
  <c r="T323" i="6"/>
  <c r="U170" i="5" s="1"/>
  <c r="V323" i="6"/>
  <c r="W170" i="5" s="1"/>
  <c r="W323" i="6"/>
  <c r="X170" i="5" s="1"/>
  <c r="R321" i="6"/>
  <c r="T321" i="6"/>
  <c r="U169" i="5" s="1"/>
  <c r="U321" i="6"/>
  <c r="V169" i="5" s="1"/>
  <c r="V321" i="6"/>
  <c r="W169" i="5" s="1"/>
  <c r="S321" i="6"/>
  <c r="T169" i="5" s="1"/>
  <c r="W321" i="6"/>
  <c r="X169" i="5" s="1"/>
  <c r="V311" i="6"/>
  <c r="W164" i="5" s="1"/>
  <c r="R311" i="6"/>
  <c r="W311" i="6"/>
  <c r="X164" i="5" s="1"/>
  <c r="T311" i="6"/>
  <c r="U164" i="5" s="1"/>
  <c r="U311" i="6"/>
  <c r="V164" i="5" s="1"/>
  <c r="S311" i="6"/>
  <c r="T164" i="5" s="1"/>
  <c r="R1001" i="6"/>
  <c r="T1001" i="6"/>
  <c r="U509" i="5" s="1"/>
  <c r="U1001" i="6"/>
  <c r="V509" i="5" s="1"/>
  <c r="S1001" i="6"/>
  <c r="T509" i="5" s="1"/>
  <c r="W1001" i="6"/>
  <c r="X509" i="5" s="1"/>
  <c r="V1001" i="6"/>
  <c r="W509" i="5" s="1"/>
  <c r="W907" i="6"/>
  <c r="X462" i="5" s="1"/>
  <c r="T907" i="6"/>
  <c r="U462" i="5" s="1"/>
  <c r="R907" i="6"/>
  <c r="S907" i="6"/>
  <c r="T462" i="5" s="1"/>
  <c r="V907" i="6"/>
  <c r="W462" i="5" s="1"/>
  <c r="U907" i="6"/>
  <c r="V462" i="5" s="1"/>
  <c r="T901" i="6"/>
  <c r="U459" i="5" s="1"/>
  <c r="R901" i="6"/>
  <c r="S901" i="6"/>
  <c r="T459" i="5" s="1"/>
  <c r="W901" i="6"/>
  <c r="X459" i="5" s="1"/>
  <c r="U901" i="6"/>
  <c r="V459" i="5" s="1"/>
  <c r="V901" i="6"/>
  <c r="W459" i="5" s="1"/>
  <c r="U893" i="6"/>
  <c r="V455" i="5" s="1"/>
  <c r="W893" i="6"/>
  <c r="X455" i="5" s="1"/>
  <c r="R893" i="6"/>
  <c r="T893" i="6"/>
  <c r="U455" i="5" s="1"/>
  <c r="V893" i="6"/>
  <c r="W455" i="5" s="1"/>
  <c r="S893" i="6"/>
  <c r="T455" i="5" s="1"/>
  <c r="T667" i="6"/>
  <c r="U342" i="5" s="1"/>
  <c r="U667" i="6"/>
  <c r="V342" i="5" s="1"/>
  <c r="R667" i="6"/>
  <c r="S667" i="6"/>
  <c r="T342" i="5" s="1"/>
  <c r="V667" i="6"/>
  <c r="W342" i="5" s="1"/>
  <c r="W667" i="6"/>
  <c r="X342" i="5" s="1"/>
  <c r="U661" i="6"/>
  <c r="V339" i="5" s="1"/>
  <c r="W661" i="6"/>
  <c r="X339" i="5" s="1"/>
  <c r="R661" i="6"/>
  <c r="S661" i="6"/>
  <c r="T339" i="5" s="1"/>
  <c r="T661" i="6"/>
  <c r="U339" i="5" s="1"/>
  <c r="V661" i="6"/>
  <c r="W339" i="5" s="1"/>
  <c r="W633" i="6"/>
  <c r="X325" i="5" s="1"/>
  <c r="U633" i="6"/>
  <c r="V325" i="5" s="1"/>
  <c r="R633" i="6"/>
  <c r="S633" i="6"/>
  <c r="T325" i="5" s="1"/>
  <c r="V633" i="6"/>
  <c r="W325" i="5" s="1"/>
  <c r="T633" i="6"/>
  <c r="U325" i="5" s="1"/>
  <c r="T521" i="6"/>
  <c r="U269" i="5" s="1"/>
  <c r="W521" i="6"/>
  <c r="X269" i="5" s="1"/>
  <c r="R521" i="6"/>
  <c r="U521" i="6"/>
  <c r="V269" i="5" s="1"/>
  <c r="V521" i="6"/>
  <c r="W269" i="5" s="1"/>
  <c r="S521" i="6"/>
  <c r="T269" i="5" s="1"/>
  <c r="V185" i="6"/>
  <c r="W101" i="5" s="1"/>
  <c r="T185" i="6"/>
  <c r="U101" i="5" s="1"/>
  <c r="U185" i="6"/>
  <c r="V101" i="5" s="1"/>
  <c r="S185" i="6"/>
  <c r="T101" i="5" s="1"/>
  <c r="W185" i="6"/>
  <c r="X101" i="5" s="1"/>
  <c r="R185" i="6"/>
  <c r="U177" i="6"/>
  <c r="V97" i="5" s="1"/>
  <c r="W177" i="6"/>
  <c r="X97" i="5" s="1"/>
  <c r="T177" i="6"/>
  <c r="U97" i="5" s="1"/>
  <c r="V177" i="6"/>
  <c r="W97" i="5" s="1"/>
  <c r="R177" i="6"/>
  <c r="S177" i="6"/>
  <c r="T97" i="5" s="1"/>
  <c r="W1395" i="6"/>
  <c r="X706" i="5" s="1"/>
  <c r="R1395" i="6"/>
  <c r="S1395" i="6"/>
  <c r="T706" i="5" s="1"/>
  <c r="U1395" i="6"/>
  <c r="V706" i="5" s="1"/>
  <c r="T1395" i="6"/>
  <c r="U706" i="5" s="1"/>
  <c r="V1395" i="6"/>
  <c r="W706" i="5" s="1"/>
  <c r="W1327" i="6"/>
  <c r="X672" i="5" s="1"/>
  <c r="S1327" i="6"/>
  <c r="T672" i="5" s="1"/>
  <c r="U1327" i="6"/>
  <c r="V672" i="5" s="1"/>
  <c r="T1327" i="6"/>
  <c r="U672" i="5" s="1"/>
  <c r="V1327" i="6"/>
  <c r="W672" i="5" s="1"/>
  <c r="R1327" i="6"/>
  <c r="S357" i="6"/>
  <c r="T187" i="5" s="1"/>
  <c r="W357" i="6"/>
  <c r="X187" i="5" s="1"/>
  <c r="T357" i="6"/>
  <c r="U187" i="5" s="1"/>
  <c r="V357" i="6"/>
  <c r="W187" i="5" s="1"/>
  <c r="U357" i="6"/>
  <c r="V187" i="5" s="1"/>
  <c r="R357" i="6"/>
  <c r="S309" i="6"/>
  <c r="T163" i="5" s="1"/>
  <c r="W309" i="6"/>
  <c r="X163" i="5" s="1"/>
  <c r="V309" i="6"/>
  <c r="W163" i="5" s="1"/>
  <c r="U309" i="6"/>
  <c r="V163" i="5" s="1"/>
  <c r="T309" i="6"/>
  <c r="U163" i="5" s="1"/>
  <c r="R309" i="6"/>
  <c r="W1383" i="6"/>
  <c r="X700" i="5" s="1"/>
  <c r="R1383" i="6"/>
  <c r="S1383" i="6"/>
  <c r="T700" i="5" s="1"/>
  <c r="U1383" i="6"/>
  <c r="V700" i="5" s="1"/>
  <c r="V1383" i="6"/>
  <c r="W700" i="5" s="1"/>
  <c r="T1383" i="6"/>
  <c r="U700" i="5" s="1"/>
  <c r="T1381" i="6"/>
  <c r="U699" i="5" s="1"/>
  <c r="W1381" i="6"/>
  <c r="X699" i="5" s="1"/>
  <c r="S1381" i="6"/>
  <c r="T699" i="5" s="1"/>
  <c r="V1381" i="6"/>
  <c r="W699" i="5" s="1"/>
  <c r="U1381" i="6"/>
  <c r="V699" i="5" s="1"/>
  <c r="R1381" i="6"/>
  <c r="V1093" i="6"/>
  <c r="W555" i="5" s="1"/>
  <c r="V1167" i="6"/>
  <c r="W592" i="5" s="1"/>
  <c r="V1099" i="6"/>
  <c r="W558" i="5" s="1"/>
  <c r="W1283" i="6"/>
  <c r="X650" i="5" s="1"/>
  <c r="S435" i="6"/>
  <c r="T226" i="5" s="1"/>
  <c r="T611" i="6"/>
  <c r="U314" i="5" s="1"/>
  <c r="T653" i="6"/>
  <c r="U335" i="5" s="1"/>
  <c r="R131" i="6"/>
  <c r="R117" i="6"/>
  <c r="R83" i="6"/>
  <c r="R53" i="6"/>
  <c r="V1105" i="6"/>
  <c r="W561" i="5" s="1"/>
  <c r="U777" i="6"/>
  <c r="V397" i="5" s="1"/>
  <c r="U773" i="6"/>
  <c r="V395" i="5" s="1"/>
  <c r="U847" i="6"/>
  <c r="V432" i="5" s="1"/>
  <c r="U833" i="6"/>
  <c r="V425" i="5" s="1"/>
  <c r="V1121" i="6"/>
  <c r="W569" i="5" s="1"/>
  <c r="V1021" i="6"/>
  <c r="W519" i="5" s="1"/>
  <c r="W1313" i="6"/>
  <c r="X665" i="5" s="1"/>
  <c r="V1135" i="6"/>
  <c r="W576" i="5" s="1"/>
  <c r="V1013" i="6"/>
  <c r="W515" i="5" s="1"/>
  <c r="T597" i="6"/>
  <c r="U307" i="5" s="1"/>
  <c r="T595" i="6"/>
  <c r="U306" i="5" s="1"/>
  <c r="W1277" i="6"/>
  <c r="X647" i="5" s="1"/>
  <c r="V1065" i="6"/>
  <c r="W541" i="5" s="1"/>
  <c r="U741" i="6"/>
  <c r="V379" i="5" s="1"/>
  <c r="T585" i="6"/>
  <c r="U301" i="5" s="1"/>
  <c r="T513" i="6"/>
  <c r="U265" i="5" s="1"/>
  <c r="R51" i="6"/>
  <c r="T625" i="6"/>
  <c r="U321" i="5" s="1"/>
  <c r="U825" i="6"/>
  <c r="V421" i="5" s="1"/>
  <c r="U853" i="6"/>
  <c r="V435" i="5" s="1"/>
  <c r="U753" i="6"/>
  <c r="V385" i="5" s="1"/>
  <c r="T607" i="6"/>
  <c r="U312" i="5" s="1"/>
  <c r="U851" i="6"/>
  <c r="V434" i="5" s="1"/>
  <c r="R81" i="6"/>
  <c r="V1163" i="6"/>
  <c r="W590" i="5" s="1"/>
  <c r="U857" i="6"/>
  <c r="V437" i="5" s="1"/>
  <c r="V1177" i="6"/>
  <c r="W597" i="5" s="1"/>
  <c r="V1171" i="6"/>
  <c r="W594" i="5" s="1"/>
  <c r="V1123" i="6" l="1"/>
  <c r="W570" i="5" s="1"/>
  <c r="U791" i="6"/>
  <c r="V404" i="5" s="1"/>
  <c r="V963" i="6"/>
  <c r="W490" i="5" s="1"/>
  <c r="V1125" i="6"/>
  <c r="W571" i="5" s="1"/>
  <c r="U937" i="6"/>
  <c r="V477" i="5" s="1"/>
  <c r="T503" i="6"/>
  <c r="U260" i="5" s="1"/>
  <c r="T561" i="6"/>
  <c r="U289" i="5" s="1"/>
  <c r="T587" i="6"/>
  <c r="U302" i="5" s="1"/>
  <c r="U761" i="6"/>
  <c r="V389" i="5" s="1"/>
  <c r="U939" i="6"/>
  <c r="V478" i="5" s="1"/>
  <c r="R57" i="6"/>
  <c r="R71" i="6"/>
  <c r="R223" i="6"/>
  <c r="W1319" i="6"/>
  <c r="X668" i="5" s="1"/>
  <c r="V1029" i="6"/>
  <c r="W523" i="5" s="1"/>
  <c r="V999" i="6"/>
  <c r="W508" i="5" s="1"/>
  <c r="R1419" i="6"/>
  <c r="V1415" i="6"/>
  <c r="W716" i="5" s="1"/>
  <c r="V1399" i="6"/>
  <c r="W708" i="5" s="1"/>
  <c r="W1397" i="6"/>
  <c r="X707" i="5" s="1"/>
  <c r="V1341" i="6"/>
  <c r="W679" i="5" s="1"/>
  <c r="V1243" i="6"/>
  <c r="W630" i="5" s="1"/>
  <c r="V983" i="6"/>
  <c r="W500" i="5" s="1"/>
  <c r="V1223" i="6"/>
  <c r="W620" i="5" s="1"/>
  <c r="R1335" i="6"/>
  <c r="V967" i="6"/>
  <c r="W492" i="5" s="1"/>
  <c r="V1035" i="6"/>
  <c r="W526" i="5" s="1"/>
  <c r="T717" i="6"/>
  <c r="U367" i="5" s="1"/>
  <c r="V711" i="6"/>
  <c r="W364" i="5" s="1"/>
  <c r="V669" i="6"/>
  <c r="W343" i="5" s="1"/>
  <c r="V635" i="6"/>
  <c r="W326" i="5" s="1"/>
  <c r="T627" i="6"/>
  <c r="U322" i="5" s="1"/>
  <c r="R1241" i="6"/>
  <c r="R1207" i="6"/>
  <c r="V527" i="6"/>
  <c r="W272" i="5" s="1"/>
  <c r="V515" i="6"/>
  <c r="W266" i="5" s="1"/>
  <c r="V507" i="6"/>
  <c r="W262" i="5" s="1"/>
  <c r="X217" i="6"/>
  <c r="S117" i="5"/>
  <c r="U751" i="6"/>
  <c r="V384" i="5" s="1"/>
  <c r="U737" i="6"/>
  <c r="V377" i="5" s="1"/>
  <c r="T657" i="6"/>
  <c r="U337" i="5" s="1"/>
  <c r="T631" i="6"/>
  <c r="U324" i="5" s="1"/>
  <c r="T511" i="6"/>
  <c r="U264" i="5" s="1"/>
  <c r="T499" i="6"/>
  <c r="U258" i="5" s="1"/>
  <c r="V1063" i="6"/>
  <c r="W540" i="5" s="1"/>
  <c r="R175" i="6"/>
  <c r="S96" i="5" s="1"/>
  <c r="R49" i="6"/>
  <c r="S33" i="5" s="1"/>
  <c r="R41" i="6"/>
  <c r="R107" i="6"/>
  <c r="S62" i="5" s="1"/>
  <c r="U891" i="6"/>
  <c r="V454" i="5" s="1"/>
  <c r="R167" i="6"/>
  <c r="V1031" i="6"/>
  <c r="U749" i="6"/>
  <c r="V383" i="5" s="1"/>
  <c r="U917" i="6"/>
  <c r="T695" i="6"/>
  <c r="W1323" i="6"/>
  <c r="X670" i="5" s="1"/>
  <c r="U803" i="6"/>
  <c r="W1231" i="6"/>
  <c r="X624" i="5" s="1"/>
  <c r="V1025" i="6"/>
  <c r="V869" i="6"/>
  <c r="W443" i="5" s="1"/>
  <c r="R119" i="6"/>
  <c r="T523" i="6"/>
  <c r="U270" i="5" s="1"/>
  <c r="W1293" i="6"/>
  <c r="X655" i="5" s="1"/>
  <c r="W1229" i="6"/>
  <c r="X623" i="5" s="1"/>
  <c r="W1321" i="6"/>
  <c r="X669" i="5" s="1"/>
  <c r="R33" i="6"/>
  <c r="U889" i="6"/>
  <c r="V453" i="5" s="1"/>
  <c r="V991" i="6"/>
  <c r="W504" i="5" s="1"/>
  <c r="R163" i="6"/>
  <c r="S90" i="5" s="1"/>
  <c r="R989" i="6"/>
  <c r="S503" i="5" s="1"/>
  <c r="T575" i="6"/>
  <c r="U296" i="5" s="1"/>
  <c r="U827" i="6"/>
  <c r="U935" i="6"/>
  <c r="U795" i="6"/>
  <c r="V406" i="5" s="1"/>
  <c r="W1349" i="6"/>
  <c r="X683" i="5" s="1"/>
  <c r="R149" i="6"/>
  <c r="S83" i="5" s="1"/>
  <c r="U823" i="6"/>
  <c r="V420" i="5" s="1"/>
  <c r="T651" i="6"/>
  <c r="U334" i="5" s="1"/>
  <c r="V1055" i="6"/>
  <c r="W536" i="5" s="1"/>
  <c r="V1129" i="6"/>
  <c r="W573" i="5" s="1"/>
  <c r="T683" i="6"/>
  <c r="V1003" i="6"/>
  <c r="W510" i="5" s="1"/>
  <c r="V1179" i="6"/>
  <c r="W598" i="5" s="1"/>
  <c r="R219" i="6"/>
  <c r="X261" i="6"/>
  <c r="S139" i="5"/>
  <c r="T57" i="5"/>
  <c r="X97" i="6"/>
  <c r="R663" i="6"/>
  <c r="U663" i="6"/>
  <c r="V340" i="5" s="1"/>
  <c r="T663" i="6"/>
  <c r="U340" i="5" s="1"/>
  <c r="W663" i="6"/>
  <c r="X340" i="5" s="1"/>
  <c r="S663" i="6"/>
  <c r="T340" i="5" s="1"/>
  <c r="U489" i="6"/>
  <c r="V253" i="5" s="1"/>
  <c r="V489" i="6"/>
  <c r="W253" i="5" s="1"/>
  <c r="W489" i="6"/>
  <c r="X253" i="5" s="1"/>
  <c r="R489" i="6"/>
  <c r="S253" i="5" s="1"/>
  <c r="S489" i="6"/>
  <c r="T253" i="5" s="1"/>
  <c r="V503" i="6"/>
  <c r="W260" i="5" s="1"/>
  <c r="U503" i="6"/>
  <c r="V260" i="5" s="1"/>
  <c r="W503" i="6"/>
  <c r="X260" i="5" s="1"/>
  <c r="R503" i="6"/>
  <c r="S503" i="6"/>
  <c r="T260" i="5" s="1"/>
  <c r="R523" i="6"/>
  <c r="S523" i="6"/>
  <c r="T270" i="5" s="1"/>
  <c r="V523" i="6"/>
  <c r="W270" i="5" s="1"/>
  <c r="U523" i="6"/>
  <c r="V270" i="5" s="1"/>
  <c r="W523" i="6"/>
  <c r="X270" i="5" s="1"/>
  <c r="R561" i="6"/>
  <c r="V561" i="6"/>
  <c r="W289" i="5" s="1"/>
  <c r="W561" i="6"/>
  <c r="X289" i="5" s="1"/>
  <c r="U561" i="6"/>
  <c r="V289" i="5" s="1"/>
  <c r="S561" i="6"/>
  <c r="T289" i="5" s="1"/>
  <c r="U565" i="6"/>
  <c r="V291" i="5" s="1"/>
  <c r="V565" i="6"/>
  <c r="W291" i="5" s="1"/>
  <c r="W565" i="6"/>
  <c r="X291" i="5" s="1"/>
  <c r="R565" i="6"/>
  <c r="S291" i="5" s="1"/>
  <c r="S565" i="6"/>
  <c r="T291" i="5" s="1"/>
  <c r="V587" i="6"/>
  <c r="W302" i="5" s="1"/>
  <c r="S587" i="6"/>
  <c r="T302" i="5" s="1"/>
  <c r="R587" i="6"/>
  <c r="W587" i="6"/>
  <c r="X302" i="5" s="1"/>
  <c r="U587" i="6"/>
  <c r="V302" i="5" s="1"/>
  <c r="S1377" i="6"/>
  <c r="T697" i="5" s="1"/>
  <c r="T1377" i="6"/>
  <c r="U697" i="5" s="1"/>
  <c r="U1377" i="6"/>
  <c r="V697" i="5" s="1"/>
  <c r="V1377" i="6"/>
  <c r="W697" i="5" s="1"/>
  <c r="R1377" i="6"/>
  <c r="W621" i="6"/>
  <c r="X319" i="5" s="1"/>
  <c r="U621" i="6"/>
  <c r="V319" i="5" s="1"/>
  <c r="S621" i="6"/>
  <c r="T319" i="5" s="1"/>
  <c r="V621" i="6"/>
  <c r="W319" i="5" s="1"/>
  <c r="R621" i="6"/>
  <c r="V699" i="6"/>
  <c r="W358" i="5" s="1"/>
  <c r="W699" i="6"/>
  <c r="X358" i="5" s="1"/>
  <c r="R699" i="6"/>
  <c r="S358" i="5" s="1"/>
  <c r="U699" i="6"/>
  <c r="V358" i="5" s="1"/>
  <c r="S699" i="6"/>
  <c r="T358" i="5" s="1"/>
  <c r="R727" i="6"/>
  <c r="S727" i="6"/>
  <c r="T372" i="5" s="1"/>
  <c r="W727" i="6"/>
  <c r="X372" i="5" s="1"/>
  <c r="T727" i="6"/>
  <c r="U372" i="5" s="1"/>
  <c r="V727" i="6"/>
  <c r="W372" i="5" s="1"/>
  <c r="T735" i="6"/>
  <c r="U376" i="5" s="1"/>
  <c r="R735" i="6"/>
  <c r="W735" i="6"/>
  <c r="X376" i="5" s="1"/>
  <c r="V735" i="6"/>
  <c r="W376" i="5" s="1"/>
  <c r="S735" i="6"/>
  <c r="T376" i="5" s="1"/>
  <c r="V761" i="6"/>
  <c r="W389" i="5" s="1"/>
  <c r="R761" i="6"/>
  <c r="T761" i="6"/>
  <c r="U389" i="5" s="1"/>
  <c r="S761" i="6"/>
  <c r="T389" i="5" s="1"/>
  <c r="W761" i="6"/>
  <c r="X389" i="5" s="1"/>
  <c r="W795" i="6"/>
  <c r="X406" i="5" s="1"/>
  <c r="V795" i="6"/>
  <c r="W406" i="5" s="1"/>
  <c r="R795" i="6"/>
  <c r="T795" i="6"/>
  <c r="U406" i="5" s="1"/>
  <c r="S795" i="6"/>
  <c r="T406" i="5" s="1"/>
  <c r="W939" i="6"/>
  <c r="X478" i="5" s="1"/>
  <c r="V939" i="6"/>
  <c r="W478" i="5" s="1"/>
  <c r="T939" i="6"/>
  <c r="U478" i="5" s="1"/>
  <c r="S939" i="6"/>
  <c r="T478" i="5" s="1"/>
  <c r="R939" i="6"/>
  <c r="U557" i="6"/>
  <c r="V287" i="5" s="1"/>
  <c r="R557" i="6"/>
  <c r="W557" i="6"/>
  <c r="X287" i="5" s="1"/>
  <c r="V557" i="6"/>
  <c r="W287" i="5" s="1"/>
  <c r="S557" i="6"/>
  <c r="T287" i="5" s="1"/>
  <c r="W31" i="6"/>
  <c r="X24" i="5" s="1"/>
  <c r="V31" i="6"/>
  <c r="W24" i="5" s="1"/>
  <c r="U31" i="6"/>
  <c r="V24" i="5" s="1"/>
  <c r="T31" i="6"/>
  <c r="U24" i="5" s="1"/>
  <c r="S31" i="6"/>
  <c r="T24" i="5" s="1"/>
  <c r="U37" i="6"/>
  <c r="V27" i="5" s="1"/>
  <c r="T37" i="6"/>
  <c r="U27" i="5" s="1"/>
  <c r="S37" i="6"/>
  <c r="T27" i="5" s="1"/>
  <c r="W37" i="6"/>
  <c r="X27" i="5" s="1"/>
  <c r="V37" i="6"/>
  <c r="W27" i="5" s="1"/>
  <c r="S27" i="5"/>
  <c r="X37" i="6"/>
  <c r="U57" i="6"/>
  <c r="V37" i="5" s="1"/>
  <c r="W57" i="6"/>
  <c r="X37" i="5" s="1"/>
  <c r="V57" i="6"/>
  <c r="W37" i="5" s="1"/>
  <c r="S57" i="6"/>
  <c r="T57" i="6"/>
  <c r="U37" i="5" s="1"/>
  <c r="T71" i="6"/>
  <c r="U44" i="5" s="1"/>
  <c r="W71" i="6"/>
  <c r="X44" i="5" s="1"/>
  <c r="U71" i="6"/>
  <c r="V44" i="5" s="1"/>
  <c r="S71" i="6"/>
  <c r="V71" i="6"/>
  <c r="W44" i="5" s="1"/>
  <c r="T89" i="6"/>
  <c r="U53" i="5" s="1"/>
  <c r="S89" i="6"/>
  <c r="W89" i="6"/>
  <c r="X53" i="5" s="1"/>
  <c r="V89" i="6"/>
  <c r="W53" i="5" s="1"/>
  <c r="U89" i="6"/>
  <c r="V53" i="5" s="1"/>
  <c r="S103" i="6"/>
  <c r="U103" i="6"/>
  <c r="V60" i="5" s="1"/>
  <c r="T103" i="6"/>
  <c r="U60" i="5" s="1"/>
  <c r="V103" i="6"/>
  <c r="W60" i="5" s="1"/>
  <c r="W103" i="6"/>
  <c r="X60" i="5" s="1"/>
  <c r="S111" i="6"/>
  <c r="T111" i="6"/>
  <c r="U64" i="5" s="1"/>
  <c r="U111" i="6"/>
  <c r="V64" i="5" s="1"/>
  <c r="V111" i="6"/>
  <c r="W64" i="5" s="1"/>
  <c r="W111" i="6"/>
  <c r="X64" i="5" s="1"/>
  <c r="R1213" i="6"/>
  <c r="V1213" i="6"/>
  <c r="W615" i="5" s="1"/>
  <c r="U1213" i="6"/>
  <c r="V615" i="5" s="1"/>
  <c r="T1213" i="6"/>
  <c r="U615" i="5" s="1"/>
  <c r="S1213" i="6"/>
  <c r="T615" i="5" s="1"/>
  <c r="R1329" i="6"/>
  <c r="S673" i="5" s="1"/>
  <c r="T1329" i="6"/>
  <c r="U673" i="5" s="1"/>
  <c r="V1329" i="6"/>
  <c r="W673" i="5" s="1"/>
  <c r="U1329" i="6"/>
  <c r="V673" i="5" s="1"/>
  <c r="S1329" i="6"/>
  <c r="T673" i="5" s="1"/>
  <c r="U35" i="6"/>
  <c r="V26" i="5" s="1"/>
  <c r="S35" i="6"/>
  <c r="T26" i="5" s="1"/>
  <c r="W35" i="6"/>
  <c r="X26" i="5" s="1"/>
  <c r="T35" i="6"/>
  <c r="U26" i="5" s="1"/>
  <c r="V35" i="6"/>
  <c r="W26" i="5" s="1"/>
  <c r="X35" i="6"/>
  <c r="S26" i="5"/>
  <c r="W203" i="6"/>
  <c r="X110" i="5" s="1"/>
  <c r="S203" i="6"/>
  <c r="T110" i="5" s="1"/>
  <c r="V203" i="6"/>
  <c r="W110" i="5" s="1"/>
  <c r="T203" i="6"/>
  <c r="U110" i="5" s="1"/>
  <c r="U203" i="6"/>
  <c r="V110" i="5" s="1"/>
  <c r="X203" i="6"/>
  <c r="S110" i="5"/>
  <c r="U209" i="6"/>
  <c r="V209" i="6"/>
  <c r="W113" i="5" s="1"/>
  <c r="T209" i="6"/>
  <c r="U113" i="5" s="1"/>
  <c r="S209" i="6"/>
  <c r="T113" i="5" s="1"/>
  <c r="W209" i="6"/>
  <c r="X113" i="5" s="1"/>
  <c r="U223" i="6"/>
  <c r="V120" i="5" s="1"/>
  <c r="T223" i="6"/>
  <c r="U120" i="5" s="1"/>
  <c r="S223" i="6"/>
  <c r="T120" i="5" s="1"/>
  <c r="V223" i="6"/>
  <c r="W120" i="5" s="1"/>
  <c r="W223" i="6"/>
  <c r="X120" i="5" s="1"/>
  <c r="U1217" i="6"/>
  <c r="V617" i="5" s="1"/>
  <c r="V1217" i="6"/>
  <c r="W617" i="5" s="1"/>
  <c r="S1217" i="6"/>
  <c r="T617" i="5" s="1"/>
  <c r="R1217" i="6"/>
  <c r="T1217" i="6"/>
  <c r="U617" i="5" s="1"/>
  <c r="W487" i="6"/>
  <c r="X252" i="5" s="1"/>
  <c r="U487" i="6"/>
  <c r="V252" i="5" s="1"/>
  <c r="V487" i="6"/>
  <c r="W252" i="5" s="1"/>
  <c r="S487" i="6"/>
  <c r="T252" i="5" s="1"/>
  <c r="R487" i="6"/>
  <c r="R1425" i="6"/>
  <c r="S1425" i="6"/>
  <c r="T721" i="5" s="1"/>
  <c r="U1425" i="6"/>
  <c r="V721" i="5" s="1"/>
  <c r="S1419" i="6"/>
  <c r="T718" i="5" s="1"/>
  <c r="W1419" i="6"/>
  <c r="X718" i="5" s="1"/>
  <c r="U1419" i="6"/>
  <c r="V718" i="5" s="1"/>
  <c r="V1419" i="6"/>
  <c r="W718" i="5" s="1"/>
  <c r="T1419" i="6"/>
  <c r="U718" i="5" s="1"/>
  <c r="T1417" i="6"/>
  <c r="U717" i="5" s="1"/>
  <c r="W1417" i="6"/>
  <c r="X717" i="5" s="1"/>
  <c r="R1417" i="6"/>
  <c r="U1417" i="6"/>
  <c r="V717" i="5" s="1"/>
  <c r="S1417" i="6"/>
  <c r="T717" i="5" s="1"/>
  <c r="U1415" i="6"/>
  <c r="V716" i="5" s="1"/>
  <c r="T1415" i="6"/>
  <c r="U716" i="5" s="1"/>
  <c r="R1415" i="6"/>
  <c r="W1415" i="6"/>
  <c r="X716" i="5" s="1"/>
  <c r="S1415" i="6"/>
  <c r="T716" i="5" s="1"/>
  <c r="W1399" i="6"/>
  <c r="X708" i="5" s="1"/>
  <c r="U1399" i="6"/>
  <c r="V708" i="5" s="1"/>
  <c r="S1399" i="6"/>
  <c r="T708" i="5" s="1"/>
  <c r="R1399" i="6"/>
  <c r="T1399" i="6"/>
  <c r="U708" i="5" s="1"/>
  <c r="T1397" i="6"/>
  <c r="U707" i="5" s="1"/>
  <c r="S1397" i="6"/>
  <c r="T707" i="5" s="1"/>
  <c r="U1397" i="6"/>
  <c r="V707" i="5" s="1"/>
  <c r="R1397" i="6"/>
  <c r="V1397" i="6"/>
  <c r="W707" i="5" s="1"/>
  <c r="R1341" i="6"/>
  <c r="U1341" i="6"/>
  <c r="V679" i="5" s="1"/>
  <c r="S1341" i="6"/>
  <c r="T679" i="5" s="1"/>
  <c r="T1341" i="6"/>
  <c r="U679" i="5" s="1"/>
  <c r="W1341" i="6"/>
  <c r="X679" i="5" s="1"/>
  <c r="U1317" i="6"/>
  <c r="V667" i="5" s="1"/>
  <c r="W1317" i="6"/>
  <c r="X667" i="5" s="1"/>
  <c r="S1317" i="6"/>
  <c r="T667" i="5" s="1"/>
  <c r="R1317" i="6"/>
  <c r="V1317" i="6"/>
  <c r="W667" i="5" s="1"/>
  <c r="W1243" i="6"/>
  <c r="X630" i="5" s="1"/>
  <c r="U1243" i="6"/>
  <c r="V630" i="5" s="1"/>
  <c r="R1243" i="6"/>
  <c r="S1243" i="6"/>
  <c r="T630" i="5" s="1"/>
  <c r="T1243" i="6"/>
  <c r="U630" i="5" s="1"/>
  <c r="T1223" i="6"/>
  <c r="U620" i="5" s="1"/>
  <c r="S1223" i="6"/>
  <c r="T620" i="5" s="1"/>
  <c r="U1223" i="6"/>
  <c r="V620" i="5" s="1"/>
  <c r="R1223" i="6"/>
  <c r="W1223" i="6"/>
  <c r="X620" i="5" s="1"/>
  <c r="U1335" i="6"/>
  <c r="V676" i="5" s="1"/>
  <c r="V1335" i="6"/>
  <c r="W676" i="5" s="1"/>
  <c r="S1335" i="6"/>
  <c r="T676" i="5" s="1"/>
  <c r="T1335" i="6"/>
  <c r="U676" i="5" s="1"/>
  <c r="W1335" i="6"/>
  <c r="X676" i="5" s="1"/>
  <c r="T1101" i="6"/>
  <c r="U559" i="5" s="1"/>
  <c r="W1101" i="6"/>
  <c r="X559" i="5" s="1"/>
  <c r="R1101" i="6"/>
  <c r="U1101" i="6"/>
  <c r="V559" i="5" s="1"/>
  <c r="S1101" i="6"/>
  <c r="T559" i="5" s="1"/>
  <c r="S717" i="6"/>
  <c r="T367" i="5" s="1"/>
  <c r="V717" i="6"/>
  <c r="W367" i="5" s="1"/>
  <c r="W717" i="6"/>
  <c r="X367" i="5" s="1"/>
  <c r="R717" i="6"/>
  <c r="U717" i="6"/>
  <c r="V367" i="5" s="1"/>
  <c r="U711" i="6"/>
  <c r="V364" i="5" s="1"/>
  <c r="W711" i="6"/>
  <c r="X364" i="5" s="1"/>
  <c r="S711" i="6"/>
  <c r="T364" i="5" s="1"/>
  <c r="T711" i="6"/>
  <c r="U364" i="5" s="1"/>
  <c r="R711" i="6"/>
  <c r="R669" i="6"/>
  <c r="U669" i="6"/>
  <c r="V343" i="5" s="1"/>
  <c r="S669" i="6"/>
  <c r="T343" i="5" s="1"/>
  <c r="W669" i="6"/>
  <c r="X343" i="5" s="1"/>
  <c r="T669" i="6"/>
  <c r="U343" i="5" s="1"/>
  <c r="R635" i="6"/>
  <c r="U635" i="6"/>
  <c r="V326" i="5" s="1"/>
  <c r="S635" i="6"/>
  <c r="T326" i="5" s="1"/>
  <c r="W635" i="6"/>
  <c r="X326" i="5" s="1"/>
  <c r="T635" i="6"/>
  <c r="U326" i="5" s="1"/>
  <c r="U627" i="6"/>
  <c r="V322" i="5" s="1"/>
  <c r="W627" i="6"/>
  <c r="X322" i="5" s="1"/>
  <c r="V627" i="6"/>
  <c r="W322" i="5" s="1"/>
  <c r="R627" i="6"/>
  <c r="S627" i="6"/>
  <c r="T322" i="5" s="1"/>
  <c r="V1241" i="6"/>
  <c r="W629" i="5" s="1"/>
  <c r="S1241" i="6"/>
  <c r="T629" i="5" s="1"/>
  <c r="T1241" i="6"/>
  <c r="U629" i="5" s="1"/>
  <c r="U1241" i="6"/>
  <c r="V629" i="5" s="1"/>
  <c r="S1207" i="6"/>
  <c r="T612" i="5" s="1"/>
  <c r="T1207" i="6"/>
  <c r="U612" i="5" s="1"/>
  <c r="U1207" i="6"/>
  <c r="V612" i="5" s="1"/>
  <c r="V1207" i="6"/>
  <c r="W612" i="5" s="1"/>
  <c r="S527" i="6"/>
  <c r="T272" i="5" s="1"/>
  <c r="U527" i="6"/>
  <c r="V272" i="5" s="1"/>
  <c r="R527" i="6"/>
  <c r="W527" i="6"/>
  <c r="X272" i="5" s="1"/>
  <c r="T527" i="6"/>
  <c r="U272" i="5" s="1"/>
  <c r="W519" i="6"/>
  <c r="X268" i="5" s="1"/>
  <c r="V519" i="6"/>
  <c r="W268" i="5" s="1"/>
  <c r="U519" i="6"/>
  <c r="V268" i="5" s="1"/>
  <c r="S519" i="6"/>
  <c r="T268" i="5" s="1"/>
  <c r="T519" i="6"/>
  <c r="U268" i="5" s="1"/>
  <c r="T515" i="6"/>
  <c r="U266" i="5" s="1"/>
  <c r="S515" i="6"/>
  <c r="T266" i="5" s="1"/>
  <c r="W515" i="6"/>
  <c r="X266" i="5" s="1"/>
  <c r="R515" i="6"/>
  <c r="U515" i="6"/>
  <c r="V266" i="5" s="1"/>
  <c r="R507" i="6"/>
  <c r="S507" i="6"/>
  <c r="T262" i="5" s="1"/>
  <c r="W507" i="6"/>
  <c r="X262" i="5" s="1"/>
  <c r="U507" i="6"/>
  <c r="V262" i="5" s="1"/>
  <c r="S743" i="6"/>
  <c r="T380" i="5" s="1"/>
  <c r="T743" i="6"/>
  <c r="U380" i="5" s="1"/>
  <c r="R743" i="6"/>
  <c r="W743" i="6"/>
  <c r="X380" i="5" s="1"/>
  <c r="V743" i="6"/>
  <c r="W380" i="5" s="1"/>
  <c r="U55" i="6"/>
  <c r="V36" i="5" s="1"/>
  <c r="T55" i="6"/>
  <c r="U36" i="5" s="1"/>
  <c r="S55" i="6"/>
  <c r="T36" i="5" s="1"/>
  <c r="V55" i="6"/>
  <c r="W36" i="5" s="1"/>
  <c r="W55" i="6"/>
  <c r="X36" i="5" s="1"/>
  <c r="T63" i="6"/>
  <c r="U40" i="5" s="1"/>
  <c r="S63" i="6"/>
  <c r="T40" i="5" s="1"/>
  <c r="U63" i="6"/>
  <c r="V40" i="5" s="1"/>
  <c r="V63" i="6"/>
  <c r="W40" i="5" s="1"/>
  <c r="W63" i="6"/>
  <c r="X40" i="5" s="1"/>
  <c r="U91" i="6"/>
  <c r="V54" i="5" s="1"/>
  <c r="S91" i="6"/>
  <c r="T54" i="5" s="1"/>
  <c r="W91" i="6"/>
  <c r="X54" i="5" s="1"/>
  <c r="V91" i="6"/>
  <c r="W54" i="5" s="1"/>
  <c r="T91" i="6"/>
  <c r="U54" i="5" s="1"/>
  <c r="X1289" i="6"/>
  <c r="S653" i="5"/>
  <c r="U811" i="6"/>
  <c r="T583" i="6"/>
  <c r="U300" i="5" s="1"/>
  <c r="U897" i="6"/>
  <c r="V457" i="5" s="1"/>
  <c r="V1061" i="6"/>
  <c r="W539" i="5" s="1"/>
  <c r="U843" i="6"/>
  <c r="V430" i="5" s="1"/>
  <c r="T491" i="6"/>
  <c r="U254" i="5" s="1"/>
  <c r="T577" i="6"/>
  <c r="U297" i="5" s="1"/>
  <c r="T609" i="6"/>
  <c r="U313" i="5" s="1"/>
  <c r="U807" i="6"/>
  <c r="T603" i="6"/>
  <c r="U871" i="6"/>
  <c r="V1131" i="6"/>
  <c r="S93" i="5"/>
  <c r="X169" i="6"/>
  <c r="T207" i="5"/>
  <c r="X397" i="6"/>
  <c r="X511" i="5"/>
  <c r="X1005" i="6"/>
  <c r="S709" i="5"/>
  <c r="X1401" i="6"/>
  <c r="X423" i="5"/>
  <c r="X829" i="6"/>
  <c r="X631" i="5"/>
  <c r="X1245" i="6"/>
  <c r="X621" i="5"/>
  <c r="X1225" i="6"/>
  <c r="S889" i="6"/>
  <c r="T453" i="5" s="1"/>
  <c r="V889" i="6"/>
  <c r="W453" i="5" s="1"/>
  <c r="T889" i="6"/>
  <c r="U453" i="5" s="1"/>
  <c r="R889" i="6"/>
  <c r="W889" i="6"/>
  <c r="X453" i="5" s="1"/>
  <c r="W869" i="6"/>
  <c r="X443" i="5" s="1"/>
  <c r="S869" i="6"/>
  <c r="T443" i="5" s="1"/>
  <c r="T869" i="6"/>
  <c r="U443" i="5" s="1"/>
  <c r="R869" i="6"/>
  <c r="U869" i="6"/>
  <c r="V443" i="5" s="1"/>
  <c r="U657" i="6"/>
  <c r="V337" i="5" s="1"/>
  <c r="R657" i="6"/>
  <c r="V657" i="6"/>
  <c r="W337" i="5" s="1"/>
  <c r="W657" i="6"/>
  <c r="X337" i="5" s="1"/>
  <c r="S657" i="6"/>
  <c r="T337" i="5" s="1"/>
  <c r="R631" i="6"/>
  <c r="U631" i="6"/>
  <c r="V324" i="5" s="1"/>
  <c r="W631" i="6"/>
  <c r="X324" i="5" s="1"/>
  <c r="V631" i="6"/>
  <c r="W324" i="5" s="1"/>
  <c r="S631" i="6"/>
  <c r="T324" i="5" s="1"/>
  <c r="R511" i="6"/>
  <c r="S511" i="6"/>
  <c r="T264" i="5" s="1"/>
  <c r="V511" i="6"/>
  <c r="W264" i="5" s="1"/>
  <c r="U511" i="6"/>
  <c r="V264" i="5" s="1"/>
  <c r="W511" i="6"/>
  <c r="X264" i="5" s="1"/>
  <c r="R173" i="6"/>
  <c r="U173" i="6"/>
  <c r="V95" i="5" s="1"/>
  <c r="W173" i="6"/>
  <c r="X95" i="5" s="1"/>
  <c r="S173" i="6"/>
  <c r="T95" i="5" s="1"/>
  <c r="T173" i="6"/>
  <c r="U95" i="5" s="1"/>
  <c r="T79" i="6"/>
  <c r="U48" i="5" s="1"/>
  <c r="U79" i="6"/>
  <c r="V48" i="5" s="1"/>
  <c r="V79" i="6"/>
  <c r="W48" i="5" s="1"/>
  <c r="S79" i="6"/>
  <c r="W79" i="6"/>
  <c r="X48" i="5" s="1"/>
  <c r="T65" i="6"/>
  <c r="U41" i="5" s="1"/>
  <c r="V65" i="6"/>
  <c r="W41" i="5" s="1"/>
  <c r="S65" i="6"/>
  <c r="U65" i="6"/>
  <c r="V41" i="5" s="1"/>
  <c r="W65" i="6"/>
  <c r="X41" i="5" s="1"/>
  <c r="W1063" i="6"/>
  <c r="X540" i="5" s="1"/>
  <c r="T1063" i="6"/>
  <c r="U540" i="5" s="1"/>
  <c r="U1063" i="6"/>
  <c r="V540" i="5" s="1"/>
  <c r="R1063" i="6"/>
  <c r="S1063" i="6"/>
  <c r="T540" i="5" s="1"/>
  <c r="U175" i="6"/>
  <c r="V96" i="5" s="1"/>
  <c r="V175" i="6"/>
  <c r="W96" i="5" s="1"/>
  <c r="W175" i="6"/>
  <c r="X96" i="5" s="1"/>
  <c r="T175" i="6"/>
  <c r="U96" i="5" s="1"/>
  <c r="S175" i="6"/>
  <c r="W67" i="6"/>
  <c r="X42" i="5" s="1"/>
  <c r="V67" i="6"/>
  <c r="W42" i="5" s="1"/>
  <c r="T67" i="6"/>
  <c r="U42" i="5" s="1"/>
  <c r="S67" i="6"/>
  <c r="T42" i="5" s="1"/>
  <c r="U67" i="6"/>
  <c r="V42" i="5" s="1"/>
  <c r="S59" i="6"/>
  <c r="T38" i="5" s="1"/>
  <c r="T59" i="6"/>
  <c r="U38" i="5" s="1"/>
  <c r="U59" i="6"/>
  <c r="V38" i="5" s="1"/>
  <c r="V59" i="6"/>
  <c r="W38" i="5" s="1"/>
  <c r="W59" i="6"/>
  <c r="X38" i="5" s="1"/>
  <c r="W891" i="6"/>
  <c r="X454" i="5" s="1"/>
  <c r="V891" i="6"/>
  <c r="W454" i="5" s="1"/>
  <c r="T891" i="6"/>
  <c r="U454" i="5" s="1"/>
  <c r="R891" i="6"/>
  <c r="S891" i="6"/>
  <c r="T454" i="5" s="1"/>
  <c r="T749" i="6"/>
  <c r="U383" i="5" s="1"/>
  <c r="W749" i="6"/>
  <c r="X383" i="5" s="1"/>
  <c r="V749" i="6"/>
  <c r="W383" i="5" s="1"/>
  <c r="S749" i="6"/>
  <c r="T383" i="5" s="1"/>
  <c r="R749" i="6"/>
  <c r="R651" i="6"/>
  <c r="S651" i="6"/>
  <c r="T334" i="5" s="1"/>
  <c r="U651" i="6"/>
  <c r="V334" i="5" s="1"/>
  <c r="V651" i="6"/>
  <c r="W334" i="5" s="1"/>
  <c r="W651" i="6"/>
  <c r="X334" i="5" s="1"/>
  <c r="U991" i="6"/>
  <c r="V504" i="5" s="1"/>
  <c r="R991" i="6"/>
  <c r="T991" i="6"/>
  <c r="U504" i="5" s="1"/>
  <c r="S991" i="6"/>
  <c r="T504" i="5" s="1"/>
  <c r="W991" i="6"/>
  <c r="X504" i="5" s="1"/>
  <c r="T77" i="6"/>
  <c r="U47" i="5" s="1"/>
  <c r="W77" i="6"/>
  <c r="X47" i="5" s="1"/>
  <c r="U77" i="6"/>
  <c r="V47" i="5" s="1"/>
  <c r="S77" i="6"/>
  <c r="T47" i="5" s="1"/>
  <c r="V77" i="6"/>
  <c r="W47" i="5" s="1"/>
  <c r="S989" i="6"/>
  <c r="V989" i="6"/>
  <c r="W503" i="5" s="1"/>
  <c r="W989" i="6"/>
  <c r="X503" i="5" s="1"/>
  <c r="T989" i="6"/>
  <c r="U503" i="5" s="1"/>
  <c r="U989" i="6"/>
  <c r="V503" i="5" s="1"/>
  <c r="V1323" i="6"/>
  <c r="W670" i="5" s="1"/>
  <c r="R1323" i="6"/>
  <c r="S1323" i="6"/>
  <c r="T670" i="5" s="1"/>
  <c r="T1323" i="6"/>
  <c r="U670" i="5" s="1"/>
  <c r="U1323" i="6"/>
  <c r="V670" i="5" s="1"/>
  <c r="V1293" i="6"/>
  <c r="W655" i="5" s="1"/>
  <c r="S1293" i="6"/>
  <c r="T655" i="5" s="1"/>
  <c r="R1293" i="6"/>
  <c r="T1293" i="6"/>
  <c r="U655" i="5" s="1"/>
  <c r="U1293" i="6"/>
  <c r="V655" i="5" s="1"/>
  <c r="U1229" i="6"/>
  <c r="V623" i="5" s="1"/>
  <c r="S1229" i="6"/>
  <c r="T1229" i="6"/>
  <c r="U623" i="5" s="1"/>
  <c r="V1229" i="6"/>
  <c r="W623" i="5" s="1"/>
  <c r="T1231" i="6"/>
  <c r="U624" i="5" s="1"/>
  <c r="U1231" i="6"/>
  <c r="V624" i="5" s="1"/>
  <c r="V1231" i="6"/>
  <c r="W624" i="5" s="1"/>
  <c r="S1231" i="6"/>
  <c r="V1321" i="6"/>
  <c r="W669" i="5" s="1"/>
  <c r="U1321" i="6"/>
  <c r="V669" i="5" s="1"/>
  <c r="S1321" i="6"/>
  <c r="T669" i="5" s="1"/>
  <c r="T1321" i="6"/>
  <c r="U669" i="5" s="1"/>
  <c r="R1321" i="6"/>
  <c r="W137" i="6"/>
  <c r="X77" i="5" s="1"/>
  <c r="U137" i="6"/>
  <c r="V77" i="5" s="1"/>
  <c r="S137" i="6"/>
  <c r="V137" i="6"/>
  <c r="W77" i="5" s="1"/>
  <c r="T137" i="6"/>
  <c r="U77" i="5" s="1"/>
  <c r="S1349" i="6"/>
  <c r="T683" i="5" s="1"/>
  <c r="V1349" i="6"/>
  <c r="W683" i="5" s="1"/>
  <c r="T1349" i="6"/>
  <c r="U683" i="5" s="1"/>
  <c r="R1349" i="6"/>
  <c r="U1349" i="6"/>
  <c r="V683" i="5" s="1"/>
  <c r="S652" i="5"/>
  <c r="X1287" i="6"/>
  <c r="S635" i="5"/>
  <c r="X1253" i="6"/>
  <c r="T675" i="6"/>
  <c r="W1295" i="6"/>
  <c r="T489" i="6"/>
  <c r="T565" i="6"/>
  <c r="T699" i="6"/>
  <c r="U799" i="6"/>
  <c r="U835" i="6"/>
  <c r="W1351" i="6"/>
  <c r="W1329" i="6"/>
  <c r="W1217" i="6"/>
  <c r="T487" i="6"/>
  <c r="T555" i="6"/>
  <c r="T559" i="6"/>
  <c r="T563" i="6"/>
  <c r="V1075" i="6"/>
  <c r="V969" i="6"/>
  <c r="T645" i="6"/>
  <c r="T643" i="6"/>
  <c r="T551" i="6"/>
  <c r="R211" i="6"/>
  <c r="S114" i="5" s="1"/>
  <c r="V1037" i="6"/>
  <c r="V975" i="6"/>
  <c r="V1053" i="6"/>
  <c r="W535" i="5" s="1"/>
  <c r="T601" i="6"/>
  <c r="U309" i="5" s="1"/>
  <c r="V971" i="6"/>
  <c r="R127" i="6"/>
  <c r="R113" i="6"/>
  <c r="R43" i="6"/>
  <c r="R67" i="6"/>
  <c r="R59" i="6"/>
  <c r="V1081" i="6"/>
  <c r="V1051" i="6"/>
  <c r="U849" i="6"/>
  <c r="T599" i="6"/>
  <c r="T493" i="6"/>
  <c r="V1109" i="6"/>
  <c r="R157" i="6"/>
  <c r="R125" i="6"/>
  <c r="R77" i="6"/>
  <c r="R61" i="6"/>
  <c r="U887" i="6"/>
  <c r="V1057" i="6"/>
  <c r="V979" i="6"/>
  <c r="V1137" i="6"/>
  <c r="U327" i="5"/>
  <c r="X637" i="6"/>
  <c r="X189" i="6"/>
  <c r="S103" i="5"/>
  <c r="X985" i="6"/>
  <c r="S501" i="5"/>
  <c r="V897" i="6"/>
  <c r="W457" i="5" s="1"/>
  <c r="W897" i="6"/>
  <c r="X457" i="5" s="1"/>
  <c r="R897" i="6"/>
  <c r="T897" i="6"/>
  <c r="U457" i="5" s="1"/>
  <c r="S897" i="6"/>
  <c r="T457" i="5" s="1"/>
  <c r="T843" i="6"/>
  <c r="U430" i="5" s="1"/>
  <c r="S843" i="6"/>
  <c r="T430" i="5" s="1"/>
  <c r="V843" i="6"/>
  <c r="W430" i="5" s="1"/>
  <c r="R843" i="6"/>
  <c r="W843" i="6"/>
  <c r="X430" i="5" s="1"/>
  <c r="S823" i="6"/>
  <c r="T420" i="5" s="1"/>
  <c r="T823" i="6"/>
  <c r="U420" i="5" s="1"/>
  <c r="R823" i="6"/>
  <c r="W823" i="6"/>
  <c r="X420" i="5" s="1"/>
  <c r="V823" i="6"/>
  <c r="W420" i="5" s="1"/>
  <c r="W815" i="6"/>
  <c r="X416" i="5" s="1"/>
  <c r="S815" i="6"/>
  <c r="T416" i="5" s="1"/>
  <c r="V815" i="6"/>
  <c r="W416" i="5" s="1"/>
  <c r="T815" i="6"/>
  <c r="U416" i="5" s="1"/>
  <c r="R815" i="6"/>
  <c r="S809" i="6"/>
  <c r="T413" i="5" s="1"/>
  <c r="T809" i="6"/>
  <c r="U413" i="5" s="1"/>
  <c r="V809" i="6"/>
  <c r="W413" i="5" s="1"/>
  <c r="W809" i="6"/>
  <c r="X413" i="5" s="1"/>
  <c r="R809" i="6"/>
  <c r="S1053" i="6"/>
  <c r="T535" i="5" s="1"/>
  <c r="T1053" i="6"/>
  <c r="U535" i="5" s="1"/>
  <c r="W1053" i="6"/>
  <c r="X535" i="5" s="1"/>
  <c r="U1053" i="6"/>
  <c r="V535" i="5" s="1"/>
  <c r="R1053" i="6"/>
  <c r="V751" i="6"/>
  <c r="W384" i="5" s="1"/>
  <c r="T751" i="6"/>
  <c r="U384" i="5" s="1"/>
  <c r="R751" i="6"/>
  <c r="S751" i="6"/>
  <c r="T384" i="5" s="1"/>
  <c r="W751" i="6"/>
  <c r="X384" i="5" s="1"/>
  <c r="R737" i="6"/>
  <c r="W737" i="6"/>
  <c r="X377" i="5" s="1"/>
  <c r="V737" i="6"/>
  <c r="W377" i="5" s="1"/>
  <c r="S737" i="6"/>
  <c r="T377" i="5" s="1"/>
  <c r="T737" i="6"/>
  <c r="U377" i="5" s="1"/>
  <c r="U609" i="6"/>
  <c r="V313" i="5" s="1"/>
  <c r="R609" i="6"/>
  <c r="W609" i="6"/>
  <c r="X313" i="5" s="1"/>
  <c r="V609" i="6"/>
  <c r="W313" i="5" s="1"/>
  <c r="S609" i="6"/>
  <c r="T313" i="5" s="1"/>
  <c r="U1127" i="6"/>
  <c r="V572" i="5" s="1"/>
  <c r="S1127" i="6"/>
  <c r="T572" i="5" s="1"/>
  <c r="T1127" i="6"/>
  <c r="U572" i="5" s="1"/>
  <c r="R1127" i="6"/>
  <c r="W1127" i="6"/>
  <c r="X572" i="5" s="1"/>
  <c r="R601" i="6"/>
  <c r="W601" i="6"/>
  <c r="X309" i="5" s="1"/>
  <c r="V601" i="6"/>
  <c r="W309" i="5" s="1"/>
  <c r="S601" i="6"/>
  <c r="T309" i="5" s="1"/>
  <c r="U601" i="6"/>
  <c r="V309" i="5" s="1"/>
  <c r="V577" i="6"/>
  <c r="W297" i="5" s="1"/>
  <c r="R577" i="6"/>
  <c r="W577" i="6"/>
  <c r="X297" i="5" s="1"/>
  <c r="S577" i="6"/>
  <c r="T297" i="5" s="1"/>
  <c r="U577" i="6"/>
  <c r="V297" i="5" s="1"/>
  <c r="R571" i="6"/>
  <c r="U571" i="6"/>
  <c r="V294" i="5" s="1"/>
  <c r="W571" i="6"/>
  <c r="X294" i="5" s="1"/>
  <c r="V571" i="6"/>
  <c r="W294" i="5" s="1"/>
  <c r="S571" i="6"/>
  <c r="T294" i="5" s="1"/>
  <c r="V499" i="6"/>
  <c r="W258" i="5" s="1"/>
  <c r="R499" i="6"/>
  <c r="S499" i="6"/>
  <c r="T258" i="5" s="1"/>
  <c r="U499" i="6"/>
  <c r="V258" i="5" s="1"/>
  <c r="W499" i="6"/>
  <c r="X258" i="5" s="1"/>
  <c r="R491" i="6"/>
  <c r="U491" i="6"/>
  <c r="V254" i="5" s="1"/>
  <c r="W491" i="6"/>
  <c r="X254" i="5" s="1"/>
  <c r="V491" i="6"/>
  <c r="W254" i="5" s="1"/>
  <c r="S491" i="6"/>
  <c r="T254" i="5" s="1"/>
  <c r="T1089" i="6"/>
  <c r="U553" i="5" s="1"/>
  <c r="W1089" i="6"/>
  <c r="X553" i="5" s="1"/>
  <c r="R1089" i="6"/>
  <c r="S1089" i="6"/>
  <c r="T553" i="5" s="1"/>
  <c r="U1089" i="6"/>
  <c r="V553" i="5" s="1"/>
  <c r="S971" i="6"/>
  <c r="T494" i="5" s="1"/>
  <c r="R971" i="6"/>
  <c r="S494" i="5" s="1"/>
  <c r="W971" i="6"/>
  <c r="X494" i="5" s="1"/>
  <c r="T971" i="6"/>
  <c r="U494" i="5" s="1"/>
  <c r="U971" i="6"/>
  <c r="V494" i="5" s="1"/>
  <c r="R1061" i="6"/>
  <c r="W1061" i="6"/>
  <c r="X539" i="5" s="1"/>
  <c r="S1061" i="6"/>
  <c r="T539" i="5" s="1"/>
  <c r="T1061" i="6"/>
  <c r="U539" i="5" s="1"/>
  <c r="U1061" i="6"/>
  <c r="V539" i="5" s="1"/>
  <c r="S155" i="6"/>
  <c r="T86" i="5" s="1"/>
  <c r="V155" i="6"/>
  <c r="W86" i="5" s="1"/>
  <c r="W155" i="6"/>
  <c r="X86" i="5" s="1"/>
  <c r="T155" i="6"/>
  <c r="U86" i="5" s="1"/>
  <c r="U155" i="6"/>
  <c r="V86" i="5" s="1"/>
  <c r="X155" i="6"/>
  <c r="S86" i="5"/>
  <c r="S47" i="6"/>
  <c r="W47" i="6"/>
  <c r="X32" i="5" s="1"/>
  <c r="T47" i="6"/>
  <c r="U32" i="5" s="1"/>
  <c r="V47" i="6"/>
  <c r="W32" i="5" s="1"/>
  <c r="U47" i="6"/>
  <c r="V32" i="5" s="1"/>
  <c r="T39" i="6"/>
  <c r="U28" i="5" s="1"/>
  <c r="S39" i="6"/>
  <c r="V39" i="6"/>
  <c r="W28" i="5" s="1"/>
  <c r="U39" i="6"/>
  <c r="V28" i="5" s="1"/>
  <c r="W39" i="6"/>
  <c r="X28" i="5" s="1"/>
  <c r="S28" i="5"/>
  <c r="V127" i="6"/>
  <c r="W72" i="5" s="1"/>
  <c r="T127" i="6"/>
  <c r="U72" i="5" s="1"/>
  <c r="S127" i="6"/>
  <c r="T72" i="5" s="1"/>
  <c r="U127" i="6"/>
  <c r="V72" i="5" s="1"/>
  <c r="W127" i="6"/>
  <c r="X72" i="5" s="1"/>
  <c r="W113" i="6"/>
  <c r="X65" i="5" s="1"/>
  <c r="U113" i="6"/>
  <c r="V65" i="5" s="1"/>
  <c r="V113" i="6"/>
  <c r="W65" i="5" s="1"/>
  <c r="T113" i="6"/>
  <c r="U65" i="5" s="1"/>
  <c r="S113" i="6"/>
  <c r="T65" i="5" s="1"/>
  <c r="U43" i="6"/>
  <c r="V30" i="5" s="1"/>
  <c r="S43" i="6"/>
  <c r="T30" i="5" s="1"/>
  <c r="W43" i="6"/>
  <c r="X30" i="5" s="1"/>
  <c r="V43" i="6"/>
  <c r="W30" i="5" s="1"/>
  <c r="T43" i="6"/>
  <c r="U30" i="5" s="1"/>
  <c r="V161" i="6"/>
  <c r="W89" i="5" s="1"/>
  <c r="W161" i="6"/>
  <c r="X89" i="5" s="1"/>
  <c r="U161" i="6"/>
  <c r="V89" i="5" s="1"/>
  <c r="S161" i="6"/>
  <c r="T89" i="5" s="1"/>
  <c r="T161" i="6"/>
  <c r="U89" i="5" s="1"/>
  <c r="X161" i="6"/>
  <c r="S89" i="5"/>
  <c r="V49" i="6"/>
  <c r="W33" i="5" s="1"/>
  <c r="T49" i="6"/>
  <c r="U33" i="5" s="1"/>
  <c r="S49" i="6"/>
  <c r="W49" i="6"/>
  <c r="X33" i="5" s="1"/>
  <c r="U49" i="6"/>
  <c r="V33" i="5" s="1"/>
  <c r="V41" i="6"/>
  <c r="W29" i="5" s="1"/>
  <c r="W41" i="6"/>
  <c r="X29" i="5" s="1"/>
  <c r="T41" i="6"/>
  <c r="U29" i="5" s="1"/>
  <c r="S41" i="6"/>
  <c r="T29" i="5" s="1"/>
  <c r="U41" i="6"/>
  <c r="V29" i="5" s="1"/>
  <c r="S973" i="6"/>
  <c r="T495" i="5" s="1"/>
  <c r="R973" i="6"/>
  <c r="W973" i="6"/>
  <c r="X495" i="5" s="1"/>
  <c r="U973" i="6"/>
  <c r="V495" i="5" s="1"/>
  <c r="T973" i="6"/>
  <c r="U495" i="5" s="1"/>
  <c r="S115" i="6"/>
  <c r="V115" i="6"/>
  <c r="W66" i="5" s="1"/>
  <c r="W115" i="6"/>
  <c r="X66" i="5" s="1"/>
  <c r="U115" i="6"/>
  <c r="V66" i="5" s="1"/>
  <c r="T115" i="6"/>
  <c r="U66" i="5" s="1"/>
  <c r="U107" i="6"/>
  <c r="V62" i="5" s="1"/>
  <c r="S107" i="6"/>
  <c r="V107" i="6"/>
  <c r="W62" i="5" s="1"/>
  <c r="T107" i="6"/>
  <c r="U62" i="5" s="1"/>
  <c r="W107" i="6"/>
  <c r="X62" i="5" s="1"/>
  <c r="T1081" i="6"/>
  <c r="U549" i="5" s="1"/>
  <c r="W1081" i="6"/>
  <c r="X549" i="5" s="1"/>
  <c r="U1081" i="6"/>
  <c r="V549" i="5" s="1"/>
  <c r="R1081" i="6"/>
  <c r="S549" i="5" s="1"/>
  <c r="S1081" i="6"/>
  <c r="T549" i="5" s="1"/>
  <c r="T1111" i="6"/>
  <c r="U564" i="5" s="1"/>
  <c r="W1111" i="6"/>
  <c r="X564" i="5" s="1"/>
  <c r="U1111" i="6"/>
  <c r="V564" i="5" s="1"/>
  <c r="R1111" i="6"/>
  <c r="S1111" i="6"/>
  <c r="T564" i="5" s="1"/>
  <c r="T1051" i="6"/>
  <c r="U534" i="5" s="1"/>
  <c r="W1051" i="6"/>
  <c r="X534" i="5" s="1"/>
  <c r="R1051" i="6"/>
  <c r="S534" i="5" s="1"/>
  <c r="U1051" i="6"/>
  <c r="V534" i="5" s="1"/>
  <c r="S1051" i="6"/>
  <c r="T534" i="5" s="1"/>
  <c r="R871" i="6"/>
  <c r="S444" i="5" s="1"/>
  <c r="S871" i="6"/>
  <c r="T444" i="5" s="1"/>
  <c r="V871" i="6"/>
  <c r="W444" i="5" s="1"/>
  <c r="W871" i="6"/>
  <c r="X444" i="5" s="1"/>
  <c r="T871" i="6"/>
  <c r="U444" i="5" s="1"/>
  <c r="V849" i="6"/>
  <c r="W433" i="5" s="1"/>
  <c r="S849" i="6"/>
  <c r="T433" i="5" s="1"/>
  <c r="R849" i="6"/>
  <c r="S433" i="5" s="1"/>
  <c r="W849" i="6"/>
  <c r="X433" i="5" s="1"/>
  <c r="T849" i="6"/>
  <c r="U433" i="5" s="1"/>
  <c r="V841" i="6"/>
  <c r="W429" i="5" s="1"/>
  <c r="R841" i="6"/>
  <c r="S841" i="6"/>
  <c r="T429" i="5" s="1"/>
  <c r="T841" i="6"/>
  <c r="U429" i="5" s="1"/>
  <c r="W841" i="6"/>
  <c r="X429" i="5" s="1"/>
  <c r="W821" i="6"/>
  <c r="X419" i="5" s="1"/>
  <c r="S821" i="6"/>
  <c r="T419" i="5" s="1"/>
  <c r="R821" i="6"/>
  <c r="T821" i="6"/>
  <c r="U419" i="5" s="1"/>
  <c r="V821" i="6"/>
  <c r="W419" i="5" s="1"/>
  <c r="V813" i="6"/>
  <c r="W415" i="5" s="1"/>
  <c r="S813" i="6"/>
  <c r="T415" i="5" s="1"/>
  <c r="R813" i="6"/>
  <c r="T813" i="6"/>
  <c r="U415" i="5" s="1"/>
  <c r="W813" i="6"/>
  <c r="X415" i="5" s="1"/>
  <c r="R807" i="6"/>
  <c r="S412" i="5" s="1"/>
  <c r="V807" i="6"/>
  <c r="W412" i="5" s="1"/>
  <c r="T807" i="6"/>
  <c r="U412" i="5" s="1"/>
  <c r="W807" i="6"/>
  <c r="X412" i="5" s="1"/>
  <c r="S807" i="6"/>
  <c r="T412" i="5" s="1"/>
  <c r="T1047" i="6"/>
  <c r="U532" i="5" s="1"/>
  <c r="R1047" i="6"/>
  <c r="W1047" i="6"/>
  <c r="X532" i="5" s="1"/>
  <c r="U1047" i="6"/>
  <c r="V532" i="5" s="1"/>
  <c r="S1047" i="6"/>
  <c r="T532" i="5" s="1"/>
  <c r="R733" i="6"/>
  <c r="W733" i="6"/>
  <c r="X375" i="5" s="1"/>
  <c r="V733" i="6"/>
  <c r="W375" i="5" s="1"/>
  <c r="T733" i="6"/>
  <c r="U375" i="5" s="1"/>
  <c r="S733" i="6"/>
  <c r="T375" i="5" s="1"/>
  <c r="U647" i="6"/>
  <c r="V332" i="5" s="1"/>
  <c r="R647" i="6"/>
  <c r="W647" i="6"/>
  <c r="X332" i="5" s="1"/>
  <c r="V647" i="6"/>
  <c r="W332" i="5" s="1"/>
  <c r="S647" i="6"/>
  <c r="T332" i="5" s="1"/>
  <c r="V603" i="6"/>
  <c r="W310" i="5" s="1"/>
  <c r="W603" i="6"/>
  <c r="X310" i="5" s="1"/>
  <c r="R603" i="6"/>
  <c r="S310" i="5" s="1"/>
  <c r="S603" i="6"/>
  <c r="T310" i="5" s="1"/>
  <c r="U603" i="6"/>
  <c r="V310" i="5" s="1"/>
  <c r="W1131" i="6"/>
  <c r="X574" i="5" s="1"/>
  <c r="R1131" i="6"/>
  <c r="S574" i="5" s="1"/>
  <c r="S1131" i="6"/>
  <c r="T574" i="5" s="1"/>
  <c r="U1131" i="6"/>
  <c r="V574" i="5" s="1"/>
  <c r="T1131" i="6"/>
  <c r="U574" i="5" s="1"/>
  <c r="W599" i="6"/>
  <c r="X308" i="5" s="1"/>
  <c r="S599" i="6"/>
  <c r="T308" i="5" s="1"/>
  <c r="U599" i="6"/>
  <c r="V308" i="5" s="1"/>
  <c r="R599" i="6"/>
  <c r="S308" i="5" s="1"/>
  <c r="V599" i="6"/>
  <c r="W308" i="5" s="1"/>
  <c r="W581" i="6"/>
  <c r="X299" i="5" s="1"/>
  <c r="U581" i="6"/>
  <c r="V299" i="5" s="1"/>
  <c r="V581" i="6"/>
  <c r="W299" i="5" s="1"/>
  <c r="R581" i="6"/>
  <c r="S581" i="6"/>
  <c r="T299" i="5" s="1"/>
  <c r="S573" i="6"/>
  <c r="T295" i="5" s="1"/>
  <c r="U573" i="6"/>
  <c r="V295" i="5" s="1"/>
  <c r="W573" i="6"/>
  <c r="X295" i="5" s="1"/>
  <c r="V573" i="6"/>
  <c r="W295" i="5" s="1"/>
  <c r="R573" i="6"/>
  <c r="S569" i="6"/>
  <c r="T293" i="5" s="1"/>
  <c r="R569" i="6"/>
  <c r="W569" i="6"/>
  <c r="X293" i="5" s="1"/>
  <c r="V569" i="6"/>
  <c r="W293" i="5" s="1"/>
  <c r="U569" i="6"/>
  <c r="V293" i="5" s="1"/>
  <c r="U509" i="6"/>
  <c r="V263" i="5" s="1"/>
  <c r="R509" i="6"/>
  <c r="S509" i="6"/>
  <c r="T263" i="5" s="1"/>
  <c r="V509" i="6"/>
  <c r="W263" i="5" s="1"/>
  <c r="W509" i="6"/>
  <c r="X263" i="5" s="1"/>
  <c r="U493" i="6"/>
  <c r="V255" i="5" s="1"/>
  <c r="V493" i="6"/>
  <c r="W255" i="5" s="1"/>
  <c r="W493" i="6"/>
  <c r="X255" i="5" s="1"/>
  <c r="R493" i="6"/>
  <c r="S255" i="5" s="1"/>
  <c r="S493" i="6"/>
  <c r="T255" i="5" s="1"/>
  <c r="T1109" i="6"/>
  <c r="U563" i="5" s="1"/>
  <c r="S1109" i="6"/>
  <c r="T563" i="5" s="1"/>
  <c r="R1109" i="6"/>
  <c r="S563" i="5" s="1"/>
  <c r="U1109" i="6"/>
  <c r="V563" i="5" s="1"/>
  <c r="W1109" i="6"/>
  <c r="X563" i="5" s="1"/>
  <c r="T1055" i="6"/>
  <c r="U536" i="5" s="1"/>
  <c r="S1055" i="6"/>
  <c r="T536" i="5" s="1"/>
  <c r="R1055" i="6"/>
  <c r="W1055" i="6"/>
  <c r="X536" i="5" s="1"/>
  <c r="U1055" i="6"/>
  <c r="V536" i="5" s="1"/>
  <c r="U163" i="6"/>
  <c r="V90" i="5" s="1"/>
  <c r="T163" i="6"/>
  <c r="U90" i="5" s="1"/>
  <c r="W163" i="6"/>
  <c r="X90" i="5" s="1"/>
  <c r="S163" i="6"/>
  <c r="V163" i="6"/>
  <c r="W90" i="5" s="1"/>
  <c r="S157" i="6"/>
  <c r="T87" i="5" s="1"/>
  <c r="T157" i="6"/>
  <c r="U87" i="5" s="1"/>
  <c r="U157" i="6"/>
  <c r="V87" i="5" s="1"/>
  <c r="W157" i="6"/>
  <c r="X87" i="5" s="1"/>
  <c r="V157" i="6"/>
  <c r="W87" i="5" s="1"/>
  <c r="S45" i="6"/>
  <c r="W45" i="6"/>
  <c r="X31" i="5" s="1"/>
  <c r="U45" i="6"/>
  <c r="V31" i="5" s="1"/>
  <c r="V45" i="6"/>
  <c r="W31" i="5" s="1"/>
  <c r="T45" i="6"/>
  <c r="U31" i="5" s="1"/>
  <c r="S977" i="6"/>
  <c r="T497" i="5" s="1"/>
  <c r="T977" i="6"/>
  <c r="U497" i="5" s="1"/>
  <c r="W977" i="6"/>
  <c r="X497" i="5" s="1"/>
  <c r="U977" i="6"/>
  <c r="V497" i="5" s="1"/>
  <c r="R977" i="6"/>
  <c r="S125" i="6"/>
  <c r="T71" i="5" s="1"/>
  <c r="V125" i="6"/>
  <c r="W71" i="5" s="1"/>
  <c r="W125" i="6"/>
  <c r="X71" i="5" s="1"/>
  <c r="U125" i="6"/>
  <c r="V71" i="5" s="1"/>
  <c r="T125" i="6"/>
  <c r="U71" i="5" s="1"/>
  <c r="V109" i="6"/>
  <c r="W63" i="5" s="1"/>
  <c r="W109" i="6"/>
  <c r="X63" i="5" s="1"/>
  <c r="U109" i="6"/>
  <c r="V63" i="5" s="1"/>
  <c r="S109" i="6"/>
  <c r="T109" i="6"/>
  <c r="U63" i="5" s="1"/>
  <c r="W61" i="6"/>
  <c r="X39" i="5" s="1"/>
  <c r="S61" i="6"/>
  <c r="T39" i="5" s="1"/>
  <c r="T61" i="6"/>
  <c r="U39" i="5" s="1"/>
  <c r="V61" i="6"/>
  <c r="W39" i="5" s="1"/>
  <c r="U61" i="6"/>
  <c r="V39" i="5" s="1"/>
  <c r="S1129" i="6"/>
  <c r="T573" i="5" s="1"/>
  <c r="U1129" i="6"/>
  <c r="V573" i="5" s="1"/>
  <c r="W1129" i="6"/>
  <c r="X573" i="5" s="1"/>
  <c r="T1129" i="6"/>
  <c r="U573" i="5" s="1"/>
  <c r="R1129" i="6"/>
  <c r="R887" i="6"/>
  <c r="S452" i="5" s="1"/>
  <c r="T887" i="6"/>
  <c r="U452" i="5" s="1"/>
  <c r="S887" i="6"/>
  <c r="T452" i="5" s="1"/>
  <c r="V887" i="6"/>
  <c r="W452" i="5" s="1"/>
  <c r="W887" i="6"/>
  <c r="X452" i="5" s="1"/>
  <c r="U1079" i="6"/>
  <c r="V548" i="5" s="1"/>
  <c r="R1079" i="6"/>
  <c r="W1079" i="6"/>
  <c r="X548" i="5" s="1"/>
  <c r="T1079" i="6"/>
  <c r="U548" i="5" s="1"/>
  <c r="S1079" i="6"/>
  <c r="T548" i="5" s="1"/>
  <c r="W839" i="6"/>
  <c r="X428" i="5" s="1"/>
  <c r="V839" i="6"/>
  <c r="W428" i="5" s="1"/>
  <c r="R839" i="6"/>
  <c r="S839" i="6"/>
  <c r="T428" i="5" s="1"/>
  <c r="T839" i="6"/>
  <c r="U428" i="5" s="1"/>
  <c r="S817" i="6"/>
  <c r="T417" i="5" s="1"/>
  <c r="R817" i="6"/>
  <c r="T817" i="6"/>
  <c r="U417" i="5" s="1"/>
  <c r="V817" i="6"/>
  <c r="W417" i="5" s="1"/>
  <c r="W817" i="6"/>
  <c r="X417" i="5" s="1"/>
  <c r="V811" i="6"/>
  <c r="W414" i="5" s="1"/>
  <c r="R811" i="6"/>
  <c r="S414" i="5" s="1"/>
  <c r="W811" i="6"/>
  <c r="X414" i="5" s="1"/>
  <c r="T811" i="6"/>
  <c r="U414" i="5" s="1"/>
  <c r="S811" i="6"/>
  <c r="T414" i="5" s="1"/>
  <c r="S1057" i="6"/>
  <c r="T537" i="5" s="1"/>
  <c r="T1057" i="6"/>
  <c r="U537" i="5" s="1"/>
  <c r="U1057" i="6"/>
  <c r="V537" i="5" s="1"/>
  <c r="R1057" i="6"/>
  <c r="S537" i="5" s="1"/>
  <c r="W1057" i="6"/>
  <c r="X537" i="5" s="1"/>
  <c r="T979" i="6"/>
  <c r="U498" i="5" s="1"/>
  <c r="S979" i="6"/>
  <c r="T498" i="5" s="1"/>
  <c r="U979" i="6"/>
  <c r="V498" i="5" s="1"/>
  <c r="R979" i="6"/>
  <c r="S498" i="5" s="1"/>
  <c r="W979" i="6"/>
  <c r="X498" i="5" s="1"/>
  <c r="S731" i="6"/>
  <c r="T374" i="5" s="1"/>
  <c r="R731" i="6"/>
  <c r="V731" i="6"/>
  <c r="W374" i="5" s="1"/>
  <c r="T731" i="6"/>
  <c r="U374" i="5" s="1"/>
  <c r="W731" i="6"/>
  <c r="X374" i="5" s="1"/>
  <c r="W649" i="6"/>
  <c r="X333" i="5" s="1"/>
  <c r="S649" i="6"/>
  <c r="T333" i="5" s="1"/>
  <c r="V649" i="6"/>
  <c r="W333" i="5" s="1"/>
  <c r="U649" i="6"/>
  <c r="V333" i="5" s="1"/>
  <c r="R649" i="6"/>
  <c r="W1137" i="6"/>
  <c r="X577" i="5" s="1"/>
  <c r="R1137" i="6"/>
  <c r="S577" i="5" s="1"/>
  <c r="U1137" i="6"/>
  <c r="V577" i="5" s="1"/>
  <c r="S1137" i="6"/>
  <c r="T577" i="5" s="1"/>
  <c r="T1137" i="6"/>
  <c r="U577" i="5" s="1"/>
  <c r="T1049" i="6"/>
  <c r="U533" i="5" s="1"/>
  <c r="U1049" i="6"/>
  <c r="V533" i="5" s="1"/>
  <c r="R1049" i="6"/>
  <c r="W1049" i="6"/>
  <c r="X533" i="5" s="1"/>
  <c r="S1049" i="6"/>
  <c r="T533" i="5" s="1"/>
  <c r="S583" i="6"/>
  <c r="T300" i="5" s="1"/>
  <c r="V583" i="6"/>
  <c r="W300" i="5" s="1"/>
  <c r="U583" i="6"/>
  <c r="V300" i="5" s="1"/>
  <c r="W583" i="6"/>
  <c r="X300" i="5" s="1"/>
  <c r="R583" i="6"/>
  <c r="U575" i="6"/>
  <c r="V296" i="5" s="1"/>
  <c r="S575" i="6"/>
  <c r="T296" i="5" s="1"/>
  <c r="W575" i="6"/>
  <c r="X296" i="5" s="1"/>
  <c r="R575" i="6"/>
  <c r="V575" i="6"/>
  <c r="W296" i="5" s="1"/>
  <c r="S567" i="6"/>
  <c r="T292" i="5" s="1"/>
  <c r="W567" i="6"/>
  <c r="X292" i="5" s="1"/>
  <c r="R567" i="6"/>
  <c r="V567" i="6"/>
  <c r="W292" i="5" s="1"/>
  <c r="U567" i="6"/>
  <c r="V292" i="5" s="1"/>
  <c r="X249" i="6"/>
  <c r="S133" i="5"/>
  <c r="X265" i="6"/>
  <c r="S141" i="5"/>
  <c r="S799" i="6"/>
  <c r="T408" i="5" s="1"/>
  <c r="T799" i="6"/>
  <c r="U408" i="5" s="1"/>
  <c r="V799" i="6"/>
  <c r="W408" i="5" s="1"/>
  <c r="R799" i="6"/>
  <c r="W799" i="6"/>
  <c r="X408" i="5" s="1"/>
  <c r="T803" i="6"/>
  <c r="U410" i="5" s="1"/>
  <c r="R803" i="6"/>
  <c r="W803" i="6"/>
  <c r="X410" i="5" s="1"/>
  <c r="V803" i="6"/>
  <c r="W410" i="5" s="1"/>
  <c r="S803" i="6"/>
  <c r="T410" i="5" s="1"/>
  <c r="W819" i="6"/>
  <c r="X418" i="5" s="1"/>
  <c r="V819" i="6"/>
  <c r="W418" i="5" s="1"/>
  <c r="R819" i="6"/>
  <c r="T819" i="6"/>
  <c r="U418" i="5" s="1"/>
  <c r="S819" i="6"/>
  <c r="T418" i="5" s="1"/>
  <c r="W835" i="6"/>
  <c r="X426" i="5" s="1"/>
  <c r="V835" i="6"/>
  <c r="W426" i="5" s="1"/>
  <c r="R835" i="6"/>
  <c r="T835" i="6"/>
  <c r="U426" i="5" s="1"/>
  <c r="S835" i="6"/>
  <c r="T426" i="5" s="1"/>
  <c r="V1351" i="6"/>
  <c r="W684" i="5" s="1"/>
  <c r="R1351" i="6"/>
  <c r="U1351" i="6"/>
  <c r="V684" i="5" s="1"/>
  <c r="S1351" i="6"/>
  <c r="T684" i="5" s="1"/>
  <c r="T1351" i="6"/>
  <c r="U684" i="5" s="1"/>
  <c r="S555" i="6"/>
  <c r="T286" i="5" s="1"/>
  <c r="R555" i="6"/>
  <c r="U555" i="6"/>
  <c r="V286" i="5" s="1"/>
  <c r="V555" i="6"/>
  <c r="W286" i="5" s="1"/>
  <c r="S202" i="5"/>
  <c r="X387" i="6"/>
  <c r="V597" i="6"/>
  <c r="W307" i="5" s="1"/>
  <c r="S597" i="6"/>
  <c r="T307" i="5" s="1"/>
  <c r="U597" i="6"/>
  <c r="V307" i="5" s="1"/>
  <c r="W597" i="6"/>
  <c r="X307" i="5" s="1"/>
  <c r="R597" i="6"/>
  <c r="S559" i="6"/>
  <c r="T288" i="5" s="1"/>
  <c r="U559" i="6"/>
  <c r="V288" i="5" s="1"/>
  <c r="R559" i="6"/>
  <c r="V559" i="6"/>
  <c r="W288" i="5" s="1"/>
  <c r="W559" i="6"/>
  <c r="X288" i="5" s="1"/>
  <c r="V563" i="6"/>
  <c r="W290" i="5" s="1"/>
  <c r="S563" i="6"/>
  <c r="T290" i="5" s="1"/>
  <c r="W563" i="6"/>
  <c r="X290" i="5" s="1"/>
  <c r="R563" i="6"/>
  <c r="U563" i="6"/>
  <c r="V290" i="5" s="1"/>
  <c r="V579" i="6"/>
  <c r="W298" i="5" s="1"/>
  <c r="W579" i="6"/>
  <c r="X298" i="5" s="1"/>
  <c r="R579" i="6"/>
  <c r="U579" i="6"/>
  <c r="V298" i="5" s="1"/>
  <c r="S579" i="6"/>
  <c r="T298" i="5" s="1"/>
  <c r="R595" i="6"/>
  <c r="S595" i="6"/>
  <c r="T306" i="5" s="1"/>
  <c r="U595" i="6"/>
  <c r="V306" i="5" s="1"/>
  <c r="V595" i="6"/>
  <c r="W306" i="5" s="1"/>
  <c r="W595" i="6"/>
  <c r="X306" i="5" s="1"/>
  <c r="W1029" i="6"/>
  <c r="X523" i="5" s="1"/>
  <c r="S1029" i="6"/>
  <c r="T523" i="5" s="1"/>
  <c r="T1029" i="6"/>
  <c r="U523" i="5" s="1"/>
  <c r="R1029" i="6"/>
  <c r="U1029" i="6"/>
  <c r="V523" i="5" s="1"/>
  <c r="U1075" i="6"/>
  <c r="V546" i="5" s="1"/>
  <c r="T1075" i="6"/>
  <c r="U546" i="5" s="1"/>
  <c r="R1075" i="6"/>
  <c r="S546" i="5" s="1"/>
  <c r="W1075" i="6"/>
  <c r="X546" i="5" s="1"/>
  <c r="S1075" i="6"/>
  <c r="T546" i="5" s="1"/>
  <c r="U1003" i="6"/>
  <c r="V510" i="5" s="1"/>
  <c r="T1003" i="6"/>
  <c r="U510" i="5" s="1"/>
  <c r="S1003" i="6"/>
  <c r="T510" i="5" s="1"/>
  <c r="W1003" i="6"/>
  <c r="X510" i="5" s="1"/>
  <c r="R1003" i="6"/>
  <c r="R969" i="6"/>
  <c r="S493" i="5" s="1"/>
  <c r="S969" i="6"/>
  <c r="T493" i="5" s="1"/>
  <c r="W969" i="6"/>
  <c r="X493" i="5" s="1"/>
  <c r="T969" i="6"/>
  <c r="U493" i="5" s="1"/>
  <c r="U969" i="6"/>
  <c r="V493" i="5" s="1"/>
  <c r="T1041" i="6"/>
  <c r="U529" i="5" s="1"/>
  <c r="W1041" i="6"/>
  <c r="X529" i="5" s="1"/>
  <c r="U1041" i="6"/>
  <c r="V529" i="5" s="1"/>
  <c r="S1041" i="6"/>
  <c r="T529" i="5" s="1"/>
  <c r="R1041" i="6"/>
  <c r="S1179" i="6"/>
  <c r="T598" i="5" s="1"/>
  <c r="T1179" i="6"/>
  <c r="U598" i="5" s="1"/>
  <c r="R1179" i="6"/>
  <c r="W1179" i="6"/>
  <c r="X598" i="5" s="1"/>
  <c r="U1179" i="6"/>
  <c r="V598" i="5" s="1"/>
  <c r="R967" i="6"/>
  <c r="S967" i="6"/>
  <c r="T492" i="5" s="1"/>
  <c r="T967" i="6"/>
  <c r="U492" i="5" s="1"/>
  <c r="U967" i="6"/>
  <c r="V492" i="5" s="1"/>
  <c r="W967" i="6"/>
  <c r="X492" i="5" s="1"/>
  <c r="U1035" i="6"/>
  <c r="V526" i="5" s="1"/>
  <c r="W1035" i="6"/>
  <c r="X526" i="5" s="1"/>
  <c r="T1035" i="6"/>
  <c r="U526" i="5" s="1"/>
  <c r="S1035" i="6"/>
  <c r="T526" i="5" s="1"/>
  <c r="R1035" i="6"/>
  <c r="V645" i="6"/>
  <c r="W331" i="5" s="1"/>
  <c r="S645" i="6"/>
  <c r="T331" i="5" s="1"/>
  <c r="R645" i="6"/>
  <c r="S331" i="5" s="1"/>
  <c r="U645" i="6"/>
  <c r="V331" i="5" s="1"/>
  <c r="W645" i="6"/>
  <c r="X331" i="5" s="1"/>
  <c r="V643" i="6"/>
  <c r="W330" i="5" s="1"/>
  <c r="W643" i="6"/>
  <c r="X330" i="5" s="1"/>
  <c r="R643" i="6"/>
  <c r="S330" i="5" s="1"/>
  <c r="U643" i="6"/>
  <c r="V330" i="5" s="1"/>
  <c r="S643" i="6"/>
  <c r="T330" i="5" s="1"/>
  <c r="S1185" i="6"/>
  <c r="T601" i="5" s="1"/>
  <c r="W1185" i="6"/>
  <c r="X601" i="5" s="1"/>
  <c r="T1185" i="6"/>
  <c r="U601" i="5" s="1"/>
  <c r="U1185" i="6"/>
  <c r="V601" i="5" s="1"/>
  <c r="R1185" i="6"/>
  <c r="W553" i="6"/>
  <c r="X285" i="5" s="1"/>
  <c r="R553" i="6"/>
  <c r="V553" i="6"/>
  <c r="W285" i="5" s="1"/>
  <c r="U553" i="6"/>
  <c r="V285" i="5" s="1"/>
  <c r="S553" i="6"/>
  <c r="T285" i="5" s="1"/>
  <c r="V551" i="6"/>
  <c r="W284" i="5" s="1"/>
  <c r="U551" i="6"/>
  <c r="V284" i="5" s="1"/>
  <c r="S551" i="6"/>
  <c r="T284" i="5" s="1"/>
  <c r="W551" i="6"/>
  <c r="X284" i="5" s="1"/>
  <c r="R551" i="6"/>
  <c r="S284" i="5" s="1"/>
  <c r="T549" i="6"/>
  <c r="U283" i="5" s="1"/>
  <c r="U549" i="6"/>
  <c r="V283" i="5" s="1"/>
  <c r="S549" i="6"/>
  <c r="T283" i="5" s="1"/>
  <c r="V549" i="6"/>
  <c r="W283" i="5" s="1"/>
  <c r="W549" i="6"/>
  <c r="X283" i="5" s="1"/>
  <c r="R549" i="6"/>
  <c r="X471" i="6"/>
  <c r="S244" i="5"/>
  <c r="U547" i="6"/>
  <c r="V282" i="5" s="1"/>
  <c r="V547" i="6"/>
  <c r="W282" i="5" s="1"/>
  <c r="S547" i="6"/>
  <c r="T282" i="5" s="1"/>
  <c r="R547" i="6"/>
  <c r="W547" i="6"/>
  <c r="X282" i="5" s="1"/>
  <c r="W545" i="6"/>
  <c r="X281" i="5" s="1"/>
  <c r="R545" i="6"/>
  <c r="V545" i="6"/>
  <c r="W281" i="5" s="1"/>
  <c r="S545" i="6"/>
  <c r="T281" i="5" s="1"/>
  <c r="U545" i="6"/>
  <c r="V281" i="5" s="1"/>
  <c r="S543" i="6"/>
  <c r="T280" i="5" s="1"/>
  <c r="R543" i="6"/>
  <c r="U543" i="6"/>
  <c r="V280" i="5" s="1"/>
  <c r="V543" i="6"/>
  <c r="W280" i="5" s="1"/>
  <c r="W543" i="6"/>
  <c r="X280" i="5" s="1"/>
  <c r="U485" i="6"/>
  <c r="V251" i="5" s="1"/>
  <c r="R485" i="6"/>
  <c r="S485" i="6"/>
  <c r="T251" i="5" s="1"/>
  <c r="V485" i="6"/>
  <c r="W251" i="5" s="1"/>
  <c r="W485" i="6"/>
  <c r="X251" i="5" s="1"/>
  <c r="V483" i="6"/>
  <c r="W250" i="5" s="1"/>
  <c r="W483" i="6"/>
  <c r="X250" i="5" s="1"/>
  <c r="S483" i="6"/>
  <c r="T250" i="5" s="1"/>
  <c r="R483" i="6"/>
  <c r="U483" i="6"/>
  <c r="V250" i="5" s="1"/>
  <c r="U1037" i="6"/>
  <c r="V527" i="5" s="1"/>
  <c r="T1037" i="6"/>
  <c r="U527" i="5" s="1"/>
  <c r="W1037" i="6"/>
  <c r="X527" i="5" s="1"/>
  <c r="S1037" i="6"/>
  <c r="T527" i="5" s="1"/>
  <c r="R1037" i="6"/>
  <c r="S527" i="5" s="1"/>
  <c r="S200" i="5"/>
  <c r="X383" i="6"/>
  <c r="S199" i="5"/>
  <c r="X381" i="6"/>
  <c r="X365" i="6"/>
  <c r="S191" i="5"/>
  <c r="S190" i="5"/>
  <c r="X363" i="6"/>
  <c r="W1045" i="6"/>
  <c r="X531" i="5" s="1"/>
  <c r="U1045" i="6"/>
  <c r="V531" i="5" s="1"/>
  <c r="S1045" i="6"/>
  <c r="T531" i="5" s="1"/>
  <c r="R1045" i="6"/>
  <c r="T1045" i="6"/>
  <c r="U531" i="5" s="1"/>
  <c r="R1043" i="6"/>
  <c r="T1043" i="6"/>
  <c r="U530" i="5" s="1"/>
  <c r="U1043" i="6"/>
  <c r="V530" i="5" s="1"/>
  <c r="W1043" i="6"/>
  <c r="X530" i="5" s="1"/>
  <c r="S1043" i="6"/>
  <c r="T530" i="5" s="1"/>
  <c r="W1039" i="6"/>
  <c r="X528" i="5" s="1"/>
  <c r="R1039" i="6"/>
  <c r="S1039" i="6"/>
  <c r="T528" i="5" s="1"/>
  <c r="T1039" i="6"/>
  <c r="U528" i="5" s="1"/>
  <c r="U1039" i="6"/>
  <c r="V528" i="5" s="1"/>
  <c r="U207" i="6"/>
  <c r="V112" i="5" s="1"/>
  <c r="V207" i="6"/>
  <c r="W112" i="5" s="1"/>
  <c r="T207" i="6"/>
  <c r="U112" i="5" s="1"/>
  <c r="S207" i="6"/>
  <c r="T112" i="5" s="1"/>
  <c r="W207" i="6"/>
  <c r="X112" i="5" s="1"/>
  <c r="X207" i="6"/>
  <c r="S112" i="5"/>
  <c r="W159" i="6"/>
  <c r="U159" i="6"/>
  <c r="V88" i="5" s="1"/>
  <c r="T159" i="6"/>
  <c r="U88" i="5" s="1"/>
  <c r="V159" i="6"/>
  <c r="W88" i="5" s="1"/>
  <c r="S159" i="6"/>
  <c r="T88" i="5" s="1"/>
  <c r="T153" i="6"/>
  <c r="U85" i="5" s="1"/>
  <c r="W153" i="6"/>
  <c r="X85" i="5" s="1"/>
  <c r="U153" i="6"/>
  <c r="V85" i="5" s="1"/>
  <c r="V153" i="6"/>
  <c r="W85" i="5" s="1"/>
  <c r="S153" i="6"/>
  <c r="U151" i="6"/>
  <c r="V84" i="5" s="1"/>
  <c r="V151" i="6"/>
  <c r="W84" i="5" s="1"/>
  <c r="W151" i="6"/>
  <c r="T151" i="6"/>
  <c r="U84" i="5" s="1"/>
  <c r="S151" i="6"/>
  <c r="T84" i="5" s="1"/>
  <c r="T25" i="6"/>
  <c r="U21" i="5" s="1"/>
  <c r="W25" i="6"/>
  <c r="X21" i="5" s="1"/>
  <c r="U25" i="6"/>
  <c r="V21" i="5" s="1"/>
  <c r="S25" i="6"/>
  <c r="V25" i="6"/>
  <c r="W21" i="5" s="1"/>
  <c r="S21" i="6"/>
  <c r="T19" i="5" s="1"/>
  <c r="U21" i="6"/>
  <c r="V19" i="5" s="1"/>
  <c r="V21" i="6"/>
  <c r="W19" i="5" s="1"/>
  <c r="W21" i="6"/>
  <c r="X19" i="5" s="1"/>
  <c r="T21" i="6"/>
  <c r="U19" i="5" s="1"/>
  <c r="S19" i="6"/>
  <c r="W19" i="6"/>
  <c r="X18" i="5" s="1"/>
  <c r="V19" i="6"/>
  <c r="W18" i="5" s="1"/>
  <c r="U19" i="6"/>
  <c r="V18" i="5" s="1"/>
  <c r="T19" i="6"/>
  <c r="U18" i="5" s="1"/>
  <c r="R1315" i="6"/>
  <c r="U1315" i="6"/>
  <c r="V666" i="5" s="1"/>
  <c r="T1315" i="6"/>
  <c r="U666" i="5" s="1"/>
  <c r="S1315" i="6"/>
  <c r="T666" i="5" s="1"/>
  <c r="V1315" i="6"/>
  <c r="W666" i="5" s="1"/>
  <c r="T1077" i="6"/>
  <c r="U547" i="5" s="1"/>
  <c r="S1077" i="6"/>
  <c r="T547" i="5" s="1"/>
  <c r="W1077" i="6"/>
  <c r="X547" i="5" s="1"/>
  <c r="R1077" i="6"/>
  <c r="U1077" i="6"/>
  <c r="V547" i="5" s="1"/>
  <c r="T975" i="6"/>
  <c r="U496" i="5" s="1"/>
  <c r="S975" i="6"/>
  <c r="T496" i="5" s="1"/>
  <c r="R975" i="6"/>
  <c r="S496" i="5" s="1"/>
  <c r="W975" i="6"/>
  <c r="X496" i="5" s="1"/>
  <c r="U975" i="6"/>
  <c r="V496" i="5" s="1"/>
  <c r="S23" i="6"/>
  <c r="U23" i="6"/>
  <c r="V20" i="5" s="1"/>
  <c r="W23" i="6"/>
  <c r="X20" i="5" s="1"/>
  <c r="T23" i="6"/>
  <c r="U20" i="5" s="1"/>
  <c r="V23" i="6"/>
  <c r="W20" i="5" s="1"/>
  <c r="V17" i="6"/>
  <c r="W17" i="5" s="1"/>
  <c r="T17" i="6"/>
  <c r="U17" i="5" s="1"/>
  <c r="S17" i="6"/>
  <c r="W17" i="6"/>
  <c r="X17" i="5" s="1"/>
  <c r="U17" i="6"/>
  <c r="V17" i="5" s="1"/>
  <c r="W15" i="6"/>
  <c r="X16" i="5" s="1"/>
  <c r="V15" i="6"/>
  <c r="W16" i="5" s="1"/>
  <c r="U15" i="6"/>
  <c r="V16" i="5" s="1"/>
  <c r="T15" i="6"/>
  <c r="U16" i="5" s="1"/>
  <c r="S15" i="6"/>
  <c r="U1059" i="6"/>
  <c r="V538" i="5" s="1"/>
  <c r="S1059" i="6"/>
  <c r="T538" i="5" s="1"/>
  <c r="W1059" i="6"/>
  <c r="X538" i="5" s="1"/>
  <c r="R1059" i="6"/>
  <c r="T1059" i="6"/>
  <c r="U538" i="5" s="1"/>
  <c r="S1027" i="6"/>
  <c r="T522" i="5" s="1"/>
  <c r="R1027" i="6"/>
  <c r="U1027" i="6"/>
  <c r="V522" i="5" s="1"/>
  <c r="W1027" i="6"/>
  <c r="X522" i="5" s="1"/>
  <c r="T1027" i="6"/>
  <c r="U522" i="5" s="1"/>
  <c r="S219" i="6"/>
  <c r="T118" i="5" s="1"/>
  <c r="W219" i="6"/>
  <c r="X118" i="5" s="1"/>
  <c r="T219" i="6"/>
  <c r="U118" i="5" s="1"/>
  <c r="V219" i="6"/>
  <c r="W118" i="5" s="1"/>
  <c r="U219" i="6"/>
  <c r="V118" i="5" s="1"/>
  <c r="U149" i="6"/>
  <c r="V83" i="5" s="1"/>
  <c r="W149" i="6"/>
  <c r="X83" i="5" s="1"/>
  <c r="T149" i="6"/>
  <c r="U83" i="5" s="1"/>
  <c r="S149" i="6"/>
  <c r="V149" i="6"/>
  <c r="W83" i="5" s="1"/>
  <c r="W147" i="6"/>
  <c r="X82" i="5" s="1"/>
  <c r="U147" i="6"/>
  <c r="V82" i="5" s="1"/>
  <c r="T147" i="6"/>
  <c r="U82" i="5" s="1"/>
  <c r="V147" i="6"/>
  <c r="W82" i="5" s="1"/>
  <c r="S147" i="6"/>
  <c r="W143" i="6"/>
  <c r="X80" i="5" s="1"/>
  <c r="T143" i="6"/>
  <c r="U80" i="5" s="1"/>
  <c r="S143" i="6"/>
  <c r="V143" i="6"/>
  <c r="W80" i="5" s="1"/>
  <c r="U143" i="6"/>
  <c r="V80" i="5" s="1"/>
  <c r="T13" i="6"/>
  <c r="U15" i="5" s="1"/>
  <c r="W13" i="6"/>
  <c r="X15" i="5" s="1"/>
  <c r="U13" i="6"/>
  <c r="V15" i="5" s="1"/>
  <c r="V13" i="6"/>
  <c r="W15" i="5" s="1"/>
  <c r="S13" i="6"/>
  <c r="V9" i="6"/>
  <c r="W13" i="5" s="1"/>
  <c r="T9" i="6"/>
  <c r="U13" i="5" s="1"/>
  <c r="S9" i="6"/>
  <c r="U9" i="6"/>
  <c r="V13" i="5" s="1"/>
  <c r="W9" i="6"/>
  <c r="X13" i="5" s="1"/>
  <c r="W5" i="6"/>
  <c r="X11" i="5" s="1"/>
  <c r="V5" i="6"/>
  <c r="W11" i="5" s="1"/>
  <c r="S5" i="6"/>
  <c r="T11" i="5" s="1"/>
  <c r="T5" i="6"/>
  <c r="U11" i="5" s="1"/>
  <c r="U5" i="6"/>
  <c r="V11" i="5" s="1"/>
  <c r="X5" i="6"/>
  <c r="S11" i="5"/>
  <c r="S1347" i="6"/>
  <c r="T682" i="5" s="1"/>
  <c r="V1347" i="6"/>
  <c r="W682" i="5" s="1"/>
  <c r="T1347" i="6"/>
  <c r="U682" i="5" s="1"/>
  <c r="U1347" i="6"/>
  <c r="V682" i="5" s="1"/>
  <c r="R1347" i="6"/>
  <c r="S682" i="5" s="1"/>
  <c r="W123" i="6"/>
  <c r="X70" i="5" s="1"/>
  <c r="V123" i="6"/>
  <c r="W70" i="5" s="1"/>
  <c r="U123" i="6"/>
  <c r="V70" i="5" s="1"/>
  <c r="S123" i="6"/>
  <c r="T123" i="6"/>
  <c r="U70" i="5" s="1"/>
  <c r="U101" i="6"/>
  <c r="V59" i="5" s="1"/>
  <c r="V101" i="6"/>
  <c r="W59" i="5" s="1"/>
  <c r="W101" i="6"/>
  <c r="X59" i="5" s="1"/>
  <c r="T101" i="6"/>
  <c r="U59" i="5" s="1"/>
  <c r="S101" i="6"/>
  <c r="T59" i="5" s="1"/>
  <c r="U99" i="6"/>
  <c r="V58" i="5" s="1"/>
  <c r="W99" i="6"/>
  <c r="X58" i="5" s="1"/>
  <c r="V99" i="6"/>
  <c r="W58" i="5" s="1"/>
  <c r="T99" i="6"/>
  <c r="U58" i="5" s="1"/>
  <c r="S99" i="6"/>
  <c r="V11" i="6"/>
  <c r="W14" i="5" s="1"/>
  <c r="S11" i="6"/>
  <c r="T14" i="5" s="1"/>
  <c r="T11" i="6"/>
  <c r="U14" i="5" s="1"/>
  <c r="W11" i="6"/>
  <c r="X14" i="5" s="1"/>
  <c r="U11" i="6"/>
  <c r="V14" i="5" s="1"/>
  <c r="S156" i="5"/>
  <c r="X295" i="6"/>
  <c r="S176" i="5"/>
  <c r="X335" i="6"/>
  <c r="S171" i="5"/>
  <c r="X325" i="6"/>
  <c r="X315" i="6"/>
  <c r="S166" i="5"/>
  <c r="X307" i="6"/>
  <c r="S162" i="5"/>
  <c r="X331" i="6"/>
  <c r="S174" i="5"/>
  <c r="X319" i="6"/>
  <c r="S168" i="5"/>
  <c r="S154" i="5"/>
  <c r="X291" i="6"/>
  <c r="X337" i="6"/>
  <c r="S177" i="5"/>
  <c r="X333" i="6"/>
  <c r="S175" i="5"/>
  <c r="X317" i="6"/>
  <c r="S167" i="5"/>
  <c r="X313" i="6"/>
  <c r="S165" i="5"/>
  <c r="X301" i="6"/>
  <c r="S159" i="5"/>
  <c r="X293" i="6"/>
  <c r="S155" i="5"/>
  <c r="X299" i="6"/>
  <c r="S158" i="5"/>
  <c r="X297" i="6"/>
  <c r="S157" i="5"/>
  <c r="U1301" i="6"/>
  <c r="V659" i="5" s="1"/>
  <c r="V1301" i="6"/>
  <c r="W659" i="5" s="1"/>
  <c r="T705" i="6"/>
  <c r="U361" i="5" s="1"/>
  <c r="U805" i="6"/>
  <c r="V411" i="5" s="1"/>
  <c r="W1369" i="6"/>
  <c r="X693" i="5" s="1"/>
  <c r="W1291" i="6"/>
  <c r="X654" i="5" s="1"/>
  <c r="T545" i="6"/>
  <c r="U281" i="5" s="1"/>
  <c r="T543" i="6"/>
  <c r="U280" i="5" s="1"/>
  <c r="T485" i="6"/>
  <c r="U251" i="5" s="1"/>
  <c r="T483" i="6"/>
  <c r="U250" i="5" s="1"/>
  <c r="V1043" i="6"/>
  <c r="W530" i="5" s="1"/>
  <c r="R21" i="6"/>
  <c r="W1247" i="6"/>
  <c r="X632" i="5" s="1"/>
  <c r="V1191" i="6"/>
  <c r="W604" i="5" s="1"/>
  <c r="U755" i="6"/>
  <c r="V386" i="5" s="1"/>
  <c r="W1263" i="6"/>
  <c r="X640" i="5" s="1"/>
  <c r="W1235" i="6"/>
  <c r="X626" i="5" s="1"/>
  <c r="W1267" i="6"/>
  <c r="X642" i="5" s="1"/>
  <c r="T203" i="5"/>
  <c r="X389" i="6"/>
  <c r="S131" i="5"/>
  <c r="X245" i="6"/>
  <c r="X243" i="6"/>
  <c r="S130" i="5"/>
  <c r="S146" i="5"/>
  <c r="X275" i="6"/>
  <c r="X259" i="6"/>
  <c r="S138" i="5"/>
  <c r="S144" i="5"/>
  <c r="X271" i="6"/>
  <c r="X251" i="6"/>
  <c r="S134" i="5"/>
  <c r="S150" i="5"/>
  <c r="X283" i="6"/>
  <c r="S142" i="5"/>
  <c r="X267" i="6"/>
  <c r="X247" i="6"/>
  <c r="S132" i="5"/>
  <c r="S143" i="5"/>
  <c r="X269" i="6"/>
  <c r="S152" i="5"/>
  <c r="X287" i="6"/>
  <c r="X257" i="6"/>
  <c r="S137" i="5"/>
  <c r="X253" i="6"/>
  <c r="S135" i="5"/>
  <c r="W27" i="6"/>
  <c r="X22" i="5" s="1"/>
  <c r="V27" i="6"/>
  <c r="W22" i="5" s="1"/>
  <c r="U27" i="6"/>
  <c r="V22" i="5" s="1"/>
  <c r="T27" i="6"/>
  <c r="U22" i="5" s="1"/>
  <c r="S27" i="6"/>
  <c r="S705" i="6"/>
  <c r="T361" i="5" s="1"/>
  <c r="U705" i="6"/>
  <c r="V361" i="5" s="1"/>
  <c r="W705" i="6"/>
  <c r="X361" i="5" s="1"/>
  <c r="R705" i="6"/>
  <c r="V705" i="6"/>
  <c r="W361" i="5" s="1"/>
  <c r="S729" i="6"/>
  <c r="T373" i="5" s="1"/>
  <c r="R729" i="6"/>
  <c r="V729" i="6"/>
  <c r="W373" i="5" s="1"/>
  <c r="W729" i="6"/>
  <c r="X373" i="5" s="1"/>
  <c r="T729" i="6"/>
  <c r="U373" i="5" s="1"/>
  <c r="S797" i="6"/>
  <c r="T407" i="5" s="1"/>
  <c r="V797" i="6"/>
  <c r="W407" i="5" s="1"/>
  <c r="R797" i="6"/>
  <c r="W797" i="6"/>
  <c r="X407" i="5" s="1"/>
  <c r="T797" i="6"/>
  <c r="U407" i="5" s="1"/>
  <c r="W801" i="6"/>
  <c r="X409" i="5" s="1"/>
  <c r="T801" i="6"/>
  <c r="U409" i="5" s="1"/>
  <c r="V801" i="6"/>
  <c r="W409" i="5" s="1"/>
  <c r="R801" i="6"/>
  <c r="S801" i="6"/>
  <c r="T409" i="5" s="1"/>
  <c r="V805" i="6"/>
  <c r="W411" i="5" s="1"/>
  <c r="R805" i="6"/>
  <c r="T805" i="6"/>
  <c r="U411" i="5" s="1"/>
  <c r="S805" i="6"/>
  <c r="T411" i="5" s="1"/>
  <c r="W805" i="6"/>
  <c r="X411" i="5" s="1"/>
  <c r="W837" i="6"/>
  <c r="X427" i="5" s="1"/>
  <c r="T837" i="6"/>
  <c r="U427" i="5" s="1"/>
  <c r="S837" i="6"/>
  <c r="T427" i="5" s="1"/>
  <c r="V837" i="6"/>
  <c r="W427" i="5" s="1"/>
  <c r="R837" i="6"/>
  <c r="U1371" i="6"/>
  <c r="V694" i="5" s="1"/>
  <c r="R1371" i="6"/>
  <c r="W1371" i="6"/>
  <c r="X694" i="5" s="1"/>
  <c r="V1371" i="6"/>
  <c r="W694" i="5" s="1"/>
  <c r="S1371" i="6"/>
  <c r="T694" i="5" s="1"/>
  <c r="T1371" i="6"/>
  <c r="U694" i="5" s="1"/>
  <c r="V945" i="6"/>
  <c r="W481" i="5" s="1"/>
  <c r="R945" i="6"/>
  <c r="S945" i="6"/>
  <c r="T481" i="5" s="1"/>
  <c r="W945" i="6"/>
  <c r="X481" i="5" s="1"/>
  <c r="T945" i="6"/>
  <c r="U481" i="5" s="1"/>
  <c r="V1369" i="6"/>
  <c r="W693" i="5" s="1"/>
  <c r="T1369" i="6"/>
  <c r="U693" i="5" s="1"/>
  <c r="U1369" i="6"/>
  <c r="V693" i="5" s="1"/>
  <c r="S1369" i="6"/>
  <c r="T693" i="5" s="1"/>
  <c r="R1369" i="6"/>
  <c r="U33" i="6"/>
  <c r="V25" i="5" s="1"/>
  <c r="T33" i="6"/>
  <c r="U25" i="5" s="1"/>
  <c r="W33" i="6"/>
  <c r="X25" i="5" s="1"/>
  <c r="V33" i="6"/>
  <c r="W25" i="5" s="1"/>
  <c r="S33" i="6"/>
  <c r="T25" i="5" s="1"/>
  <c r="V105" i="6"/>
  <c r="W61" i="5" s="1"/>
  <c r="W105" i="6"/>
  <c r="X61" i="5" s="1"/>
  <c r="T105" i="6"/>
  <c r="U61" i="5" s="1"/>
  <c r="S105" i="6"/>
  <c r="U105" i="6"/>
  <c r="V61" i="5" s="1"/>
  <c r="U139" i="6"/>
  <c r="V78" i="5" s="1"/>
  <c r="T139" i="6"/>
  <c r="U78" i="5" s="1"/>
  <c r="S139" i="6"/>
  <c r="V139" i="6"/>
  <c r="W78" i="5" s="1"/>
  <c r="W139" i="6"/>
  <c r="X78" i="5" s="1"/>
  <c r="V29" i="6"/>
  <c r="W23" i="5" s="1"/>
  <c r="U29" i="6"/>
  <c r="V23" i="5" s="1"/>
  <c r="W29" i="6"/>
  <c r="X23" i="5" s="1"/>
  <c r="T29" i="6"/>
  <c r="U23" i="5" s="1"/>
  <c r="S29" i="6"/>
  <c r="V211" i="6"/>
  <c r="W114" i="5" s="1"/>
  <c r="W211" i="6"/>
  <c r="X114" i="5" s="1"/>
  <c r="T211" i="6"/>
  <c r="U114" i="5" s="1"/>
  <c r="S211" i="6"/>
  <c r="U211" i="6"/>
  <c r="V114" i="5" s="1"/>
  <c r="T221" i="6"/>
  <c r="U119" i="5" s="1"/>
  <c r="V221" i="6"/>
  <c r="W119" i="5" s="1"/>
  <c r="U221" i="6"/>
  <c r="V119" i="5" s="1"/>
  <c r="W221" i="6"/>
  <c r="X119" i="5" s="1"/>
  <c r="S221" i="6"/>
  <c r="S1211" i="6"/>
  <c r="T614" i="5" s="1"/>
  <c r="R1211" i="6"/>
  <c r="V1211" i="6"/>
  <c r="W614" i="5" s="1"/>
  <c r="U1211" i="6"/>
  <c r="V614" i="5" s="1"/>
  <c r="T1211" i="6"/>
  <c r="U614" i="5" s="1"/>
  <c r="S204" i="5"/>
  <c r="X391" i="6"/>
  <c r="W1227" i="6"/>
  <c r="X622" i="5" s="1"/>
  <c r="W1269" i="6"/>
  <c r="X643" i="5" s="1"/>
  <c r="W1347" i="6"/>
  <c r="R101" i="6"/>
  <c r="R11" i="6"/>
  <c r="R7" i="6"/>
  <c r="R3" i="6"/>
  <c r="U320" i="5"/>
  <c r="X623" i="6"/>
  <c r="X281" i="6"/>
  <c r="S149" i="5"/>
  <c r="X279" i="6"/>
  <c r="S148" i="5"/>
  <c r="X273" i="6"/>
  <c r="S145" i="5"/>
  <c r="X263" i="6"/>
  <c r="S140" i="5"/>
  <c r="S206" i="5"/>
  <c r="X395" i="6"/>
  <c r="X393" i="6"/>
  <c r="S205" i="5"/>
  <c r="T1247" i="6"/>
  <c r="U632" i="5" s="1"/>
  <c r="V1247" i="6"/>
  <c r="W632" i="5" s="1"/>
  <c r="R1247" i="6"/>
  <c r="S1247" i="6"/>
  <c r="T632" i="5" s="1"/>
  <c r="U1247" i="6"/>
  <c r="V632" i="5" s="1"/>
  <c r="S1205" i="6"/>
  <c r="T611" i="5" s="1"/>
  <c r="U1205" i="6"/>
  <c r="V611" i="5" s="1"/>
  <c r="V1205" i="6"/>
  <c r="W611" i="5" s="1"/>
  <c r="R1205" i="6"/>
  <c r="T1205" i="6"/>
  <c r="U611" i="5" s="1"/>
  <c r="W1191" i="6"/>
  <c r="X604" i="5" s="1"/>
  <c r="U1191" i="6"/>
  <c r="V604" i="5" s="1"/>
  <c r="T1191" i="6"/>
  <c r="U604" i="5" s="1"/>
  <c r="S1191" i="6"/>
  <c r="T604" i="5" s="1"/>
  <c r="R1191" i="6"/>
  <c r="T951" i="6"/>
  <c r="U484" i="5" s="1"/>
  <c r="S951" i="6"/>
  <c r="T484" i="5" s="1"/>
  <c r="V951" i="6"/>
  <c r="W484" i="5" s="1"/>
  <c r="R951" i="6"/>
  <c r="W951" i="6"/>
  <c r="X484" i="5" s="1"/>
  <c r="V909" i="6"/>
  <c r="W463" i="5" s="1"/>
  <c r="R909" i="6"/>
  <c r="S909" i="6"/>
  <c r="T463" i="5" s="1"/>
  <c r="W909" i="6"/>
  <c r="X463" i="5" s="1"/>
  <c r="U909" i="6"/>
  <c r="V463" i="5" s="1"/>
  <c r="T909" i="6"/>
  <c r="U463" i="5" s="1"/>
  <c r="S995" i="6"/>
  <c r="T506" i="5" s="1"/>
  <c r="T995" i="6"/>
  <c r="U506" i="5" s="1"/>
  <c r="R995" i="6"/>
  <c r="W995" i="6"/>
  <c r="X506" i="5" s="1"/>
  <c r="U995" i="6"/>
  <c r="V506" i="5" s="1"/>
  <c r="V995" i="6"/>
  <c r="W506" i="5" s="1"/>
  <c r="U903" i="6"/>
  <c r="V460" i="5" s="1"/>
  <c r="V903" i="6"/>
  <c r="W460" i="5" s="1"/>
  <c r="T903" i="6"/>
  <c r="U460" i="5" s="1"/>
  <c r="S903" i="6"/>
  <c r="T460" i="5" s="1"/>
  <c r="R903" i="6"/>
  <c r="W903" i="6"/>
  <c r="X460" i="5" s="1"/>
  <c r="U885" i="6"/>
  <c r="V451" i="5" s="1"/>
  <c r="T885" i="6"/>
  <c r="U451" i="5" s="1"/>
  <c r="W885" i="6"/>
  <c r="X451" i="5" s="1"/>
  <c r="S885" i="6"/>
  <c r="T451" i="5" s="1"/>
  <c r="V885" i="6"/>
  <c r="W451" i="5" s="1"/>
  <c r="R885" i="6"/>
  <c r="R875" i="6"/>
  <c r="W875" i="6"/>
  <c r="X446" i="5" s="1"/>
  <c r="T875" i="6"/>
  <c r="U446" i="5" s="1"/>
  <c r="S875" i="6"/>
  <c r="T446" i="5" s="1"/>
  <c r="V875" i="6"/>
  <c r="W446" i="5" s="1"/>
  <c r="U875" i="6"/>
  <c r="V446" i="5" s="1"/>
  <c r="R759" i="6"/>
  <c r="V759" i="6"/>
  <c r="W388" i="5" s="1"/>
  <c r="T759" i="6"/>
  <c r="U388" i="5" s="1"/>
  <c r="S759" i="6"/>
  <c r="T388" i="5" s="1"/>
  <c r="W759" i="6"/>
  <c r="X388" i="5" s="1"/>
  <c r="U759" i="6"/>
  <c r="V388" i="5" s="1"/>
  <c r="U1227" i="6"/>
  <c r="V622" i="5" s="1"/>
  <c r="T1227" i="6"/>
  <c r="U622" i="5" s="1"/>
  <c r="S1227" i="6"/>
  <c r="T622" i="5" s="1"/>
  <c r="V1227" i="6"/>
  <c r="W622" i="5" s="1"/>
  <c r="R1227" i="6"/>
  <c r="S755" i="6"/>
  <c r="T386" i="5" s="1"/>
  <c r="V755" i="6"/>
  <c r="W386" i="5" s="1"/>
  <c r="R755" i="6"/>
  <c r="T755" i="6"/>
  <c r="U386" i="5" s="1"/>
  <c r="W755" i="6"/>
  <c r="X386" i="5" s="1"/>
  <c r="U1263" i="6"/>
  <c r="V640" i="5" s="1"/>
  <c r="R1263" i="6"/>
  <c r="T1263" i="6"/>
  <c r="U640" i="5" s="1"/>
  <c r="S1263" i="6"/>
  <c r="T640" i="5" s="1"/>
  <c r="V1263" i="6"/>
  <c r="W640" i="5" s="1"/>
  <c r="T1273" i="6"/>
  <c r="U645" i="5" s="1"/>
  <c r="U1273" i="6"/>
  <c r="V645" i="5" s="1"/>
  <c r="S1273" i="6"/>
  <c r="T645" i="5" s="1"/>
  <c r="R1273" i="6"/>
  <c r="V1273" i="6"/>
  <c r="W645" i="5" s="1"/>
  <c r="U1271" i="6"/>
  <c r="V644" i="5" s="1"/>
  <c r="V1271" i="6"/>
  <c r="W644" i="5" s="1"/>
  <c r="S1271" i="6"/>
  <c r="T644" i="5" s="1"/>
  <c r="T1271" i="6"/>
  <c r="U644" i="5" s="1"/>
  <c r="R1271" i="6"/>
  <c r="R1235" i="6"/>
  <c r="U1235" i="6"/>
  <c r="V626" i="5" s="1"/>
  <c r="S1235" i="6"/>
  <c r="T626" i="5" s="1"/>
  <c r="V1235" i="6"/>
  <c r="W626" i="5" s="1"/>
  <c r="T1235" i="6"/>
  <c r="U626" i="5" s="1"/>
  <c r="T1269" i="6"/>
  <c r="U643" i="5" s="1"/>
  <c r="V1269" i="6"/>
  <c r="W643" i="5" s="1"/>
  <c r="R1269" i="6"/>
  <c r="S1269" i="6"/>
  <c r="T643" i="5" s="1"/>
  <c r="U1269" i="6"/>
  <c r="V643" i="5" s="1"/>
  <c r="T1267" i="6"/>
  <c r="U642" i="5" s="1"/>
  <c r="V1267" i="6"/>
  <c r="W642" i="5" s="1"/>
  <c r="U1267" i="6"/>
  <c r="V642" i="5" s="1"/>
  <c r="S1267" i="6"/>
  <c r="T642" i="5" s="1"/>
  <c r="R1267" i="6"/>
  <c r="U1203" i="6"/>
  <c r="V610" i="5" s="1"/>
  <c r="R1203" i="6"/>
  <c r="V1203" i="6"/>
  <c r="W610" i="5" s="1"/>
  <c r="T1203" i="6"/>
  <c r="U610" i="5" s="1"/>
  <c r="S1203" i="6"/>
  <c r="T610" i="5" s="1"/>
  <c r="T1265" i="6"/>
  <c r="U641" i="5" s="1"/>
  <c r="S1265" i="6"/>
  <c r="T641" i="5" s="1"/>
  <c r="R1265" i="6"/>
  <c r="U1265" i="6"/>
  <c r="V641" i="5" s="1"/>
  <c r="V1265" i="6"/>
  <c r="W641" i="5" s="1"/>
  <c r="U227" i="6"/>
  <c r="V122" i="5" s="1"/>
  <c r="T227" i="6"/>
  <c r="U122" i="5" s="1"/>
  <c r="V227" i="6"/>
  <c r="W122" i="5" s="1"/>
  <c r="W227" i="6"/>
  <c r="X122" i="5" s="1"/>
  <c r="S227" i="6"/>
  <c r="T183" i="6"/>
  <c r="U100" i="5" s="1"/>
  <c r="U183" i="6"/>
  <c r="V100" i="5" s="1"/>
  <c r="V183" i="6"/>
  <c r="W100" i="5" s="1"/>
  <c r="W183" i="6"/>
  <c r="X100" i="5" s="1"/>
  <c r="R183" i="6"/>
  <c r="S183" i="6"/>
  <c r="T100" i="5" s="1"/>
  <c r="S179" i="6"/>
  <c r="T98" i="5" s="1"/>
  <c r="U179" i="6"/>
  <c r="V98" i="5" s="1"/>
  <c r="V179" i="6"/>
  <c r="W98" i="5" s="1"/>
  <c r="R179" i="6"/>
  <c r="T179" i="6"/>
  <c r="U98" i="5" s="1"/>
  <c r="W179" i="6"/>
  <c r="X98" i="5" s="1"/>
  <c r="T1239" i="6"/>
  <c r="U628" i="5" s="1"/>
  <c r="U1239" i="6"/>
  <c r="V628" i="5" s="1"/>
  <c r="S1239" i="6"/>
  <c r="T628" i="5" s="1"/>
  <c r="V1239" i="6"/>
  <c r="W628" i="5" s="1"/>
  <c r="R1239" i="6"/>
  <c r="W7" i="6"/>
  <c r="X12" i="5" s="1"/>
  <c r="V7" i="6"/>
  <c r="W12" i="5" s="1"/>
  <c r="U7" i="6"/>
  <c r="V12" i="5" s="1"/>
  <c r="T7" i="6"/>
  <c r="U12" i="5" s="1"/>
  <c r="S7" i="6"/>
  <c r="T12" i="5" s="1"/>
  <c r="S3" i="6"/>
  <c r="T10" i="5" s="1"/>
  <c r="V3" i="6"/>
  <c r="W10" i="5" s="1"/>
  <c r="U3" i="6"/>
  <c r="V10" i="5" s="1"/>
  <c r="W3" i="6"/>
  <c r="X10" i="5" s="1"/>
  <c r="T3" i="6"/>
  <c r="U10" i="5" s="1"/>
  <c r="X453" i="6"/>
  <c r="S235" i="5"/>
  <c r="X455" i="6"/>
  <c r="S236" i="5"/>
  <c r="X465" i="6"/>
  <c r="S241" i="5"/>
  <c r="S242" i="5"/>
  <c r="X467" i="6"/>
  <c r="X473" i="6"/>
  <c r="S245" i="5"/>
  <c r="X1233" i="6"/>
  <c r="S625" i="5"/>
  <c r="S627" i="5"/>
  <c r="X1237" i="6"/>
  <c r="X1221" i="6"/>
  <c r="S619" i="5"/>
  <c r="U365" i="5"/>
  <c r="X713" i="6"/>
  <c r="V391" i="5"/>
  <c r="X765" i="6"/>
  <c r="S23" i="5"/>
  <c r="T449" i="5"/>
  <c r="X881" i="6"/>
  <c r="T448" i="5"/>
  <c r="X879" i="6"/>
  <c r="S115" i="5"/>
  <c r="X213" i="6"/>
  <c r="S45" i="5"/>
  <c r="X73" i="6"/>
  <c r="S55" i="5"/>
  <c r="X93" i="6"/>
  <c r="S69" i="5"/>
  <c r="X121" i="6"/>
  <c r="X141" i="6"/>
  <c r="S79" i="5"/>
  <c r="T121" i="5"/>
  <c r="X225" i="6"/>
  <c r="X863" i="6"/>
  <c r="S440" i="5"/>
  <c r="S659" i="5"/>
  <c r="X1301" i="6"/>
  <c r="X1199" i="6"/>
  <c r="S608" i="5"/>
  <c r="S633" i="5"/>
  <c r="X1249" i="6"/>
  <c r="S649" i="5"/>
  <c r="X1281" i="6"/>
  <c r="X1257" i="6"/>
  <c r="S637" i="5"/>
  <c r="T723" i="5"/>
  <c r="X1429" i="6"/>
  <c r="T713" i="5"/>
  <c r="X1409" i="6"/>
  <c r="S657" i="5"/>
  <c r="X1297" i="6"/>
  <c r="X1291" i="6"/>
  <c r="S654" i="5"/>
  <c r="X1255" i="6"/>
  <c r="S636" i="5"/>
  <c r="X1259" i="6"/>
  <c r="S638" i="5"/>
  <c r="X305" i="6"/>
  <c r="S161" i="5"/>
  <c r="S160" i="5"/>
  <c r="X303" i="6"/>
  <c r="X181" i="6"/>
  <c r="S99" i="5"/>
  <c r="X385" i="6"/>
  <c r="S201" i="5"/>
  <c r="S195" i="5"/>
  <c r="X373" i="6"/>
  <c r="X353" i="6"/>
  <c r="S185" i="5"/>
  <c r="X347" i="6"/>
  <c r="S182" i="5"/>
  <c r="S180" i="5"/>
  <c r="X343" i="6"/>
  <c r="S249" i="5"/>
  <c r="X481" i="6"/>
  <c r="S246" i="5"/>
  <c r="X475" i="6"/>
  <c r="X461" i="6"/>
  <c r="S239" i="5"/>
  <c r="S237" i="5"/>
  <c r="X457" i="6"/>
  <c r="S234" i="5"/>
  <c r="X451" i="6"/>
  <c r="X449" i="6"/>
  <c r="S233" i="5"/>
  <c r="X421" i="6"/>
  <c r="S219" i="5"/>
  <c r="X415" i="6"/>
  <c r="S216" i="5"/>
  <c r="S208" i="5"/>
  <c r="X399" i="6"/>
  <c r="X379" i="6"/>
  <c r="S198" i="5"/>
  <c r="S183" i="5"/>
  <c r="X349" i="6"/>
  <c r="S178" i="5"/>
  <c r="X339" i="6"/>
  <c r="S247" i="5"/>
  <c r="X477" i="6"/>
  <c r="S256" i="5"/>
  <c r="X495" i="6"/>
  <c r="S222" i="5"/>
  <c r="X427" i="6"/>
  <c r="S192" i="5"/>
  <c r="X367" i="6"/>
  <c r="S184" i="5"/>
  <c r="X351" i="6"/>
  <c r="X345" i="6"/>
  <c r="S181" i="5"/>
  <c r="S179" i="5"/>
  <c r="X341" i="6"/>
  <c r="X479" i="6"/>
  <c r="S248" i="5"/>
  <c r="X469" i="6"/>
  <c r="S243" i="5"/>
  <c r="X463" i="6"/>
  <c r="S240" i="5"/>
  <c r="X459" i="6"/>
  <c r="S238" i="5"/>
  <c r="S232" i="5"/>
  <c r="X447" i="6"/>
  <c r="T465" i="5"/>
  <c r="X913" i="6"/>
  <c r="S456" i="5"/>
  <c r="X895" i="6"/>
  <c r="X433" i="6"/>
  <c r="S225" i="5"/>
  <c r="S209" i="5"/>
  <c r="X401" i="6"/>
  <c r="X1303" i="6"/>
  <c r="S660" i="5"/>
  <c r="T129" i="5"/>
  <c r="X241" i="6"/>
  <c r="X769" i="6"/>
  <c r="S393" i="5"/>
  <c r="S387" i="5"/>
  <c r="X757" i="6"/>
  <c r="X877" i="6"/>
  <c r="S447" i="5"/>
  <c r="S485" i="5"/>
  <c r="X953" i="6"/>
  <c r="X1405" i="6"/>
  <c r="S711" i="5"/>
  <c r="S513" i="5"/>
  <c r="X1009" i="6"/>
  <c r="X145" i="6"/>
  <c r="S81" i="5"/>
  <c r="T105" i="5"/>
  <c r="X193" i="6"/>
  <c r="T123" i="5"/>
  <c r="X229" i="6"/>
  <c r="S507" i="5"/>
  <c r="X997" i="6"/>
  <c r="X1181" i="6"/>
  <c r="S599" i="5"/>
  <c r="S704" i="5"/>
  <c r="X1391" i="6"/>
  <c r="S661" i="5"/>
  <c r="X1305" i="6"/>
  <c r="X1309" i="6"/>
  <c r="S663" i="5"/>
  <c r="X1373" i="6"/>
  <c r="S695" i="5"/>
  <c r="X1357" i="6"/>
  <c r="S687" i="5"/>
  <c r="S488" i="5"/>
  <c r="X959" i="6"/>
  <c r="X1151" i="6"/>
  <c r="S584" i="5"/>
  <c r="S719" i="5"/>
  <c r="X1421" i="6"/>
  <c r="X1439" i="6"/>
  <c r="S728" i="5"/>
  <c r="S692" i="5"/>
  <c r="X1367" i="6"/>
  <c r="X413" i="6"/>
  <c r="S215" i="5"/>
  <c r="X411" i="6"/>
  <c r="S214" i="5"/>
  <c r="S213" i="5"/>
  <c r="X409" i="6"/>
  <c r="S698" i="5"/>
  <c r="X1379" i="6"/>
  <c r="S701" i="5"/>
  <c r="X1385" i="6"/>
  <c r="S674" i="5"/>
  <c r="X1331" i="6"/>
  <c r="S677" i="5"/>
  <c r="X1337" i="6"/>
  <c r="X1103" i="6"/>
  <c r="S560" i="5"/>
  <c r="S605" i="5"/>
  <c r="X1193" i="6"/>
  <c r="S671" i="5"/>
  <c r="X1325" i="6"/>
  <c r="S567" i="5"/>
  <c r="X1117" i="6"/>
  <c r="X1187" i="6"/>
  <c r="S602" i="5"/>
  <c r="X1353" i="6"/>
  <c r="S685" i="5"/>
  <c r="S725" i="5"/>
  <c r="X1433" i="6"/>
  <c r="X589" i="6"/>
  <c r="S303" i="5"/>
  <c r="X671" i="6"/>
  <c r="S344" i="5"/>
  <c r="X701" i="6"/>
  <c r="S359" i="5"/>
  <c r="S368" i="5"/>
  <c r="X719" i="6"/>
  <c r="X1343" i="6"/>
  <c r="S680" i="5"/>
  <c r="S722" i="5"/>
  <c r="X1427" i="6"/>
  <c r="X911" i="6"/>
  <c r="S464" i="5"/>
  <c r="X941" i="6"/>
  <c r="S479" i="5"/>
  <c r="S489" i="5"/>
  <c r="X961" i="6"/>
  <c r="X949" i="6"/>
  <c r="S483" i="5"/>
  <c r="S486" i="5"/>
  <c r="X955" i="6"/>
  <c r="S696" i="5"/>
  <c r="X1375" i="6"/>
  <c r="X1333" i="6"/>
  <c r="S675" i="5"/>
  <c r="S729" i="5"/>
  <c r="X1441" i="6"/>
  <c r="S345" i="5"/>
  <c r="X673" i="6"/>
  <c r="S82" i="5"/>
  <c r="S113" i="5"/>
  <c r="X403" i="6"/>
  <c r="S210" i="5"/>
  <c r="S186" i="5"/>
  <c r="X355" i="6"/>
  <c r="S189" i="5"/>
  <c r="X361" i="6"/>
  <c r="X1435" i="6"/>
  <c r="S726" i="5"/>
  <c r="X721" i="6"/>
  <c r="S369" i="5"/>
  <c r="X715" i="6"/>
  <c r="S366" i="5"/>
  <c r="X709" i="6"/>
  <c r="S363" i="5"/>
  <c r="S336" i="5"/>
  <c r="X655" i="6"/>
  <c r="S329" i="5"/>
  <c r="X641" i="6"/>
  <c r="X639" i="6"/>
  <c r="S328" i="5"/>
  <c r="S702" i="5"/>
  <c r="X1387" i="6"/>
  <c r="S58" i="5"/>
  <c r="S78" i="5"/>
  <c r="S61" i="5"/>
  <c r="S16" i="5"/>
  <c r="S21" i="5"/>
  <c r="S85" i="5"/>
  <c r="S64" i="5"/>
  <c r="S223" i="5"/>
  <c r="X429" i="6"/>
  <c r="X431" i="6"/>
  <c r="S224" i="5"/>
  <c r="X1279" i="6"/>
  <c r="S648" i="5"/>
  <c r="S688" i="5"/>
  <c r="X1359" i="6"/>
  <c r="S705" i="5"/>
  <c r="X1393" i="6"/>
  <c r="X1319" i="6"/>
  <c r="S668" i="5"/>
  <c r="S664" i="5"/>
  <c r="X1311" i="6"/>
  <c r="S678" i="5"/>
  <c r="X1339" i="6"/>
  <c r="S63" i="5"/>
  <c r="S66" i="5"/>
  <c r="S22" i="5"/>
  <c r="X165" i="6"/>
  <c r="S91" i="5"/>
  <c r="X195" i="6"/>
  <c r="S106" i="5"/>
  <c r="X199" i="6"/>
  <c r="S108" i="5"/>
  <c r="S107" i="5"/>
  <c r="X197" i="6"/>
  <c r="S111" i="5"/>
  <c r="X205" i="6"/>
  <c r="X129" i="6"/>
  <c r="S73" i="5"/>
  <c r="X31" i="6"/>
  <c r="S24" i="5"/>
  <c r="T681" i="5"/>
  <c r="X1345" i="6"/>
  <c r="X1437" i="6"/>
  <c r="S727" i="5"/>
  <c r="X1413" i="6"/>
  <c r="S715" i="5"/>
  <c r="X1411" i="6"/>
  <c r="S714" i="5"/>
  <c r="S703" i="5"/>
  <c r="X1389" i="6"/>
  <c r="S487" i="5"/>
  <c r="X957" i="6"/>
  <c r="X883" i="6"/>
  <c r="S450" i="5"/>
  <c r="S691" i="5"/>
  <c r="X1365" i="6"/>
  <c r="S690" i="5"/>
  <c r="X1363" i="6"/>
  <c r="S721" i="5"/>
  <c r="X1425" i="6"/>
  <c r="S717" i="5"/>
  <c r="X1417" i="6"/>
  <c r="S367" i="5"/>
  <c r="X717" i="6"/>
  <c r="S378" i="5"/>
  <c r="X739" i="6"/>
  <c r="X1219" i="6"/>
  <c r="S618" i="5"/>
  <c r="U686" i="5"/>
  <c r="X1355" i="6"/>
  <c r="S505" i="5"/>
  <c r="X993" i="6"/>
  <c r="S724" i="5"/>
  <c r="X1431" i="6"/>
  <c r="S710" i="5"/>
  <c r="X1403" i="6"/>
  <c r="U502" i="5"/>
  <c r="X987" i="6"/>
  <c r="S442" i="5"/>
  <c r="X867" i="6"/>
  <c r="S392" i="5"/>
  <c r="X767" i="6"/>
  <c r="S382" i="5"/>
  <c r="X747" i="6"/>
  <c r="S562" i="5"/>
  <c r="X1107" i="6"/>
  <c r="X231" i="6"/>
  <c r="S124" i="5"/>
  <c r="X1397" i="6"/>
  <c r="S707" i="5"/>
  <c r="X711" i="6"/>
  <c r="S364" i="5"/>
  <c r="X1307" i="6"/>
  <c r="S662" i="5"/>
  <c r="X1299" i="6"/>
  <c r="S658" i="5"/>
  <c r="S323" i="5"/>
  <c r="X629" i="6"/>
  <c r="S257" i="5"/>
  <c r="X497" i="6"/>
  <c r="S550" i="5"/>
  <c r="X1083" i="6"/>
  <c r="S390" i="5"/>
  <c r="X763" i="6"/>
  <c r="S104" i="5"/>
  <c r="X191" i="6"/>
  <c r="S102" i="5"/>
  <c r="X187" i="6"/>
  <c r="S31" i="5"/>
  <c r="T128" i="5"/>
  <c r="X239" i="6"/>
  <c r="T94" i="5"/>
  <c r="X171" i="6"/>
  <c r="T126" i="5"/>
  <c r="X235" i="6"/>
  <c r="T125" i="5"/>
  <c r="X233" i="6"/>
  <c r="T116" i="5"/>
  <c r="X215" i="6"/>
  <c r="T56" i="5"/>
  <c r="X95" i="6"/>
  <c r="T46" i="5"/>
  <c r="X75" i="6"/>
  <c r="S720" i="5"/>
  <c r="X1423" i="6"/>
  <c r="S712" i="5"/>
  <c r="X1407" i="6"/>
  <c r="X1091" i="6"/>
  <c r="S554" i="5"/>
  <c r="S590" i="5"/>
  <c r="X1163" i="6"/>
  <c r="S589" i="5"/>
  <c r="X1161" i="6"/>
  <c r="X1159" i="6"/>
  <c r="S588" i="5"/>
  <c r="X1157" i="6"/>
  <c r="S587" i="5"/>
  <c r="S586" i="5"/>
  <c r="X1155" i="6"/>
  <c r="S581" i="5"/>
  <c r="X1145" i="6"/>
  <c r="S580" i="5"/>
  <c r="X1143" i="6"/>
  <c r="S471" i="5"/>
  <c r="X925" i="6"/>
  <c r="S470" i="5"/>
  <c r="X923" i="6"/>
  <c r="S469" i="5"/>
  <c r="X921" i="6"/>
  <c r="X919" i="6"/>
  <c r="S468" i="5"/>
  <c r="S467" i="5"/>
  <c r="S466" i="5"/>
  <c r="X915" i="6"/>
  <c r="X857" i="6"/>
  <c r="S437" i="5"/>
  <c r="S436" i="5"/>
  <c r="X855" i="6"/>
  <c r="S351" i="5"/>
  <c r="X685" i="6"/>
  <c r="S350" i="5"/>
  <c r="S349" i="5"/>
  <c r="X681" i="6"/>
  <c r="X679" i="6"/>
  <c r="S348" i="5"/>
  <c r="S347" i="5"/>
  <c r="X677" i="6"/>
  <c r="S346" i="5"/>
  <c r="S317" i="5"/>
  <c r="X617" i="6"/>
  <c r="S316" i="5"/>
  <c r="X615" i="6"/>
  <c r="X1165" i="6"/>
  <c r="S591" i="5"/>
  <c r="S556" i="5"/>
  <c r="X1095" i="6"/>
  <c r="X1097" i="6"/>
  <c r="S557" i="5"/>
  <c r="X1139" i="6"/>
  <c r="S578" i="5"/>
  <c r="X981" i="6"/>
  <c r="S499" i="5"/>
  <c r="S583" i="5"/>
  <c r="X1149" i="6"/>
  <c r="X1147" i="6"/>
  <c r="S582" i="5"/>
  <c r="S575" i="5"/>
  <c r="X1133" i="6"/>
  <c r="S477" i="5"/>
  <c r="X937" i="6"/>
  <c r="S476" i="5"/>
  <c r="S475" i="5"/>
  <c r="X933" i="6"/>
  <c r="X931" i="6"/>
  <c r="S474" i="5"/>
  <c r="S473" i="5"/>
  <c r="X929" i="6"/>
  <c r="S472" i="5"/>
  <c r="X927" i="6"/>
  <c r="S597" i="5"/>
  <c r="X1177" i="6"/>
  <c r="X983" i="6"/>
  <c r="S500" i="5"/>
  <c r="X861" i="6"/>
  <c r="S439" i="5"/>
  <c r="X859" i="6"/>
  <c r="S438" i="5"/>
  <c r="S422" i="5"/>
  <c r="X1171" i="6"/>
  <c r="S594" i="5"/>
  <c r="X999" i="6"/>
  <c r="S508" i="5"/>
  <c r="X697" i="6"/>
  <c r="S357" i="5"/>
  <c r="S356" i="5"/>
  <c r="S355" i="5"/>
  <c r="X693" i="6"/>
  <c r="X691" i="6"/>
  <c r="S354" i="5"/>
  <c r="S353" i="5"/>
  <c r="X689" i="6"/>
  <c r="S352" i="5"/>
  <c r="X687" i="6"/>
  <c r="X619" i="6"/>
  <c r="S318" i="5"/>
  <c r="S595" i="5"/>
  <c r="X1173" i="6"/>
  <c r="S566" i="5"/>
  <c r="X1115" i="6"/>
  <c r="S559" i="5"/>
  <c r="X1101" i="6"/>
  <c r="X1169" i="6"/>
  <c r="S593" i="5"/>
  <c r="S555" i="5"/>
  <c r="X1093" i="6"/>
  <c r="S551" i="5"/>
  <c r="X1085" i="6"/>
  <c r="S592" i="5"/>
  <c r="X1167" i="6"/>
  <c r="X1175" i="6"/>
  <c r="S596" i="5"/>
  <c r="S579" i="5"/>
  <c r="X1141" i="6"/>
  <c r="X1099" i="6"/>
  <c r="S558" i="5"/>
  <c r="S542" i="5"/>
  <c r="X1067" i="6"/>
  <c r="S607" i="5"/>
  <c r="X1197" i="6"/>
  <c r="X1123" i="6"/>
  <c r="S570" i="5"/>
  <c r="S520" i="5"/>
  <c r="X1023" i="6"/>
  <c r="S512" i="5"/>
  <c r="X1007" i="6"/>
  <c r="S404" i="5"/>
  <c r="X791" i="6"/>
  <c r="X787" i="6"/>
  <c r="S402" i="5"/>
  <c r="S400" i="5"/>
  <c r="X783" i="6"/>
  <c r="X793" i="6"/>
  <c r="S405" i="5"/>
  <c r="S403" i="5"/>
  <c r="X789" i="6"/>
  <c r="S401" i="5"/>
  <c r="X785" i="6"/>
  <c r="S371" i="5"/>
  <c r="X725" i="6"/>
  <c r="S370" i="5"/>
  <c r="X723" i="6"/>
  <c r="S521" i="5"/>
  <c r="X963" i="6"/>
  <c r="S490" i="5"/>
  <c r="S571" i="5"/>
  <c r="X1125" i="6"/>
  <c r="S524" i="5"/>
  <c r="S491" i="5"/>
  <c r="X965" i="6"/>
  <c r="S525" i="5"/>
  <c r="X1033" i="6"/>
  <c r="S561" i="5"/>
  <c r="X1105" i="6"/>
  <c r="S585" i="5"/>
  <c r="X1153" i="6"/>
  <c r="X943" i="6"/>
  <c r="S480" i="5"/>
  <c r="X1195" i="6"/>
  <c r="S606" i="5"/>
  <c r="S441" i="5"/>
  <c r="X865" i="6"/>
  <c r="S399" i="5"/>
  <c r="X781" i="6"/>
  <c r="S398" i="5"/>
  <c r="X779" i="6"/>
  <c r="S397" i="5"/>
  <c r="X777" i="6"/>
  <c r="S395" i="5"/>
  <c r="X773" i="6"/>
  <c r="X1071" i="6"/>
  <c r="S544" i="5"/>
  <c r="X1015" i="6"/>
  <c r="S516" i="5"/>
  <c r="X847" i="6"/>
  <c r="S432" i="5"/>
  <c r="S425" i="5"/>
  <c r="X833" i="6"/>
  <c r="S424" i="5"/>
  <c r="X831" i="6"/>
  <c r="X775" i="6"/>
  <c r="S396" i="5"/>
  <c r="X771" i="6"/>
  <c r="S394" i="5"/>
  <c r="S609" i="5"/>
  <c r="X1201" i="6"/>
  <c r="S603" i="5"/>
  <c r="X1189" i="6"/>
  <c r="X1121" i="6"/>
  <c r="S569" i="5"/>
  <c r="S360" i="5"/>
  <c r="X703" i="6"/>
  <c r="X1073" i="6"/>
  <c r="S545" i="5"/>
  <c r="X1021" i="6"/>
  <c r="S519" i="5"/>
  <c r="X1019" i="6"/>
  <c r="S518" i="5"/>
  <c r="X593" i="6"/>
  <c r="S305" i="5"/>
  <c r="S304" i="5"/>
  <c r="X591" i="6"/>
  <c r="S279" i="5"/>
  <c r="X541" i="6"/>
  <c r="X539" i="6"/>
  <c r="S278" i="5"/>
  <c r="S277" i="5"/>
  <c r="X537" i="6"/>
  <c r="S276" i="5"/>
  <c r="X535" i="6"/>
  <c r="X533" i="6"/>
  <c r="S275" i="5"/>
  <c r="S274" i="5"/>
  <c r="X531" i="6"/>
  <c r="S665" i="5"/>
  <c r="X1313" i="6"/>
  <c r="X1135" i="6"/>
  <c r="S576" i="5"/>
  <c r="S568" i="5"/>
  <c r="X1119" i="6"/>
  <c r="X1087" i="6"/>
  <c r="S552" i="5"/>
  <c r="X1011" i="6"/>
  <c r="S514" i="5"/>
  <c r="X1017" i="6"/>
  <c r="S517" i="5"/>
  <c r="S515" i="5"/>
  <c r="X1013" i="6"/>
  <c r="X1361" i="6"/>
  <c r="S689" i="5"/>
  <c r="X1183" i="6"/>
  <c r="S600" i="5"/>
  <c r="S684" i="5"/>
  <c r="S426" i="5"/>
  <c r="S418" i="5"/>
  <c r="X819" i="6"/>
  <c r="S410" i="5"/>
  <c r="S408" i="5"/>
  <c r="S307" i="5"/>
  <c r="X597" i="6"/>
  <c r="X595" i="6"/>
  <c r="S306" i="5"/>
  <c r="S298" i="5"/>
  <c r="X579" i="6"/>
  <c r="S290" i="5"/>
  <c r="S288" i="5"/>
  <c r="S286" i="5"/>
  <c r="S252" i="5"/>
  <c r="S613" i="5"/>
  <c r="X1209" i="6"/>
  <c r="S630" i="5"/>
  <c r="X1243" i="6"/>
  <c r="X1223" i="6"/>
  <c r="S620" i="5"/>
  <c r="S612" i="5"/>
  <c r="X1207" i="6"/>
  <c r="S646" i="5"/>
  <c r="X1275" i="6"/>
  <c r="X1283" i="6"/>
  <c r="S650" i="5"/>
  <c r="X1215" i="6"/>
  <c r="S616" i="5"/>
  <c r="S617" i="5"/>
  <c r="S231" i="5"/>
  <c r="X445" i="6"/>
  <c r="S230" i="5"/>
  <c r="X443" i="6"/>
  <c r="X441" i="6"/>
  <c r="S229" i="5"/>
  <c r="X439" i="6"/>
  <c r="S228" i="5"/>
  <c r="S227" i="5"/>
  <c r="X437" i="6"/>
  <c r="S226" i="5"/>
  <c r="X435" i="6"/>
  <c r="S647" i="5"/>
  <c r="X1277" i="6"/>
  <c r="S629" i="5"/>
  <c r="X1241" i="6"/>
  <c r="S651" i="5"/>
  <c r="X1285" i="6"/>
  <c r="X851" i="6"/>
  <c r="S434" i="5"/>
  <c r="X611" i="6"/>
  <c r="S314" i="5"/>
  <c r="X825" i="6"/>
  <c r="S421" i="5"/>
  <c r="X1113" i="6"/>
  <c r="S565" i="5"/>
  <c r="S541" i="5"/>
  <c r="X1065" i="6"/>
  <c r="X873" i="6"/>
  <c r="S445" i="5"/>
  <c r="S435" i="5"/>
  <c r="X853" i="6"/>
  <c r="S431" i="5"/>
  <c r="X845" i="6"/>
  <c r="X753" i="6"/>
  <c r="S385" i="5"/>
  <c r="X743" i="6"/>
  <c r="S380" i="5"/>
  <c r="X741" i="6"/>
  <c r="S379" i="5"/>
  <c r="S335" i="5"/>
  <c r="X653" i="6"/>
  <c r="S315" i="5"/>
  <c r="X613" i="6"/>
  <c r="S311" i="5"/>
  <c r="X605" i="6"/>
  <c r="X585" i="6"/>
  <c r="S301" i="5"/>
  <c r="X515" i="6"/>
  <c r="S266" i="5"/>
  <c r="X513" i="6"/>
  <c r="S265" i="5"/>
  <c r="X501" i="6"/>
  <c r="S259" i="5"/>
  <c r="S679" i="5"/>
  <c r="X1341" i="6"/>
  <c r="S676" i="5"/>
  <c r="X1335" i="6"/>
  <c r="X527" i="6"/>
  <c r="S272" i="5"/>
  <c r="X507" i="6"/>
  <c r="S262" i="5"/>
  <c r="S321" i="5"/>
  <c r="X625" i="6"/>
  <c r="X607" i="6"/>
  <c r="S312" i="5"/>
  <c r="S461" i="5"/>
  <c r="X905" i="6"/>
  <c r="X899" i="6"/>
  <c r="S458" i="5"/>
  <c r="X665" i="6"/>
  <c r="S341" i="5"/>
  <c r="X659" i="6"/>
  <c r="S338" i="5"/>
  <c r="X425" i="6"/>
  <c r="S221" i="5"/>
  <c r="S220" i="5"/>
  <c r="X423" i="6"/>
  <c r="X419" i="6"/>
  <c r="S218" i="5"/>
  <c r="X417" i="6"/>
  <c r="S217" i="5"/>
  <c r="S212" i="5"/>
  <c r="X407" i="6"/>
  <c r="X405" i="6"/>
  <c r="S211" i="5"/>
  <c r="S197" i="5"/>
  <c r="X377" i="6"/>
  <c r="S196" i="5"/>
  <c r="X375" i="6"/>
  <c r="X371" i="6"/>
  <c r="S194" i="5"/>
  <c r="X369" i="6"/>
  <c r="S193" i="5"/>
  <c r="X359" i="6"/>
  <c r="S188" i="5"/>
  <c r="S173" i="5"/>
  <c r="X329" i="6"/>
  <c r="X327" i="6"/>
  <c r="S172" i="5"/>
  <c r="X323" i="6"/>
  <c r="S170" i="5"/>
  <c r="S169" i="5"/>
  <c r="X321" i="6"/>
  <c r="X311" i="6"/>
  <c r="S164" i="5"/>
  <c r="X1001" i="6"/>
  <c r="S509" i="5"/>
  <c r="X907" i="6"/>
  <c r="S462" i="5"/>
  <c r="S459" i="5"/>
  <c r="X901" i="6"/>
  <c r="S455" i="5"/>
  <c r="X893" i="6"/>
  <c r="S343" i="5"/>
  <c r="X669" i="6"/>
  <c r="X667" i="6"/>
  <c r="S342" i="5"/>
  <c r="S339" i="5"/>
  <c r="X661" i="6"/>
  <c r="S326" i="5"/>
  <c r="X635" i="6"/>
  <c r="S325" i="5"/>
  <c r="X633" i="6"/>
  <c r="S269" i="5"/>
  <c r="X521" i="6"/>
  <c r="S268" i="5"/>
  <c r="X519" i="6"/>
  <c r="S101" i="5"/>
  <c r="X185" i="6"/>
  <c r="S97" i="5"/>
  <c r="X177" i="6"/>
  <c r="S706" i="5"/>
  <c r="X1395" i="6"/>
  <c r="S716" i="5"/>
  <c r="X1415" i="6"/>
  <c r="X1399" i="6"/>
  <c r="S708" i="5"/>
  <c r="S667" i="5"/>
  <c r="X1317" i="6"/>
  <c r="S322" i="5"/>
  <c r="X627" i="6"/>
  <c r="X1327" i="6"/>
  <c r="S672" i="5"/>
  <c r="X357" i="6"/>
  <c r="S187" i="5"/>
  <c r="X309" i="6"/>
  <c r="S163" i="5"/>
  <c r="S700" i="5"/>
  <c r="X1383" i="6"/>
  <c r="S718" i="5"/>
  <c r="X1419" i="6"/>
  <c r="S699" i="5"/>
  <c r="X1381" i="6"/>
  <c r="S74" i="5"/>
  <c r="X131" i="6"/>
  <c r="S67" i="5"/>
  <c r="X117" i="6"/>
  <c r="S50" i="5"/>
  <c r="X83" i="6"/>
  <c r="S44" i="5"/>
  <c r="S35" i="5"/>
  <c r="X53" i="6"/>
  <c r="S40" i="5"/>
  <c r="X63" i="6"/>
  <c r="S37" i="5"/>
  <c r="S53" i="5"/>
  <c r="S34" i="5"/>
  <c r="X51" i="6"/>
  <c r="S120" i="5"/>
  <c r="X223" i="6"/>
  <c r="S119" i="5"/>
  <c r="S54" i="5"/>
  <c r="X91" i="6"/>
  <c r="S36" i="5"/>
  <c r="X55" i="6"/>
  <c r="S49" i="5"/>
  <c r="X81" i="6"/>
  <c r="S122" i="5"/>
  <c r="X88" i="5"/>
  <c r="X159" i="6"/>
  <c r="X84" i="5"/>
  <c r="X151" i="6"/>
  <c r="T52" i="5"/>
  <c r="X87" i="6"/>
  <c r="T43" i="5"/>
  <c r="X69" i="6"/>
  <c r="S92" i="5" l="1"/>
  <c r="X167" i="6"/>
  <c r="S29" i="5"/>
  <c r="X41" i="6"/>
  <c r="W524" i="5"/>
  <c r="X1031" i="6"/>
  <c r="V467" i="5"/>
  <c r="X917" i="6"/>
  <c r="U356" i="5"/>
  <c r="X695" i="6"/>
  <c r="V410" i="5"/>
  <c r="X803" i="6"/>
  <c r="W521" i="5"/>
  <c r="X1025" i="6"/>
  <c r="X119" i="6"/>
  <c r="S68" i="5"/>
  <c r="X33" i="6"/>
  <c r="S25" i="5"/>
  <c r="V422" i="5"/>
  <c r="X827" i="6"/>
  <c r="V476" i="5"/>
  <c r="X935" i="6"/>
  <c r="U350" i="5"/>
  <c r="X683" i="6"/>
  <c r="X219" i="6"/>
  <c r="S118" i="5"/>
  <c r="S340" i="5"/>
  <c r="X663" i="6"/>
  <c r="S260" i="5"/>
  <c r="X503" i="6"/>
  <c r="S270" i="5"/>
  <c r="X523" i="6"/>
  <c r="X561" i="6"/>
  <c r="S289" i="5"/>
  <c r="X587" i="6"/>
  <c r="S302" i="5"/>
  <c r="S697" i="5"/>
  <c r="X1377" i="6"/>
  <c r="X621" i="6"/>
  <c r="S319" i="5"/>
  <c r="X727" i="6"/>
  <c r="S372" i="5"/>
  <c r="X735" i="6"/>
  <c r="S376" i="5"/>
  <c r="S389" i="5"/>
  <c r="X761" i="6"/>
  <c r="S406" i="5"/>
  <c r="X795" i="6"/>
  <c r="S478" i="5"/>
  <c r="X939" i="6"/>
  <c r="S287" i="5"/>
  <c r="X557" i="6"/>
  <c r="T37" i="5"/>
  <c r="X57" i="6"/>
  <c r="T44" i="5"/>
  <c r="X71" i="6"/>
  <c r="T53" i="5"/>
  <c r="X89" i="6"/>
  <c r="X103" i="6"/>
  <c r="T60" i="5"/>
  <c r="T64" i="5"/>
  <c r="X111" i="6"/>
  <c r="X1213" i="6"/>
  <c r="S615" i="5"/>
  <c r="V113" i="5"/>
  <c r="X209" i="6"/>
  <c r="S669" i="5"/>
  <c r="X1321" i="6"/>
  <c r="S683" i="5"/>
  <c r="X1349" i="6"/>
  <c r="S495" i="5"/>
  <c r="X973" i="6"/>
  <c r="X1111" i="6"/>
  <c r="S564" i="5"/>
  <c r="X841" i="6"/>
  <c r="S429" i="5"/>
  <c r="X821" i="6"/>
  <c r="S419" i="5"/>
  <c r="S415" i="5"/>
  <c r="X813" i="6"/>
  <c r="S532" i="5"/>
  <c r="X1047" i="6"/>
  <c r="X733" i="6"/>
  <c r="S375" i="5"/>
  <c r="S332" i="5"/>
  <c r="X647" i="6"/>
  <c r="X581" i="6"/>
  <c r="S299" i="5"/>
  <c r="S295" i="5"/>
  <c r="X573" i="6"/>
  <c r="X569" i="6"/>
  <c r="S293" i="5"/>
  <c r="S263" i="5"/>
  <c r="X509" i="6"/>
  <c r="X1055" i="6"/>
  <c r="S536" i="5"/>
  <c r="T31" i="5"/>
  <c r="X45" i="6"/>
  <c r="X977" i="6"/>
  <c r="S497" i="5"/>
  <c r="X1129" i="6"/>
  <c r="S573" i="5"/>
  <c r="S548" i="5"/>
  <c r="X1079" i="6"/>
  <c r="X839" i="6"/>
  <c r="S428" i="5"/>
  <c r="S417" i="5"/>
  <c r="X817" i="6"/>
  <c r="S374" i="5"/>
  <c r="X731" i="6"/>
  <c r="X649" i="6"/>
  <c r="S333" i="5"/>
  <c r="X1049" i="6"/>
  <c r="S533" i="5"/>
  <c r="S296" i="5"/>
  <c r="X575" i="6"/>
  <c r="S292" i="5"/>
  <c r="X567" i="6"/>
  <c r="T23" i="5"/>
  <c r="X29" i="6"/>
  <c r="V414" i="5"/>
  <c r="X811" i="6"/>
  <c r="V412" i="5"/>
  <c r="X807" i="6"/>
  <c r="U310" i="5"/>
  <c r="X603" i="6"/>
  <c r="V444" i="5"/>
  <c r="X871" i="6"/>
  <c r="W574" i="5"/>
  <c r="X1131" i="6"/>
  <c r="S453" i="5"/>
  <c r="X889" i="6"/>
  <c r="S443" i="5"/>
  <c r="X869" i="6"/>
  <c r="X657" i="6"/>
  <c r="S337" i="5"/>
  <c r="X631" i="6"/>
  <c r="S324" i="5"/>
  <c r="S264" i="5"/>
  <c r="X511" i="6"/>
  <c r="S95" i="5"/>
  <c r="X173" i="6"/>
  <c r="X79" i="6"/>
  <c r="T48" i="5"/>
  <c r="X65" i="6"/>
  <c r="T41" i="5"/>
  <c r="X1063" i="6"/>
  <c r="S540" i="5"/>
  <c r="T96" i="5"/>
  <c r="X175" i="6"/>
  <c r="X891" i="6"/>
  <c r="S454" i="5"/>
  <c r="S383" i="5"/>
  <c r="X749" i="6"/>
  <c r="S334" i="5"/>
  <c r="X651" i="6"/>
  <c r="S504" i="5"/>
  <c r="X991" i="6"/>
  <c r="T503" i="5"/>
  <c r="X989" i="6"/>
  <c r="S670" i="5"/>
  <c r="X1323" i="6"/>
  <c r="S655" i="5"/>
  <c r="X1293" i="6"/>
  <c r="T623" i="5"/>
  <c r="X1229" i="6"/>
  <c r="X1231" i="6"/>
  <c r="T624" i="5"/>
  <c r="T77" i="5"/>
  <c r="X137" i="6"/>
  <c r="S294" i="5"/>
  <c r="X571" i="6"/>
  <c r="S258" i="5"/>
  <c r="X499" i="6"/>
  <c r="X491" i="6"/>
  <c r="S254" i="5"/>
  <c r="X1089" i="6"/>
  <c r="S553" i="5"/>
  <c r="X1061" i="6"/>
  <c r="S539" i="5"/>
  <c r="T32" i="5"/>
  <c r="X47" i="6"/>
  <c r="T28" i="5"/>
  <c r="X39" i="6"/>
  <c r="T33" i="5"/>
  <c r="X49" i="6"/>
  <c r="T66" i="5"/>
  <c r="X115" i="6"/>
  <c r="T62" i="5"/>
  <c r="X107" i="6"/>
  <c r="T90" i="5"/>
  <c r="X163" i="6"/>
  <c r="T63" i="5"/>
  <c r="X109" i="6"/>
  <c r="X583" i="6"/>
  <c r="S300" i="5"/>
  <c r="X1029" i="6"/>
  <c r="S523" i="5"/>
  <c r="X1003" i="6"/>
  <c r="S510" i="5"/>
  <c r="S529" i="5"/>
  <c r="X1041" i="6"/>
  <c r="X1179" i="6"/>
  <c r="S598" i="5"/>
  <c r="X967" i="6"/>
  <c r="S492" i="5"/>
  <c r="S526" i="5"/>
  <c r="X1035" i="6"/>
  <c r="S601" i="5"/>
  <c r="X1185" i="6"/>
  <c r="X553" i="6"/>
  <c r="S285" i="5"/>
  <c r="X549" i="6"/>
  <c r="S283" i="5"/>
  <c r="S282" i="5"/>
  <c r="X547" i="6"/>
  <c r="X545" i="6"/>
  <c r="S281" i="5"/>
  <c r="S280" i="5"/>
  <c r="X543" i="6"/>
  <c r="S251" i="5"/>
  <c r="X485" i="6"/>
  <c r="S250" i="5"/>
  <c r="X483" i="6"/>
  <c r="X1045" i="6"/>
  <c r="S531" i="5"/>
  <c r="S530" i="5"/>
  <c r="X1043" i="6"/>
  <c r="S528" i="5"/>
  <c r="X1039" i="6"/>
  <c r="T85" i="5"/>
  <c r="X153" i="6"/>
  <c r="T21" i="5"/>
  <c r="X25" i="6"/>
  <c r="T18" i="5"/>
  <c r="X19" i="6"/>
  <c r="X1315" i="6"/>
  <c r="S666" i="5"/>
  <c r="X1077" i="6"/>
  <c r="S547" i="5"/>
  <c r="T20" i="5"/>
  <c r="X23" i="6"/>
  <c r="T17" i="5"/>
  <c r="X17" i="6"/>
  <c r="T16" i="5"/>
  <c r="X15" i="6"/>
  <c r="S538" i="5"/>
  <c r="X1059" i="6"/>
  <c r="X1027" i="6"/>
  <c r="S522" i="5"/>
  <c r="T83" i="5"/>
  <c r="X149" i="6"/>
  <c r="T82" i="5"/>
  <c r="X147" i="6"/>
  <c r="T80" i="5"/>
  <c r="X143" i="6"/>
  <c r="T15" i="5"/>
  <c r="X13" i="6"/>
  <c r="T13" i="5"/>
  <c r="X9" i="6"/>
  <c r="T70" i="5"/>
  <c r="X123" i="6"/>
  <c r="T58" i="5"/>
  <c r="X99" i="6"/>
  <c r="T22" i="5"/>
  <c r="X27" i="6"/>
  <c r="X705" i="6"/>
  <c r="S361" i="5"/>
  <c r="S373" i="5"/>
  <c r="X729" i="6"/>
  <c r="X797" i="6"/>
  <c r="S407" i="5"/>
  <c r="S409" i="5"/>
  <c r="X801" i="6"/>
  <c r="X805" i="6"/>
  <c r="S411" i="5"/>
  <c r="X837" i="6"/>
  <c r="S427" i="5"/>
  <c r="S694" i="5"/>
  <c r="X1371" i="6"/>
  <c r="X945" i="6"/>
  <c r="S481" i="5"/>
  <c r="S693" i="5"/>
  <c r="X1369" i="6"/>
  <c r="T61" i="5"/>
  <c r="X105" i="6"/>
  <c r="T78" i="5"/>
  <c r="X139" i="6"/>
  <c r="S614" i="5"/>
  <c r="X1211" i="6"/>
  <c r="S59" i="5"/>
  <c r="X101" i="6"/>
  <c r="X1295" i="6"/>
  <c r="X656" i="5"/>
  <c r="S65" i="5"/>
  <c r="X113" i="6"/>
  <c r="S30" i="5"/>
  <c r="X43" i="6"/>
  <c r="S38" i="5"/>
  <c r="X59" i="6"/>
  <c r="S87" i="5"/>
  <c r="X157" i="6"/>
  <c r="S71" i="5"/>
  <c r="X125" i="6"/>
  <c r="U346" i="5"/>
  <c r="X675" i="6"/>
  <c r="U253" i="5"/>
  <c r="X489" i="6"/>
  <c r="U291" i="5"/>
  <c r="X565" i="6"/>
  <c r="U358" i="5"/>
  <c r="X699" i="6"/>
  <c r="V408" i="5"/>
  <c r="X799" i="6"/>
  <c r="V426" i="5"/>
  <c r="X835" i="6"/>
  <c r="X684" i="5"/>
  <c r="X1351" i="6"/>
  <c r="X673" i="5"/>
  <c r="X1329" i="6"/>
  <c r="X617" i="5"/>
  <c r="X1217" i="6"/>
  <c r="U252" i="5"/>
  <c r="X487" i="6"/>
  <c r="U286" i="5"/>
  <c r="X555" i="6"/>
  <c r="U288" i="5"/>
  <c r="X559" i="6"/>
  <c r="U290" i="5"/>
  <c r="X563" i="6"/>
  <c r="W546" i="5"/>
  <c r="X1075" i="6"/>
  <c r="W493" i="5"/>
  <c r="X969" i="6"/>
  <c r="U331" i="5"/>
  <c r="X645" i="6"/>
  <c r="U330" i="5"/>
  <c r="X643" i="6"/>
  <c r="U284" i="5"/>
  <c r="X551" i="6"/>
  <c r="W527" i="5"/>
  <c r="X1037" i="6"/>
  <c r="W496" i="5"/>
  <c r="X975" i="6"/>
  <c r="W494" i="5"/>
  <c r="X971" i="6"/>
  <c r="S72" i="5"/>
  <c r="X127" i="6"/>
  <c r="S42" i="5"/>
  <c r="X67" i="6"/>
  <c r="W549" i="5"/>
  <c r="X1081" i="6"/>
  <c r="W534" i="5"/>
  <c r="X1051" i="6"/>
  <c r="V433" i="5"/>
  <c r="X849" i="6"/>
  <c r="U308" i="5"/>
  <c r="X599" i="6"/>
  <c r="U255" i="5"/>
  <c r="X493" i="6"/>
  <c r="W563" i="5"/>
  <c r="X1109" i="6"/>
  <c r="S47" i="5"/>
  <c r="X77" i="6"/>
  <c r="S39" i="5"/>
  <c r="X61" i="6"/>
  <c r="V452" i="5"/>
  <c r="X887" i="6"/>
  <c r="W537" i="5"/>
  <c r="X1057" i="6"/>
  <c r="W498" i="5"/>
  <c r="X979" i="6"/>
  <c r="W577" i="5"/>
  <c r="X1137" i="6"/>
  <c r="S457" i="5"/>
  <c r="X897" i="6"/>
  <c r="X843" i="6"/>
  <c r="S430" i="5"/>
  <c r="S420" i="5"/>
  <c r="X823" i="6"/>
  <c r="X815" i="6"/>
  <c r="S416" i="5"/>
  <c r="X809" i="6"/>
  <c r="S413" i="5"/>
  <c r="S535" i="5"/>
  <c r="X1053" i="6"/>
  <c r="X751" i="6"/>
  <c r="S384" i="5"/>
  <c r="S377" i="5"/>
  <c r="X737" i="6"/>
  <c r="X609" i="6"/>
  <c r="S313" i="5"/>
  <c r="S572" i="5"/>
  <c r="X1127" i="6"/>
  <c r="S309" i="5"/>
  <c r="X601" i="6"/>
  <c r="S297" i="5"/>
  <c r="X577" i="6"/>
  <c r="S19" i="5"/>
  <c r="X21" i="6"/>
  <c r="T114" i="5"/>
  <c r="X211" i="6"/>
  <c r="T119" i="5"/>
  <c r="X221" i="6"/>
  <c r="S12" i="5"/>
  <c r="X7" i="6"/>
  <c r="X682" i="5"/>
  <c r="X1347" i="6"/>
  <c r="S14" i="5"/>
  <c r="X11" i="6"/>
  <c r="S10" i="5"/>
  <c r="X3" i="6"/>
  <c r="X1247" i="6"/>
  <c r="S632" i="5"/>
  <c r="S611" i="5"/>
  <c r="X1205" i="6"/>
  <c r="X1191" i="6"/>
  <c r="S604" i="5"/>
  <c r="S484" i="5"/>
  <c r="X951" i="6"/>
  <c r="S463" i="5"/>
  <c r="X909" i="6"/>
  <c r="X995" i="6"/>
  <c r="S506" i="5"/>
  <c r="S460" i="5"/>
  <c r="X903" i="6"/>
  <c r="X885" i="6"/>
  <c r="S451" i="5"/>
  <c r="X875" i="6"/>
  <c r="S446" i="5"/>
  <c r="S388" i="5"/>
  <c r="X759" i="6"/>
  <c r="S622" i="5"/>
  <c r="X1227" i="6"/>
  <c r="X755" i="6"/>
  <c r="S386" i="5"/>
  <c r="S640" i="5"/>
  <c r="X1263" i="6"/>
  <c r="X1273" i="6"/>
  <c r="S645" i="5"/>
  <c r="X1271" i="6"/>
  <c r="S644" i="5"/>
  <c r="S626" i="5"/>
  <c r="X1235" i="6"/>
  <c r="X1269" i="6"/>
  <c r="S643" i="5"/>
  <c r="S642" i="5"/>
  <c r="X1267" i="6"/>
  <c r="X1203" i="6"/>
  <c r="S610" i="5"/>
  <c r="X1265" i="6"/>
  <c r="S641" i="5"/>
  <c r="T122" i="5"/>
  <c r="X227" i="6"/>
  <c r="X183" i="6"/>
  <c r="S100" i="5"/>
  <c r="S98" i="5"/>
  <c r="X179" i="6"/>
  <c r="S628" i="5"/>
  <c r="X1239" i="6"/>
  <c r="T731" i="5" l="1"/>
  <c r="T732" i="5"/>
  <c r="T734" i="5" s="1"/>
  <c r="V732" i="5"/>
  <c r="V734" i="5" s="1"/>
  <c r="V731" i="5"/>
  <c r="U732" i="5"/>
  <c r="U734" i="5" s="1"/>
  <c r="U731" i="5"/>
  <c r="W731" i="5"/>
  <c r="W732" i="5"/>
  <c r="W734" i="5" s="1"/>
  <c r="X731" i="5"/>
  <c r="X732" i="5"/>
  <c r="X734" i="5" s="1"/>
  <c r="S731" i="5"/>
  <c r="S732" i="5"/>
  <c r="X733" i="5" l="1"/>
  <c r="S734" i="5"/>
  <c r="X735" i="5" s="1"/>
  <c r="X736" i="5" s="1"/>
</calcChain>
</file>

<file path=xl/sharedStrings.xml><?xml version="1.0" encoding="utf-8"?>
<sst xmlns="http://schemas.openxmlformats.org/spreadsheetml/2006/main" count="13081" uniqueCount="814">
  <si>
    <t>The only data that needs to be filled in is on Input and Orientations tab.</t>
  </si>
  <si>
    <t>Just enter data in the user input boxes (15 boxes total, just one side of the pairwise comparison), all other tabs will be auto calculated</t>
  </si>
  <si>
    <t>The Rankings tab shows the scores. Scroll down.</t>
  </si>
  <si>
    <t>The input boxes are the colored cells below the diagonal of the User Input block (A4, A5:B5, A6:C6, A7:D7, A8:E8). Sample values are pre-filled; overwrite them with your own judgments.</t>
  </si>
  <si>
    <t>Each entry must be strictly between 0 and 100 (an entry of exactly 0 or 100 causes a divide-by-zero in the ratios).</t>
  </si>
  <si>
    <t>Perm #</t>
  </si>
  <si>
    <t>Column1</t>
  </si>
  <si>
    <t>Column2</t>
  </si>
  <si>
    <t>Column3</t>
  </si>
  <si>
    <t>Column4</t>
  </si>
  <si>
    <t>Column5</t>
  </si>
  <si>
    <t>Column6</t>
  </si>
  <si>
    <t>Perm Copy (just for easing manual copy and paste)</t>
  </si>
  <si>
    <t xml:space="preserve"> </t>
  </si>
  <si>
    <t>p1 - i1:i2</t>
  </si>
  <si>
    <t>p2 - i2:i3</t>
  </si>
  <si>
    <t>p3 - i3:i4</t>
  </si>
  <si>
    <t>p4 - i4:i5</t>
  </si>
  <si>
    <t>p15 - i5:i6</t>
  </si>
  <si>
    <t>p14 - i4:i6</t>
  </si>
  <si>
    <t>p151 - i6:i5</t>
  </si>
  <si>
    <t>p6 - i3:i5</t>
  </si>
  <si>
    <t>p41 - i5:i4</t>
  </si>
  <si>
    <t>p141 - i6:i4</t>
  </si>
  <si>
    <t>p13 - i3:i6</t>
  </si>
  <si>
    <t>p5 - i2:i4</t>
  </si>
  <si>
    <t>p31 - i4:i3</t>
  </si>
  <si>
    <t>p61 - i5:i3</t>
  </si>
  <si>
    <t>p131 - i6:i3</t>
  </si>
  <si>
    <t>p7 - i2:i5</t>
  </si>
  <si>
    <t>p12 - i2:i6</t>
  </si>
  <si>
    <t>p8 - i1:i3</t>
  </si>
  <si>
    <t>p21 - i3:i2</t>
  </si>
  <si>
    <t>p51 - i4:i2</t>
  </si>
  <si>
    <t>p71 - i5:i2</t>
  </si>
  <si>
    <t>p121 - i6:i2</t>
  </si>
  <si>
    <t>p9 - i1:i4</t>
  </si>
  <si>
    <t>p10 - i1:i5</t>
  </si>
  <si>
    <t>p11 - i1:i6</t>
  </si>
  <si>
    <t>p11 - i2:i1</t>
  </si>
  <si>
    <t>p81 - i3:i1</t>
  </si>
  <si>
    <t>p91 - i4:i1</t>
  </si>
  <si>
    <t>p101 - i5:i1</t>
  </si>
  <si>
    <t>p111 - i6:i1</t>
  </si>
  <si>
    <t>User Input</t>
  </si>
  <si>
    <t>Raw</t>
  </si>
  <si>
    <t>Ratios</t>
  </si>
  <si>
    <t>Reference</t>
  </si>
  <si>
    <t>i1</t>
  </si>
  <si>
    <t>i2</t>
  </si>
  <si>
    <t>i3</t>
  </si>
  <si>
    <t>i4</t>
  </si>
  <si>
    <t>i5</t>
  </si>
  <si>
    <t>i6</t>
  </si>
  <si>
    <t>r1</t>
  </si>
  <si>
    <t>Average</t>
  </si>
  <si>
    <t>r2</t>
  </si>
  <si>
    <t>r3</t>
  </si>
  <si>
    <t>r4</t>
  </si>
  <si>
    <t>r5</t>
  </si>
  <si>
    <t>r6</t>
  </si>
  <si>
    <t>sum</t>
  </si>
  <si>
    <t>Vlookup #</t>
  </si>
  <si>
    <t>Orientations</t>
  </si>
  <si>
    <t>Raw Weights</t>
  </si>
  <si>
    <t>Make sure this row is all 1's (this is needed to get the Sum Raw Weights to equal the Abbas example)</t>
  </si>
  <si>
    <t>Sum Raw Weights</t>
  </si>
  <si>
    <t>Normalized</t>
  </si>
  <si>
    <t>A</t>
  </si>
  <si>
    <t>B</t>
  </si>
  <si>
    <t>C</t>
  </si>
  <si>
    <t>D</t>
  </si>
  <si>
    <t>E</t>
  </si>
  <si>
    <t>F</t>
  </si>
  <si>
    <t>average score</t>
  </si>
  <si>
    <t>std dev</t>
  </si>
  <si>
    <t>HDM Inconsistency</t>
  </si>
  <si>
    <t>std dev squared</t>
  </si>
  <si>
    <t>std dev squared summed</t>
  </si>
  <si>
    <t>square root (of std dev squared summed) to lookup in RSV table</t>
  </si>
  <si>
    <t>Before Normalization</t>
  </si>
  <si>
    <t>Sum</t>
  </si>
  <si>
    <t>abcdef</t>
  </si>
  <si>
    <t>abcdfe</t>
  </si>
  <si>
    <t>abcedf</t>
  </si>
  <si>
    <t>abcefd</t>
  </si>
  <si>
    <t>abcfde</t>
  </si>
  <si>
    <t>abcfed</t>
  </si>
  <si>
    <t>abdcef</t>
  </si>
  <si>
    <t>abdcfe</t>
  </si>
  <si>
    <t>abdecf</t>
  </si>
  <si>
    <t>abdefc</t>
  </si>
  <si>
    <t>abdfce</t>
  </si>
  <si>
    <t>abdfec</t>
  </si>
  <si>
    <t>abecdf</t>
  </si>
  <si>
    <t>abecfd</t>
  </si>
  <si>
    <t>abedcf</t>
  </si>
  <si>
    <t>abedfc</t>
  </si>
  <si>
    <t>abefcd</t>
  </si>
  <si>
    <t>abefdc</t>
  </si>
  <si>
    <t>abfcde</t>
  </si>
  <si>
    <t>abfced</t>
  </si>
  <si>
    <t>abfdce</t>
  </si>
  <si>
    <t>abfdec</t>
  </si>
  <si>
    <t>abfecd</t>
  </si>
  <si>
    <t>abfedc</t>
  </si>
  <si>
    <t>acbdef</t>
  </si>
  <si>
    <t>acbdfe</t>
  </si>
  <si>
    <t>acbedf</t>
  </si>
  <si>
    <t>acbefd</t>
  </si>
  <si>
    <t>acbfde</t>
  </si>
  <si>
    <t>acbfed</t>
  </si>
  <si>
    <t>acdbef</t>
  </si>
  <si>
    <t>acdbfe</t>
  </si>
  <si>
    <t>acdebf</t>
  </si>
  <si>
    <t>acdefb</t>
  </si>
  <si>
    <t>acdfbe</t>
  </si>
  <si>
    <t>acdfeb</t>
  </si>
  <si>
    <t>acebdf</t>
  </si>
  <si>
    <t>acebfd</t>
  </si>
  <si>
    <t>acedbf</t>
  </si>
  <si>
    <t>acedfb</t>
  </si>
  <si>
    <t>acefbd</t>
  </si>
  <si>
    <t>acefdb</t>
  </si>
  <si>
    <t>acfbde</t>
  </si>
  <si>
    <t>acfbed</t>
  </si>
  <si>
    <t>acfdbe</t>
  </si>
  <si>
    <t>acfdeb</t>
  </si>
  <si>
    <t>acfebd</t>
  </si>
  <si>
    <t>acfedb</t>
  </si>
  <si>
    <t>adbcef</t>
  </si>
  <si>
    <t>adbcfe</t>
  </si>
  <si>
    <t>adbecf</t>
  </si>
  <si>
    <t>adbefc</t>
  </si>
  <si>
    <t>adbfce</t>
  </si>
  <si>
    <t>adbfec</t>
  </si>
  <si>
    <t>adcbef</t>
  </si>
  <si>
    <t>adcbfe</t>
  </si>
  <si>
    <t>adcebf</t>
  </si>
  <si>
    <t>adcefb</t>
  </si>
  <si>
    <t>adcfbe</t>
  </si>
  <si>
    <t>adcfeb</t>
  </si>
  <si>
    <t>adebcf</t>
  </si>
  <si>
    <t>adebfc</t>
  </si>
  <si>
    <t>adecbf</t>
  </si>
  <si>
    <t>adecfb</t>
  </si>
  <si>
    <t>adefbc</t>
  </si>
  <si>
    <t>adefcb</t>
  </si>
  <si>
    <t>adfbce</t>
  </si>
  <si>
    <t>adfbec</t>
  </si>
  <si>
    <t>adfcbe</t>
  </si>
  <si>
    <t>adfceb</t>
  </si>
  <si>
    <t>adfebc</t>
  </si>
  <si>
    <t>adfecb</t>
  </si>
  <si>
    <t>aebcdf</t>
  </si>
  <si>
    <t>aebcfd</t>
  </si>
  <si>
    <t>aebdcf</t>
  </si>
  <si>
    <t>aebdfc</t>
  </si>
  <si>
    <t>aebfcd</t>
  </si>
  <si>
    <t>aebfdc</t>
  </si>
  <si>
    <t>aecbdf</t>
  </si>
  <si>
    <t>aecbfd</t>
  </si>
  <si>
    <t>aecdbf</t>
  </si>
  <si>
    <t>aecdfb</t>
  </si>
  <si>
    <t>aecfbd</t>
  </si>
  <si>
    <t>aecfdb</t>
  </si>
  <si>
    <t>aedbcf</t>
  </si>
  <si>
    <t>aedbfc</t>
  </si>
  <si>
    <t>aedcbf</t>
  </si>
  <si>
    <t>aedcfb</t>
  </si>
  <si>
    <t>aedfbc</t>
  </si>
  <si>
    <t>aedfcb</t>
  </si>
  <si>
    <t>aefbcd</t>
  </si>
  <si>
    <t>aefbdc</t>
  </si>
  <si>
    <t>aefcbd</t>
  </si>
  <si>
    <t>aefcdb</t>
  </si>
  <si>
    <t>aefdbc</t>
  </si>
  <si>
    <t>aefdcb</t>
  </si>
  <si>
    <t>afbcde</t>
  </si>
  <si>
    <t>afbced</t>
  </si>
  <si>
    <t>afbdce</t>
  </si>
  <si>
    <t>afbdec</t>
  </si>
  <si>
    <t>afbecd</t>
  </si>
  <si>
    <t>afbedc</t>
  </si>
  <si>
    <t>afcbde</t>
  </si>
  <si>
    <t>afcbed</t>
  </si>
  <si>
    <t>afcdbe</t>
  </si>
  <si>
    <t>afcdeb</t>
  </si>
  <si>
    <t>afcebd</t>
  </si>
  <si>
    <t>afcedb</t>
  </si>
  <si>
    <t>afdbce</t>
  </si>
  <si>
    <t>afdbec</t>
  </si>
  <si>
    <t>afdcbe</t>
  </si>
  <si>
    <t>afdceb</t>
  </si>
  <si>
    <t>afdebc</t>
  </si>
  <si>
    <t>afdecb</t>
  </si>
  <si>
    <t>afebcd</t>
  </si>
  <si>
    <t>afebdc</t>
  </si>
  <si>
    <t>afecbd</t>
  </si>
  <si>
    <t>afecdb</t>
  </si>
  <si>
    <t>afedbc</t>
  </si>
  <si>
    <t>afedcb</t>
  </si>
  <si>
    <t>bacdef</t>
  </si>
  <si>
    <t>bacdfe</t>
  </si>
  <si>
    <t>bacedf</t>
  </si>
  <si>
    <t>bacefd</t>
  </si>
  <si>
    <t>bacfde</t>
  </si>
  <si>
    <t>bacfed</t>
  </si>
  <si>
    <t>badcef</t>
  </si>
  <si>
    <t>badcfe</t>
  </si>
  <si>
    <t>badecf</t>
  </si>
  <si>
    <t>badefc</t>
  </si>
  <si>
    <t>badfce</t>
  </si>
  <si>
    <t>badfec</t>
  </si>
  <si>
    <t>baecdf</t>
  </si>
  <si>
    <t>baecfd</t>
  </si>
  <si>
    <t>baedcf</t>
  </si>
  <si>
    <t>baedfc</t>
  </si>
  <si>
    <t>baefcd</t>
  </si>
  <si>
    <t>baefdc</t>
  </si>
  <si>
    <t>bafcde</t>
  </si>
  <si>
    <t>bafced</t>
  </si>
  <si>
    <t>bafdce</t>
  </si>
  <si>
    <t>bafdec</t>
  </si>
  <si>
    <t>bafecd</t>
  </si>
  <si>
    <t>bafedc</t>
  </si>
  <si>
    <t>bcadef</t>
  </si>
  <si>
    <t>bcadfe</t>
  </si>
  <si>
    <t>bcaedf</t>
  </si>
  <si>
    <t>bcaefd</t>
  </si>
  <si>
    <t>bcafde</t>
  </si>
  <si>
    <t>bcafed</t>
  </si>
  <si>
    <t>bcdaef</t>
  </si>
  <si>
    <t>bcdafe</t>
  </si>
  <si>
    <t>bcdeaf</t>
  </si>
  <si>
    <t>bcdefa</t>
  </si>
  <si>
    <t>bcdfae</t>
  </si>
  <si>
    <t>bcdfea</t>
  </si>
  <si>
    <t>bceadf</t>
  </si>
  <si>
    <t>bceafd</t>
  </si>
  <si>
    <t>bcedaf</t>
  </si>
  <si>
    <t>bcedfa</t>
  </si>
  <si>
    <t>bcefad</t>
  </si>
  <si>
    <t>bcefda</t>
  </si>
  <si>
    <t>bcfade</t>
  </si>
  <si>
    <t>bcfaed</t>
  </si>
  <si>
    <t>bcfdae</t>
  </si>
  <si>
    <t>bcfdea</t>
  </si>
  <si>
    <t>bcfead</t>
  </si>
  <si>
    <t>bcfeda</t>
  </si>
  <si>
    <t>bdacef</t>
  </si>
  <si>
    <t>bdacfe</t>
  </si>
  <si>
    <t>bdaecf</t>
  </si>
  <si>
    <t>bdaefc</t>
  </si>
  <si>
    <t>bdafce</t>
  </si>
  <si>
    <t>bdafec</t>
  </si>
  <si>
    <t>bdcaef</t>
  </si>
  <si>
    <t>bdcafe</t>
  </si>
  <si>
    <t>bdceaf</t>
  </si>
  <si>
    <t>bdcefa</t>
  </si>
  <si>
    <t>bdcfae</t>
  </si>
  <si>
    <t>bdcfea</t>
  </si>
  <si>
    <t>bdeacf</t>
  </si>
  <si>
    <t>bdeafc</t>
  </si>
  <si>
    <t>bdecaf</t>
  </si>
  <si>
    <t>bdecfa</t>
  </si>
  <si>
    <t>bdefac</t>
  </si>
  <si>
    <t>bdefca</t>
  </si>
  <si>
    <t>bdface</t>
  </si>
  <si>
    <t>bdfaec</t>
  </si>
  <si>
    <t>bdfcae</t>
  </si>
  <si>
    <t>bdfcea</t>
  </si>
  <si>
    <t>bdfeac</t>
  </si>
  <si>
    <t>bdfeca</t>
  </si>
  <si>
    <t>beacdf</t>
  </si>
  <si>
    <t>beacfd</t>
  </si>
  <si>
    <t>beadcf</t>
  </si>
  <si>
    <t>beadfc</t>
  </si>
  <si>
    <t>beafcd</t>
  </si>
  <si>
    <t>beafdc</t>
  </si>
  <si>
    <t>becadf</t>
  </si>
  <si>
    <t>becafd</t>
  </si>
  <si>
    <t>becdaf</t>
  </si>
  <si>
    <t>becdfa</t>
  </si>
  <si>
    <t>becfad</t>
  </si>
  <si>
    <t>becfda</t>
  </si>
  <si>
    <t>bedacf</t>
  </si>
  <si>
    <t>bedafc</t>
  </si>
  <si>
    <t>bedcaf</t>
  </si>
  <si>
    <t>bedcfa</t>
  </si>
  <si>
    <t>bedfac</t>
  </si>
  <si>
    <t>bedfca</t>
  </si>
  <si>
    <t>befacd</t>
  </si>
  <si>
    <t>befadc</t>
  </si>
  <si>
    <t>befcad</t>
  </si>
  <si>
    <t>befcda</t>
  </si>
  <si>
    <t>befdac</t>
  </si>
  <si>
    <t>befdca</t>
  </si>
  <si>
    <t>bfacde</t>
  </si>
  <si>
    <t>bfaced</t>
  </si>
  <si>
    <t>bfadce</t>
  </si>
  <si>
    <t>bfadec</t>
  </si>
  <si>
    <t>bfaecd</t>
  </si>
  <si>
    <t>bfaedc</t>
  </si>
  <si>
    <t>bfcade</t>
  </si>
  <si>
    <t>bfcaed</t>
  </si>
  <si>
    <t>bfcdae</t>
  </si>
  <si>
    <t>bfcdea</t>
  </si>
  <si>
    <t>bfcead</t>
  </si>
  <si>
    <t>bfceda</t>
  </si>
  <si>
    <t>bfdace</t>
  </si>
  <si>
    <t>bfdaec</t>
  </si>
  <si>
    <t>bfdcae</t>
  </si>
  <si>
    <t>bfdcea</t>
  </si>
  <si>
    <t>bfdeac</t>
  </si>
  <si>
    <t>bfdeca</t>
  </si>
  <si>
    <t>bfeacd</t>
  </si>
  <si>
    <t>bfeadc</t>
  </si>
  <si>
    <t>bfecad</t>
  </si>
  <si>
    <t>bfecda</t>
  </si>
  <si>
    <t>bfedac</t>
  </si>
  <si>
    <t>bfedca</t>
  </si>
  <si>
    <t>cabdef</t>
  </si>
  <si>
    <t>cabdfe</t>
  </si>
  <si>
    <t>cabedf</t>
  </si>
  <si>
    <t>cabefd</t>
  </si>
  <si>
    <t>cabfde</t>
  </si>
  <si>
    <t>cabfed</t>
  </si>
  <si>
    <t>cadbef</t>
  </si>
  <si>
    <t>cadbfe</t>
  </si>
  <si>
    <t>cadebf</t>
  </si>
  <si>
    <t>cadefb</t>
  </si>
  <si>
    <t>cadfbe</t>
  </si>
  <si>
    <t>cadfeb</t>
  </si>
  <si>
    <t>caebdf</t>
  </si>
  <si>
    <t>caebfd</t>
  </si>
  <si>
    <t>caedbf</t>
  </si>
  <si>
    <t>caedfb</t>
  </si>
  <si>
    <t>caefbd</t>
  </si>
  <si>
    <t>caefdb</t>
  </si>
  <si>
    <t>cafbde</t>
  </si>
  <si>
    <t>cafbed</t>
  </si>
  <si>
    <t>cafdbe</t>
  </si>
  <si>
    <t>cafdeb</t>
  </si>
  <si>
    <t>cafebd</t>
  </si>
  <si>
    <t>cafedb</t>
  </si>
  <si>
    <t>cbadef</t>
  </si>
  <si>
    <t>cbadfe</t>
  </si>
  <si>
    <t>cbaedf</t>
  </si>
  <si>
    <t>cbaefd</t>
  </si>
  <si>
    <t>cbafde</t>
  </si>
  <si>
    <t>cbafed</t>
  </si>
  <si>
    <t>cbdaef</t>
  </si>
  <si>
    <t>cbdafe</t>
  </si>
  <si>
    <t>cbdeaf</t>
  </si>
  <si>
    <t>cbdefa</t>
  </si>
  <si>
    <t>cbdfae</t>
  </si>
  <si>
    <t>cbdfea</t>
  </si>
  <si>
    <t>cbeadf</t>
  </si>
  <si>
    <t>cbeafd</t>
  </si>
  <si>
    <t>cbedaf</t>
  </si>
  <si>
    <t>cbedfa</t>
  </si>
  <si>
    <t>cbefad</t>
  </si>
  <si>
    <t>cbefda</t>
  </si>
  <si>
    <t>cbfade</t>
  </si>
  <si>
    <t>cbfaed</t>
  </si>
  <si>
    <t>cbfdae</t>
  </si>
  <si>
    <t>cbfdea</t>
  </si>
  <si>
    <t>cbfead</t>
  </si>
  <si>
    <t>cbfeda</t>
  </si>
  <si>
    <t>cdabef</t>
  </si>
  <si>
    <t>cdabfe</t>
  </si>
  <si>
    <t>cdaebf</t>
  </si>
  <si>
    <t>cdaefb</t>
  </si>
  <si>
    <t>cdafbe</t>
  </si>
  <si>
    <t>cdafeb</t>
  </si>
  <si>
    <t>cdbaef</t>
  </si>
  <si>
    <t>cdbafe</t>
  </si>
  <si>
    <t>cdbeaf</t>
  </si>
  <si>
    <t>cdbefa</t>
  </si>
  <si>
    <t>cdbfae</t>
  </si>
  <si>
    <t>cdbfea</t>
  </si>
  <si>
    <t>cdeabf</t>
  </si>
  <si>
    <t>cdeafb</t>
  </si>
  <si>
    <t>cdebaf</t>
  </si>
  <si>
    <t>cdebfa</t>
  </si>
  <si>
    <t>cdefab</t>
  </si>
  <si>
    <t>cdefba</t>
  </si>
  <si>
    <t>cdfabe</t>
  </si>
  <si>
    <t>cdfaeb</t>
  </si>
  <si>
    <t>cdfbae</t>
  </si>
  <si>
    <t>cdfbea</t>
  </si>
  <si>
    <t>cdfeab</t>
  </si>
  <si>
    <t>cdfeba</t>
  </si>
  <si>
    <t>ceabdf</t>
  </si>
  <si>
    <t>ceabfd</t>
  </si>
  <si>
    <t>ceadbf</t>
  </si>
  <si>
    <t>ceadfb</t>
  </si>
  <si>
    <t>ceafbd</t>
  </si>
  <si>
    <t>ceafdb</t>
  </si>
  <si>
    <t>cebadf</t>
  </si>
  <si>
    <t>cebafd</t>
  </si>
  <si>
    <t>cebdaf</t>
  </si>
  <si>
    <t>cebdfa</t>
  </si>
  <si>
    <t>cebfad</t>
  </si>
  <si>
    <t>cebfda</t>
  </si>
  <si>
    <t>cedabf</t>
  </si>
  <si>
    <t>cedafb</t>
  </si>
  <si>
    <t>cedbaf</t>
  </si>
  <si>
    <t>cedbfa</t>
  </si>
  <si>
    <t>cedfab</t>
  </si>
  <si>
    <t>cedfba</t>
  </si>
  <si>
    <t>cefabd</t>
  </si>
  <si>
    <t>cefadb</t>
  </si>
  <si>
    <t>cefbad</t>
  </si>
  <si>
    <t>cefbda</t>
  </si>
  <si>
    <t>cefdab</t>
  </si>
  <si>
    <t>cefdba</t>
  </si>
  <si>
    <t>cfabde</t>
  </si>
  <si>
    <t>cfabed</t>
  </si>
  <si>
    <t>cfadbe</t>
  </si>
  <si>
    <t>cfadeb</t>
  </si>
  <si>
    <t>cfaebd</t>
  </si>
  <si>
    <t>cfaedb</t>
  </si>
  <si>
    <t>cfbade</t>
  </si>
  <si>
    <t>cfbaed</t>
  </si>
  <si>
    <t>cfbdae</t>
  </si>
  <si>
    <t>cfbdea</t>
  </si>
  <si>
    <t>cfbead</t>
  </si>
  <si>
    <t>cfbeda</t>
  </si>
  <si>
    <t>cfdabe</t>
  </si>
  <si>
    <t>cfdaeb</t>
  </si>
  <si>
    <t>cfdbae</t>
  </si>
  <si>
    <t>cfdbea</t>
  </si>
  <si>
    <t>cfdeab</t>
  </si>
  <si>
    <t>cfdeba</t>
  </si>
  <si>
    <t>cfeabd</t>
  </si>
  <si>
    <t>cfeadb</t>
  </si>
  <si>
    <t>cfebad</t>
  </si>
  <si>
    <t>cfebda</t>
  </si>
  <si>
    <t>cfedab</t>
  </si>
  <si>
    <t>cfedba</t>
  </si>
  <si>
    <t>dabcef</t>
  </si>
  <si>
    <t>dabcfe</t>
  </si>
  <si>
    <t>dabecf</t>
  </si>
  <si>
    <t>dabefc</t>
  </si>
  <si>
    <t>dabfce</t>
  </si>
  <si>
    <t>dabfec</t>
  </si>
  <si>
    <t>dacbef</t>
  </si>
  <si>
    <t>dacbfe</t>
  </si>
  <si>
    <t>dacebf</t>
  </si>
  <si>
    <t>dacefb</t>
  </si>
  <si>
    <t>dacfbe</t>
  </si>
  <si>
    <t>dacfeb</t>
  </si>
  <si>
    <t>daebcf</t>
  </si>
  <si>
    <t>daebfc</t>
  </si>
  <si>
    <t>daecbf</t>
  </si>
  <si>
    <t>daecfb</t>
  </si>
  <si>
    <t>daefbc</t>
  </si>
  <si>
    <t>daefcb</t>
  </si>
  <si>
    <t>dafbce</t>
  </si>
  <si>
    <t>dafbec</t>
  </si>
  <si>
    <t>dafcbe</t>
  </si>
  <si>
    <t>dafceb</t>
  </si>
  <si>
    <t>dafebc</t>
  </si>
  <si>
    <t>dafecb</t>
  </si>
  <si>
    <t>dbacef</t>
  </si>
  <si>
    <t>dbacfe</t>
  </si>
  <si>
    <t>dbaecf</t>
  </si>
  <si>
    <t>dbaefc</t>
  </si>
  <si>
    <t>dbafce</t>
  </si>
  <si>
    <t>dbafec</t>
  </si>
  <si>
    <t>dbcaef</t>
  </si>
  <si>
    <t>dbcafe</t>
  </si>
  <si>
    <t>dbceaf</t>
  </si>
  <si>
    <t>dbcefa</t>
  </si>
  <si>
    <t>dbcfae</t>
  </si>
  <si>
    <t>dbcfea</t>
  </si>
  <si>
    <t>dbeacf</t>
  </si>
  <si>
    <t>dbeafc</t>
  </si>
  <si>
    <t>dbecaf</t>
  </si>
  <si>
    <t>dbecfa</t>
  </si>
  <si>
    <t>dbefac</t>
  </si>
  <si>
    <t>dbefca</t>
  </si>
  <si>
    <t>dbface</t>
  </si>
  <si>
    <t>dbfaec</t>
  </si>
  <si>
    <t>dbfcae</t>
  </si>
  <si>
    <t>dbfcea</t>
  </si>
  <si>
    <t>dbfeac</t>
  </si>
  <si>
    <t>dbfeca</t>
  </si>
  <si>
    <t>dcabef</t>
  </si>
  <si>
    <t>dcabfe</t>
  </si>
  <si>
    <t>dcaebf</t>
  </si>
  <si>
    <t>dcaefb</t>
  </si>
  <si>
    <t>dcafbe</t>
  </si>
  <si>
    <t>dcafeb</t>
  </si>
  <si>
    <t>dcbaef</t>
  </si>
  <si>
    <t>dcbafe</t>
  </si>
  <si>
    <t>dcbeaf</t>
  </si>
  <si>
    <t>dcbefa</t>
  </si>
  <si>
    <t>dcbfae</t>
  </si>
  <si>
    <t>dcbfea</t>
  </si>
  <si>
    <t>dceabf</t>
  </si>
  <si>
    <t>dceafb</t>
  </si>
  <si>
    <t>dcebaf</t>
  </si>
  <si>
    <t>dcebfa</t>
  </si>
  <si>
    <t>dcefab</t>
  </si>
  <si>
    <t>dcefba</t>
  </si>
  <si>
    <t>dcfabe</t>
  </si>
  <si>
    <t>dcfaeb</t>
  </si>
  <si>
    <t>dcfbae</t>
  </si>
  <si>
    <t>dcfbea</t>
  </si>
  <si>
    <t>dcfeab</t>
  </si>
  <si>
    <t>dcfeba</t>
  </si>
  <si>
    <t>deabcf</t>
  </si>
  <si>
    <t>deabfc</t>
  </si>
  <si>
    <t>deacbf</t>
  </si>
  <si>
    <t>deacfb</t>
  </si>
  <si>
    <t>deafbc</t>
  </si>
  <si>
    <t>deafcb</t>
  </si>
  <si>
    <t>debacf</t>
  </si>
  <si>
    <t>debafc</t>
  </si>
  <si>
    <t>debcaf</t>
  </si>
  <si>
    <t>debcfa</t>
  </si>
  <si>
    <t>debfac</t>
  </si>
  <si>
    <t>debfca</t>
  </si>
  <si>
    <t>decabf</t>
  </si>
  <si>
    <t>decafb</t>
  </si>
  <si>
    <t>decbaf</t>
  </si>
  <si>
    <t>decbfa</t>
  </si>
  <si>
    <t>decfab</t>
  </si>
  <si>
    <t>decfba</t>
  </si>
  <si>
    <t>defabc</t>
  </si>
  <si>
    <t>defacb</t>
  </si>
  <si>
    <t>defbac</t>
  </si>
  <si>
    <t>defbca</t>
  </si>
  <si>
    <t>defcab</t>
  </si>
  <si>
    <t>defcba</t>
  </si>
  <si>
    <t>dfabce</t>
  </si>
  <si>
    <t>dfabec</t>
  </si>
  <si>
    <t>dfacbe</t>
  </si>
  <si>
    <t>dfaceb</t>
  </si>
  <si>
    <t>dfaebc</t>
  </si>
  <si>
    <t>dfaecb</t>
  </si>
  <si>
    <t>dfbace</t>
  </si>
  <si>
    <t>dfbaec</t>
  </si>
  <si>
    <t>dfbcae</t>
  </si>
  <si>
    <t>dfbcea</t>
  </si>
  <si>
    <t>dfbeac</t>
  </si>
  <si>
    <t>dfbeca</t>
  </si>
  <si>
    <t>dfcabe</t>
  </si>
  <si>
    <t>dfcaeb</t>
  </si>
  <si>
    <t>dfcbae</t>
  </si>
  <si>
    <t>dfcbea</t>
  </si>
  <si>
    <t>dfceab</t>
  </si>
  <si>
    <t>dfceba</t>
  </si>
  <si>
    <t>dfeabc</t>
  </si>
  <si>
    <t>dfeacb</t>
  </si>
  <si>
    <t>dfebac</t>
  </si>
  <si>
    <t>dfebca</t>
  </si>
  <si>
    <t>dfecab</t>
  </si>
  <si>
    <t>dfecba</t>
  </si>
  <si>
    <t>eabcdf</t>
  </si>
  <si>
    <t>eabcfd</t>
  </si>
  <si>
    <t>eabdcf</t>
  </si>
  <si>
    <t>eabdfc</t>
  </si>
  <si>
    <t>eabfcd</t>
  </si>
  <si>
    <t>eabfdc</t>
  </si>
  <si>
    <t>eacbdf</t>
  </si>
  <si>
    <t>eacbfd</t>
  </si>
  <si>
    <t>eacdbf</t>
  </si>
  <si>
    <t>eacdfb</t>
  </si>
  <si>
    <t>eacfbd</t>
  </si>
  <si>
    <t>eacfdb</t>
  </si>
  <si>
    <t>eadbcf</t>
  </si>
  <si>
    <t>eadbfc</t>
  </si>
  <si>
    <t>eadcbf</t>
  </si>
  <si>
    <t>eadcfb</t>
  </si>
  <si>
    <t>eadfbc</t>
  </si>
  <si>
    <t>eadfcb</t>
  </si>
  <si>
    <t>eafbcd</t>
  </si>
  <si>
    <t>eafbdc</t>
  </si>
  <si>
    <t>eafcbd</t>
  </si>
  <si>
    <t>eafcdb</t>
  </si>
  <si>
    <t>eafdbc</t>
  </si>
  <si>
    <t>eafdcb</t>
  </si>
  <si>
    <t>ebacdf</t>
  </si>
  <si>
    <t>ebacfd</t>
  </si>
  <si>
    <t>ebadcf</t>
  </si>
  <si>
    <t>ebadfc</t>
  </si>
  <si>
    <t>ebafcd</t>
  </si>
  <si>
    <t>ebafdc</t>
  </si>
  <si>
    <t>ebcadf</t>
  </si>
  <si>
    <t>ebcafd</t>
  </si>
  <si>
    <t>ebcdaf</t>
  </si>
  <si>
    <t>ebcdfa</t>
  </si>
  <si>
    <t>ebcfad</t>
  </si>
  <si>
    <t>ebcfda</t>
  </si>
  <si>
    <t>ebdacf</t>
  </si>
  <si>
    <t>ebdafc</t>
  </si>
  <si>
    <t>ebdcaf</t>
  </si>
  <si>
    <t>ebdcfa</t>
  </si>
  <si>
    <t>ebdfac</t>
  </si>
  <si>
    <t>ebdfca</t>
  </si>
  <si>
    <t>ebfacd</t>
  </si>
  <si>
    <t>ebfadc</t>
  </si>
  <si>
    <t>ebfcad</t>
  </si>
  <si>
    <t>ebfcda</t>
  </si>
  <si>
    <t>ebfdac</t>
  </si>
  <si>
    <t>ebfdca</t>
  </si>
  <si>
    <t>ecabdf</t>
  </si>
  <si>
    <t>ecabfd</t>
  </si>
  <si>
    <t>ecadbf</t>
  </si>
  <si>
    <t>ecadfb</t>
  </si>
  <si>
    <t>ecafbd</t>
  </si>
  <si>
    <t>ecafdb</t>
  </si>
  <si>
    <t>ecbadf</t>
  </si>
  <si>
    <t>ecbafd</t>
  </si>
  <si>
    <t>ecbdaf</t>
  </si>
  <si>
    <t>ecbdfa</t>
  </si>
  <si>
    <t>ecbfad</t>
  </si>
  <si>
    <t>ecbfda</t>
  </si>
  <si>
    <t>ecdabf</t>
  </si>
  <si>
    <t>ecdafb</t>
  </si>
  <si>
    <t>ecdbaf</t>
  </si>
  <si>
    <t>ecdbfa</t>
  </si>
  <si>
    <t>ecdfab</t>
  </si>
  <si>
    <t>ecdfba</t>
  </si>
  <si>
    <t>ecfabd</t>
  </si>
  <si>
    <t>ecfadb</t>
  </si>
  <si>
    <t>ecfbad</t>
  </si>
  <si>
    <t>ecfbda</t>
  </si>
  <si>
    <t>ecfdab</t>
  </si>
  <si>
    <t>ecfdba</t>
  </si>
  <si>
    <t>edabcf</t>
  </si>
  <si>
    <t>edabfc</t>
  </si>
  <si>
    <t>edacbf</t>
  </si>
  <si>
    <t>edacfb</t>
  </si>
  <si>
    <t>edafbc</t>
  </si>
  <si>
    <t>edafcb</t>
  </si>
  <si>
    <t>edbacf</t>
  </si>
  <si>
    <t>edbafc</t>
  </si>
  <si>
    <t>edbcaf</t>
  </si>
  <si>
    <t>edbcfa</t>
  </si>
  <si>
    <t>edbfac</t>
  </si>
  <si>
    <t>edbfca</t>
  </si>
  <si>
    <t>edcabf</t>
  </si>
  <si>
    <t>edcafb</t>
  </si>
  <si>
    <t>edcbaf</t>
  </si>
  <si>
    <t>edcbfa</t>
  </si>
  <si>
    <t>edcfab</t>
  </si>
  <si>
    <t>edcfba</t>
  </si>
  <si>
    <t>edfabc</t>
  </si>
  <si>
    <t>edfacb</t>
  </si>
  <si>
    <t>edfbac</t>
  </si>
  <si>
    <t>edfbca</t>
  </si>
  <si>
    <t>edfcab</t>
  </si>
  <si>
    <t>edfcba</t>
  </si>
  <si>
    <t>efabcd</t>
  </si>
  <si>
    <t>efabdc</t>
  </si>
  <si>
    <t>efacbd</t>
  </si>
  <si>
    <t>efacdb</t>
  </si>
  <si>
    <t>efadbc</t>
  </si>
  <si>
    <t>efadcb</t>
  </si>
  <si>
    <t>efbacd</t>
  </si>
  <si>
    <t>efbadc</t>
  </si>
  <si>
    <t>efbcad</t>
  </si>
  <si>
    <t>efbcda</t>
  </si>
  <si>
    <t>efbdac</t>
  </si>
  <si>
    <t>efbdca</t>
  </si>
  <si>
    <t>efcabd</t>
  </si>
  <si>
    <t>efcadb</t>
  </si>
  <si>
    <t>efcbad</t>
  </si>
  <si>
    <t>efcbda</t>
  </si>
  <si>
    <t>efcdab</t>
  </si>
  <si>
    <t>efcdba</t>
  </si>
  <si>
    <t>efdabc</t>
  </si>
  <si>
    <t>efdacb</t>
  </si>
  <si>
    <t>efdbac</t>
  </si>
  <si>
    <t>efdbca</t>
  </si>
  <si>
    <t>efdcab</t>
  </si>
  <si>
    <t>efdcba</t>
  </si>
  <si>
    <t>fabcde</t>
  </si>
  <si>
    <t>fabced</t>
  </si>
  <si>
    <t>fabdce</t>
  </si>
  <si>
    <t>fabdec</t>
  </si>
  <si>
    <t>fabecd</t>
  </si>
  <si>
    <t>fabedc</t>
  </si>
  <si>
    <t>facbde</t>
  </si>
  <si>
    <t>facbed</t>
  </si>
  <si>
    <t>facdbe</t>
  </si>
  <si>
    <t>facdeb</t>
  </si>
  <si>
    <t>facebd</t>
  </si>
  <si>
    <t>facedb</t>
  </si>
  <si>
    <t>fadbce</t>
  </si>
  <si>
    <t>fadbec</t>
  </si>
  <si>
    <t>fadcbe</t>
  </si>
  <si>
    <t>fadceb</t>
  </si>
  <si>
    <t>fadebc</t>
  </si>
  <si>
    <t>fadecb</t>
  </si>
  <si>
    <t>faebcd</t>
  </si>
  <si>
    <t>faebdc</t>
  </si>
  <si>
    <t>faecbd</t>
  </si>
  <si>
    <t>faecdb</t>
  </si>
  <si>
    <t>faedbc</t>
  </si>
  <si>
    <t>faedcb</t>
  </si>
  <si>
    <t>fbacde</t>
  </si>
  <si>
    <t>fbaced</t>
  </si>
  <si>
    <t>fbadce</t>
  </si>
  <si>
    <t>fbadec</t>
  </si>
  <si>
    <t>fbaecd</t>
  </si>
  <si>
    <t>fbaedc</t>
  </si>
  <si>
    <t>fbcade</t>
  </si>
  <si>
    <t>fbcaed</t>
  </si>
  <si>
    <t>fbcdae</t>
  </si>
  <si>
    <t>fbcdea</t>
  </si>
  <si>
    <t>fbcead</t>
  </si>
  <si>
    <t>fbceda</t>
  </si>
  <si>
    <t>fbdace</t>
  </si>
  <si>
    <t>fbdaec</t>
  </si>
  <si>
    <t>fbdcae</t>
  </si>
  <si>
    <t>fbdcea</t>
  </si>
  <si>
    <t>fbdeac</t>
  </si>
  <si>
    <t>fbdeca</t>
  </si>
  <si>
    <t>fbeacd</t>
  </si>
  <si>
    <t>fbeadc</t>
  </si>
  <si>
    <t>fbecad</t>
  </si>
  <si>
    <t>fbecda</t>
  </si>
  <si>
    <t>fbedac</t>
  </si>
  <si>
    <t>fbedca</t>
  </si>
  <si>
    <t>fcabde</t>
  </si>
  <si>
    <t>fcabed</t>
  </si>
  <si>
    <t>fcadbe</t>
  </si>
  <si>
    <t>fcadeb</t>
  </si>
  <si>
    <t>fcaebd</t>
  </si>
  <si>
    <t>fcaedb</t>
  </si>
  <si>
    <t>fcbade</t>
  </si>
  <si>
    <t>fcbaed</t>
  </si>
  <si>
    <t>fcbdae</t>
  </si>
  <si>
    <t>fcbdea</t>
  </si>
  <si>
    <t>fcbead</t>
  </si>
  <si>
    <t>fcbeda</t>
  </si>
  <si>
    <t>fcdabe</t>
  </si>
  <si>
    <t>fcdaeb</t>
  </si>
  <si>
    <t>fcdbae</t>
  </si>
  <si>
    <t>fcdbea</t>
  </si>
  <si>
    <t>fcdeab</t>
  </si>
  <si>
    <t>fcdeba</t>
  </si>
  <si>
    <t>fceabd</t>
  </si>
  <si>
    <t>fceadb</t>
  </si>
  <si>
    <t>fcebad</t>
  </si>
  <si>
    <t>fcebda</t>
  </si>
  <si>
    <t>fcedab</t>
  </si>
  <si>
    <t>fcedba</t>
  </si>
  <si>
    <t>fdabce</t>
  </si>
  <si>
    <t>fdabec</t>
  </si>
  <si>
    <t>fdacbe</t>
  </si>
  <si>
    <t>fdaceb</t>
  </si>
  <si>
    <t>fdaebc</t>
  </si>
  <si>
    <t>fdaecb</t>
  </si>
  <si>
    <t>fdbace</t>
  </si>
  <si>
    <t>fdbaec</t>
  </si>
  <si>
    <t>fdbcae</t>
  </si>
  <si>
    <t>fdbcea</t>
  </si>
  <si>
    <t>fdbeac</t>
  </si>
  <si>
    <t>fdbeca</t>
  </si>
  <si>
    <t>fdcabe</t>
  </si>
  <si>
    <t>fdcaeb</t>
  </si>
  <si>
    <t>fdcbae</t>
  </si>
  <si>
    <t>fdcbea</t>
  </si>
  <si>
    <t>fdceab</t>
  </si>
  <si>
    <t>fdceba</t>
  </si>
  <si>
    <t>fdeabc</t>
  </si>
  <si>
    <t>fdeacb</t>
  </si>
  <si>
    <t>fdebac</t>
  </si>
  <si>
    <t>fdebca</t>
  </si>
  <si>
    <t>fdecab</t>
  </si>
  <si>
    <t>fdecba</t>
  </si>
  <si>
    <t>feabcd</t>
  </si>
  <si>
    <t>feabdc</t>
  </si>
  <si>
    <t>feacbd</t>
  </si>
  <si>
    <t>feacdb</t>
  </si>
  <si>
    <t>feadbc</t>
  </si>
  <si>
    <t>feadcb</t>
  </si>
  <si>
    <t>febacd</t>
  </si>
  <si>
    <t>febadc</t>
  </si>
  <si>
    <t>febcad</t>
  </si>
  <si>
    <t>febcda</t>
  </si>
  <si>
    <t>febdac</t>
  </si>
  <si>
    <t>febdca</t>
  </si>
  <si>
    <t>fecabd</t>
  </si>
  <si>
    <t>fecadb</t>
  </si>
  <si>
    <t>fecbad</t>
  </si>
  <si>
    <t>fecbda</t>
  </si>
  <si>
    <t>fecdab</t>
  </si>
  <si>
    <t>fecdba</t>
  </si>
  <si>
    <t>fedabc</t>
  </si>
  <si>
    <t>fedacb</t>
  </si>
  <si>
    <t>fedbac</t>
  </si>
  <si>
    <t>fedbca</t>
  </si>
  <si>
    <t>fedcab</t>
  </si>
  <si>
    <t>fedcba</t>
  </si>
  <si>
    <t>Percentile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</si>
  <si>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</si>
  <si>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</si>
  <si>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</si>
  <si>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</si>
  <si>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</si>
  <si>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</si>
  <si>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</si>
  <si>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</si>
  <si>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</si>
  <si>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</si>
  <si>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Reference: M. S. Abbas, "Consistency Analysis for Judgement Quantification in Hierarchical Decision Model," PDXScholar, Portland State University, 2016.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</si>
</sst>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6" x14ac:knownFonts="1">
    <font>
      <sz val="11"/>
      <name val="Calibri"/>
      <scheme val="minor"/>
    </font>
    <font>
      <b/>
      <sz val="11"/>
      <name val="Calibri"/>
    </font>
    <font>
      <sz val="11"/>
      <name val="Calibri"/>
    </font>
    <font>
      <b/>
      <sz val="10"/>
      <color rgb="FF000000"/>
      <name val="Calibri"/>
    </font>
    <font>
      <sz val="11"/>
      <color rgb="FF000000"/>
      <name val="Calibri"/>
    </font>
    <font>
      <sz val="10"/>
      <color rgb="FF000000"/>
      <name val="Calibri"/>
    </font>
  </fonts>
  <fills count="17">
    <fill>
      <patternFill patternType="none"/>
    </fill>
    <fill>
      <patternFill patternType="gray125"/>
    </fill>
    <fill>
      <patternFill patternType="solid">
        <fgColor rgb="FF92D050"/>
        <bgColor rgb="FF92D050"/>
      </patternFill>
    </fill>
    <fill>
      <patternFill patternType="solid">
        <fgColor rgb="FFFF0000"/>
        <bgColor rgb="FFFF0000"/>
      </patternFill>
    </fill>
    <fill>
      <patternFill patternType="solid">
        <fgColor rgb="FFFFC000"/>
        <bgColor rgb="FFFFC000"/>
      </patternFill>
    </fill>
    <fill>
      <patternFill patternType="solid">
        <fgColor rgb="FF7030A0"/>
        <bgColor rgb="FF7030A0"/>
      </patternFill>
    </fill>
    <fill>
      <patternFill patternType="solid">
        <fgColor rgb="FFFF66CC"/>
        <bgColor rgb="FFFF66CC"/>
      </patternFill>
    </fill>
    <fill>
      <patternFill patternType="solid">
        <fgColor rgb="FF00B0F0"/>
        <bgColor rgb="FF00B0F0"/>
      </patternFill>
    </fill>
    <fill>
      <patternFill patternType="solid">
        <fgColor rgb="FF0070C0"/>
        <bgColor rgb="FF0070C0"/>
      </patternFill>
    </fill>
    <fill>
      <patternFill patternType="solid">
        <fgColor rgb="FF996633"/>
        <bgColor rgb="FF996633"/>
      </patternFill>
    </fill>
    <fill>
      <patternFill patternType="solid">
        <fgColor rgb="FFC00000"/>
        <bgColor rgb="FFC00000"/>
      </patternFill>
    </fill>
    <fill>
      <patternFill patternType="solid">
        <fgColor rgb="FF008080"/>
        <bgColor rgb="FF008080"/>
      </patternFill>
    </fill>
    <fill>
      <patternFill patternType="solid">
        <fgColor rgb="FFFFFF00"/>
        <bgColor rgb="FFFFFF00"/>
      </patternFill>
    </fill>
    <fill>
      <patternFill patternType="solid">
        <fgColor rgb="FFA6A6A6"/>
        <bgColor rgb="FFA6A6A6"/>
      </patternFill>
    </fill>
    <fill>
      <patternFill patternType="solid">
        <fgColor rgb="FFCC99FF"/>
        <bgColor rgb="FFCC99FF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3" tint="0.39997558519241921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/>
    <xf numFmtId="0" fontId="2" fillId="2" borderId="1" xfId="0" applyFont="1" applyFill="1" applyBorder="1"/>
    <xf numFmtId="0" fontId="2" fillId="3" borderId="1" xfId="0" applyFont="1" applyFill="1" applyBorder="1"/>
    <xf numFmtId="0" fontId="2" fillId="4" borderId="1" xfId="0" applyFont="1" applyFill="1" applyBorder="1"/>
    <xf numFmtId="0" fontId="2" fillId="5" borderId="1" xfId="0" applyFont="1" applyFill="1" applyBorder="1"/>
    <xf numFmtId="0" fontId="2" fillId="6" borderId="1" xfId="0" applyFont="1" applyFill="1" applyBorder="1"/>
    <xf numFmtId="2" fontId="2" fillId="0" borderId="0" xfId="0" applyNumberFormat="1" applyFont="1"/>
    <xf numFmtId="0" fontId="2" fillId="7" borderId="1" xfId="0" applyFont="1" applyFill="1" applyBorder="1"/>
    <xf numFmtId="0" fontId="2" fillId="8" borderId="1" xfId="0" applyFont="1" applyFill="1" applyBorder="1"/>
    <xf numFmtId="0" fontId="2" fillId="9" borderId="1" xfId="0" applyFont="1" applyFill="1" applyBorder="1"/>
    <xf numFmtId="0" fontId="2" fillId="10" borderId="1" xfId="0" applyFont="1" applyFill="1" applyBorder="1"/>
    <xf numFmtId="0" fontId="2" fillId="11" borderId="1" xfId="0" applyFont="1" applyFill="1" applyBorder="1"/>
    <xf numFmtId="0" fontId="2" fillId="12" borderId="1" xfId="0" applyFont="1" applyFill="1" applyBorder="1"/>
    <xf numFmtId="0" fontId="2" fillId="13" borderId="1" xfId="0" applyFont="1" applyFill="1" applyBorder="1"/>
    <xf numFmtId="0" fontId="2" fillId="14" borderId="1" xfId="0" applyFont="1" applyFill="1" applyBorder="1"/>
    <xf numFmtId="0" fontId="2" fillId="0" borderId="0" xfId="0" applyFont="1"/>
    <xf numFmtId="164" fontId="2" fillId="0" borderId="0" xfId="0" applyNumberFormat="1" applyFont="1"/>
    <xf numFmtId="164" fontId="2" fillId="12" borderId="1" xfId="0" applyNumberFormat="1" applyFont="1" applyFill="1" applyBorder="1"/>
    <xf numFmtId="0" fontId="3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5" fillId="0" borderId="0" xfId="0" applyFont="1" applyAlignment="1">
      <alignment vertical="top"/>
    </xf>
    <xf numFmtId="0" fontId="2" fillId="15" borderId="1" xfId="0" applyFont="1" applyFill="1" applyBorder="1"/>
    <xf numFmtId="0" fontId="2" fillId="16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15240</xdr:colOff>
      <xdr:row>12</xdr:row>
      <xdr:rowOff>15240</xdr:rowOff>
    </xdr:from>
    <xdr:to>
      <xdr:col>13</xdr:col>
      <xdr:colOff>3263926</xdr:colOff>
      <xdr:row>45</xdr:row>
      <xdr:rowOff>28575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12DC742-534A-D2E1-E727-05B0D79A39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240" y="2217420"/>
          <a:ext cx="6906286" cy="643699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00"/>
  <sheetViews>
    <sheetView tabSelected="1" workbookViewId="0"/>
  </sheetViews>
  <sheetFormatPr defaultColWidth="14.44140625" defaultRowHeight="15" customHeight="1" x14ac:dyDescent="0.3"/>
  <cols>
    <col min="1" max="11" width="8.6640625" customWidth="1"/>
  </cols>
  <sheetData>
    <row r="1" spans="1:1" ht="14.4" x14ac:dyDescent="0.3">
      <c r="A1" t="s">
        <v>0</v>
      </c>
    </row>
    <row r="2" spans="1:1" ht="14.4" x14ac:dyDescent="0.3">
      <c r="A2" t="s">
        <v>1</v>
      </c>
    </row>
    <row r="3" spans="1:1" ht="14.4" x14ac:dyDescent="0.3">
      <c r="A3" t="s">
        <v>2</v>
      </c>
    </row>
    <row r="4" spans="1:1" ht="14.4" x14ac:dyDescent="0.3">
      <c r="A4" t="s">
        <v>3</v>
      </c>
    </row>
    <row r="5" spans="1:1" ht="14.4" x14ac:dyDescent="0.3">
      <c r="A5" t="s">
        <v>4</v>
      </c>
    </row>
    <row r="21" ht="15.75" customHeight="1" x14ac:dyDescent="0.3"/>
    <row r="22" ht="15.75" customHeight="1" x14ac:dyDescent="0.3"/>
    <row r="23" ht="15.75" customHeight="1" x14ac:dyDescent="0.3"/>
    <row r="24" ht="15.75" customHeight="1" x14ac:dyDescent="0.3"/>
    <row r="25" ht="15.75" customHeight="1" x14ac:dyDescent="0.3"/>
    <row r="26" ht="15.75" customHeight="1" x14ac:dyDescent="0.3"/>
    <row r="27" ht="15.75" customHeight="1" x14ac:dyDescent="0.3"/>
    <row r="28" ht="15.75" customHeight="1" x14ac:dyDescent="0.3"/>
    <row r="29" ht="15.75" customHeight="1" x14ac:dyDescent="0.3"/>
    <row r="30" ht="15.75" customHeight="1" x14ac:dyDescent="0.3"/>
    <row r="31" ht="15.75" customHeight="1" x14ac:dyDescent="0.3"/>
    <row r="32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</sheetData>
  <pageMargins left="0.7" right="0.7" top="0.75" bottom="0.75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721"/>
  <sheetViews>
    <sheetView workbookViewId="0">
      <pane ySplit="1" topLeftCell="A2" activePane="bottomLeft" state="frozen"/>
      <selection pane="bottomLeft"/>
    </sheetView>
  </sheetViews>
  <sheetFormatPr defaultColWidth="14.44140625" defaultRowHeight="15" customHeight="1" x14ac:dyDescent="0.3"/>
  <cols>
    <col min="1" max="1" width="10.33203125" customWidth="1"/>
    <col min="2" max="2" width="11" customWidth="1"/>
    <col min="3" max="7" width="8.6640625" customWidth="1"/>
    <col min="8" max="8" width="50.33203125" customWidth="1"/>
    <col min="9" max="13" width="14.5546875" customWidth="1"/>
  </cols>
  <sheetData>
    <row r="1" spans="1:13" ht="14.4" x14ac:dyDescent="0.3">
      <c r="A1" s="1" t="s">
        <v>5</v>
      </c>
      <c r="B1" s="1" t="s">
        <v>6</v>
      </c>
      <c r="C1" s="1" t="s">
        <v>7</v>
      </c>
      <c r="D1" s="1" t="s">
        <v>8</v>
      </c>
      <c r="E1" s="1" t="s">
        <v>9</v>
      </c>
      <c r="F1" s="1" t="s">
        <v>10</v>
      </c>
      <c r="G1" s="1" t="s">
        <v>11</v>
      </c>
      <c r="H1" s="1" t="s">
        <v>12</v>
      </c>
    </row>
    <row r="2" spans="1:13" ht="14.4" x14ac:dyDescent="0.3">
      <c r="A2">
        <v>1</v>
      </c>
      <c r="B2">
        <v>1</v>
      </c>
      <c r="C2">
        <v>2</v>
      </c>
      <c r="D2">
        <v>3</v>
      </c>
      <c r="E2">
        <v>4</v>
      </c>
      <c r="F2">
        <v>5</v>
      </c>
      <c r="G2">
        <v>6</v>
      </c>
      <c r="H2" t="s">
        <v>13</v>
      </c>
      <c r="I2" s="2" t="s">
        <v>14</v>
      </c>
      <c r="J2" s="2" t="s">
        <v>15</v>
      </c>
      <c r="K2" s="2" t="s">
        <v>16</v>
      </c>
      <c r="L2" s="2" t="s">
        <v>17</v>
      </c>
      <c r="M2" s="2" t="s">
        <v>18</v>
      </c>
    </row>
    <row r="3" spans="1:13" ht="14.4" x14ac:dyDescent="0.3">
      <c r="A3">
        <v>2</v>
      </c>
      <c r="B3">
        <v>1</v>
      </c>
      <c r="C3">
        <v>2</v>
      </c>
      <c r="D3">
        <v>3</v>
      </c>
      <c r="E3">
        <v>4</v>
      </c>
      <c r="F3">
        <v>6</v>
      </c>
      <c r="G3">
        <v>5</v>
      </c>
      <c r="H3">
        <v>2</v>
      </c>
      <c r="I3" s="2" t="s">
        <v>14</v>
      </c>
      <c r="J3" s="2" t="s">
        <v>15</v>
      </c>
      <c r="K3" s="2" t="s">
        <v>16</v>
      </c>
      <c r="L3" s="2" t="s">
        <v>19</v>
      </c>
      <c r="M3" s="3" t="s">
        <v>20</v>
      </c>
    </row>
    <row r="4" spans="1:13" ht="14.4" x14ac:dyDescent="0.3">
      <c r="A4">
        <v>3</v>
      </c>
      <c r="B4">
        <v>1</v>
      </c>
      <c r="C4">
        <v>2</v>
      </c>
      <c r="D4">
        <v>3</v>
      </c>
      <c r="E4">
        <v>5</v>
      </c>
      <c r="F4">
        <v>4</v>
      </c>
      <c r="G4">
        <v>6</v>
      </c>
      <c r="H4">
        <v>3</v>
      </c>
      <c r="I4" s="2" t="s">
        <v>14</v>
      </c>
      <c r="J4" s="2" t="s">
        <v>15</v>
      </c>
      <c r="K4" s="2" t="s">
        <v>21</v>
      </c>
      <c r="L4" s="3" t="s">
        <v>22</v>
      </c>
      <c r="M4" s="2" t="s">
        <v>19</v>
      </c>
    </row>
    <row r="5" spans="1:13" ht="14.4" x14ac:dyDescent="0.3">
      <c r="A5">
        <v>4</v>
      </c>
      <c r="B5">
        <v>1</v>
      </c>
      <c r="C5">
        <v>2</v>
      </c>
      <c r="D5">
        <v>3</v>
      </c>
      <c r="E5">
        <v>5</v>
      </c>
      <c r="F5">
        <v>6</v>
      </c>
      <c r="G5">
        <v>4</v>
      </c>
      <c r="H5">
        <v>4</v>
      </c>
      <c r="I5" s="2" t="s">
        <v>14</v>
      </c>
      <c r="J5" s="2" t="s">
        <v>15</v>
      </c>
      <c r="K5" s="2" t="s">
        <v>21</v>
      </c>
      <c r="L5" s="2" t="s">
        <v>18</v>
      </c>
      <c r="M5" s="3" t="s">
        <v>23</v>
      </c>
    </row>
    <row r="6" spans="1:13" ht="14.4" x14ac:dyDescent="0.3">
      <c r="A6">
        <v>5</v>
      </c>
      <c r="B6">
        <v>1</v>
      </c>
      <c r="C6">
        <v>2</v>
      </c>
      <c r="D6">
        <v>3</v>
      </c>
      <c r="E6">
        <v>6</v>
      </c>
      <c r="F6">
        <v>4</v>
      </c>
      <c r="G6">
        <v>5</v>
      </c>
      <c r="H6">
        <v>5</v>
      </c>
      <c r="I6" s="2" t="s">
        <v>14</v>
      </c>
      <c r="J6" s="2" t="s">
        <v>15</v>
      </c>
      <c r="K6" s="2" t="s">
        <v>24</v>
      </c>
      <c r="L6" s="3" t="s">
        <v>23</v>
      </c>
      <c r="M6" s="2" t="s">
        <v>17</v>
      </c>
    </row>
    <row r="7" spans="1:13" ht="14.4" x14ac:dyDescent="0.3">
      <c r="A7">
        <v>6</v>
      </c>
      <c r="B7">
        <v>1</v>
      </c>
      <c r="C7">
        <v>2</v>
      </c>
      <c r="D7">
        <v>3</v>
      </c>
      <c r="E7">
        <v>6</v>
      </c>
      <c r="F7">
        <v>5</v>
      </c>
      <c r="G7">
        <v>4</v>
      </c>
      <c r="H7">
        <v>6</v>
      </c>
      <c r="I7" s="2" t="s">
        <v>14</v>
      </c>
      <c r="J7" s="2" t="s">
        <v>15</v>
      </c>
      <c r="K7" s="2" t="s">
        <v>24</v>
      </c>
      <c r="L7" s="3" t="s">
        <v>20</v>
      </c>
      <c r="M7" s="3" t="s">
        <v>22</v>
      </c>
    </row>
    <row r="8" spans="1:13" ht="14.4" x14ac:dyDescent="0.3">
      <c r="A8">
        <v>7</v>
      </c>
      <c r="B8">
        <v>1</v>
      </c>
      <c r="C8">
        <v>2</v>
      </c>
      <c r="D8">
        <v>4</v>
      </c>
      <c r="E8">
        <v>3</v>
      </c>
      <c r="F8">
        <v>5</v>
      </c>
      <c r="G8">
        <v>6</v>
      </c>
      <c r="H8">
        <v>7</v>
      </c>
      <c r="I8" s="2" t="s">
        <v>14</v>
      </c>
      <c r="J8" s="2" t="s">
        <v>25</v>
      </c>
      <c r="K8" s="3" t="s">
        <v>26</v>
      </c>
      <c r="L8" s="2" t="s">
        <v>21</v>
      </c>
      <c r="M8" s="2" t="s">
        <v>18</v>
      </c>
    </row>
    <row r="9" spans="1:13" ht="14.4" x14ac:dyDescent="0.3">
      <c r="A9">
        <v>8</v>
      </c>
      <c r="B9">
        <v>1</v>
      </c>
      <c r="C9">
        <v>2</v>
      </c>
      <c r="D9">
        <v>4</v>
      </c>
      <c r="E9">
        <v>3</v>
      </c>
      <c r="F9">
        <v>6</v>
      </c>
      <c r="G9">
        <v>5</v>
      </c>
      <c r="H9">
        <v>8</v>
      </c>
      <c r="I9" s="2" t="s">
        <v>14</v>
      </c>
      <c r="J9" s="2" t="s">
        <v>25</v>
      </c>
      <c r="K9" s="3" t="s">
        <v>26</v>
      </c>
      <c r="L9" s="2" t="s">
        <v>24</v>
      </c>
      <c r="M9" s="3" t="s">
        <v>20</v>
      </c>
    </row>
    <row r="10" spans="1:13" ht="14.4" x14ac:dyDescent="0.3">
      <c r="A10">
        <v>9</v>
      </c>
      <c r="B10">
        <v>1</v>
      </c>
      <c r="C10">
        <v>2</v>
      </c>
      <c r="D10">
        <v>4</v>
      </c>
      <c r="E10">
        <v>5</v>
      </c>
      <c r="F10">
        <v>3</v>
      </c>
      <c r="G10">
        <v>6</v>
      </c>
      <c r="H10">
        <v>9</v>
      </c>
      <c r="I10" s="2" t="s">
        <v>14</v>
      </c>
      <c r="J10" s="2" t="s">
        <v>25</v>
      </c>
      <c r="K10" s="2" t="s">
        <v>17</v>
      </c>
      <c r="L10" s="3" t="s">
        <v>27</v>
      </c>
      <c r="M10" s="2" t="s">
        <v>24</v>
      </c>
    </row>
    <row r="11" spans="1:13" ht="14.4" x14ac:dyDescent="0.3">
      <c r="A11">
        <v>10</v>
      </c>
      <c r="B11">
        <v>1</v>
      </c>
      <c r="C11">
        <v>2</v>
      </c>
      <c r="D11">
        <v>4</v>
      </c>
      <c r="E11">
        <v>5</v>
      </c>
      <c r="F11">
        <v>6</v>
      </c>
      <c r="G11">
        <v>3</v>
      </c>
      <c r="H11">
        <v>10</v>
      </c>
      <c r="I11" s="2" t="s">
        <v>14</v>
      </c>
      <c r="J11" s="2" t="s">
        <v>25</v>
      </c>
      <c r="K11" s="2" t="s">
        <v>17</v>
      </c>
      <c r="L11" s="2" t="s">
        <v>18</v>
      </c>
      <c r="M11" s="3" t="s">
        <v>28</v>
      </c>
    </row>
    <row r="12" spans="1:13" ht="14.4" x14ac:dyDescent="0.3">
      <c r="A12">
        <v>11</v>
      </c>
      <c r="B12">
        <v>1</v>
      </c>
      <c r="C12">
        <v>2</v>
      </c>
      <c r="D12">
        <v>4</v>
      </c>
      <c r="E12">
        <v>6</v>
      </c>
      <c r="F12">
        <v>3</v>
      </c>
      <c r="G12">
        <v>5</v>
      </c>
      <c r="H12">
        <v>11</v>
      </c>
      <c r="I12" s="2" t="s">
        <v>14</v>
      </c>
      <c r="J12" s="2" t="s">
        <v>25</v>
      </c>
      <c r="K12" s="2" t="s">
        <v>19</v>
      </c>
      <c r="L12" s="3" t="s">
        <v>28</v>
      </c>
      <c r="M12" s="2" t="s">
        <v>21</v>
      </c>
    </row>
    <row r="13" spans="1:13" ht="14.4" x14ac:dyDescent="0.3">
      <c r="A13">
        <v>12</v>
      </c>
      <c r="B13">
        <v>1</v>
      </c>
      <c r="C13">
        <v>2</v>
      </c>
      <c r="D13">
        <v>4</v>
      </c>
      <c r="E13">
        <v>6</v>
      </c>
      <c r="F13">
        <v>5</v>
      </c>
      <c r="G13">
        <v>3</v>
      </c>
      <c r="H13">
        <v>12</v>
      </c>
      <c r="I13" s="2" t="s">
        <v>14</v>
      </c>
      <c r="J13" s="2" t="s">
        <v>25</v>
      </c>
      <c r="K13" s="2" t="s">
        <v>19</v>
      </c>
      <c r="L13" s="3" t="s">
        <v>20</v>
      </c>
      <c r="M13" s="3" t="s">
        <v>27</v>
      </c>
    </row>
    <row r="14" spans="1:13" ht="14.4" x14ac:dyDescent="0.3">
      <c r="A14">
        <v>13</v>
      </c>
      <c r="B14">
        <v>1</v>
      </c>
      <c r="C14">
        <v>2</v>
      </c>
      <c r="D14">
        <v>5</v>
      </c>
      <c r="E14">
        <v>3</v>
      </c>
      <c r="F14">
        <v>4</v>
      </c>
      <c r="G14">
        <v>6</v>
      </c>
      <c r="H14">
        <v>13</v>
      </c>
      <c r="I14" s="2" t="s">
        <v>14</v>
      </c>
      <c r="J14" s="2" t="s">
        <v>29</v>
      </c>
      <c r="K14" s="3" t="s">
        <v>27</v>
      </c>
      <c r="L14" s="2" t="s">
        <v>16</v>
      </c>
      <c r="M14" s="2" t="s">
        <v>19</v>
      </c>
    </row>
    <row r="15" spans="1:13" ht="14.4" x14ac:dyDescent="0.3">
      <c r="A15">
        <v>14</v>
      </c>
      <c r="B15">
        <v>1</v>
      </c>
      <c r="C15">
        <v>2</v>
      </c>
      <c r="D15">
        <v>5</v>
      </c>
      <c r="E15">
        <v>3</v>
      </c>
      <c r="F15">
        <v>6</v>
      </c>
      <c r="G15">
        <v>4</v>
      </c>
      <c r="H15">
        <v>14</v>
      </c>
      <c r="I15" s="2" t="s">
        <v>14</v>
      </c>
      <c r="J15" s="2" t="s">
        <v>29</v>
      </c>
      <c r="K15" s="3" t="s">
        <v>27</v>
      </c>
      <c r="L15" s="2" t="s">
        <v>24</v>
      </c>
      <c r="M15" s="3" t="s">
        <v>23</v>
      </c>
    </row>
    <row r="16" spans="1:13" ht="14.4" x14ac:dyDescent="0.3">
      <c r="A16">
        <v>15</v>
      </c>
      <c r="B16">
        <v>1</v>
      </c>
      <c r="C16">
        <v>2</v>
      </c>
      <c r="D16">
        <v>5</v>
      </c>
      <c r="E16">
        <v>4</v>
      </c>
      <c r="F16">
        <v>3</v>
      </c>
      <c r="G16">
        <v>6</v>
      </c>
      <c r="H16">
        <v>15</v>
      </c>
      <c r="I16" s="2" t="s">
        <v>14</v>
      </c>
      <c r="J16" s="2" t="s">
        <v>29</v>
      </c>
      <c r="K16" s="3" t="s">
        <v>22</v>
      </c>
      <c r="L16" s="3" t="s">
        <v>26</v>
      </c>
      <c r="M16" s="2" t="s">
        <v>24</v>
      </c>
    </row>
    <row r="17" spans="1:13" ht="14.4" x14ac:dyDescent="0.3">
      <c r="A17">
        <v>16</v>
      </c>
      <c r="B17">
        <v>1</v>
      </c>
      <c r="C17">
        <v>2</v>
      </c>
      <c r="D17">
        <v>5</v>
      </c>
      <c r="E17">
        <v>4</v>
      </c>
      <c r="F17">
        <v>6</v>
      </c>
      <c r="G17">
        <v>3</v>
      </c>
      <c r="H17">
        <v>16</v>
      </c>
      <c r="I17" s="2" t="s">
        <v>14</v>
      </c>
      <c r="J17" s="2" t="s">
        <v>29</v>
      </c>
      <c r="K17" s="3" t="s">
        <v>22</v>
      </c>
      <c r="L17" s="2" t="s">
        <v>19</v>
      </c>
      <c r="M17" s="3" t="s">
        <v>28</v>
      </c>
    </row>
    <row r="18" spans="1:13" ht="14.4" x14ac:dyDescent="0.3">
      <c r="A18">
        <v>17</v>
      </c>
      <c r="B18">
        <v>1</v>
      </c>
      <c r="C18">
        <v>2</v>
      </c>
      <c r="D18">
        <v>5</v>
      </c>
      <c r="E18">
        <v>6</v>
      </c>
      <c r="F18">
        <v>3</v>
      </c>
      <c r="G18">
        <v>4</v>
      </c>
      <c r="H18">
        <v>17</v>
      </c>
      <c r="I18" s="2" t="s">
        <v>14</v>
      </c>
      <c r="J18" s="2" t="s">
        <v>29</v>
      </c>
      <c r="K18" s="2" t="s">
        <v>18</v>
      </c>
      <c r="L18" s="3" t="s">
        <v>28</v>
      </c>
      <c r="M18" s="2" t="s">
        <v>16</v>
      </c>
    </row>
    <row r="19" spans="1:13" ht="14.4" x14ac:dyDescent="0.3">
      <c r="A19">
        <v>18</v>
      </c>
      <c r="B19">
        <v>1</v>
      </c>
      <c r="C19">
        <v>2</v>
      </c>
      <c r="D19">
        <v>5</v>
      </c>
      <c r="E19">
        <v>6</v>
      </c>
      <c r="F19">
        <v>4</v>
      </c>
      <c r="G19">
        <v>3</v>
      </c>
      <c r="H19">
        <v>18</v>
      </c>
      <c r="I19" s="2" t="s">
        <v>14</v>
      </c>
      <c r="J19" s="2" t="s">
        <v>29</v>
      </c>
      <c r="K19" s="2" t="s">
        <v>18</v>
      </c>
      <c r="L19" s="3" t="s">
        <v>23</v>
      </c>
      <c r="M19" s="3" t="s">
        <v>26</v>
      </c>
    </row>
    <row r="20" spans="1:13" ht="14.4" x14ac:dyDescent="0.3">
      <c r="A20">
        <v>19</v>
      </c>
      <c r="B20">
        <v>1</v>
      </c>
      <c r="C20">
        <v>2</v>
      </c>
      <c r="D20">
        <v>6</v>
      </c>
      <c r="E20">
        <v>3</v>
      </c>
      <c r="F20">
        <v>4</v>
      </c>
      <c r="G20">
        <v>5</v>
      </c>
      <c r="H20">
        <v>19</v>
      </c>
      <c r="I20" s="2" t="s">
        <v>14</v>
      </c>
      <c r="J20" s="2" t="s">
        <v>30</v>
      </c>
      <c r="K20" s="3" t="s">
        <v>28</v>
      </c>
      <c r="L20" s="2" t="s">
        <v>16</v>
      </c>
      <c r="M20" s="2" t="s">
        <v>17</v>
      </c>
    </row>
    <row r="21" spans="1:13" ht="15.75" customHeight="1" x14ac:dyDescent="0.3">
      <c r="A21">
        <v>20</v>
      </c>
      <c r="B21">
        <v>1</v>
      </c>
      <c r="C21">
        <v>2</v>
      </c>
      <c r="D21">
        <v>6</v>
      </c>
      <c r="E21">
        <v>3</v>
      </c>
      <c r="F21">
        <v>5</v>
      </c>
      <c r="G21">
        <v>4</v>
      </c>
      <c r="H21">
        <v>20</v>
      </c>
      <c r="I21" s="2" t="s">
        <v>14</v>
      </c>
      <c r="J21" s="2" t="s">
        <v>30</v>
      </c>
      <c r="K21" s="3" t="s">
        <v>28</v>
      </c>
      <c r="L21" s="2" t="s">
        <v>21</v>
      </c>
      <c r="M21" s="3" t="s">
        <v>22</v>
      </c>
    </row>
    <row r="22" spans="1:13" ht="15.75" customHeight="1" x14ac:dyDescent="0.3">
      <c r="A22">
        <v>21</v>
      </c>
      <c r="B22">
        <v>1</v>
      </c>
      <c r="C22">
        <v>2</v>
      </c>
      <c r="D22">
        <v>6</v>
      </c>
      <c r="E22">
        <v>4</v>
      </c>
      <c r="F22">
        <v>3</v>
      </c>
      <c r="G22">
        <v>5</v>
      </c>
      <c r="H22">
        <v>21</v>
      </c>
      <c r="I22" s="2" t="s">
        <v>14</v>
      </c>
      <c r="J22" s="2" t="s">
        <v>30</v>
      </c>
      <c r="K22" s="3" t="s">
        <v>23</v>
      </c>
      <c r="L22" s="3" t="s">
        <v>26</v>
      </c>
      <c r="M22" s="2" t="s">
        <v>21</v>
      </c>
    </row>
    <row r="23" spans="1:13" ht="15.75" customHeight="1" x14ac:dyDescent="0.3">
      <c r="A23">
        <v>22</v>
      </c>
      <c r="B23">
        <v>1</v>
      </c>
      <c r="C23">
        <v>2</v>
      </c>
      <c r="D23">
        <v>6</v>
      </c>
      <c r="E23">
        <v>4</v>
      </c>
      <c r="F23">
        <v>5</v>
      </c>
      <c r="G23">
        <v>3</v>
      </c>
      <c r="H23">
        <v>22</v>
      </c>
      <c r="I23" s="2" t="s">
        <v>14</v>
      </c>
      <c r="J23" s="2" t="s">
        <v>30</v>
      </c>
      <c r="K23" s="3" t="s">
        <v>23</v>
      </c>
      <c r="L23" s="2" t="s">
        <v>17</v>
      </c>
      <c r="M23" s="3" t="s">
        <v>27</v>
      </c>
    </row>
    <row r="24" spans="1:13" ht="15.75" customHeight="1" x14ac:dyDescent="0.3">
      <c r="A24">
        <v>23</v>
      </c>
      <c r="B24">
        <v>1</v>
      </c>
      <c r="C24">
        <v>2</v>
      </c>
      <c r="D24">
        <v>6</v>
      </c>
      <c r="E24">
        <v>5</v>
      </c>
      <c r="F24">
        <v>3</v>
      </c>
      <c r="G24">
        <v>4</v>
      </c>
      <c r="H24">
        <v>23</v>
      </c>
      <c r="I24" s="2" t="s">
        <v>14</v>
      </c>
      <c r="J24" s="2" t="s">
        <v>30</v>
      </c>
      <c r="K24" s="3" t="s">
        <v>20</v>
      </c>
      <c r="L24" s="3" t="s">
        <v>27</v>
      </c>
      <c r="M24" s="2" t="s">
        <v>16</v>
      </c>
    </row>
    <row r="25" spans="1:13" ht="15.75" customHeight="1" x14ac:dyDescent="0.3">
      <c r="A25">
        <v>24</v>
      </c>
      <c r="B25">
        <v>1</v>
      </c>
      <c r="C25">
        <v>2</v>
      </c>
      <c r="D25">
        <v>6</v>
      </c>
      <c r="E25">
        <v>5</v>
      </c>
      <c r="F25">
        <v>4</v>
      </c>
      <c r="G25">
        <v>3</v>
      </c>
      <c r="H25">
        <v>24</v>
      </c>
      <c r="I25" s="2" t="s">
        <v>14</v>
      </c>
      <c r="J25" s="2" t="s">
        <v>30</v>
      </c>
      <c r="K25" s="3" t="s">
        <v>20</v>
      </c>
      <c r="L25" s="3" t="s">
        <v>22</v>
      </c>
      <c r="M25" s="3" t="s">
        <v>26</v>
      </c>
    </row>
    <row r="26" spans="1:13" ht="15.75" customHeight="1" x14ac:dyDescent="0.3">
      <c r="A26">
        <v>25</v>
      </c>
      <c r="B26">
        <v>1</v>
      </c>
      <c r="C26">
        <v>3</v>
      </c>
      <c r="D26">
        <v>2</v>
      </c>
      <c r="E26">
        <v>4</v>
      </c>
      <c r="F26">
        <v>5</v>
      </c>
      <c r="G26">
        <v>6</v>
      </c>
      <c r="H26">
        <v>25</v>
      </c>
      <c r="I26" s="2" t="s">
        <v>31</v>
      </c>
      <c r="J26" s="3" t="s">
        <v>32</v>
      </c>
      <c r="K26" s="2" t="s">
        <v>25</v>
      </c>
      <c r="L26" s="2" t="s">
        <v>17</v>
      </c>
      <c r="M26" s="2" t="s">
        <v>18</v>
      </c>
    </row>
    <row r="27" spans="1:13" ht="15.75" customHeight="1" x14ac:dyDescent="0.3">
      <c r="A27">
        <v>26</v>
      </c>
      <c r="B27">
        <v>1</v>
      </c>
      <c r="C27">
        <v>3</v>
      </c>
      <c r="D27">
        <v>2</v>
      </c>
      <c r="E27">
        <v>4</v>
      </c>
      <c r="F27">
        <v>6</v>
      </c>
      <c r="G27">
        <v>5</v>
      </c>
      <c r="H27">
        <v>26</v>
      </c>
      <c r="I27" s="2" t="s">
        <v>31</v>
      </c>
      <c r="J27" s="3" t="s">
        <v>32</v>
      </c>
      <c r="K27" s="2" t="s">
        <v>25</v>
      </c>
      <c r="L27" s="2" t="s">
        <v>19</v>
      </c>
      <c r="M27" s="3" t="s">
        <v>20</v>
      </c>
    </row>
    <row r="28" spans="1:13" ht="15.75" customHeight="1" x14ac:dyDescent="0.3">
      <c r="A28">
        <v>27</v>
      </c>
      <c r="B28">
        <v>1</v>
      </c>
      <c r="C28">
        <v>3</v>
      </c>
      <c r="D28">
        <v>2</v>
      </c>
      <c r="E28">
        <v>5</v>
      </c>
      <c r="F28">
        <v>4</v>
      </c>
      <c r="G28">
        <v>6</v>
      </c>
      <c r="H28">
        <v>27</v>
      </c>
      <c r="I28" s="2" t="s">
        <v>31</v>
      </c>
      <c r="J28" s="3" t="s">
        <v>32</v>
      </c>
      <c r="K28" s="2" t="s">
        <v>29</v>
      </c>
      <c r="L28" s="3" t="s">
        <v>22</v>
      </c>
      <c r="M28" s="2" t="s">
        <v>19</v>
      </c>
    </row>
    <row r="29" spans="1:13" ht="15.75" customHeight="1" x14ac:dyDescent="0.3">
      <c r="A29">
        <v>28</v>
      </c>
      <c r="B29">
        <v>1</v>
      </c>
      <c r="C29">
        <v>3</v>
      </c>
      <c r="D29">
        <v>2</v>
      </c>
      <c r="E29">
        <v>5</v>
      </c>
      <c r="F29">
        <v>6</v>
      </c>
      <c r="G29">
        <v>4</v>
      </c>
      <c r="H29">
        <v>28</v>
      </c>
      <c r="I29" s="2" t="s">
        <v>31</v>
      </c>
      <c r="J29" s="3" t="s">
        <v>32</v>
      </c>
      <c r="K29" s="2" t="s">
        <v>29</v>
      </c>
      <c r="L29" s="2" t="s">
        <v>18</v>
      </c>
      <c r="M29" s="3" t="s">
        <v>23</v>
      </c>
    </row>
    <row r="30" spans="1:13" ht="15.75" customHeight="1" x14ac:dyDescent="0.3">
      <c r="A30">
        <v>29</v>
      </c>
      <c r="B30">
        <v>1</v>
      </c>
      <c r="C30">
        <v>3</v>
      </c>
      <c r="D30">
        <v>2</v>
      </c>
      <c r="E30">
        <v>6</v>
      </c>
      <c r="F30">
        <v>4</v>
      </c>
      <c r="G30">
        <v>5</v>
      </c>
      <c r="H30">
        <v>29</v>
      </c>
      <c r="I30" s="2" t="s">
        <v>31</v>
      </c>
      <c r="J30" s="3" t="s">
        <v>32</v>
      </c>
      <c r="K30" s="2" t="s">
        <v>30</v>
      </c>
      <c r="L30" s="3" t="s">
        <v>23</v>
      </c>
      <c r="M30" s="2" t="s">
        <v>17</v>
      </c>
    </row>
    <row r="31" spans="1:13" ht="15.75" customHeight="1" x14ac:dyDescent="0.3">
      <c r="A31">
        <v>30</v>
      </c>
      <c r="B31">
        <v>1</v>
      </c>
      <c r="C31">
        <v>3</v>
      </c>
      <c r="D31">
        <v>2</v>
      </c>
      <c r="E31">
        <v>6</v>
      </c>
      <c r="F31">
        <v>5</v>
      </c>
      <c r="G31">
        <v>4</v>
      </c>
      <c r="H31">
        <v>30</v>
      </c>
      <c r="I31" s="2" t="s">
        <v>31</v>
      </c>
      <c r="J31" s="3" t="s">
        <v>32</v>
      </c>
      <c r="K31" s="2" t="s">
        <v>30</v>
      </c>
      <c r="L31" s="3" t="s">
        <v>20</v>
      </c>
      <c r="M31" s="3" t="s">
        <v>22</v>
      </c>
    </row>
    <row r="32" spans="1:13" ht="15.75" customHeight="1" x14ac:dyDescent="0.3">
      <c r="A32">
        <v>31</v>
      </c>
      <c r="B32">
        <v>1</v>
      </c>
      <c r="C32">
        <v>3</v>
      </c>
      <c r="D32">
        <v>4</v>
      </c>
      <c r="E32">
        <v>2</v>
      </c>
      <c r="F32">
        <v>5</v>
      </c>
      <c r="G32">
        <v>6</v>
      </c>
      <c r="H32">
        <v>31</v>
      </c>
      <c r="I32" s="2" t="s">
        <v>31</v>
      </c>
      <c r="J32" s="2" t="s">
        <v>16</v>
      </c>
      <c r="K32" s="3" t="s">
        <v>33</v>
      </c>
      <c r="L32" s="2" t="s">
        <v>29</v>
      </c>
      <c r="M32" s="2" t="s">
        <v>18</v>
      </c>
    </row>
    <row r="33" spans="1:13" ht="15.75" customHeight="1" x14ac:dyDescent="0.3">
      <c r="A33">
        <v>32</v>
      </c>
      <c r="B33">
        <v>1</v>
      </c>
      <c r="C33">
        <v>3</v>
      </c>
      <c r="D33">
        <v>4</v>
      </c>
      <c r="E33">
        <v>2</v>
      </c>
      <c r="F33">
        <v>6</v>
      </c>
      <c r="G33">
        <v>5</v>
      </c>
      <c r="H33">
        <v>32</v>
      </c>
      <c r="I33" s="2" t="s">
        <v>31</v>
      </c>
      <c r="J33" s="2" t="s">
        <v>16</v>
      </c>
      <c r="K33" s="3" t="s">
        <v>33</v>
      </c>
      <c r="L33" s="2" t="s">
        <v>30</v>
      </c>
      <c r="M33" s="3" t="s">
        <v>20</v>
      </c>
    </row>
    <row r="34" spans="1:13" ht="15.75" customHeight="1" x14ac:dyDescent="0.3">
      <c r="A34">
        <v>33</v>
      </c>
      <c r="B34">
        <v>1</v>
      </c>
      <c r="C34">
        <v>3</v>
      </c>
      <c r="D34">
        <v>4</v>
      </c>
      <c r="E34">
        <v>5</v>
      </c>
      <c r="F34">
        <v>2</v>
      </c>
      <c r="G34">
        <v>6</v>
      </c>
      <c r="H34">
        <v>33</v>
      </c>
      <c r="I34" s="2" t="s">
        <v>31</v>
      </c>
      <c r="J34" s="2" t="s">
        <v>16</v>
      </c>
      <c r="K34" s="2" t="s">
        <v>17</v>
      </c>
      <c r="L34" s="3" t="s">
        <v>34</v>
      </c>
      <c r="M34" s="2" t="s">
        <v>30</v>
      </c>
    </row>
    <row r="35" spans="1:13" ht="15.75" customHeight="1" x14ac:dyDescent="0.3">
      <c r="A35">
        <v>34</v>
      </c>
      <c r="B35">
        <v>1</v>
      </c>
      <c r="C35">
        <v>3</v>
      </c>
      <c r="D35">
        <v>4</v>
      </c>
      <c r="E35">
        <v>5</v>
      </c>
      <c r="F35">
        <v>6</v>
      </c>
      <c r="G35">
        <v>2</v>
      </c>
      <c r="H35">
        <v>34</v>
      </c>
      <c r="I35" s="2" t="s">
        <v>31</v>
      </c>
      <c r="J35" s="2" t="s">
        <v>16</v>
      </c>
      <c r="K35" s="2" t="s">
        <v>17</v>
      </c>
      <c r="L35" s="2" t="s">
        <v>18</v>
      </c>
      <c r="M35" s="3" t="s">
        <v>35</v>
      </c>
    </row>
    <row r="36" spans="1:13" ht="15.75" customHeight="1" x14ac:dyDescent="0.3">
      <c r="A36">
        <v>35</v>
      </c>
      <c r="B36">
        <v>1</v>
      </c>
      <c r="C36">
        <v>3</v>
      </c>
      <c r="D36">
        <v>4</v>
      </c>
      <c r="E36">
        <v>6</v>
      </c>
      <c r="F36">
        <v>2</v>
      </c>
      <c r="G36">
        <v>5</v>
      </c>
      <c r="H36">
        <v>35</v>
      </c>
      <c r="I36" s="2" t="s">
        <v>31</v>
      </c>
      <c r="J36" s="2" t="s">
        <v>16</v>
      </c>
      <c r="K36" s="2" t="s">
        <v>19</v>
      </c>
      <c r="L36" s="3" t="s">
        <v>35</v>
      </c>
      <c r="M36" s="2" t="s">
        <v>29</v>
      </c>
    </row>
    <row r="37" spans="1:13" ht="15.75" customHeight="1" x14ac:dyDescent="0.3">
      <c r="A37">
        <v>36</v>
      </c>
      <c r="B37">
        <v>1</v>
      </c>
      <c r="C37">
        <v>3</v>
      </c>
      <c r="D37">
        <v>4</v>
      </c>
      <c r="E37">
        <v>6</v>
      </c>
      <c r="F37">
        <v>5</v>
      </c>
      <c r="G37">
        <v>2</v>
      </c>
      <c r="H37">
        <v>36</v>
      </c>
      <c r="I37" s="2" t="s">
        <v>31</v>
      </c>
      <c r="J37" s="2" t="s">
        <v>16</v>
      </c>
      <c r="K37" s="2" t="s">
        <v>19</v>
      </c>
      <c r="L37" s="3" t="s">
        <v>20</v>
      </c>
      <c r="M37" s="3" t="s">
        <v>34</v>
      </c>
    </row>
    <row r="38" spans="1:13" ht="15.75" customHeight="1" x14ac:dyDescent="0.3">
      <c r="A38">
        <v>37</v>
      </c>
      <c r="B38">
        <v>1</v>
      </c>
      <c r="C38">
        <v>3</v>
      </c>
      <c r="D38">
        <v>5</v>
      </c>
      <c r="E38">
        <v>2</v>
      </c>
      <c r="F38">
        <v>4</v>
      </c>
      <c r="G38">
        <v>6</v>
      </c>
      <c r="H38">
        <v>37</v>
      </c>
      <c r="I38" s="2" t="s">
        <v>31</v>
      </c>
      <c r="J38" s="2" t="s">
        <v>21</v>
      </c>
      <c r="K38" s="3" t="s">
        <v>34</v>
      </c>
      <c r="L38" s="2" t="s">
        <v>25</v>
      </c>
      <c r="M38" s="2" t="s">
        <v>19</v>
      </c>
    </row>
    <row r="39" spans="1:13" ht="15.75" customHeight="1" x14ac:dyDescent="0.3">
      <c r="A39">
        <v>38</v>
      </c>
      <c r="B39">
        <v>1</v>
      </c>
      <c r="C39">
        <v>3</v>
      </c>
      <c r="D39">
        <v>5</v>
      </c>
      <c r="E39">
        <v>2</v>
      </c>
      <c r="F39">
        <v>6</v>
      </c>
      <c r="G39">
        <v>4</v>
      </c>
      <c r="H39">
        <v>38</v>
      </c>
      <c r="I39" s="2" t="s">
        <v>31</v>
      </c>
      <c r="J39" s="2" t="s">
        <v>21</v>
      </c>
      <c r="K39" s="3" t="s">
        <v>34</v>
      </c>
      <c r="L39" s="2" t="s">
        <v>30</v>
      </c>
      <c r="M39" s="3" t="s">
        <v>23</v>
      </c>
    </row>
    <row r="40" spans="1:13" ht="15.75" customHeight="1" x14ac:dyDescent="0.3">
      <c r="A40">
        <v>39</v>
      </c>
      <c r="B40">
        <v>1</v>
      </c>
      <c r="C40">
        <v>3</v>
      </c>
      <c r="D40">
        <v>5</v>
      </c>
      <c r="E40">
        <v>4</v>
      </c>
      <c r="F40">
        <v>2</v>
      </c>
      <c r="G40">
        <v>6</v>
      </c>
      <c r="H40">
        <v>39</v>
      </c>
      <c r="I40" s="2" t="s">
        <v>31</v>
      </c>
      <c r="J40" s="2" t="s">
        <v>21</v>
      </c>
      <c r="K40" s="3" t="s">
        <v>22</v>
      </c>
      <c r="L40" s="3" t="s">
        <v>33</v>
      </c>
      <c r="M40" s="2" t="s">
        <v>30</v>
      </c>
    </row>
    <row r="41" spans="1:13" ht="15.75" customHeight="1" x14ac:dyDescent="0.3">
      <c r="A41">
        <v>40</v>
      </c>
      <c r="B41">
        <v>1</v>
      </c>
      <c r="C41">
        <v>3</v>
      </c>
      <c r="D41">
        <v>5</v>
      </c>
      <c r="E41">
        <v>4</v>
      </c>
      <c r="F41">
        <v>6</v>
      </c>
      <c r="G41">
        <v>2</v>
      </c>
      <c r="H41">
        <v>40</v>
      </c>
      <c r="I41" s="2" t="s">
        <v>31</v>
      </c>
      <c r="J41" s="2" t="s">
        <v>21</v>
      </c>
      <c r="K41" s="3" t="s">
        <v>22</v>
      </c>
      <c r="L41" s="2" t="s">
        <v>19</v>
      </c>
      <c r="M41" s="3" t="s">
        <v>35</v>
      </c>
    </row>
    <row r="42" spans="1:13" ht="15.75" customHeight="1" x14ac:dyDescent="0.3">
      <c r="A42">
        <v>41</v>
      </c>
      <c r="B42">
        <v>1</v>
      </c>
      <c r="C42">
        <v>3</v>
      </c>
      <c r="D42">
        <v>5</v>
      </c>
      <c r="E42">
        <v>6</v>
      </c>
      <c r="F42">
        <v>2</v>
      </c>
      <c r="G42">
        <v>4</v>
      </c>
      <c r="H42">
        <v>41</v>
      </c>
      <c r="I42" s="2" t="s">
        <v>31</v>
      </c>
      <c r="J42" s="2" t="s">
        <v>21</v>
      </c>
      <c r="K42" s="2" t="s">
        <v>18</v>
      </c>
      <c r="L42" s="3" t="s">
        <v>35</v>
      </c>
      <c r="M42" s="2" t="s">
        <v>25</v>
      </c>
    </row>
    <row r="43" spans="1:13" ht="15.75" customHeight="1" x14ac:dyDescent="0.3">
      <c r="A43">
        <v>42</v>
      </c>
      <c r="B43">
        <v>1</v>
      </c>
      <c r="C43">
        <v>3</v>
      </c>
      <c r="D43">
        <v>5</v>
      </c>
      <c r="E43">
        <v>6</v>
      </c>
      <c r="F43">
        <v>4</v>
      </c>
      <c r="G43">
        <v>2</v>
      </c>
      <c r="H43">
        <v>42</v>
      </c>
      <c r="I43" s="2" t="s">
        <v>31</v>
      </c>
      <c r="J43" s="2" t="s">
        <v>21</v>
      </c>
      <c r="K43" s="2" t="s">
        <v>18</v>
      </c>
      <c r="L43" s="3" t="s">
        <v>23</v>
      </c>
      <c r="M43" s="3" t="s">
        <v>33</v>
      </c>
    </row>
    <row r="44" spans="1:13" ht="15.75" customHeight="1" x14ac:dyDescent="0.3">
      <c r="A44">
        <v>43</v>
      </c>
      <c r="B44">
        <v>1</v>
      </c>
      <c r="C44">
        <v>3</v>
      </c>
      <c r="D44">
        <v>6</v>
      </c>
      <c r="E44">
        <v>2</v>
      </c>
      <c r="F44">
        <v>4</v>
      </c>
      <c r="G44">
        <v>5</v>
      </c>
      <c r="H44">
        <v>43</v>
      </c>
      <c r="I44" s="2" t="s">
        <v>31</v>
      </c>
      <c r="J44" s="2" t="s">
        <v>24</v>
      </c>
      <c r="K44" s="3" t="s">
        <v>35</v>
      </c>
      <c r="L44" s="2" t="s">
        <v>25</v>
      </c>
      <c r="M44" s="2" t="s">
        <v>17</v>
      </c>
    </row>
    <row r="45" spans="1:13" ht="15.75" customHeight="1" x14ac:dyDescent="0.3">
      <c r="A45">
        <v>44</v>
      </c>
      <c r="B45">
        <v>1</v>
      </c>
      <c r="C45">
        <v>3</v>
      </c>
      <c r="D45">
        <v>6</v>
      </c>
      <c r="E45">
        <v>2</v>
      </c>
      <c r="F45">
        <v>5</v>
      </c>
      <c r="G45">
        <v>4</v>
      </c>
      <c r="H45">
        <v>44</v>
      </c>
      <c r="I45" s="2" t="s">
        <v>31</v>
      </c>
      <c r="J45" s="2" t="s">
        <v>24</v>
      </c>
      <c r="K45" s="3" t="s">
        <v>35</v>
      </c>
      <c r="L45" s="2" t="s">
        <v>29</v>
      </c>
      <c r="M45" s="3" t="s">
        <v>22</v>
      </c>
    </row>
    <row r="46" spans="1:13" ht="15.75" customHeight="1" x14ac:dyDescent="0.3">
      <c r="A46">
        <v>45</v>
      </c>
      <c r="B46">
        <v>1</v>
      </c>
      <c r="C46">
        <v>3</v>
      </c>
      <c r="D46">
        <v>6</v>
      </c>
      <c r="E46">
        <v>4</v>
      </c>
      <c r="F46">
        <v>2</v>
      </c>
      <c r="G46">
        <v>5</v>
      </c>
      <c r="H46">
        <v>45</v>
      </c>
      <c r="I46" s="2" t="s">
        <v>31</v>
      </c>
      <c r="J46" s="2" t="s">
        <v>24</v>
      </c>
      <c r="K46" s="3" t="s">
        <v>23</v>
      </c>
      <c r="L46" s="3" t="s">
        <v>33</v>
      </c>
      <c r="M46" s="2" t="s">
        <v>29</v>
      </c>
    </row>
    <row r="47" spans="1:13" ht="15.75" customHeight="1" x14ac:dyDescent="0.3">
      <c r="A47">
        <v>46</v>
      </c>
      <c r="B47">
        <v>1</v>
      </c>
      <c r="C47">
        <v>3</v>
      </c>
      <c r="D47">
        <v>6</v>
      </c>
      <c r="E47">
        <v>4</v>
      </c>
      <c r="F47">
        <v>5</v>
      </c>
      <c r="G47">
        <v>2</v>
      </c>
      <c r="H47">
        <v>46</v>
      </c>
      <c r="I47" s="2" t="s">
        <v>31</v>
      </c>
      <c r="J47" s="2" t="s">
        <v>24</v>
      </c>
      <c r="K47" s="3" t="s">
        <v>23</v>
      </c>
      <c r="L47" s="2" t="s">
        <v>17</v>
      </c>
      <c r="M47" s="3" t="s">
        <v>34</v>
      </c>
    </row>
    <row r="48" spans="1:13" ht="15.75" customHeight="1" x14ac:dyDescent="0.3">
      <c r="A48">
        <v>47</v>
      </c>
      <c r="B48">
        <v>1</v>
      </c>
      <c r="C48">
        <v>3</v>
      </c>
      <c r="D48">
        <v>6</v>
      </c>
      <c r="E48">
        <v>5</v>
      </c>
      <c r="F48">
        <v>2</v>
      </c>
      <c r="G48">
        <v>4</v>
      </c>
      <c r="H48">
        <v>47</v>
      </c>
      <c r="I48" s="2" t="s">
        <v>31</v>
      </c>
      <c r="J48" s="2" t="s">
        <v>24</v>
      </c>
      <c r="K48" s="3" t="s">
        <v>20</v>
      </c>
      <c r="L48" s="3" t="s">
        <v>34</v>
      </c>
      <c r="M48" s="2" t="s">
        <v>25</v>
      </c>
    </row>
    <row r="49" spans="1:13" ht="15.75" customHeight="1" x14ac:dyDescent="0.3">
      <c r="A49">
        <v>48</v>
      </c>
      <c r="B49">
        <v>1</v>
      </c>
      <c r="C49">
        <v>3</v>
      </c>
      <c r="D49">
        <v>6</v>
      </c>
      <c r="E49">
        <v>5</v>
      </c>
      <c r="F49">
        <v>4</v>
      </c>
      <c r="G49">
        <v>2</v>
      </c>
      <c r="H49">
        <v>48</v>
      </c>
      <c r="I49" s="2" t="s">
        <v>31</v>
      </c>
      <c r="J49" s="2" t="s">
        <v>24</v>
      </c>
      <c r="K49" s="3" t="s">
        <v>20</v>
      </c>
      <c r="L49" s="3" t="s">
        <v>22</v>
      </c>
      <c r="M49" s="3" t="s">
        <v>33</v>
      </c>
    </row>
    <row r="50" spans="1:13" ht="15.75" customHeight="1" x14ac:dyDescent="0.3">
      <c r="A50">
        <v>49</v>
      </c>
      <c r="B50">
        <v>1</v>
      </c>
      <c r="C50">
        <v>4</v>
      </c>
      <c r="D50">
        <v>2</v>
      </c>
      <c r="E50">
        <v>3</v>
      </c>
      <c r="F50">
        <v>5</v>
      </c>
      <c r="G50">
        <v>6</v>
      </c>
      <c r="H50">
        <v>49</v>
      </c>
      <c r="I50" s="2" t="s">
        <v>36</v>
      </c>
      <c r="J50" s="3" t="s">
        <v>33</v>
      </c>
      <c r="K50" s="2" t="s">
        <v>15</v>
      </c>
      <c r="L50" s="2" t="s">
        <v>21</v>
      </c>
      <c r="M50" s="2" t="s">
        <v>18</v>
      </c>
    </row>
    <row r="51" spans="1:13" ht="15.75" customHeight="1" x14ac:dyDescent="0.3">
      <c r="A51">
        <v>50</v>
      </c>
      <c r="B51">
        <v>1</v>
      </c>
      <c r="C51">
        <v>4</v>
      </c>
      <c r="D51">
        <v>2</v>
      </c>
      <c r="E51">
        <v>3</v>
      </c>
      <c r="F51">
        <v>6</v>
      </c>
      <c r="G51">
        <v>5</v>
      </c>
      <c r="H51">
        <v>50</v>
      </c>
      <c r="I51" s="2" t="s">
        <v>36</v>
      </c>
      <c r="J51" s="3" t="s">
        <v>33</v>
      </c>
      <c r="K51" s="2" t="s">
        <v>15</v>
      </c>
      <c r="L51" s="2" t="s">
        <v>24</v>
      </c>
      <c r="M51" s="3" t="s">
        <v>20</v>
      </c>
    </row>
    <row r="52" spans="1:13" ht="15.75" customHeight="1" x14ac:dyDescent="0.3">
      <c r="A52">
        <v>51</v>
      </c>
      <c r="B52">
        <v>1</v>
      </c>
      <c r="C52">
        <v>4</v>
      </c>
      <c r="D52">
        <v>2</v>
      </c>
      <c r="E52">
        <v>5</v>
      </c>
      <c r="F52">
        <v>3</v>
      </c>
      <c r="G52">
        <v>6</v>
      </c>
      <c r="H52">
        <v>51</v>
      </c>
      <c r="I52" s="2" t="s">
        <v>36</v>
      </c>
      <c r="J52" s="3" t="s">
        <v>33</v>
      </c>
      <c r="K52" s="2" t="s">
        <v>29</v>
      </c>
      <c r="L52" s="3" t="s">
        <v>27</v>
      </c>
      <c r="M52" s="2" t="s">
        <v>24</v>
      </c>
    </row>
    <row r="53" spans="1:13" ht="15.75" customHeight="1" x14ac:dyDescent="0.3">
      <c r="A53">
        <v>52</v>
      </c>
      <c r="B53">
        <v>1</v>
      </c>
      <c r="C53">
        <v>4</v>
      </c>
      <c r="D53">
        <v>2</v>
      </c>
      <c r="E53">
        <v>5</v>
      </c>
      <c r="F53">
        <v>6</v>
      </c>
      <c r="G53">
        <v>3</v>
      </c>
      <c r="H53">
        <v>52</v>
      </c>
      <c r="I53" s="2" t="s">
        <v>36</v>
      </c>
      <c r="J53" s="3" t="s">
        <v>33</v>
      </c>
      <c r="K53" s="2" t="s">
        <v>29</v>
      </c>
      <c r="L53" s="2" t="s">
        <v>18</v>
      </c>
      <c r="M53" s="3" t="s">
        <v>28</v>
      </c>
    </row>
    <row r="54" spans="1:13" ht="15.75" customHeight="1" x14ac:dyDescent="0.3">
      <c r="A54">
        <v>53</v>
      </c>
      <c r="B54">
        <v>1</v>
      </c>
      <c r="C54">
        <v>4</v>
      </c>
      <c r="D54">
        <v>2</v>
      </c>
      <c r="E54">
        <v>6</v>
      </c>
      <c r="F54">
        <v>3</v>
      </c>
      <c r="G54">
        <v>5</v>
      </c>
      <c r="H54">
        <v>53</v>
      </c>
      <c r="I54" s="2" t="s">
        <v>36</v>
      </c>
      <c r="J54" s="3" t="s">
        <v>33</v>
      </c>
      <c r="K54" s="2" t="s">
        <v>30</v>
      </c>
      <c r="L54" s="3" t="s">
        <v>28</v>
      </c>
      <c r="M54" s="2" t="s">
        <v>21</v>
      </c>
    </row>
    <row r="55" spans="1:13" ht="15.75" customHeight="1" x14ac:dyDescent="0.3">
      <c r="A55">
        <v>54</v>
      </c>
      <c r="B55">
        <v>1</v>
      </c>
      <c r="C55">
        <v>4</v>
      </c>
      <c r="D55">
        <v>2</v>
      </c>
      <c r="E55">
        <v>6</v>
      </c>
      <c r="F55">
        <v>5</v>
      </c>
      <c r="G55">
        <v>3</v>
      </c>
      <c r="H55">
        <v>54</v>
      </c>
      <c r="I55" s="2" t="s">
        <v>36</v>
      </c>
      <c r="J55" s="3" t="s">
        <v>33</v>
      </c>
      <c r="K55" s="2" t="s">
        <v>30</v>
      </c>
      <c r="L55" s="3" t="s">
        <v>20</v>
      </c>
      <c r="M55" s="3" t="s">
        <v>27</v>
      </c>
    </row>
    <row r="56" spans="1:13" ht="15.75" customHeight="1" x14ac:dyDescent="0.3">
      <c r="A56">
        <v>55</v>
      </c>
      <c r="B56">
        <v>1</v>
      </c>
      <c r="C56">
        <v>4</v>
      </c>
      <c r="D56">
        <v>3</v>
      </c>
      <c r="E56">
        <v>2</v>
      </c>
      <c r="F56">
        <v>5</v>
      </c>
      <c r="G56">
        <v>6</v>
      </c>
      <c r="H56">
        <v>55</v>
      </c>
      <c r="I56" s="2" t="s">
        <v>36</v>
      </c>
      <c r="J56" s="3" t="s">
        <v>26</v>
      </c>
      <c r="K56" s="3" t="s">
        <v>32</v>
      </c>
      <c r="L56" s="2" t="s">
        <v>29</v>
      </c>
      <c r="M56" s="2" t="s">
        <v>18</v>
      </c>
    </row>
    <row r="57" spans="1:13" ht="15.75" customHeight="1" x14ac:dyDescent="0.3">
      <c r="A57">
        <v>56</v>
      </c>
      <c r="B57">
        <v>1</v>
      </c>
      <c r="C57">
        <v>4</v>
      </c>
      <c r="D57">
        <v>3</v>
      </c>
      <c r="E57">
        <v>2</v>
      </c>
      <c r="F57">
        <v>6</v>
      </c>
      <c r="G57">
        <v>5</v>
      </c>
      <c r="H57">
        <v>56</v>
      </c>
      <c r="I57" s="2" t="s">
        <v>36</v>
      </c>
      <c r="J57" s="3" t="s">
        <v>26</v>
      </c>
      <c r="K57" s="3" t="s">
        <v>32</v>
      </c>
      <c r="L57" s="2" t="s">
        <v>30</v>
      </c>
      <c r="M57" s="3" t="s">
        <v>20</v>
      </c>
    </row>
    <row r="58" spans="1:13" ht="15.75" customHeight="1" x14ac:dyDescent="0.3">
      <c r="A58">
        <v>57</v>
      </c>
      <c r="B58">
        <v>1</v>
      </c>
      <c r="C58">
        <v>4</v>
      </c>
      <c r="D58">
        <v>3</v>
      </c>
      <c r="E58">
        <v>5</v>
      </c>
      <c r="F58">
        <v>2</v>
      </c>
      <c r="G58">
        <v>6</v>
      </c>
      <c r="H58">
        <v>57</v>
      </c>
      <c r="I58" s="2" t="s">
        <v>36</v>
      </c>
      <c r="J58" s="3" t="s">
        <v>26</v>
      </c>
      <c r="K58" s="2" t="s">
        <v>21</v>
      </c>
      <c r="L58" s="3" t="s">
        <v>34</v>
      </c>
      <c r="M58" s="2" t="s">
        <v>30</v>
      </c>
    </row>
    <row r="59" spans="1:13" ht="15.75" customHeight="1" x14ac:dyDescent="0.3">
      <c r="A59">
        <v>58</v>
      </c>
      <c r="B59">
        <v>1</v>
      </c>
      <c r="C59">
        <v>4</v>
      </c>
      <c r="D59">
        <v>3</v>
      </c>
      <c r="E59">
        <v>5</v>
      </c>
      <c r="F59">
        <v>6</v>
      </c>
      <c r="G59">
        <v>2</v>
      </c>
      <c r="H59">
        <v>58</v>
      </c>
      <c r="I59" s="2" t="s">
        <v>36</v>
      </c>
      <c r="J59" s="3" t="s">
        <v>26</v>
      </c>
      <c r="K59" s="2" t="s">
        <v>21</v>
      </c>
      <c r="L59" s="2" t="s">
        <v>18</v>
      </c>
      <c r="M59" s="3" t="s">
        <v>35</v>
      </c>
    </row>
    <row r="60" spans="1:13" ht="15.75" customHeight="1" x14ac:dyDescent="0.3">
      <c r="A60">
        <v>59</v>
      </c>
      <c r="B60">
        <v>1</v>
      </c>
      <c r="C60">
        <v>4</v>
      </c>
      <c r="D60">
        <v>3</v>
      </c>
      <c r="E60">
        <v>6</v>
      </c>
      <c r="F60">
        <v>2</v>
      </c>
      <c r="G60">
        <v>5</v>
      </c>
      <c r="H60">
        <v>59</v>
      </c>
      <c r="I60" s="2" t="s">
        <v>36</v>
      </c>
      <c r="J60" s="3" t="s">
        <v>26</v>
      </c>
      <c r="K60" s="2" t="s">
        <v>24</v>
      </c>
      <c r="L60" s="3" t="s">
        <v>35</v>
      </c>
      <c r="M60" s="2" t="s">
        <v>29</v>
      </c>
    </row>
    <row r="61" spans="1:13" ht="15.75" customHeight="1" x14ac:dyDescent="0.3">
      <c r="A61">
        <v>60</v>
      </c>
      <c r="B61">
        <v>1</v>
      </c>
      <c r="C61">
        <v>4</v>
      </c>
      <c r="D61">
        <v>3</v>
      </c>
      <c r="E61">
        <v>6</v>
      </c>
      <c r="F61">
        <v>5</v>
      </c>
      <c r="G61">
        <v>2</v>
      </c>
      <c r="H61">
        <v>60</v>
      </c>
      <c r="I61" s="2" t="s">
        <v>36</v>
      </c>
      <c r="J61" s="3" t="s">
        <v>26</v>
      </c>
      <c r="K61" s="2" t="s">
        <v>24</v>
      </c>
      <c r="L61" s="3" t="s">
        <v>20</v>
      </c>
      <c r="M61" s="3" t="s">
        <v>34</v>
      </c>
    </row>
    <row r="62" spans="1:13" ht="15.75" customHeight="1" x14ac:dyDescent="0.3">
      <c r="A62">
        <v>61</v>
      </c>
      <c r="B62">
        <v>1</v>
      </c>
      <c r="C62">
        <v>4</v>
      </c>
      <c r="D62">
        <v>5</v>
      </c>
      <c r="E62">
        <v>2</v>
      </c>
      <c r="F62">
        <v>3</v>
      </c>
      <c r="G62">
        <v>6</v>
      </c>
      <c r="H62">
        <v>61</v>
      </c>
      <c r="I62" s="2" t="s">
        <v>36</v>
      </c>
      <c r="J62" s="2" t="s">
        <v>17</v>
      </c>
      <c r="K62" s="3" t="s">
        <v>34</v>
      </c>
      <c r="L62" s="2" t="s">
        <v>15</v>
      </c>
      <c r="M62" s="2" t="s">
        <v>24</v>
      </c>
    </row>
    <row r="63" spans="1:13" ht="15.75" customHeight="1" x14ac:dyDescent="0.3">
      <c r="A63">
        <v>62</v>
      </c>
      <c r="B63">
        <v>1</v>
      </c>
      <c r="C63">
        <v>4</v>
      </c>
      <c r="D63">
        <v>5</v>
      </c>
      <c r="E63">
        <v>2</v>
      </c>
      <c r="F63">
        <v>6</v>
      </c>
      <c r="G63">
        <v>3</v>
      </c>
      <c r="H63">
        <v>62</v>
      </c>
      <c r="I63" s="2" t="s">
        <v>36</v>
      </c>
      <c r="J63" s="2" t="s">
        <v>17</v>
      </c>
      <c r="K63" s="3" t="s">
        <v>34</v>
      </c>
      <c r="L63" s="2" t="s">
        <v>30</v>
      </c>
      <c r="M63" s="3" t="s">
        <v>28</v>
      </c>
    </row>
    <row r="64" spans="1:13" ht="15.75" customHeight="1" x14ac:dyDescent="0.3">
      <c r="A64">
        <v>63</v>
      </c>
      <c r="B64">
        <v>1</v>
      </c>
      <c r="C64">
        <v>4</v>
      </c>
      <c r="D64">
        <v>5</v>
      </c>
      <c r="E64">
        <v>3</v>
      </c>
      <c r="F64">
        <v>2</v>
      </c>
      <c r="G64">
        <v>6</v>
      </c>
      <c r="H64">
        <v>63</v>
      </c>
      <c r="I64" s="2" t="s">
        <v>36</v>
      </c>
      <c r="J64" s="2" t="s">
        <v>17</v>
      </c>
      <c r="K64" s="3" t="s">
        <v>27</v>
      </c>
      <c r="L64" s="3" t="s">
        <v>32</v>
      </c>
      <c r="M64" s="2" t="s">
        <v>30</v>
      </c>
    </row>
    <row r="65" spans="1:13" ht="15.75" customHeight="1" x14ac:dyDescent="0.3">
      <c r="A65">
        <v>64</v>
      </c>
      <c r="B65">
        <v>1</v>
      </c>
      <c r="C65">
        <v>4</v>
      </c>
      <c r="D65">
        <v>5</v>
      </c>
      <c r="E65">
        <v>3</v>
      </c>
      <c r="F65">
        <v>6</v>
      </c>
      <c r="G65">
        <v>2</v>
      </c>
      <c r="H65">
        <v>64</v>
      </c>
      <c r="I65" s="2" t="s">
        <v>36</v>
      </c>
      <c r="J65" s="2" t="s">
        <v>17</v>
      </c>
      <c r="K65" s="3" t="s">
        <v>27</v>
      </c>
      <c r="L65" s="2" t="s">
        <v>24</v>
      </c>
      <c r="M65" s="3" t="s">
        <v>35</v>
      </c>
    </row>
    <row r="66" spans="1:13" ht="15.75" customHeight="1" x14ac:dyDescent="0.3">
      <c r="A66">
        <v>65</v>
      </c>
      <c r="B66">
        <v>1</v>
      </c>
      <c r="C66">
        <v>4</v>
      </c>
      <c r="D66">
        <v>5</v>
      </c>
      <c r="E66">
        <v>6</v>
      </c>
      <c r="F66">
        <v>2</v>
      </c>
      <c r="G66">
        <v>3</v>
      </c>
      <c r="H66">
        <v>65</v>
      </c>
      <c r="I66" s="2" t="s">
        <v>36</v>
      </c>
      <c r="J66" s="2" t="s">
        <v>17</v>
      </c>
      <c r="K66" s="2" t="s">
        <v>18</v>
      </c>
      <c r="L66" s="3" t="s">
        <v>35</v>
      </c>
      <c r="M66" s="2" t="s">
        <v>15</v>
      </c>
    </row>
    <row r="67" spans="1:13" ht="15.75" customHeight="1" x14ac:dyDescent="0.3">
      <c r="A67">
        <v>66</v>
      </c>
      <c r="B67">
        <v>1</v>
      </c>
      <c r="C67">
        <v>4</v>
      </c>
      <c r="D67">
        <v>5</v>
      </c>
      <c r="E67">
        <v>6</v>
      </c>
      <c r="F67">
        <v>3</v>
      </c>
      <c r="G67">
        <v>2</v>
      </c>
      <c r="H67">
        <v>66</v>
      </c>
      <c r="I67" s="2" t="s">
        <v>36</v>
      </c>
      <c r="J67" s="2" t="s">
        <v>17</v>
      </c>
      <c r="K67" s="2" t="s">
        <v>18</v>
      </c>
      <c r="L67" s="3" t="s">
        <v>28</v>
      </c>
      <c r="M67" s="3" t="s">
        <v>32</v>
      </c>
    </row>
    <row r="68" spans="1:13" ht="15.75" customHeight="1" x14ac:dyDescent="0.3">
      <c r="A68">
        <v>67</v>
      </c>
      <c r="B68">
        <v>1</v>
      </c>
      <c r="C68">
        <v>4</v>
      </c>
      <c r="D68">
        <v>6</v>
      </c>
      <c r="E68">
        <v>2</v>
      </c>
      <c r="F68">
        <v>3</v>
      </c>
      <c r="G68">
        <v>5</v>
      </c>
      <c r="H68">
        <v>67</v>
      </c>
      <c r="I68" s="2" t="s">
        <v>36</v>
      </c>
      <c r="J68" s="2" t="s">
        <v>19</v>
      </c>
      <c r="K68" s="3" t="s">
        <v>35</v>
      </c>
      <c r="L68" s="2" t="s">
        <v>15</v>
      </c>
      <c r="M68" s="2" t="s">
        <v>21</v>
      </c>
    </row>
    <row r="69" spans="1:13" ht="15.75" customHeight="1" x14ac:dyDescent="0.3">
      <c r="A69">
        <v>68</v>
      </c>
      <c r="B69">
        <v>1</v>
      </c>
      <c r="C69">
        <v>4</v>
      </c>
      <c r="D69">
        <v>6</v>
      </c>
      <c r="E69">
        <v>2</v>
      </c>
      <c r="F69">
        <v>5</v>
      </c>
      <c r="G69">
        <v>3</v>
      </c>
      <c r="H69">
        <v>68</v>
      </c>
      <c r="I69" s="2" t="s">
        <v>36</v>
      </c>
      <c r="J69" s="2" t="s">
        <v>19</v>
      </c>
      <c r="K69" s="3" t="s">
        <v>35</v>
      </c>
      <c r="L69" s="2" t="s">
        <v>29</v>
      </c>
      <c r="M69" s="3" t="s">
        <v>27</v>
      </c>
    </row>
    <row r="70" spans="1:13" ht="15.75" customHeight="1" x14ac:dyDescent="0.3">
      <c r="A70">
        <v>69</v>
      </c>
      <c r="B70">
        <v>1</v>
      </c>
      <c r="C70">
        <v>4</v>
      </c>
      <c r="D70">
        <v>6</v>
      </c>
      <c r="E70">
        <v>3</v>
      </c>
      <c r="F70">
        <v>2</v>
      </c>
      <c r="G70">
        <v>5</v>
      </c>
      <c r="H70">
        <v>69</v>
      </c>
      <c r="I70" s="2" t="s">
        <v>36</v>
      </c>
      <c r="J70" s="2" t="s">
        <v>19</v>
      </c>
      <c r="K70" s="3" t="s">
        <v>28</v>
      </c>
      <c r="L70" s="3" t="s">
        <v>32</v>
      </c>
      <c r="M70" s="2" t="s">
        <v>29</v>
      </c>
    </row>
    <row r="71" spans="1:13" ht="15.75" customHeight="1" x14ac:dyDescent="0.3">
      <c r="A71">
        <v>70</v>
      </c>
      <c r="B71">
        <v>1</v>
      </c>
      <c r="C71">
        <v>4</v>
      </c>
      <c r="D71">
        <v>6</v>
      </c>
      <c r="E71">
        <v>3</v>
      </c>
      <c r="F71">
        <v>5</v>
      </c>
      <c r="G71">
        <v>2</v>
      </c>
      <c r="H71">
        <v>70</v>
      </c>
      <c r="I71" s="2" t="s">
        <v>36</v>
      </c>
      <c r="J71" s="2" t="s">
        <v>19</v>
      </c>
      <c r="K71" s="3" t="s">
        <v>28</v>
      </c>
      <c r="L71" s="2" t="s">
        <v>21</v>
      </c>
      <c r="M71" s="3" t="s">
        <v>34</v>
      </c>
    </row>
    <row r="72" spans="1:13" ht="15.75" customHeight="1" x14ac:dyDescent="0.3">
      <c r="A72">
        <v>71</v>
      </c>
      <c r="B72">
        <v>1</v>
      </c>
      <c r="C72">
        <v>4</v>
      </c>
      <c r="D72">
        <v>6</v>
      </c>
      <c r="E72">
        <v>5</v>
      </c>
      <c r="F72">
        <v>2</v>
      </c>
      <c r="G72">
        <v>3</v>
      </c>
      <c r="H72">
        <v>71</v>
      </c>
      <c r="I72" s="2" t="s">
        <v>36</v>
      </c>
      <c r="J72" s="2" t="s">
        <v>19</v>
      </c>
      <c r="K72" s="3" t="s">
        <v>20</v>
      </c>
      <c r="L72" s="3" t="s">
        <v>34</v>
      </c>
      <c r="M72" s="2" t="s">
        <v>15</v>
      </c>
    </row>
    <row r="73" spans="1:13" ht="15.75" customHeight="1" x14ac:dyDescent="0.3">
      <c r="A73">
        <v>72</v>
      </c>
      <c r="B73">
        <v>1</v>
      </c>
      <c r="C73">
        <v>4</v>
      </c>
      <c r="D73">
        <v>6</v>
      </c>
      <c r="E73">
        <v>5</v>
      </c>
      <c r="F73">
        <v>3</v>
      </c>
      <c r="G73">
        <v>2</v>
      </c>
      <c r="H73">
        <v>72</v>
      </c>
      <c r="I73" s="2" t="s">
        <v>36</v>
      </c>
      <c r="J73" s="2" t="s">
        <v>19</v>
      </c>
      <c r="K73" s="3" t="s">
        <v>20</v>
      </c>
      <c r="L73" s="3" t="s">
        <v>27</v>
      </c>
      <c r="M73" s="3" t="s">
        <v>32</v>
      </c>
    </row>
    <row r="74" spans="1:13" ht="15.75" customHeight="1" x14ac:dyDescent="0.3">
      <c r="A74">
        <v>73</v>
      </c>
      <c r="B74">
        <v>1</v>
      </c>
      <c r="C74">
        <v>5</v>
      </c>
      <c r="D74">
        <v>2</v>
      </c>
      <c r="E74">
        <v>3</v>
      </c>
      <c r="F74">
        <v>4</v>
      </c>
      <c r="G74">
        <v>6</v>
      </c>
      <c r="H74">
        <v>73</v>
      </c>
      <c r="I74" s="2" t="s">
        <v>37</v>
      </c>
      <c r="J74" s="3" t="s">
        <v>34</v>
      </c>
      <c r="K74" s="2" t="s">
        <v>15</v>
      </c>
      <c r="L74" s="2" t="s">
        <v>16</v>
      </c>
      <c r="M74" s="2" t="s">
        <v>19</v>
      </c>
    </row>
    <row r="75" spans="1:13" ht="15.75" customHeight="1" x14ac:dyDescent="0.3">
      <c r="A75">
        <v>74</v>
      </c>
      <c r="B75">
        <v>1</v>
      </c>
      <c r="C75">
        <v>5</v>
      </c>
      <c r="D75">
        <v>2</v>
      </c>
      <c r="E75">
        <v>3</v>
      </c>
      <c r="F75">
        <v>6</v>
      </c>
      <c r="G75">
        <v>4</v>
      </c>
      <c r="H75">
        <v>74</v>
      </c>
      <c r="I75" s="2" t="s">
        <v>37</v>
      </c>
      <c r="J75" s="3" t="s">
        <v>34</v>
      </c>
      <c r="K75" s="2" t="s">
        <v>15</v>
      </c>
      <c r="L75" s="2" t="s">
        <v>24</v>
      </c>
      <c r="M75" s="3" t="s">
        <v>23</v>
      </c>
    </row>
    <row r="76" spans="1:13" ht="15.75" customHeight="1" x14ac:dyDescent="0.3">
      <c r="A76">
        <v>75</v>
      </c>
      <c r="B76">
        <v>1</v>
      </c>
      <c r="C76">
        <v>5</v>
      </c>
      <c r="D76">
        <v>2</v>
      </c>
      <c r="E76">
        <v>4</v>
      </c>
      <c r="F76">
        <v>3</v>
      </c>
      <c r="G76">
        <v>6</v>
      </c>
      <c r="H76">
        <v>75</v>
      </c>
      <c r="I76" s="2" t="s">
        <v>37</v>
      </c>
      <c r="J76" s="3" t="s">
        <v>34</v>
      </c>
      <c r="K76" s="2" t="s">
        <v>25</v>
      </c>
      <c r="L76" s="3" t="s">
        <v>26</v>
      </c>
      <c r="M76" s="2" t="s">
        <v>24</v>
      </c>
    </row>
    <row r="77" spans="1:13" ht="15.75" customHeight="1" x14ac:dyDescent="0.3">
      <c r="A77">
        <v>76</v>
      </c>
      <c r="B77">
        <v>1</v>
      </c>
      <c r="C77">
        <v>5</v>
      </c>
      <c r="D77">
        <v>2</v>
      </c>
      <c r="E77">
        <v>4</v>
      </c>
      <c r="F77">
        <v>6</v>
      </c>
      <c r="G77">
        <v>3</v>
      </c>
      <c r="H77">
        <v>76</v>
      </c>
      <c r="I77" s="2" t="s">
        <v>37</v>
      </c>
      <c r="J77" s="3" t="s">
        <v>34</v>
      </c>
      <c r="K77" s="2" t="s">
        <v>25</v>
      </c>
      <c r="L77" s="2" t="s">
        <v>19</v>
      </c>
      <c r="M77" s="3" t="s">
        <v>28</v>
      </c>
    </row>
    <row r="78" spans="1:13" ht="15.75" customHeight="1" x14ac:dyDescent="0.3">
      <c r="A78">
        <v>77</v>
      </c>
      <c r="B78">
        <v>1</v>
      </c>
      <c r="C78">
        <v>5</v>
      </c>
      <c r="D78">
        <v>2</v>
      </c>
      <c r="E78">
        <v>6</v>
      </c>
      <c r="F78">
        <v>3</v>
      </c>
      <c r="G78">
        <v>4</v>
      </c>
      <c r="H78">
        <v>77</v>
      </c>
      <c r="I78" s="2" t="s">
        <v>37</v>
      </c>
      <c r="J78" s="3" t="s">
        <v>34</v>
      </c>
      <c r="K78" s="2" t="s">
        <v>30</v>
      </c>
      <c r="L78" s="3" t="s">
        <v>28</v>
      </c>
      <c r="M78" s="2" t="s">
        <v>16</v>
      </c>
    </row>
    <row r="79" spans="1:13" ht="15.75" customHeight="1" x14ac:dyDescent="0.3">
      <c r="A79">
        <v>78</v>
      </c>
      <c r="B79">
        <v>1</v>
      </c>
      <c r="C79">
        <v>5</v>
      </c>
      <c r="D79">
        <v>2</v>
      </c>
      <c r="E79">
        <v>6</v>
      </c>
      <c r="F79">
        <v>4</v>
      </c>
      <c r="G79">
        <v>3</v>
      </c>
      <c r="H79">
        <v>78</v>
      </c>
      <c r="I79" s="2" t="s">
        <v>37</v>
      </c>
      <c r="J79" s="3" t="s">
        <v>34</v>
      </c>
      <c r="K79" s="2" t="s">
        <v>30</v>
      </c>
      <c r="L79" s="3" t="s">
        <v>23</v>
      </c>
      <c r="M79" s="3" t="s">
        <v>26</v>
      </c>
    </row>
    <row r="80" spans="1:13" ht="15.75" customHeight="1" x14ac:dyDescent="0.3">
      <c r="A80">
        <v>79</v>
      </c>
      <c r="B80">
        <v>1</v>
      </c>
      <c r="C80">
        <v>5</v>
      </c>
      <c r="D80">
        <v>3</v>
      </c>
      <c r="E80">
        <v>2</v>
      </c>
      <c r="F80">
        <v>4</v>
      </c>
      <c r="G80">
        <v>6</v>
      </c>
      <c r="H80">
        <v>79</v>
      </c>
      <c r="I80" s="2" t="s">
        <v>37</v>
      </c>
      <c r="J80" s="3" t="s">
        <v>27</v>
      </c>
      <c r="K80" s="3" t="s">
        <v>32</v>
      </c>
      <c r="L80" s="2" t="s">
        <v>25</v>
      </c>
      <c r="M80" s="2" t="s">
        <v>19</v>
      </c>
    </row>
    <row r="81" spans="1:13" ht="15.75" customHeight="1" x14ac:dyDescent="0.3">
      <c r="A81">
        <v>80</v>
      </c>
      <c r="B81">
        <v>1</v>
      </c>
      <c r="C81">
        <v>5</v>
      </c>
      <c r="D81">
        <v>3</v>
      </c>
      <c r="E81">
        <v>2</v>
      </c>
      <c r="F81">
        <v>6</v>
      </c>
      <c r="G81">
        <v>4</v>
      </c>
      <c r="H81">
        <v>80</v>
      </c>
      <c r="I81" s="2" t="s">
        <v>37</v>
      </c>
      <c r="J81" s="3" t="s">
        <v>27</v>
      </c>
      <c r="K81" s="3" t="s">
        <v>32</v>
      </c>
      <c r="L81" s="2" t="s">
        <v>30</v>
      </c>
      <c r="M81" s="3" t="s">
        <v>23</v>
      </c>
    </row>
    <row r="82" spans="1:13" ht="15.75" customHeight="1" x14ac:dyDescent="0.3">
      <c r="A82">
        <v>81</v>
      </c>
      <c r="B82">
        <v>1</v>
      </c>
      <c r="C82">
        <v>5</v>
      </c>
      <c r="D82">
        <v>3</v>
      </c>
      <c r="E82">
        <v>4</v>
      </c>
      <c r="F82">
        <v>2</v>
      </c>
      <c r="G82">
        <v>6</v>
      </c>
      <c r="H82">
        <v>81</v>
      </c>
      <c r="I82" s="2" t="s">
        <v>37</v>
      </c>
      <c r="J82" s="3" t="s">
        <v>27</v>
      </c>
      <c r="K82" s="2" t="s">
        <v>16</v>
      </c>
      <c r="L82" s="3" t="s">
        <v>33</v>
      </c>
      <c r="M82" s="2" t="s">
        <v>30</v>
      </c>
    </row>
    <row r="83" spans="1:13" ht="15.75" customHeight="1" x14ac:dyDescent="0.3">
      <c r="A83">
        <v>82</v>
      </c>
      <c r="B83">
        <v>1</v>
      </c>
      <c r="C83">
        <v>5</v>
      </c>
      <c r="D83">
        <v>3</v>
      </c>
      <c r="E83">
        <v>4</v>
      </c>
      <c r="F83">
        <v>6</v>
      </c>
      <c r="G83">
        <v>2</v>
      </c>
      <c r="H83">
        <v>82</v>
      </c>
      <c r="I83" s="2" t="s">
        <v>37</v>
      </c>
      <c r="J83" s="3" t="s">
        <v>27</v>
      </c>
      <c r="K83" s="2" t="s">
        <v>16</v>
      </c>
      <c r="L83" s="2" t="s">
        <v>19</v>
      </c>
      <c r="M83" s="3" t="s">
        <v>35</v>
      </c>
    </row>
    <row r="84" spans="1:13" ht="15.75" customHeight="1" x14ac:dyDescent="0.3">
      <c r="A84">
        <v>83</v>
      </c>
      <c r="B84">
        <v>1</v>
      </c>
      <c r="C84">
        <v>5</v>
      </c>
      <c r="D84">
        <v>3</v>
      </c>
      <c r="E84">
        <v>6</v>
      </c>
      <c r="F84">
        <v>2</v>
      </c>
      <c r="G84">
        <v>4</v>
      </c>
      <c r="H84">
        <v>83</v>
      </c>
      <c r="I84" s="2" t="s">
        <v>37</v>
      </c>
      <c r="J84" s="3" t="s">
        <v>27</v>
      </c>
      <c r="K84" s="2" t="s">
        <v>24</v>
      </c>
      <c r="L84" s="3" t="s">
        <v>35</v>
      </c>
      <c r="M84" s="2" t="s">
        <v>25</v>
      </c>
    </row>
    <row r="85" spans="1:13" ht="15.75" customHeight="1" x14ac:dyDescent="0.3">
      <c r="A85">
        <v>84</v>
      </c>
      <c r="B85">
        <v>1</v>
      </c>
      <c r="C85">
        <v>5</v>
      </c>
      <c r="D85">
        <v>3</v>
      </c>
      <c r="E85">
        <v>6</v>
      </c>
      <c r="F85">
        <v>4</v>
      </c>
      <c r="G85">
        <v>2</v>
      </c>
      <c r="H85">
        <v>84</v>
      </c>
      <c r="I85" s="2" t="s">
        <v>37</v>
      </c>
      <c r="J85" s="3" t="s">
        <v>27</v>
      </c>
      <c r="K85" s="2" t="s">
        <v>24</v>
      </c>
      <c r="L85" s="3" t="s">
        <v>23</v>
      </c>
      <c r="M85" s="3" t="s">
        <v>33</v>
      </c>
    </row>
    <row r="86" spans="1:13" ht="15.75" customHeight="1" x14ac:dyDescent="0.3">
      <c r="A86">
        <v>85</v>
      </c>
      <c r="B86">
        <v>1</v>
      </c>
      <c r="C86">
        <v>5</v>
      </c>
      <c r="D86">
        <v>4</v>
      </c>
      <c r="E86">
        <v>2</v>
      </c>
      <c r="F86">
        <v>3</v>
      </c>
      <c r="G86">
        <v>6</v>
      </c>
      <c r="H86">
        <v>85</v>
      </c>
      <c r="I86" s="2" t="s">
        <v>37</v>
      </c>
      <c r="J86" s="3" t="s">
        <v>22</v>
      </c>
      <c r="K86" s="3" t="s">
        <v>33</v>
      </c>
      <c r="L86" s="2" t="s">
        <v>15</v>
      </c>
      <c r="M86" s="2" t="s">
        <v>24</v>
      </c>
    </row>
    <row r="87" spans="1:13" ht="15.75" customHeight="1" x14ac:dyDescent="0.3">
      <c r="A87">
        <v>86</v>
      </c>
      <c r="B87">
        <v>1</v>
      </c>
      <c r="C87">
        <v>5</v>
      </c>
      <c r="D87">
        <v>4</v>
      </c>
      <c r="E87">
        <v>2</v>
      </c>
      <c r="F87">
        <v>6</v>
      </c>
      <c r="G87">
        <v>3</v>
      </c>
      <c r="H87">
        <v>86</v>
      </c>
      <c r="I87" s="2" t="s">
        <v>37</v>
      </c>
      <c r="J87" s="3" t="s">
        <v>22</v>
      </c>
      <c r="K87" s="3" t="s">
        <v>33</v>
      </c>
      <c r="L87" s="2" t="s">
        <v>30</v>
      </c>
      <c r="M87" s="3" t="s">
        <v>28</v>
      </c>
    </row>
    <row r="88" spans="1:13" ht="15.75" customHeight="1" x14ac:dyDescent="0.3">
      <c r="A88">
        <v>87</v>
      </c>
      <c r="B88">
        <v>1</v>
      </c>
      <c r="C88">
        <v>5</v>
      </c>
      <c r="D88">
        <v>4</v>
      </c>
      <c r="E88">
        <v>3</v>
      </c>
      <c r="F88">
        <v>2</v>
      </c>
      <c r="G88">
        <v>6</v>
      </c>
      <c r="H88">
        <v>87</v>
      </c>
      <c r="I88" s="2" t="s">
        <v>37</v>
      </c>
      <c r="J88" s="3" t="s">
        <v>22</v>
      </c>
      <c r="K88" s="3" t="s">
        <v>26</v>
      </c>
      <c r="L88" s="3" t="s">
        <v>32</v>
      </c>
      <c r="M88" s="2" t="s">
        <v>30</v>
      </c>
    </row>
    <row r="89" spans="1:13" ht="15.75" customHeight="1" x14ac:dyDescent="0.3">
      <c r="A89">
        <v>88</v>
      </c>
      <c r="B89">
        <v>1</v>
      </c>
      <c r="C89">
        <v>5</v>
      </c>
      <c r="D89">
        <v>4</v>
      </c>
      <c r="E89">
        <v>3</v>
      </c>
      <c r="F89">
        <v>6</v>
      </c>
      <c r="G89">
        <v>2</v>
      </c>
      <c r="H89">
        <v>88</v>
      </c>
      <c r="I89" s="2" t="s">
        <v>37</v>
      </c>
      <c r="J89" s="3" t="s">
        <v>22</v>
      </c>
      <c r="K89" s="3" t="s">
        <v>26</v>
      </c>
      <c r="L89" s="2" t="s">
        <v>24</v>
      </c>
      <c r="M89" s="3" t="s">
        <v>35</v>
      </c>
    </row>
    <row r="90" spans="1:13" ht="15.75" customHeight="1" x14ac:dyDescent="0.3">
      <c r="A90">
        <v>89</v>
      </c>
      <c r="B90">
        <v>1</v>
      </c>
      <c r="C90">
        <v>5</v>
      </c>
      <c r="D90">
        <v>4</v>
      </c>
      <c r="E90">
        <v>6</v>
      </c>
      <c r="F90">
        <v>2</v>
      </c>
      <c r="G90">
        <v>3</v>
      </c>
      <c r="H90">
        <v>89</v>
      </c>
      <c r="I90" s="2" t="s">
        <v>37</v>
      </c>
      <c r="J90" s="3" t="s">
        <v>22</v>
      </c>
      <c r="K90" s="2" t="s">
        <v>19</v>
      </c>
      <c r="L90" s="3" t="s">
        <v>35</v>
      </c>
      <c r="M90" s="2" t="s">
        <v>15</v>
      </c>
    </row>
    <row r="91" spans="1:13" ht="15.75" customHeight="1" x14ac:dyDescent="0.3">
      <c r="A91">
        <v>90</v>
      </c>
      <c r="B91">
        <v>1</v>
      </c>
      <c r="C91">
        <v>5</v>
      </c>
      <c r="D91">
        <v>4</v>
      </c>
      <c r="E91">
        <v>6</v>
      </c>
      <c r="F91">
        <v>3</v>
      </c>
      <c r="G91">
        <v>2</v>
      </c>
      <c r="H91">
        <v>90</v>
      </c>
      <c r="I91" s="2" t="s">
        <v>37</v>
      </c>
      <c r="J91" s="3" t="s">
        <v>22</v>
      </c>
      <c r="K91" s="2" t="s">
        <v>19</v>
      </c>
      <c r="L91" s="3" t="s">
        <v>28</v>
      </c>
      <c r="M91" s="3" t="s">
        <v>32</v>
      </c>
    </row>
    <row r="92" spans="1:13" ht="15.75" customHeight="1" x14ac:dyDescent="0.3">
      <c r="A92">
        <v>91</v>
      </c>
      <c r="B92">
        <v>1</v>
      </c>
      <c r="C92">
        <v>5</v>
      </c>
      <c r="D92">
        <v>6</v>
      </c>
      <c r="E92">
        <v>2</v>
      </c>
      <c r="F92">
        <v>3</v>
      </c>
      <c r="G92">
        <v>4</v>
      </c>
      <c r="H92">
        <v>91</v>
      </c>
      <c r="I92" s="2" t="s">
        <v>37</v>
      </c>
      <c r="J92" s="2" t="s">
        <v>18</v>
      </c>
      <c r="K92" s="3" t="s">
        <v>35</v>
      </c>
      <c r="L92" s="2" t="s">
        <v>15</v>
      </c>
      <c r="M92" s="2" t="s">
        <v>16</v>
      </c>
    </row>
    <row r="93" spans="1:13" ht="15.75" customHeight="1" x14ac:dyDescent="0.3">
      <c r="A93">
        <v>92</v>
      </c>
      <c r="B93">
        <v>1</v>
      </c>
      <c r="C93">
        <v>5</v>
      </c>
      <c r="D93">
        <v>6</v>
      </c>
      <c r="E93">
        <v>2</v>
      </c>
      <c r="F93">
        <v>4</v>
      </c>
      <c r="G93">
        <v>3</v>
      </c>
      <c r="H93">
        <v>92</v>
      </c>
      <c r="I93" s="2" t="s">
        <v>37</v>
      </c>
      <c r="J93" s="2" t="s">
        <v>18</v>
      </c>
      <c r="K93" s="3" t="s">
        <v>35</v>
      </c>
      <c r="L93" s="2" t="s">
        <v>25</v>
      </c>
      <c r="M93" s="3" t="s">
        <v>26</v>
      </c>
    </row>
    <row r="94" spans="1:13" ht="15.75" customHeight="1" x14ac:dyDescent="0.3">
      <c r="A94">
        <v>93</v>
      </c>
      <c r="B94">
        <v>1</v>
      </c>
      <c r="C94">
        <v>5</v>
      </c>
      <c r="D94">
        <v>6</v>
      </c>
      <c r="E94">
        <v>3</v>
      </c>
      <c r="F94">
        <v>2</v>
      </c>
      <c r="G94">
        <v>4</v>
      </c>
      <c r="H94">
        <v>93</v>
      </c>
      <c r="I94" s="2" t="s">
        <v>37</v>
      </c>
      <c r="J94" s="2" t="s">
        <v>18</v>
      </c>
      <c r="K94" s="3" t="s">
        <v>28</v>
      </c>
      <c r="L94" s="3" t="s">
        <v>32</v>
      </c>
      <c r="M94" s="2" t="s">
        <v>25</v>
      </c>
    </row>
    <row r="95" spans="1:13" ht="15.75" customHeight="1" x14ac:dyDescent="0.3">
      <c r="A95">
        <v>94</v>
      </c>
      <c r="B95">
        <v>1</v>
      </c>
      <c r="C95">
        <v>5</v>
      </c>
      <c r="D95">
        <v>6</v>
      </c>
      <c r="E95">
        <v>3</v>
      </c>
      <c r="F95">
        <v>4</v>
      </c>
      <c r="G95">
        <v>2</v>
      </c>
      <c r="H95">
        <v>94</v>
      </c>
      <c r="I95" s="2" t="s">
        <v>37</v>
      </c>
      <c r="J95" s="2" t="s">
        <v>18</v>
      </c>
      <c r="K95" s="3" t="s">
        <v>28</v>
      </c>
      <c r="L95" s="2" t="s">
        <v>16</v>
      </c>
      <c r="M95" s="3" t="s">
        <v>33</v>
      </c>
    </row>
    <row r="96" spans="1:13" ht="15.75" customHeight="1" x14ac:dyDescent="0.3">
      <c r="A96">
        <v>95</v>
      </c>
      <c r="B96">
        <v>1</v>
      </c>
      <c r="C96">
        <v>5</v>
      </c>
      <c r="D96">
        <v>6</v>
      </c>
      <c r="E96">
        <v>4</v>
      </c>
      <c r="F96">
        <v>2</v>
      </c>
      <c r="G96">
        <v>3</v>
      </c>
      <c r="H96">
        <v>95</v>
      </c>
      <c r="I96" s="2" t="s">
        <v>37</v>
      </c>
      <c r="J96" s="2" t="s">
        <v>18</v>
      </c>
      <c r="K96" s="3" t="s">
        <v>23</v>
      </c>
      <c r="L96" s="3" t="s">
        <v>33</v>
      </c>
      <c r="M96" s="2" t="s">
        <v>15</v>
      </c>
    </row>
    <row r="97" spans="1:13" ht="15.75" customHeight="1" x14ac:dyDescent="0.3">
      <c r="A97">
        <v>96</v>
      </c>
      <c r="B97">
        <v>1</v>
      </c>
      <c r="C97">
        <v>5</v>
      </c>
      <c r="D97">
        <v>6</v>
      </c>
      <c r="E97">
        <v>4</v>
      </c>
      <c r="F97">
        <v>3</v>
      </c>
      <c r="G97">
        <v>2</v>
      </c>
      <c r="H97">
        <v>96</v>
      </c>
      <c r="I97" s="2" t="s">
        <v>37</v>
      </c>
      <c r="J97" s="2" t="s">
        <v>18</v>
      </c>
      <c r="K97" s="3" t="s">
        <v>23</v>
      </c>
      <c r="L97" s="3" t="s">
        <v>26</v>
      </c>
      <c r="M97" s="3" t="s">
        <v>32</v>
      </c>
    </row>
    <row r="98" spans="1:13" ht="15.75" customHeight="1" x14ac:dyDescent="0.3">
      <c r="A98">
        <v>97</v>
      </c>
      <c r="B98">
        <v>1</v>
      </c>
      <c r="C98">
        <v>6</v>
      </c>
      <c r="D98">
        <v>2</v>
      </c>
      <c r="E98">
        <v>3</v>
      </c>
      <c r="F98">
        <v>4</v>
      </c>
      <c r="G98">
        <v>5</v>
      </c>
      <c r="H98">
        <v>97</v>
      </c>
      <c r="I98" s="2" t="s">
        <v>38</v>
      </c>
      <c r="J98" s="3" t="s">
        <v>35</v>
      </c>
      <c r="K98" s="2" t="s">
        <v>15</v>
      </c>
      <c r="L98" s="2" t="s">
        <v>16</v>
      </c>
      <c r="M98" s="2" t="s">
        <v>17</v>
      </c>
    </row>
    <row r="99" spans="1:13" ht="15.75" customHeight="1" x14ac:dyDescent="0.3">
      <c r="A99">
        <v>98</v>
      </c>
      <c r="B99">
        <v>1</v>
      </c>
      <c r="C99">
        <v>6</v>
      </c>
      <c r="D99">
        <v>2</v>
      </c>
      <c r="E99">
        <v>3</v>
      </c>
      <c r="F99">
        <v>5</v>
      </c>
      <c r="G99">
        <v>4</v>
      </c>
      <c r="H99">
        <v>98</v>
      </c>
      <c r="I99" s="2" t="s">
        <v>38</v>
      </c>
      <c r="J99" s="3" t="s">
        <v>35</v>
      </c>
      <c r="K99" s="2" t="s">
        <v>15</v>
      </c>
      <c r="L99" s="2" t="s">
        <v>21</v>
      </c>
      <c r="M99" s="3" t="s">
        <v>22</v>
      </c>
    </row>
    <row r="100" spans="1:13" ht="15.75" customHeight="1" x14ac:dyDescent="0.3">
      <c r="A100">
        <v>99</v>
      </c>
      <c r="B100">
        <v>1</v>
      </c>
      <c r="C100">
        <v>6</v>
      </c>
      <c r="D100">
        <v>2</v>
      </c>
      <c r="E100">
        <v>4</v>
      </c>
      <c r="F100">
        <v>3</v>
      </c>
      <c r="G100">
        <v>5</v>
      </c>
      <c r="H100">
        <v>99</v>
      </c>
      <c r="I100" s="2" t="s">
        <v>38</v>
      </c>
      <c r="J100" s="3" t="s">
        <v>35</v>
      </c>
      <c r="K100" s="2" t="s">
        <v>25</v>
      </c>
      <c r="L100" s="3" t="s">
        <v>26</v>
      </c>
      <c r="M100" s="2" t="s">
        <v>21</v>
      </c>
    </row>
    <row r="101" spans="1:13" ht="15.75" customHeight="1" x14ac:dyDescent="0.3">
      <c r="A101">
        <v>100</v>
      </c>
      <c r="B101">
        <v>1</v>
      </c>
      <c r="C101">
        <v>6</v>
      </c>
      <c r="D101">
        <v>2</v>
      </c>
      <c r="E101">
        <v>4</v>
      </c>
      <c r="F101">
        <v>5</v>
      </c>
      <c r="G101">
        <v>3</v>
      </c>
      <c r="H101">
        <v>100</v>
      </c>
      <c r="I101" s="2" t="s">
        <v>38</v>
      </c>
      <c r="J101" s="3" t="s">
        <v>35</v>
      </c>
      <c r="K101" s="2" t="s">
        <v>25</v>
      </c>
      <c r="L101" s="2" t="s">
        <v>17</v>
      </c>
      <c r="M101" s="3" t="s">
        <v>27</v>
      </c>
    </row>
    <row r="102" spans="1:13" ht="15.75" customHeight="1" x14ac:dyDescent="0.3">
      <c r="A102">
        <v>101</v>
      </c>
      <c r="B102">
        <v>1</v>
      </c>
      <c r="C102">
        <v>6</v>
      </c>
      <c r="D102">
        <v>2</v>
      </c>
      <c r="E102">
        <v>5</v>
      </c>
      <c r="F102">
        <v>3</v>
      </c>
      <c r="G102">
        <v>4</v>
      </c>
      <c r="H102">
        <v>101</v>
      </c>
      <c r="I102" s="2" t="s">
        <v>38</v>
      </c>
      <c r="J102" s="3" t="s">
        <v>35</v>
      </c>
      <c r="K102" s="2" t="s">
        <v>29</v>
      </c>
      <c r="L102" s="3" t="s">
        <v>27</v>
      </c>
      <c r="M102" s="2" t="s">
        <v>16</v>
      </c>
    </row>
    <row r="103" spans="1:13" ht="15.75" customHeight="1" x14ac:dyDescent="0.3">
      <c r="A103">
        <v>102</v>
      </c>
      <c r="B103">
        <v>1</v>
      </c>
      <c r="C103">
        <v>6</v>
      </c>
      <c r="D103">
        <v>2</v>
      </c>
      <c r="E103">
        <v>5</v>
      </c>
      <c r="F103">
        <v>4</v>
      </c>
      <c r="G103">
        <v>3</v>
      </c>
      <c r="H103">
        <v>102</v>
      </c>
      <c r="I103" s="2" t="s">
        <v>38</v>
      </c>
      <c r="J103" s="3" t="s">
        <v>35</v>
      </c>
      <c r="K103" s="2" t="s">
        <v>29</v>
      </c>
      <c r="L103" s="3" t="s">
        <v>22</v>
      </c>
      <c r="M103" s="3" t="s">
        <v>26</v>
      </c>
    </row>
    <row r="104" spans="1:13" ht="15.75" customHeight="1" x14ac:dyDescent="0.3">
      <c r="A104">
        <v>103</v>
      </c>
      <c r="B104">
        <v>1</v>
      </c>
      <c r="C104">
        <v>6</v>
      </c>
      <c r="D104">
        <v>3</v>
      </c>
      <c r="E104">
        <v>2</v>
      </c>
      <c r="F104">
        <v>4</v>
      </c>
      <c r="G104">
        <v>5</v>
      </c>
      <c r="H104">
        <v>103</v>
      </c>
      <c r="I104" s="2" t="s">
        <v>38</v>
      </c>
      <c r="J104" s="3" t="s">
        <v>28</v>
      </c>
      <c r="K104" s="3" t="s">
        <v>32</v>
      </c>
      <c r="L104" s="2" t="s">
        <v>25</v>
      </c>
      <c r="M104" s="2" t="s">
        <v>17</v>
      </c>
    </row>
    <row r="105" spans="1:13" ht="15.75" customHeight="1" x14ac:dyDescent="0.3">
      <c r="A105">
        <v>104</v>
      </c>
      <c r="B105">
        <v>1</v>
      </c>
      <c r="C105">
        <v>6</v>
      </c>
      <c r="D105">
        <v>3</v>
      </c>
      <c r="E105">
        <v>2</v>
      </c>
      <c r="F105">
        <v>5</v>
      </c>
      <c r="G105">
        <v>4</v>
      </c>
      <c r="H105">
        <v>104</v>
      </c>
      <c r="I105" s="2" t="s">
        <v>38</v>
      </c>
      <c r="J105" s="3" t="s">
        <v>28</v>
      </c>
      <c r="K105" s="3" t="s">
        <v>32</v>
      </c>
      <c r="L105" s="2" t="s">
        <v>29</v>
      </c>
      <c r="M105" s="3" t="s">
        <v>22</v>
      </c>
    </row>
    <row r="106" spans="1:13" ht="15.75" customHeight="1" x14ac:dyDescent="0.3">
      <c r="A106">
        <v>105</v>
      </c>
      <c r="B106">
        <v>1</v>
      </c>
      <c r="C106">
        <v>6</v>
      </c>
      <c r="D106">
        <v>3</v>
      </c>
      <c r="E106">
        <v>4</v>
      </c>
      <c r="F106">
        <v>2</v>
      </c>
      <c r="G106">
        <v>5</v>
      </c>
      <c r="H106">
        <v>105</v>
      </c>
      <c r="I106" s="2" t="s">
        <v>38</v>
      </c>
      <c r="J106" s="3" t="s">
        <v>28</v>
      </c>
      <c r="K106" s="2" t="s">
        <v>16</v>
      </c>
      <c r="L106" s="3" t="s">
        <v>33</v>
      </c>
      <c r="M106" s="2" t="s">
        <v>29</v>
      </c>
    </row>
    <row r="107" spans="1:13" ht="15.75" customHeight="1" x14ac:dyDescent="0.3">
      <c r="A107">
        <v>106</v>
      </c>
      <c r="B107">
        <v>1</v>
      </c>
      <c r="C107">
        <v>6</v>
      </c>
      <c r="D107">
        <v>3</v>
      </c>
      <c r="E107">
        <v>4</v>
      </c>
      <c r="F107">
        <v>5</v>
      </c>
      <c r="G107">
        <v>2</v>
      </c>
      <c r="H107">
        <v>106</v>
      </c>
      <c r="I107" s="2" t="s">
        <v>38</v>
      </c>
      <c r="J107" s="3" t="s">
        <v>28</v>
      </c>
      <c r="K107" s="2" t="s">
        <v>16</v>
      </c>
      <c r="L107" s="2" t="s">
        <v>17</v>
      </c>
      <c r="M107" s="3" t="s">
        <v>34</v>
      </c>
    </row>
    <row r="108" spans="1:13" ht="15.75" customHeight="1" x14ac:dyDescent="0.3">
      <c r="A108">
        <v>107</v>
      </c>
      <c r="B108">
        <v>1</v>
      </c>
      <c r="C108">
        <v>6</v>
      </c>
      <c r="D108">
        <v>3</v>
      </c>
      <c r="E108">
        <v>5</v>
      </c>
      <c r="F108">
        <v>2</v>
      </c>
      <c r="G108">
        <v>4</v>
      </c>
      <c r="H108">
        <v>107</v>
      </c>
      <c r="I108" s="2" t="s">
        <v>38</v>
      </c>
      <c r="J108" s="3" t="s">
        <v>28</v>
      </c>
      <c r="K108" s="2" t="s">
        <v>21</v>
      </c>
      <c r="L108" s="3" t="s">
        <v>34</v>
      </c>
      <c r="M108" s="2" t="s">
        <v>25</v>
      </c>
    </row>
    <row r="109" spans="1:13" ht="15.75" customHeight="1" x14ac:dyDescent="0.3">
      <c r="A109">
        <v>108</v>
      </c>
      <c r="B109">
        <v>1</v>
      </c>
      <c r="C109">
        <v>6</v>
      </c>
      <c r="D109">
        <v>3</v>
      </c>
      <c r="E109">
        <v>5</v>
      </c>
      <c r="F109">
        <v>4</v>
      </c>
      <c r="G109">
        <v>2</v>
      </c>
      <c r="H109">
        <v>108</v>
      </c>
      <c r="I109" s="2" t="s">
        <v>38</v>
      </c>
      <c r="J109" s="3" t="s">
        <v>28</v>
      </c>
      <c r="K109" s="2" t="s">
        <v>21</v>
      </c>
      <c r="L109" s="3" t="s">
        <v>22</v>
      </c>
      <c r="M109" s="3" t="s">
        <v>33</v>
      </c>
    </row>
    <row r="110" spans="1:13" ht="15.75" customHeight="1" x14ac:dyDescent="0.3">
      <c r="A110">
        <v>109</v>
      </c>
      <c r="B110">
        <v>1</v>
      </c>
      <c r="C110">
        <v>6</v>
      </c>
      <c r="D110">
        <v>4</v>
      </c>
      <c r="E110">
        <v>2</v>
      </c>
      <c r="F110">
        <v>3</v>
      </c>
      <c r="G110">
        <v>5</v>
      </c>
      <c r="H110">
        <v>109</v>
      </c>
      <c r="I110" s="2" t="s">
        <v>38</v>
      </c>
      <c r="J110" s="3" t="s">
        <v>23</v>
      </c>
      <c r="K110" s="3" t="s">
        <v>33</v>
      </c>
      <c r="L110" s="2" t="s">
        <v>15</v>
      </c>
      <c r="M110" s="2" t="s">
        <v>21</v>
      </c>
    </row>
    <row r="111" spans="1:13" ht="15.75" customHeight="1" x14ac:dyDescent="0.3">
      <c r="A111">
        <v>110</v>
      </c>
      <c r="B111">
        <v>1</v>
      </c>
      <c r="C111">
        <v>6</v>
      </c>
      <c r="D111">
        <v>4</v>
      </c>
      <c r="E111">
        <v>2</v>
      </c>
      <c r="F111">
        <v>5</v>
      </c>
      <c r="G111">
        <v>3</v>
      </c>
      <c r="H111">
        <v>110</v>
      </c>
      <c r="I111" s="2" t="s">
        <v>38</v>
      </c>
      <c r="J111" s="3" t="s">
        <v>23</v>
      </c>
      <c r="K111" s="3" t="s">
        <v>33</v>
      </c>
      <c r="L111" s="2" t="s">
        <v>29</v>
      </c>
      <c r="M111" s="3" t="s">
        <v>27</v>
      </c>
    </row>
    <row r="112" spans="1:13" ht="15.75" customHeight="1" x14ac:dyDescent="0.3">
      <c r="A112">
        <v>111</v>
      </c>
      <c r="B112">
        <v>1</v>
      </c>
      <c r="C112">
        <v>6</v>
      </c>
      <c r="D112">
        <v>4</v>
      </c>
      <c r="E112">
        <v>3</v>
      </c>
      <c r="F112">
        <v>2</v>
      </c>
      <c r="G112">
        <v>5</v>
      </c>
      <c r="H112">
        <v>111</v>
      </c>
      <c r="I112" s="2" t="s">
        <v>38</v>
      </c>
      <c r="J112" s="3" t="s">
        <v>23</v>
      </c>
      <c r="K112" s="3" t="s">
        <v>26</v>
      </c>
      <c r="L112" s="3" t="s">
        <v>32</v>
      </c>
      <c r="M112" s="2" t="s">
        <v>29</v>
      </c>
    </row>
    <row r="113" spans="1:13" ht="15.75" customHeight="1" x14ac:dyDescent="0.3">
      <c r="A113">
        <v>112</v>
      </c>
      <c r="B113">
        <v>1</v>
      </c>
      <c r="C113">
        <v>6</v>
      </c>
      <c r="D113">
        <v>4</v>
      </c>
      <c r="E113">
        <v>3</v>
      </c>
      <c r="F113">
        <v>5</v>
      </c>
      <c r="G113">
        <v>2</v>
      </c>
      <c r="H113">
        <v>112</v>
      </c>
      <c r="I113" s="2" t="s">
        <v>38</v>
      </c>
      <c r="J113" s="3" t="s">
        <v>23</v>
      </c>
      <c r="K113" s="3" t="s">
        <v>26</v>
      </c>
      <c r="L113" s="2" t="s">
        <v>21</v>
      </c>
      <c r="M113" s="3" t="s">
        <v>34</v>
      </c>
    </row>
    <row r="114" spans="1:13" ht="15.75" customHeight="1" x14ac:dyDescent="0.3">
      <c r="A114">
        <v>113</v>
      </c>
      <c r="B114">
        <v>1</v>
      </c>
      <c r="C114">
        <v>6</v>
      </c>
      <c r="D114">
        <v>4</v>
      </c>
      <c r="E114">
        <v>5</v>
      </c>
      <c r="F114">
        <v>2</v>
      </c>
      <c r="G114">
        <v>3</v>
      </c>
      <c r="H114">
        <v>113</v>
      </c>
      <c r="I114" s="2" t="s">
        <v>38</v>
      </c>
      <c r="J114" s="3" t="s">
        <v>23</v>
      </c>
      <c r="K114" s="2" t="s">
        <v>17</v>
      </c>
      <c r="L114" s="3" t="s">
        <v>34</v>
      </c>
      <c r="M114" s="2" t="s">
        <v>15</v>
      </c>
    </row>
    <row r="115" spans="1:13" ht="15.75" customHeight="1" x14ac:dyDescent="0.3">
      <c r="A115">
        <v>114</v>
      </c>
      <c r="B115">
        <v>1</v>
      </c>
      <c r="C115">
        <v>6</v>
      </c>
      <c r="D115">
        <v>4</v>
      </c>
      <c r="E115">
        <v>5</v>
      </c>
      <c r="F115">
        <v>3</v>
      </c>
      <c r="G115">
        <v>2</v>
      </c>
      <c r="H115">
        <v>114</v>
      </c>
      <c r="I115" s="2" t="s">
        <v>38</v>
      </c>
      <c r="J115" s="3" t="s">
        <v>23</v>
      </c>
      <c r="K115" s="2" t="s">
        <v>17</v>
      </c>
      <c r="L115" s="3" t="s">
        <v>27</v>
      </c>
      <c r="M115" s="3" t="s">
        <v>32</v>
      </c>
    </row>
    <row r="116" spans="1:13" ht="15.75" customHeight="1" x14ac:dyDescent="0.3">
      <c r="A116">
        <v>115</v>
      </c>
      <c r="B116">
        <v>1</v>
      </c>
      <c r="C116">
        <v>6</v>
      </c>
      <c r="D116">
        <v>5</v>
      </c>
      <c r="E116">
        <v>2</v>
      </c>
      <c r="F116">
        <v>3</v>
      </c>
      <c r="G116">
        <v>4</v>
      </c>
      <c r="H116">
        <v>115</v>
      </c>
      <c r="I116" s="2" t="s">
        <v>38</v>
      </c>
      <c r="J116" s="3" t="s">
        <v>20</v>
      </c>
      <c r="K116" s="3" t="s">
        <v>34</v>
      </c>
      <c r="L116" s="2" t="s">
        <v>15</v>
      </c>
      <c r="M116" s="2" t="s">
        <v>16</v>
      </c>
    </row>
    <row r="117" spans="1:13" ht="15.75" customHeight="1" x14ac:dyDescent="0.3">
      <c r="A117">
        <v>116</v>
      </c>
      <c r="B117">
        <v>1</v>
      </c>
      <c r="C117">
        <v>6</v>
      </c>
      <c r="D117">
        <v>5</v>
      </c>
      <c r="E117">
        <v>2</v>
      </c>
      <c r="F117">
        <v>4</v>
      </c>
      <c r="G117">
        <v>3</v>
      </c>
      <c r="H117">
        <v>116</v>
      </c>
      <c r="I117" s="2" t="s">
        <v>38</v>
      </c>
      <c r="J117" s="3" t="s">
        <v>20</v>
      </c>
      <c r="K117" s="3" t="s">
        <v>34</v>
      </c>
      <c r="L117" s="2" t="s">
        <v>25</v>
      </c>
      <c r="M117" s="3" t="s">
        <v>26</v>
      </c>
    </row>
    <row r="118" spans="1:13" ht="15.75" customHeight="1" x14ac:dyDescent="0.3">
      <c r="A118">
        <v>117</v>
      </c>
      <c r="B118">
        <v>1</v>
      </c>
      <c r="C118">
        <v>6</v>
      </c>
      <c r="D118">
        <v>5</v>
      </c>
      <c r="E118">
        <v>3</v>
      </c>
      <c r="F118">
        <v>2</v>
      </c>
      <c r="G118">
        <v>4</v>
      </c>
      <c r="H118">
        <v>117</v>
      </c>
      <c r="I118" s="2" t="s">
        <v>38</v>
      </c>
      <c r="J118" s="3" t="s">
        <v>20</v>
      </c>
      <c r="K118" s="3" t="s">
        <v>27</v>
      </c>
      <c r="L118" s="3" t="s">
        <v>32</v>
      </c>
      <c r="M118" s="2" t="s">
        <v>25</v>
      </c>
    </row>
    <row r="119" spans="1:13" ht="15.75" customHeight="1" x14ac:dyDescent="0.3">
      <c r="A119">
        <v>118</v>
      </c>
      <c r="B119">
        <v>1</v>
      </c>
      <c r="C119">
        <v>6</v>
      </c>
      <c r="D119">
        <v>5</v>
      </c>
      <c r="E119">
        <v>3</v>
      </c>
      <c r="F119">
        <v>4</v>
      </c>
      <c r="G119">
        <v>2</v>
      </c>
      <c r="H119">
        <v>118</v>
      </c>
      <c r="I119" s="2" t="s">
        <v>38</v>
      </c>
      <c r="J119" s="3" t="s">
        <v>20</v>
      </c>
      <c r="K119" s="3" t="s">
        <v>27</v>
      </c>
      <c r="L119" s="2" t="s">
        <v>16</v>
      </c>
      <c r="M119" s="3" t="s">
        <v>33</v>
      </c>
    </row>
    <row r="120" spans="1:13" ht="15.75" customHeight="1" x14ac:dyDescent="0.3">
      <c r="A120">
        <v>119</v>
      </c>
      <c r="B120">
        <v>1</v>
      </c>
      <c r="C120">
        <v>6</v>
      </c>
      <c r="D120">
        <v>5</v>
      </c>
      <c r="E120">
        <v>4</v>
      </c>
      <c r="F120">
        <v>2</v>
      </c>
      <c r="G120">
        <v>3</v>
      </c>
      <c r="H120">
        <v>119</v>
      </c>
      <c r="I120" s="2" t="s">
        <v>38</v>
      </c>
      <c r="J120" s="3" t="s">
        <v>20</v>
      </c>
      <c r="K120" s="3" t="s">
        <v>22</v>
      </c>
      <c r="L120" s="3" t="s">
        <v>33</v>
      </c>
      <c r="M120" s="2" t="s">
        <v>15</v>
      </c>
    </row>
    <row r="121" spans="1:13" ht="15.75" customHeight="1" x14ac:dyDescent="0.3">
      <c r="A121">
        <v>120</v>
      </c>
      <c r="B121">
        <v>1</v>
      </c>
      <c r="C121">
        <v>6</v>
      </c>
      <c r="D121">
        <v>5</v>
      </c>
      <c r="E121">
        <v>4</v>
      </c>
      <c r="F121">
        <v>3</v>
      </c>
      <c r="G121">
        <v>2</v>
      </c>
      <c r="H121">
        <v>120</v>
      </c>
      <c r="I121" s="2" t="s">
        <v>38</v>
      </c>
      <c r="J121" s="3" t="s">
        <v>20</v>
      </c>
      <c r="K121" s="3" t="s">
        <v>22</v>
      </c>
      <c r="L121" s="3" t="s">
        <v>26</v>
      </c>
      <c r="M121" s="3" t="s">
        <v>32</v>
      </c>
    </row>
    <row r="122" spans="1:13" ht="15.75" customHeight="1" x14ac:dyDescent="0.3">
      <c r="A122">
        <v>121</v>
      </c>
      <c r="B122">
        <v>2</v>
      </c>
      <c r="C122">
        <v>1</v>
      </c>
      <c r="D122">
        <v>3</v>
      </c>
      <c r="E122">
        <v>4</v>
      </c>
      <c r="F122">
        <v>5</v>
      </c>
      <c r="G122">
        <v>6</v>
      </c>
      <c r="H122">
        <v>121</v>
      </c>
      <c r="I122" s="3" t="s">
        <v>39</v>
      </c>
      <c r="J122" s="2" t="s">
        <v>31</v>
      </c>
      <c r="K122" s="2" t="s">
        <v>16</v>
      </c>
      <c r="L122" s="2" t="s">
        <v>17</v>
      </c>
      <c r="M122" s="2" t="s">
        <v>18</v>
      </c>
    </row>
    <row r="123" spans="1:13" ht="15.75" customHeight="1" x14ac:dyDescent="0.3">
      <c r="A123">
        <v>122</v>
      </c>
      <c r="B123">
        <v>2</v>
      </c>
      <c r="C123">
        <v>1</v>
      </c>
      <c r="D123">
        <v>3</v>
      </c>
      <c r="E123">
        <v>4</v>
      </c>
      <c r="F123">
        <v>6</v>
      </c>
      <c r="G123">
        <v>5</v>
      </c>
      <c r="H123">
        <v>122</v>
      </c>
      <c r="I123" s="3" t="s">
        <v>39</v>
      </c>
      <c r="J123" s="2" t="s">
        <v>31</v>
      </c>
      <c r="K123" s="2" t="s">
        <v>16</v>
      </c>
      <c r="L123" s="2" t="s">
        <v>19</v>
      </c>
      <c r="M123" s="3" t="s">
        <v>20</v>
      </c>
    </row>
    <row r="124" spans="1:13" ht="15.75" customHeight="1" x14ac:dyDescent="0.3">
      <c r="A124">
        <v>123</v>
      </c>
      <c r="B124">
        <v>2</v>
      </c>
      <c r="C124">
        <v>1</v>
      </c>
      <c r="D124">
        <v>3</v>
      </c>
      <c r="E124">
        <v>5</v>
      </c>
      <c r="F124">
        <v>4</v>
      </c>
      <c r="G124">
        <v>6</v>
      </c>
      <c r="H124">
        <v>123</v>
      </c>
      <c r="I124" s="3" t="s">
        <v>39</v>
      </c>
      <c r="J124" s="2" t="s">
        <v>31</v>
      </c>
      <c r="K124" s="2" t="s">
        <v>21</v>
      </c>
      <c r="L124" s="3" t="s">
        <v>22</v>
      </c>
      <c r="M124" s="2" t="s">
        <v>19</v>
      </c>
    </row>
    <row r="125" spans="1:13" ht="15.75" customHeight="1" x14ac:dyDescent="0.3">
      <c r="A125">
        <v>124</v>
      </c>
      <c r="B125">
        <v>2</v>
      </c>
      <c r="C125">
        <v>1</v>
      </c>
      <c r="D125">
        <v>3</v>
      </c>
      <c r="E125">
        <v>5</v>
      </c>
      <c r="F125">
        <v>6</v>
      </c>
      <c r="G125">
        <v>4</v>
      </c>
      <c r="H125">
        <v>124</v>
      </c>
      <c r="I125" s="3" t="s">
        <v>39</v>
      </c>
      <c r="J125" s="2" t="s">
        <v>31</v>
      </c>
      <c r="K125" s="2" t="s">
        <v>21</v>
      </c>
      <c r="L125" s="2" t="s">
        <v>18</v>
      </c>
      <c r="M125" s="3" t="s">
        <v>23</v>
      </c>
    </row>
    <row r="126" spans="1:13" ht="15.75" customHeight="1" x14ac:dyDescent="0.3">
      <c r="A126">
        <v>125</v>
      </c>
      <c r="B126">
        <v>2</v>
      </c>
      <c r="C126">
        <v>1</v>
      </c>
      <c r="D126">
        <v>3</v>
      </c>
      <c r="E126">
        <v>6</v>
      </c>
      <c r="F126">
        <v>4</v>
      </c>
      <c r="G126">
        <v>5</v>
      </c>
      <c r="H126">
        <v>125</v>
      </c>
      <c r="I126" s="3" t="s">
        <v>39</v>
      </c>
      <c r="J126" s="2" t="s">
        <v>31</v>
      </c>
      <c r="K126" s="2" t="s">
        <v>24</v>
      </c>
      <c r="L126" s="3" t="s">
        <v>23</v>
      </c>
      <c r="M126" s="2" t="s">
        <v>17</v>
      </c>
    </row>
    <row r="127" spans="1:13" ht="15.75" customHeight="1" x14ac:dyDescent="0.3">
      <c r="A127">
        <v>126</v>
      </c>
      <c r="B127">
        <v>2</v>
      </c>
      <c r="C127">
        <v>1</v>
      </c>
      <c r="D127">
        <v>3</v>
      </c>
      <c r="E127">
        <v>6</v>
      </c>
      <c r="F127">
        <v>5</v>
      </c>
      <c r="G127">
        <v>4</v>
      </c>
      <c r="H127">
        <v>126</v>
      </c>
      <c r="I127" s="3" t="s">
        <v>39</v>
      </c>
      <c r="J127" s="2" t="s">
        <v>31</v>
      </c>
      <c r="K127" s="2" t="s">
        <v>24</v>
      </c>
      <c r="L127" s="3" t="s">
        <v>20</v>
      </c>
      <c r="M127" s="3" t="s">
        <v>22</v>
      </c>
    </row>
    <row r="128" spans="1:13" ht="15.75" customHeight="1" x14ac:dyDescent="0.3">
      <c r="A128">
        <v>127</v>
      </c>
      <c r="B128">
        <v>2</v>
      </c>
      <c r="C128">
        <v>1</v>
      </c>
      <c r="D128">
        <v>4</v>
      </c>
      <c r="E128">
        <v>3</v>
      </c>
      <c r="F128">
        <v>5</v>
      </c>
      <c r="G128">
        <v>6</v>
      </c>
      <c r="H128">
        <v>127</v>
      </c>
      <c r="I128" s="3" t="s">
        <v>39</v>
      </c>
      <c r="J128" s="2" t="s">
        <v>36</v>
      </c>
      <c r="K128" s="3" t="s">
        <v>26</v>
      </c>
      <c r="L128" s="2" t="s">
        <v>21</v>
      </c>
      <c r="M128" s="2" t="s">
        <v>18</v>
      </c>
    </row>
    <row r="129" spans="1:13" ht="15.75" customHeight="1" x14ac:dyDescent="0.3">
      <c r="A129">
        <v>128</v>
      </c>
      <c r="B129">
        <v>2</v>
      </c>
      <c r="C129">
        <v>1</v>
      </c>
      <c r="D129">
        <v>4</v>
      </c>
      <c r="E129">
        <v>3</v>
      </c>
      <c r="F129">
        <v>6</v>
      </c>
      <c r="G129">
        <v>5</v>
      </c>
      <c r="H129">
        <v>128</v>
      </c>
      <c r="I129" s="3" t="s">
        <v>39</v>
      </c>
      <c r="J129" s="2" t="s">
        <v>36</v>
      </c>
      <c r="K129" s="3" t="s">
        <v>26</v>
      </c>
      <c r="L129" s="2" t="s">
        <v>24</v>
      </c>
      <c r="M129" s="3" t="s">
        <v>20</v>
      </c>
    </row>
    <row r="130" spans="1:13" ht="15.75" customHeight="1" x14ac:dyDescent="0.3">
      <c r="A130">
        <v>129</v>
      </c>
      <c r="B130">
        <v>2</v>
      </c>
      <c r="C130">
        <v>1</v>
      </c>
      <c r="D130">
        <v>4</v>
      </c>
      <c r="E130">
        <v>5</v>
      </c>
      <c r="F130">
        <v>3</v>
      </c>
      <c r="G130">
        <v>6</v>
      </c>
      <c r="H130">
        <v>129</v>
      </c>
      <c r="I130" s="3" t="s">
        <v>39</v>
      </c>
      <c r="J130" s="2" t="s">
        <v>36</v>
      </c>
      <c r="K130" s="2" t="s">
        <v>17</v>
      </c>
      <c r="L130" s="3" t="s">
        <v>27</v>
      </c>
      <c r="M130" s="2" t="s">
        <v>24</v>
      </c>
    </row>
    <row r="131" spans="1:13" ht="15.75" customHeight="1" x14ac:dyDescent="0.3">
      <c r="A131">
        <v>130</v>
      </c>
      <c r="B131">
        <v>2</v>
      </c>
      <c r="C131">
        <v>1</v>
      </c>
      <c r="D131">
        <v>4</v>
      </c>
      <c r="E131">
        <v>5</v>
      </c>
      <c r="F131">
        <v>6</v>
      </c>
      <c r="G131">
        <v>3</v>
      </c>
      <c r="H131">
        <v>130</v>
      </c>
      <c r="I131" s="3" t="s">
        <v>39</v>
      </c>
      <c r="J131" s="2" t="s">
        <v>36</v>
      </c>
      <c r="K131" s="2" t="s">
        <v>17</v>
      </c>
      <c r="L131" s="2" t="s">
        <v>18</v>
      </c>
      <c r="M131" s="3" t="s">
        <v>28</v>
      </c>
    </row>
    <row r="132" spans="1:13" ht="15.75" customHeight="1" x14ac:dyDescent="0.3">
      <c r="A132">
        <v>131</v>
      </c>
      <c r="B132">
        <v>2</v>
      </c>
      <c r="C132">
        <v>1</v>
      </c>
      <c r="D132">
        <v>4</v>
      </c>
      <c r="E132">
        <v>6</v>
      </c>
      <c r="F132">
        <v>3</v>
      </c>
      <c r="G132">
        <v>5</v>
      </c>
      <c r="H132">
        <v>131</v>
      </c>
      <c r="I132" s="3" t="s">
        <v>39</v>
      </c>
      <c r="J132" s="2" t="s">
        <v>36</v>
      </c>
      <c r="K132" s="2" t="s">
        <v>19</v>
      </c>
      <c r="L132" s="3" t="s">
        <v>28</v>
      </c>
      <c r="M132" s="2" t="s">
        <v>21</v>
      </c>
    </row>
    <row r="133" spans="1:13" ht="15.75" customHeight="1" x14ac:dyDescent="0.3">
      <c r="A133">
        <v>132</v>
      </c>
      <c r="B133">
        <v>2</v>
      </c>
      <c r="C133">
        <v>1</v>
      </c>
      <c r="D133">
        <v>4</v>
      </c>
      <c r="E133">
        <v>6</v>
      </c>
      <c r="F133">
        <v>5</v>
      </c>
      <c r="G133">
        <v>3</v>
      </c>
      <c r="H133">
        <v>132</v>
      </c>
      <c r="I133" s="3" t="s">
        <v>39</v>
      </c>
      <c r="J133" s="2" t="s">
        <v>36</v>
      </c>
      <c r="K133" s="2" t="s">
        <v>19</v>
      </c>
      <c r="L133" s="3" t="s">
        <v>20</v>
      </c>
      <c r="M133" s="3" t="s">
        <v>27</v>
      </c>
    </row>
    <row r="134" spans="1:13" ht="15.75" customHeight="1" x14ac:dyDescent="0.3">
      <c r="A134">
        <v>133</v>
      </c>
      <c r="B134">
        <v>2</v>
      </c>
      <c r="C134">
        <v>1</v>
      </c>
      <c r="D134">
        <v>5</v>
      </c>
      <c r="E134">
        <v>3</v>
      </c>
      <c r="F134">
        <v>4</v>
      </c>
      <c r="G134">
        <v>6</v>
      </c>
      <c r="H134">
        <v>133</v>
      </c>
      <c r="I134" s="3" t="s">
        <v>39</v>
      </c>
      <c r="J134" s="2" t="s">
        <v>37</v>
      </c>
      <c r="K134" s="3" t="s">
        <v>27</v>
      </c>
      <c r="L134" s="2" t="s">
        <v>16</v>
      </c>
      <c r="M134" s="2" t="s">
        <v>19</v>
      </c>
    </row>
    <row r="135" spans="1:13" ht="15.75" customHeight="1" x14ac:dyDescent="0.3">
      <c r="A135">
        <v>134</v>
      </c>
      <c r="B135">
        <v>2</v>
      </c>
      <c r="C135">
        <v>1</v>
      </c>
      <c r="D135">
        <v>5</v>
      </c>
      <c r="E135">
        <v>3</v>
      </c>
      <c r="F135">
        <v>6</v>
      </c>
      <c r="G135">
        <v>4</v>
      </c>
      <c r="H135">
        <v>134</v>
      </c>
      <c r="I135" s="3" t="s">
        <v>39</v>
      </c>
      <c r="J135" s="2" t="s">
        <v>37</v>
      </c>
      <c r="K135" s="3" t="s">
        <v>27</v>
      </c>
      <c r="L135" s="2" t="s">
        <v>24</v>
      </c>
      <c r="M135" s="3" t="s">
        <v>23</v>
      </c>
    </row>
    <row r="136" spans="1:13" ht="15.75" customHeight="1" x14ac:dyDescent="0.3">
      <c r="A136">
        <v>135</v>
      </c>
      <c r="B136">
        <v>2</v>
      </c>
      <c r="C136">
        <v>1</v>
      </c>
      <c r="D136">
        <v>5</v>
      </c>
      <c r="E136">
        <v>4</v>
      </c>
      <c r="F136">
        <v>3</v>
      </c>
      <c r="G136">
        <v>6</v>
      </c>
      <c r="H136">
        <v>135</v>
      </c>
      <c r="I136" s="3" t="s">
        <v>39</v>
      </c>
      <c r="J136" s="2" t="s">
        <v>37</v>
      </c>
      <c r="K136" s="3" t="s">
        <v>22</v>
      </c>
      <c r="L136" s="3" t="s">
        <v>26</v>
      </c>
      <c r="M136" s="2" t="s">
        <v>24</v>
      </c>
    </row>
    <row r="137" spans="1:13" ht="15.75" customHeight="1" x14ac:dyDescent="0.3">
      <c r="A137">
        <v>136</v>
      </c>
      <c r="B137">
        <v>2</v>
      </c>
      <c r="C137">
        <v>1</v>
      </c>
      <c r="D137">
        <v>5</v>
      </c>
      <c r="E137">
        <v>4</v>
      </c>
      <c r="F137">
        <v>6</v>
      </c>
      <c r="G137">
        <v>3</v>
      </c>
      <c r="H137">
        <v>136</v>
      </c>
      <c r="I137" s="3" t="s">
        <v>39</v>
      </c>
      <c r="J137" s="2" t="s">
        <v>37</v>
      </c>
      <c r="K137" s="3" t="s">
        <v>22</v>
      </c>
      <c r="L137" s="2" t="s">
        <v>19</v>
      </c>
      <c r="M137" s="3" t="s">
        <v>28</v>
      </c>
    </row>
    <row r="138" spans="1:13" ht="15.75" customHeight="1" x14ac:dyDescent="0.3">
      <c r="A138">
        <v>137</v>
      </c>
      <c r="B138">
        <v>2</v>
      </c>
      <c r="C138">
        <v>1</v>
      </c>
      <c r="D138">
        <v>5</v>
      </c>
      <c r="E138">
        <v>6</v>
      </c>
      <c r="F138">
        <v>3</v>
      </c>
      <c r="G138">
        <v>4</v>
      </c>
      <c r="H138">
        <v>137</v>
      </c>
      <c r="I138" s="3" t="s">
        <v>39</v>
      </c>
      <c r="J138" s="2" t="s">
        <v>37</v>
      </c>
      <c r="K138" s="2" t="s">
        <v>18</v>
      </c>
      <c r="L138" s="3" t="s">
        <v>28</v>
      </c>
      <c r="M138" s="2" t="s">
        <v>16</v>
      </c>
    </row>
    <row r="139" spans="1:13" ht="15.75" customHeight="1" x14ac:dyDescent="0.3">
      <c r="A139">
        <v>138</v>
      </c>
      <c r="B139">
        <v>2</v>
      </c>
      <c r="C139">
        <v>1</v>
      </c>
      <c r="D139">
        <v>5</v>
      </c>
      <c r="E139">
        <v>6</v>
      </c>
      <c r="F139">
        <v>4</v>
      </c>
      <c r="G139">
        <v>3</v>
      </c>
      <c r="H139">
        <v>138</v>
      </c>
      <c r="I139" s="3" t="s">
        <v>39</v>
      </c>
      <c r="J139" s="2" t="s">
        <v>37</v>
      </c>
      <c r="K139" s="2" t="s">
        <v>18</v>
      </c>
      <c r="L139" s="3" t="s">
        <v>23</v>
      </c>
      <c r="M139" s="3" t="s">
        <v>26</v>
      </c>
    </row>
    <row r="140" spans="1:13" ht="15.75" customHeight="1" x14ac:dyDescent="0.3">
      <c r="A140">
        <v>139</v>
      </c>
      <c r="B140">
        <v>2</v>
      </c>
      <c r="C140">
        <v>1</v>
      </c>
      <c r="D140">
        <v>6</v>
      </c>
      <c r="E140">
        <v>3</v>
      </c>
      <c r="F140">
        <v>4</v>
      </c>
      <c r="G140">
        <v>5</v>
      </c>
      <c r="H140">
        <v>139</v>
      </c>
      <c r="I140" s="3" t="s">
        <v>39</v>
      </c>
      <c r="J140" s="2" t="s">
        <v>38</v>
      </c>
      <c r="K140" s="3" t="s">
        <v>28</v>
      </c>
      <c r="L140" s="2" t="s">
        <v>16</v>
      </c>
      <c r="M140" s="2" t="s">
        <v>17</v>
      </c>
    </row>
    <row r="141" spans="1:13" ht="15.75" customHeight="1" x14ac:dyDescent="0.3">
      <c r="A141">
        <v>140</v>
      </c>
      <c r="B141">
        <v>2</v>
      </c>
      <c r="C141">
        <v>1</v>
      </c>
      <c r="D141">
        <v>6</v>
      </c>
      <c r="E141">
        <v>3</v>
      </c>
      <c r="F141">
        <v>5</v>
      </c>
      <c r="G141">
        <v>4</v>
      </c>
      <c r="H141">
        <v>140</v>
      </c>
      <c r="I141" s="3" t="s">
        <v>39</v>
      </c>
      <c r="J141" s="2" t="s">
        <v>38</v>
      </c>
      <c r="K141" s="3" t="s">
        <v>28</v>
      </c>
      <c r="L141" s="2" t="s">
        <v>21</v>
      </c>
      <c r="M141" s="3" t="s">
        <v>22</v>
      </c>
    </row>
    <row r="142" spans="1:13" ht="15.75" customHeight="1" x14ac:dyDescent="0.3">
      <c r="A142">
        <v>141</v>
      </c>
      <c r="B142">
        <v>2</v>
      </c>
      <c r="C142">
        <v>1</v>
      </c>
      <c r="D142">
        <v>6</v>
      </c>
      <c r="E142">
        <v>4</v>
      </c>
      <c r="F142">
        <v>3</v>
      </c>
      <c r="G142">
        <v>5</v>
      </c>
      <c r="H142">
        <v>141</v>
      </c>
      <c r="I142" s="3" t="s">
        <v>39</v>
      </c>
      <c r="J142" s="2" t="s">
        <v>38</v>
      </c>
      <c r="K142" s="3" t="s">
        <v>23</v>
      </c>
      <c r="L142" s="3" t="s">
        <v>26</v>
      </c>
      <c r="M142" s="2" t="s">
        <v>21</v>
      </c>
    </row>
    <row r="143" spans="1:13" ht="15.75" customHeight="1" x14ac:dyDescent="0.3">
      <c r="A143">
        <v>142</v>
      </c>
      <c r="B143">
        <v>2</v>
      </c>
      <c r="C143">
        <v>1</v>
      </c>
      <c r="D143">
        <v>6</v>
      </c>
      <c r="E143">
        <v>4</v>
      </c>
      <c r="F143">
        <v>5</v>
      </c>
      <c r="G143">
        <v>3</v>
      </c>
      <c r="H143">
        <v>142</v>
      </c>
      <c r="I143" s="3" t="s">
        <v>39</v>
      </c>
      <c r="J143" s="2" t="s">
        <v>38</v>
      </c>
      <c r="K143" s="3" t="s">
        <v>23</v>
      </c>
      <c r="L143" s="2" t="s">
        <v>17</v>
      </c>
      <c r="M143" s="3" t="s">
        <v>27</v>
      </c>
    </row>
    <row r="144" spans="1:13" ht="15.75" customHeight="1" x14ac:dyDescent="0.3">
      <c r="A144">
        <v>143</v>
      </c>
      <c r="B144">
        <v>2</v>
      </c>
      <c r="C144">
        <v>1</v>
      </c>
      <c r="D144">
        <v>6</v>
      </c>
      <c r="E144">
        <v>5</v>
      </c>
      <c r="F144">
        <v>3</v>
      </c>
      <c r="G144">
        <v>4</v>
      </c>
      <c r="H144">
        <v>143</v>
      </c>
      <c r="I144" s="3" t="s">
        <v>39</v>
      </c>
      <c r="J144" s="2" t="s">
        <v>38</v>
      </c>
      <c r="K144" s="3" t="s">
        <v>20</v>
      </c>
      <c r="L144" s="3" t="s">
        <v>27</v>
      </c>
      <c r="M144" s="2" t="s">
        <v>16</v>
      </c>
    </row>
    <row r="145" spans="1:13" ht="15.75" customHeight="1" x14ac:dyDescent="0.3">
      <c r="A145">
        <v>144</v>
      </c>
      <c r="B145">
        <v>2</v>
      </c>
      <c r="C145">
        <v>1</v>
      </c>
      <c r="D145">
        <v>6</v>
      </c>
      <c r="E145">
        <v>5</v>
      </c>
      <c r="F145">
        <v>4</v>
      </c>
      <c r="G145">
        <v>3</v>
      </c>
      <c r="H145">
        <v>144</v>
      </c>
      <c r="I145" s="3" t="s">
        <v>39</v>
      </c>
      <c r="J145" s="2" t="s">
        <v>38</v>
      </c>
      <c r="K145" s="3" t="s">
        <v>20</v>
      </c>
      <c r="L145" s="3" t="s">
        <v>22</v>
      </c>
      <c r="M145" s="3" t="s">
        <v>26</v>
      </c>
    </row>
    <row r="146" spans="1:13" ht="15.75" customHeight="1" x14ac:dyDescent="0.3">
      <c r="A146">
        <v>145</v>
      </c>
      <c r="B146">
        <v>2</v>
      </c>
      <c r="C146">
        <v>3</v>
      </c>
      <c r="D146">
        <v>1</v>
      </c>
      <c r="E146">
        <v>4</v>
      </c>
      <c r="F146">
        <v>5</v>
      </c>
      <c r="G146">
        <v>6</v>
      </c>
      <c r="H146">
        <v>145</v>
      </c>
      <c r="I146" s="2" t="s">
        <v>15</v>
      </c>
      <c r="J146" s="3" t="s">
        <v>40</v>
      </c>
      <c r="K146" s="2" t="s">
        <v>36</v>
      </c>
      <c r="L146" s="2" t="s">
        <v>17</v>
      </c>
      <c r="M146" s="2" t="s">
        <v>18</v>
      </c>
    </row>
    <row r="147" spans="1:13" ht="15.75" customHeight="1" x14ac:dyDescent="0.3">
      <c r="A147">
        <v>146</v>
      </c>
      <c r="B147">
        <v>2</v>
      </c>
      <c r="C147">
        <v>3</v>
      </c>
      <c r="D147">
        <v>1</v>
      </c>
      <c r="E147">
        <v>4</v>
      </c>
      <c r="F147">
        <v>6</v>
      </c>
      <c r="G147">
        <v>5</v>
      </c>
      <c r="H147">
        <v>146</v>
      </c>
      <c r="I147" s="2" t="s">
        <v>15</v>
      </c>
      <c r="J147" s="3" t="s">
        <v>40</v>
      </c>
      <c r="K147" s="2" t="s">
        <v>36</v>
      </c>
      <c r="L147" s="2" t="s">
        <v>19</v>
      </c>
      <c r="M147" s="3" t="s">
        <v>20</v>
      </c>
    </row>
    <row r="148" spans="1:13" ht="15.75" customHeight="1" x14ac:dyDescent="0.3">
      <c r="A148">
        <v>147</v>
      </c>
      <c r="B148">
        <v>2</v>
      </c>
      <c r="C148">
        <v>3</v>
      </c>
      <c r="D148">
        <v>1</v>
      </c>
      <c r="E148">
        <v>5</v>
      </c>
      <c r="F148">
        <v>4</v>
      </c>
      <c r="G148">
        <v>6</v>
      </c>
      <c r="H148">
        <v>147</v>
      </c>
      <c r="I148" s="2" t="s">
        <v>15</v>
      </c>
      <c r="J148" s="3" t="s">
        <v>40</v>
      </c>
      <c r="K148" s="2" t="s">
        <v>37</v>
      </c>
      <c r="L148" s="3" t="s">
        <v>22</v>
      </c>
      <c r="M148" s="2" t="s">
        <v>19</v>
      </c>
    </row>
    <row r="149" spans="1:13" ht="15.75" customHeight="1" x14ac:dyDescent="0.3">
      <c r="A149">
        <v>148</v>
      </c>
      <c r="B149">
        <v>2</v>
      </c>
      <c r="C149">
        <v>3</v>
      </c>
      <c r="D149">
        <v>1</v>
      </c>
      <c r="E149">
        <v>5</v>
      </c>
      <c r="F149">
        <v>6</v>
      </c>
      <c r="G149">
        <v>4</v>
      </c>
      <c r="H149">
        <v>148</v>
      </c>
      <c r="I149" s="2" t="s">
        <v>15</v>
      </c>
      <c r="J149" s="3" t="s">
        <v>40</v>
      </c>
      <c r="K149" s="2" t="s">
        <v>37</v>
      </c>
      <c r="L149" s="2" t="s">
        <v>18</v>
      </c>
      <c r="M149" s="3" t="s">
        <v>23</v>
      </c>
    </row>
    <row r="150" spans="1:13" ht="15.75" customHeight="1" x14ac:dyDescent="0.3">
      <c r="A150">
        <v>149</v>
      </c>
      <c r="B150">
        <v>2</v>
      </c>
      <c r="C150">
        <v>3</v>
      </c>
      <c r="D150">
        <v>1</v>
      </c>
      <c r="E150">
        <v>6</v>
      </c>
      <c r="F150">
        <v>4</v>
      </c>
      <c r="G150">
        <v>5</v>
      </c>
      <c r="H150">
        <v>149</v>
      </c>
      <c r="I150" s="2" t="s">
        <v>15</v>
      </c>
      <c r="J150" s="3" t="s">
        <v>40</v>
      </c>
      <c r="K150" s="2" t="s">
        <v>38</v>
      </c>
      <c r="L150" s="3" t="s">
        <v>23</v>
      </c>
      <c r="M150" s="2" t="s">
        <v>17</v>
      </c>
    </row>
    <row r="151" spans="1:13" ht="15.75" customHeight="1" x14ac:dyDescent="0.3">
      <c r="A151">
        <v>150</v>
      </c>
      <c r="B151">
        <v>2</v>
      </c>
      <c r="C151">
        <v>3</v>
      </c>
      <c r="D151">
        <v>1</v>
      </c>
      <c r="E151">
        <v>6</v>
      </c>
      <c r="F151">
        <v>5</v>
      </c>
      <c r="G151">
        <v>4</v>
      </c>
      <c r="H151">
        <v>150</v>
      </c>
      <c r="I151" s="2" t="s">
        <v>15</v>
      </c>
      <c r="J151" s="3" t="s">
        <v>40</v>
      </c>
      <c r="K151" s="2" t="s">
        <v>38</v>
      </c>
      <c r="L151" s="3" t="s">
        <v>20</v>
      </c>
      <c r="M151" s="3" t="s">
        <v>22</v>
      </c>
    </row>
    <row r="152" spans="1:13" ht="15.75" customHeight="1" x14ac:dyDescent="0.3">
      <c r="A152">
        <v>151</v>
      </c>
      <c r="B152">
        <v>2</v>
      </c>
      <c r="C152">
        <v>3</v>
      </c>
      <c r="D152">
        <v>4</v>
      </c>
      <c r="E152">
        <v>1</v>
      </c>
      <c r="F152">
        <v>5</v>
      </c>
      <c r="G152">
        <v>6</v>
      </c>
      <c r="H152">
        <v>151</v>
      </c>
      <c r="I152" s="2" t="s">
        <v>15</v>
      </c>
      <c r="J152" s="2" t="s">
        <v>16</v>
      </c>
      <c r="K152" s="3" t="s">
        <v>41</v>
      </c>
      <c r="L152" s="2" t="s">
        <v>37</v>
      </c>
      <c r="M152" s="2" t="s">
        <v>18</v>
      </c>
    </row>
    <row r="153" spans="1:13" ht="15.75" customHeight="1" x14ac:dyDescent="0.3">
      <c r="A153">
        <v>152</v>
      </c>
      <c r="B153">
        <v>2</v>
      </c>
      <c r="C153">
        <v>3</v>
      </c>
      <c r="D153">
        <v>4</v>
      </c>
      <c r="E153">
        <v>1</v>
      </c>
      <c r="F153">
        <v>6</v>
      </c>
      <c r="G153">
        <v>5</v>
      </c>
      <c r="H153">
        <v>152</v>
      </c>
      <c r="I153" s="2" t="s">
        <v>15</v>
      </c>
      <c r="J153" s="2" t="s">
        <v>16</v>
      </c>
      <c r="K153" s="3" t="s">
        <v>41</v>
      </c>
      <c r="L153" s="2" t="s">
        <v>38</v>
      </c>
      <c r="M153" s="3" t="s">
        <v>20</v>
      </c>
    </row>
    <row r="154" spans="1:13" ht="15.75" customHeight="1" x14ac:dyDescent="0.3">
      <c r="A154">
        <v>153</v>
      </c>
      <c r="B154">
        <v>2</v>
      </c>
      <c r="C154">
        <v>3</v>
      </c>
      <c r="D154">
        <v>4</v>
      </c>
      <c r="E154">
        <v>5</v>
      </c>
      <c r="F154">
        <v>1</v>
      </c>
      <c r="G154">
        <v>6</v>
      </c>
      <c r="H154">
        <v>153</v>
      </c>
      <c r="I154" s="2" t="s">
        <v>15</v>
      </c>
      <c r="J154" s="2" t="s">
        <v>16</v>
      </c>
      <c r="K154" s="2" t="s">
        <v>17</v>
      </c>
      <c r="L154" s="3" t="s">
        <v>42</v>
      </c>
      <c r="M154" s="2" t="s">
        <v>38</v>
      </c>
    </row>
    <row r="155" spans="1:13" ht="15.75" customHeight="1" x14ac:dyDescent="0.3">
      <c r="A155">
        <v>154</v>
      </c>
      <c r="B155">
        <v>2</v>
      </c>
      <c r="C155">
        <v>3</v>
      </c>
      <c r="D155">
        <v>4</v>
      </c>
      <c r="E155">
        <v>5</v>
      </c>
      <c r="F155">
        <v>6</v>
      </c>
      <c r="G155">
        <v>1</v>
      </c>
      <c r="H155">
        <v>154</v>
      </c>
      <c r="I155" s="2" t="s">
        <v>15</v>
      </c>
      <c r="J155" s="2" t="s">
        <v>16</v>
      </c>
      <c r="K155" s="2" t="s">
        <v>17</v>
      </c>
      <c r="L155" s="2" t="s">
        <v>18</v>
      </c>
      <c r="M155" s="3" t="s">
        <v>43</v>
      </c>
    </row>
    <row r="156" spans="1:13" ht="15.75" customHeight="1" x14ac:dyDescent="0.3">
      <c r="A156">
        <v>155</v>
      </c>
      <c r="B156">
        <v>2</v>
      </c>
      <c r="C156">
        <v>3</v>
      </c>
      <c r="D156">
        <v>4</v>
      </c>
      <c r="E156">
        <v>6</v>
      </c>
      <c r="F156">
        <v>1</v>
      </c>
      <c r="G156">
        <v>5</v>
      </c>
      <c r="H156">
        <v>155</v>
      </c>
      <c r="I156" s="2" t="s">
        <v>15</v>
      </c>
      <c r="J156" s="2" t="s">
        <v>16</v>
      </c>
      <c r="K156" s="2" t="s">
        <v>19</v>
      </c>
      <c r="L156" s="3" t="s">
        <v>43</v>
      </c>
      <c r="M156" s="2" t="s">
        <v>37</v>
      </c>
    </row>
    <row r="157" spans="1:13" ht="15.75" customHeight="1" x14ac:dyDescent="0.3">
      <c r="A157">
        <v>156</v>
      </c>
      <c r="B157">
        <v>2</v>
      </c>
      <c r="C157">
        <v>3</v>
      </c>
      <c r="D157">
        <v>4</v>
      </c>
      <c r="E157">
        <v>6</v>
      </c>
      <c r="F157">
        <v>5</v>
      </c>
      <c r="G157">
        <v>1</v>
      </c>
      <c r="H157">
        <v>156</v>
      </c>
      <c r="I157" s="2" t="s">
        <v>15</v>
      </c>
      <c r="J157" s="2" t="s">
        <v>16</v>
      </c>
      <c r="K157" s="2" t="s">
        <v>19</v>
      </c>
      <c r="L157" s="3" t="s">
        <v>20</v>
      </c>
      <c r="M157" s="3" t="s">
        <v>42</v>
      </c>
    </row>
    <row r="158" spans="1:13" ht="15.75" customHeight="1" x14ac:dyDescent="0.3">
      <c r="A158">
        <v>157</v>
      </c>
      <c r="B158">
        <v>2</v>
      </c>
      <c r="C158">
        <v>3</v>
      </c>
      <c r="D158">
        <v>5</v>
      </c>
      <c r="E158">
        <v>1</v>
      </c>
      <c r="F158">
        <v>4</v>
      </c>
      <c r="G158">
        <v>6</v>
      </c>
      <c r="H158">
        <v>157</v>
      </c>
      <c r="I158" s="2" t="s">
        <v>15</v>
      </c>
      <c r="J158" s="2" t="s">
        <v>21</v>
      </c>
      <c r="K158" s="3" t="s">
        <v>42</v>
      </c>
      <c r="L158" s="2" t="s">
        <v>36</v>
      </c>
      <c r="M158" s="2" t="s">
        <v>19</v>
      </c>
    </row>
    <row r="159" spans="1:13" ht="15.75" customHeight="1" x14ac:dyDescent="0.3">
      <c r="A159">
        <v>158</v>
      </c>
      <c r="B159">
        <v>2</v>
      </c>
      <c r="C159">
        <v>3</v>
      </c>
      <c r="D159">
        <v>5</v>
      </c>
      <c r="E159">
        <v>1</v>
      </c>
      <c r="F159">
        <v>6</v>
      </c>
      <c r="G159">
        <v>4</v>
      </c>
      <c r="H159">
        <v>158</v>
      </c>
      <c r="I159" s="2" t="s">
        <v>15</v>
      </c>
      <c r="J159" s="2" t="s">
        <v>21</v>
      </c>
      <c r="K159" s="3" t="s">
        <v>42</v>
      </c>
      <c r="L159" s="2" t="s">
        <v>38</v>
      </c>
      <c r="M159" s="3" t="s">
        <v>23</v>
      </c>
    </row>
    <row r="160" spans="1:13" ht="15.75" customHeight="1" x14ac:dyDescent="0.3">
      <c r="A160">
        <v>159</v>
      </c>
      <c r="B160">
        <v>2</v>
      </c>
      <c r="C160">
        <v>3</v>
      </c>
      <c r="D160">
        <v>5</v>
      </c>
      <c r="E160">
        <v>4</v>
      </c>
      <c r="F160">
        <v>1</v>
      </c>
      <c r="G160">
        <v>6</v>
      </c>
      <c r="H160">
        <v>159</v>
      </c>
      <c r="I160" s="2" t="s">
        <v>15</v>
      </c>
      <c r="J160" s="2" t="s">
        <v>21</v>
      </c>
      <c r="K160" s="3" t="s">
        <v>22</v>
      </c>
      <c r="L160" s="3" t="s">
        <v>41</v>
      </c>
      <c r="M160" s="2" t="s">
        <v>38</v>
      </c>
    </row>
    <row r="161" spans="1:13" ht="15.75" customHeight="1" x14ac:dyDescent="0.3">
      <c r="A161">
        <v>160</v>
      </c>
      <c r="B161">
        <v>2</v>
      </c>
      <c r="C161">
        <v>3</v>
      </c>
      <c r="D161">
        <v>5</v>
      </c>
      <c r="E161">
        <v>4</v>
      </c>
      <c r="F161">
        <v>6</v>
      </c>
      <c r="G161">
        <v>1</v>
      </c>
      <c r="H161">
        <v>160</v>
      </c>
      <c r="I161" s="2" t="s">
        <v>15</v>
      </c>
      <c r="J161" s="2" t="s">
        <v>21</v>
      </c>
      <c r="K161" s="3" t="s">
        <v>22</v>
      </c>
      <c r="L161" s="2" t="s">
        <v>19</v>
      </c>
      <c r="M161" s="3" t="s">
        <v>43</v>
      </c>
    </row>
    <row r="162" spans="1:13" ht="15.75" customHeight="1" x14ac:dyDescent="0.3">
      <c r="A162">
        <v>161</v>
      </c>
      <c r="B162">
        <v>2</v>
      </c>
      <c r="C162">
        <v>3</v>
      </c>
      <c r="D162">
        <v>5</v>
      </c>
      <c r="E162">
        <v>6</v>
      </c>
      <c r="F162">
        <v>1</v>
      </c>
      <c r="G162">
        <v>4</v>
      </c>
      <c r="H162">
        <v>161</v>
      </c>
      <c r="I162" s="2" t="s">
        <v>15</v>
      </c>
      <c r="J162" s="2" t="s">
        <v>21</v>
      </c>
      <c r="K162" s="2" t="s">
        <v>18</v>
      </c>
      <c r="L162" s="3" t="s">
        <v>43</v>
      </c>
      <c r="M162" s="2" t="s">
        <v>36</v>
      </c>
    </row>
    <row r="163" spans="1:13" ht="15.75" customHeight="1" x14ac:dyDescent="0.3">
      <c r="A163">
        <v>162</v>
      </c>
      <c r="B163">
        <v>2</v>
      </c>
      <c r="C163">
        <v>3</v>
      </c>
      <c r="D163">
        <v>5</v>
      </c>
      <c r="E163">
        <v>6</v>
      </c>
      <c r="F163">
        <v>4</v>
      </c>
      <c r="G163">
        <v>1</v>
      </c>
      <c r="H163">
        <v>162</v>
      </c>
      <c r="I163" s="2" t="s">
        <v>15</v>
      </c>
      <c r="J163" s="2" t="s">
        <v>21</v>
      </c>
      <c r="K163" s="2" t="s">
        <v>18</v>
      </c>
      <c r="L163" s="3" t="s">
        <v>23</v>
      </c>
      <c r="M163" s="3" t="s">
        <v>41</v>
      </c>
    </row>
    <row r="164" spans="1:13" ht="15.75" customHeight="1" x14ac:dyDescent="0.3">
      <c r="A164">
        <v>163</v>
      </c>
      <c r="B164">
        <v>2</v>
      </c>
      <c r="C164">
        <v>3</v>
      </c>
      <c r="D164">
        <v>6</v>
      </c>
      <c r="E164">
        <v>1</v>
      </c>
      <c r="F164">
        <v>4</v>
      </c>
      <c r="G164">
        <v>5</v>
      </c>
      <c r="H164">
        <v>163</v>
      </c>
      <c r="I164" s="2" t="s">
        <v>15</v>
      </c>
      <c r="J164" s="2" t="s">
        <v>24</v>
      </c>
      <c r="K164" s="3" t="s">
        <v>43</v>
      </c>
      <c r="L164" s="2" t="s">
        <v>36</v>
      </c>
      <c r="M164" s="2" t="s">
        <v>17</v>
      </c>
    </row>
    <row r="165" spans="1:13" ht="15.75" customHeight="1" x14ac:dyDescent="0.3">
      <c r="A165">
        <v>164</v>
      </c>
      <c r="B165">
        <v>2</v>
      </c>
      <c r="C165">
        <v>3</v>
      </c>
      <c r="D165">
        <v>6</v>
      </c>
      <c r="E165">
        <v>1</v>
      </c>
      <c r="F165">
        <v>5</v>
      </c>
      <c r="G165">
        <v>4</v>
      </c>
      <c r="H165">
        <v>164</v>
      </c>
      <c r="I165" s="2" t="s">
        <v>15</v>
      </c>
      <c r="J165" s="2" t="s">
        <v>24</v>
      </c>
      <c r="K165" s="3" t="s">
        <v>43</v>
      </c>
      <c r="L165" s="2" t="s">
        <v>37</v>
      </c>
      <c r="M165" s="3" t="s">
        <v>22</v>
      </c>
    </row>
    <row r="166" spans="1:13" ht="15.75" customHeight="1" x14ac:dyDescent="0.3">
      <c r="A166">
        <v>165</v>
      </c>
      <c r="B166">
        <v>2</v>
      </c>
      <c r="C166">
        <v>3</v>
      </c>
      <c r="D166">
        <v>6</v>
      </c>
      <c r="E166">
        <v>4</v>
      </c>
      <c r="F166">
        <v>1</v>
      </c>
      <c r="G166">
        <v>5</v>
      </c>
      <c r="H166">
        <v>165</v>
      </c>
      <c r="I166" s="2" t="s">
        <v>15</v>
      </c>
      <c r="J166" s="2" t="s">
        <v>24</v>
      </c>
      <c r="K166" s="3" t="s">
        <v>23</v>
      </c>
      <c r="L166" s="3" t="s">
        <v>41</v>
      </c>
      <c r="M166" s="2" t="s">
        <v>37</v>
      </c>
    </row>
    <row r="167" spans="1:13" ht="15.75" customHeight="1" x14ac:dyDescent="0.3">
      <c r="A167">
        <v>166</v>
      </c>
      <c r="B167">
        <v>2</v>
      </c>
      <c r="C167">
        <v>3</v>
      </c>
      <c r="D167">
        <v>6</v>
      </c>
      <c r="E167">
        <v>4</v>
      </c>
      <c r="F167">
        <v>5</v>
      </c>
      <c r="G167">
        <v>1</v>
      </c>
      <c r="H167">
        <v>166</v>
      </c>
      <c r="I167" s="2" t="s">
        <v>15</v>
      </c>
      <c r="J167" s="2" t="s">
        <v>24</v>
      </c>
      <c r="K167" s="3" t="s">
        <v>23</v>
      </c>
      <c r="L167" s="2" t="s">
        <v>17</v>
      </c>
      <c r="M167" s="3" t="s">
        <v>42</v>
      </c>
    </row>
    <row r="168" spans="1:13" ht="15.75" customHeight="1" x14ac:dyDescent="0.3">
      <c r="A168">
        <v>167</v>
      </c>
      <c r="B168">
        <v>2</v>
      </c>
      <c r="C168">
        <v>3</v>
      </c>
      <c r="D168">
        <v>6</v>
      </c>
      <c r="E168">
        <v>5</v>
      </c>
      <c r="F168">
        <v>1</v>
      </c>
      <c r="G168">
        <v>4</v>
      </c>
      <c r="H168">
        <v>167</v>
      </c>
      <c r="I168" s="2" t="s">
        <v>15</v>
      </c>
      <c r="J168" s="2" t="s">
        <v>24</v>
      </c>
      <c r="K168" s="3" t="s">
        <v>20</v>
      </c>
      <c r="L168" s="3" t="s">
        <v>42</v>
      </c>
      <c r="M168" s="2" t="s">
        <v>36</v>
      </c>
    </row>
    <row r="169" spans="1:13" ht="15.75" customHeight="1" x14ac:dyDescent="0.3">
      <c r="A169">
        <v>168</v>
      </c>
      <c r="B169">
        <v>2</v>
      </c>
      <c r="C169">
        <v>3</v>
      </c>
      <c r="D169">
        <v>6</v>
      </c>
      <c r="E169">
        <v>5</v>
      </c>
      <c r="F169">
        <v>4</v>
      </c>
      <c r="G169">
        <v>1</v>
      </c>
      <c r="H169">
        <v>168</v>
      </c>
      <c r="I169" s="2" t="s">
        <v>15</v>
      </c>
      <c r="J169" s="2" t="s">
        <v>24</v>
      </c>
      <c r="K169" s="3" t="s">
        <v>20</v>
      </c>
      <c r="L169" s="3" t="s">
        <v>22</v>
      </c>
      <c r="M169" s="3" t="s">
        <v>41</v>
      </c>
    </row>
    <row r="170" spans="1:13" ht="15.75" customHeight="1" x14ac:dyDescent="0.3">
      <c r="A170">
        <v>169</v>
      </c>
      <c r="B170">
        <v>2</v>
      </c>
      <c r="C170">
        <v>4</v>
      </c>
      <c r="D170">
        <v>1</v>
      </c>
      <c r="E170">
        <v>3</v>
      </c>
      <c r="F170">
        <v>5</v>
      </c>
      <c r="G170">
        <v>6</v>
      </c>
      <c r="H170">
        <v>169</v>
      </c>
      <c r="I170" s="2" t="s">
        <v>25</v>
      </c>
      <c r="J170" s="3" t="s">
        <v>41</v>
      </c>
      <c r="K170" s="2" t="s">
        <v>31</v>
      </c>
      <c r="L170" s="2" t="s">
        <v>21</v>
      </c>
      <c r="M170" s="2" t="s">
        <v>18</v>
      </c>
    </row>
    <row r="171" spans="1:13" ht="15.75" customHeight="1" x14ac:dyDescent="0.3">
      <c r="A171">
        <v>170</v>
      </c>
      <c r="B171">
        <v>2</v>
      </c>
      <c r="C171">
        <v>4</v>
      </c>
      <c r="D171">
        <v>1</v>
      </c>
      <c r="E171">
        <v>3</v>
      </c>
      <c r="F171">
        <v>6</v>
      </c>
      <c r="G171">
        <v>5</v>
      </c>
      <c r="H171">
        <v>170</v>
      </c>
      <c r="I171" s="2" t="s">
        <v>25</v>
      </c>
      <c r="J171" s="3" t="s">
        <v>41</v>
      </c>
      <c r="K171" s="2" t="s">
        <v>31</v>
      </c>
      <c r="L171" s="2" t="s">
        <v>24</v>
      </c>
      <c r="M171" s="3" t="s">
        <v>20</v>
      </c>
    </row>
    <row r="172" spans="1:13" ht="15.75" customHeight="1" x14ac:dyDescent="0.3">
      <c r="A172">
        <v>171</v>
      </c>
      <c r="B172">
        <v>2</v>
      </c>
      <c r="C172">
        <v>4</v>
      </c>
      <c r="D172">
        <v>1</v>
      </c>
      <c r="E172">
        <v>5</v>
      </c>
      <c r="F172">
        <v>3</v>
      </c>
      <c r="G172">
        <v>6</v>
      </c>
      <c r="H172">
        <v>171</v>
      </c>
      <c r="I172" s="2" t="s">
        <v>25</v>
      </c>
      <c r="J172" s="3" t="s">
        <v>41</v>
      </c>
      <c r="K172" s="2" t="s">
        <v>37</v>
      </c>
      <c r="L172" s="3" t="s">
        <v>27</v>
      </c>
      <c r="M172" s="2" t="s">
        <v>24</v>
      </c>
    </row>
    <row r="173" spans="1:13" ht="15.75" customHeight="1" x14ac:dyDescent="0.3">
      <c r="A173">
        <v>172</v>
      </c>
      <c r="B173">
        <v>2</v>
      </c>
      <c r="C173">
        <v>4</v>
      </c>
      <c r="D173">
        <v>1</v>
      </c>
      <c r="E173">
        <v>5</v>
      </c>
      <c r="F173">
        <v>6</v>
      </c>
      <c r="G173">
        <v>3</v>
      </c>
      <c r="H173">
        <v>172</v>
      </c>
      <c r="I173" s="2" t="s">
        <v>25</v>
      </c>
      <c r="J173" s="3" t="s">
        <v>41</v>
      </c>
      <c r="K173" s="2" t="s">
        <v>37</v>
      </c>
      <c r="L173" s="2" t="s">
        <v>18</v>
      </c>
      <c r="M173" s="3" t="s">
        <v>28</v>
      </c>
    </row>
    <row r="174" spans="1:13" ht="15.75" customHeight="1" x14ac:dyDescent="0.3">
      <c r="A174">
        <v>173</v>
      </c>
      <c r="B174">
        <v>2</v>
      </c>
      <c r="C174">
        <v>4</v>
      </c>
      <c r="D174">
        <v>1</v>
      </c>
      <c r="E174">
        <v>6</v>
      </c>
      <c r="F174">
        <v>3</v>
      </c>
      <c r="G174">
        <v>5</v>
      </c>
      <c r="H174">
        <v>173</v>
      </c>
      <c r="I174" s="2" t="s">
        <v>25</v>
      </c>
      <c r="J174" s="3" t="s">
        <v>41</v>
      </c>
      <c r="K174" s="2" t="s">
        <v>38</v>
      </c>
      <c r="L174" s="3" t="s">
        <v>28</v>
      </c>
      <c r="M174" s="2" t="s">
        <v>21</v>
      </c>
    </row>
    <row r="175" spans="1:13" ht="15.75" customHeight="1" x14ac:dyDescent="0.3">
      <c r="A175">
        <v>174</v>
      </c>
      <c r="B175">
        <v>2</v>
      </c>
      <c r="C175">
        <v>4</v>
      </c>
      <c r="D175">
        <v>1</v>
      </c>
      <c r="E175">
        <v>6</v>
      </c>
      <c r="F175">
        <v>5</v>
      </c>
      <c r="G175">
        <v>3</v>
      </c>
      <c r="H175">
        <v>174</v>
      </c>
      <c r="I175" s="2" t="s">
        <v>25</v>
      </c>
      <c r="J175" s="3" t="s">
        <v>41</v>
      </c>
      <c r="K175" s="2" t="s">
        <v>38</v>
      </c>
      <c r="L175" s="3" t="s">
        <v>20</v>
      </c>
      <c r="M175" s="3" t="s">
        <v>27</v>
      </c>
    </row>
    <row r="176" spans="1:13" ht="15.75" customHeight="1" x14ac:dyDescent="0.3">
      <c r="A176">
        <v>175</v>
      </c>
      <c r="B176">
        <v>2</v>
      </c>
      <c r="C176">
        <v>4</v>
      </c>
      <c r="D176">
        <v>3</v>
      </c>
      <c r="E176">
        <v>1</v>
      </c>
      <c r="F176">
        <v>5</v>
      </c>
      <c r="G176">
        <v>6</v>
      </c>
      <c r="H176">
        <v>175</v>
      </c>
      <c r="I176" s="2" t="s">
        <v>25</v>
      </c>
      <c r="J176" s="3" t="s">
        <v>26</v>
      </c>
      <c r="K176" s="3" t="s">
        <v>40</v>
      </c>
      <c r="L176" s="2" t="s">
        <v>37</v>
      </c>
      <c r="M176" s="2" t="s">
        <v>18</v>
      </c>
    </row>
    <row r="177" spans="1:13" ht="15.75" customHeight="1" x14ac:dyDescent="0.3">
      <c r="A177">
        <v>176</v>
      </c>
      <c r="B177">
        <v>2</v>
      </c>
      <c r="C177">
        <v>4</v>
      </c>
      <c r="D177">
        <v>3</v>
      </c>
      <c r="E177">
        <v>1</v>
      </c>
      <c r="F177">
        <v>6</v>
      </c>
      <c r="G177">
        <v>5</v>
      </c>
      <c r="H177">
        <v>176</v>
      </c>
      <c r="I177" s="2" t="s">
        <v>25</v>
      </c>
      <c r="J177" s="3" t="s">
        <v>26</v>
      </c>
      <c r="K177" s="3" t="s">
        <v>40</v>
      </c>
      <c r="L177" s="2" t="s">
        <v>38</v>
      </c>
      <c r="M177" s="3" t="s">
        <v>20</v>
      </c>
    </row>
    <row r="178" spans="1:13" ht="15.75" customHeight="1" x14ac:dyDescent="0.3">
      <c r="A178">
        <v>177</v>
      </c>
      <c r="B178">
        <v>2</v>
      </c>
      <c r="C178">
        <v>4</v>
      </c>
      <c r="D178">
        <v>3</v>
      </c>
      <c r="E178">
        <v>5</v>
      </c>
      <c r="F178">
        <v>1</v>
      </c>
      <c r="G178">
        <v>6</v>
      </c>
      <c r="H178">
        <v>177</v>
      </c>
      <c r="I178" s="2" t="s">
        <v>25</v>
      </c>
      <c r="J178" s="3" t="s">
        <v>26</v>
      </c>
      <c r="K178" s="2" t="s">
        <v>21</v>
      </c>
      <c r="L178" s="3" t="s">
        <v>42</v>
      </c>
      <c r="M178" s="2" t="s">
        <v>38</v>
      </c>
    </row>
    <row r="179" spans="1:13" ht="15.75" customHeight="1" x14ac:dyDescent="0.3">
      <c r="A179">
        <v>178</v>
      </c>
      <c r="B179">
        <v>2</v>
      </c>
      <c r="C179">
        <v>4</v>
      </c>
      <c r="D179">
        <v>3</v>
      </c>
      <c r="E179">
        <v>5</v>
      </c>
      <c r="F179">
        <v>6</v>
      </c>
      <c r="G179">
        <v>1</v>
      </c>
      <c r="H179">
        <v>178</v>
      </c>
      <c r="I179" s="2" t="s">
        <v>25</v>
      </c>
      <c r="J179" s="3" t="s">
        <v>26</v>
      </c>
      <c r="K179" s="2" t="s">
        <v>21</v>
      </c>
      <c r="L179" s="2" t="s">
        <v>18</v>
      </c>
      <c r="M179" s="3" t="s">
        <v>43</v>
      </c>
    </row>
    <row r="180" spans="1:13" ht="15.75" customHeight="1" x14ac:dyDescent="0.3">
      <c r="A180">
        <v>179</v>
      </c>
      <c r="B180">
        <v>2</v>
      </c>
      <c r="C180">
        <v>4</v>
      </c>
      <c r="D180">
        <v>3</v>
      </c>
      <c r="E180">
        <v>6</v>
      </c>
      <c r="F180">
        <v>1</v>
      </c>
      <c r="G180">
        <v>5</v>
      </c>
      <c r="H180">
        <v>179</v>
      </c>
      <c r="I180" s="2" t="s">
        <v>25</v>
      </c>
      <c r="J180" s="3" t="s">
        <v>26</v>
      </c>
      <c r="K180" s="2" t="s">
        <v>24</v>
      </c>
      <c r="L180" s="3" t="s">
        <v>43</v>
      </c>
      <c r="M180" s="2" t="s">
        <v>37</v>
      </c>
    </row>
    <row r="181" spans="1:13" ht="15.75" customHeight="1" x14ac:dyDescent="0.3">
      <c r="A181">
        <v>180</v>
      </c>
      <c r="B181">
        <v>2</v>
      </c>
      <c r="C181">
        <v>4</v>
      </c>
      <c r="D181">
        <v>3</v>
      </c>
      <c r="E181">
        <v>6</v>
      </c>
      <c r="F181">
        <v>5</v>
      </c>
      <c r="G181">
        <v>1</v>
      </c>
      <c r="H181">
        <v>180</v>
      </c>
      <c r="I181" s="2" t="s">
        <v>25</v>
      </c>
      <c r="J181" s="3" t="s">
        <v>26</v>
      </c>
      <c r="K181" s="2" t="s">
        <v>24</v>
      </c>
      <c r="L181" s="3" t="s">
        <v>20</v>
      </c>
      <c r="M181" s="3" t="s">
        <v>42</v>
      </c>
    </row>
    <row r="182" spans="1:13" ht="15.75" customHeight="1" x14ac:dyDescent="0.3">
      <c r="A182">
        <v>181</v>
      </c>
      <c r="B182">
        <v>2</v>
      </c>
      <c r="C182">
        <v>4</v>
      </c>
      <c r="D182">
        <v>5</v>
      </c>
      <c r="E182">
        <v>1</v>
      </c>
      <c r="F182">
        <v>3</v>
      </c>
      <c r="G182">
        <v>6</v>
      </c>
      <c r="H182">
        <v>181</v>
      </c>
      <c r="I182" s="2" t="s">
        <v>25</v>
      </c>
      <c r="J182" s="2" t="s">
        <v>17</v>
      </c>
      <c r="K182" s="3" t="s">
        <v>42</v>
      </c>
      <c r="L182" s="2" t="s">
        <v>31</v>
      </c>
      <c r="M182" s="2" t="s">
        <v>24</v>
      </c>
    </row>
    <row r="183" spans="1:13" ht="15.75" customHeight="1" x14ac:dyDescent="0.3">
      <c r="A183">
        <v>182</v>
      </c>
      <c r="B183">
        <v>2</v>
      </c>
      <c r="C183">
        <v>4</v>
      </c>
      <c r="D183">
        <v>5</v>
      </c>
      <c r="E183">
        <v>1</v>
      </c>
      <c r="F183">
        <v>6</v>
      </c>
      <c r="G183">
        <v>3</v>
      </c>
      <c r="H183">
        <v>182</v>
      </c>
      <c r="I183" s="2" t="s">
        <v>25</v>
      </c>
      <c r="J183" s="2" t="s">
        <v>17</v>
      </c>
      <c r="K183" s="3" t="s">
        <v>42</v>
      </c>
      <c r="L183" s="2" t="s">
        <v>38</v>
      </c>
      <c r="M183" s="3" t="s">
        <v>28</v>
      </c>
    </row>
    <row r="184" spans="1:13" ht="15.75" customHeight="1" x14ac:dyDescent="0.3">
      <c r="A184">
        <v>183</v>
      </c>
      <c r="B184">
        <v>2</v>
      </c>
      <c r="C184">
        <v>4</v>
      </c>
      <c r="D184">
        <v>5</v>
      </c>
      <c r="E184">
        <v>3</v>
      </c>
      <c r="F184">
        <v>1</v>
      </c>
      <c r="G184">
        <v>6</v>
      </c>
      <c r="H184">
        <v>183</v>
      </c>
      <c r="I184" s="2" t="s">
        <v>25</v>
      </c>
      <c r="J184" s="2" t="s">
        <v>17</v>
      </c>
      <c r="K184" s="3" t="s">
        <v>27</v>
      </c>
      <c r="L184" s="3" t="s">
        <v>40</v>
      </c>
      <c r="M184" s="2" t="s">
        <v>38</v>
      </c>
    </row>
    <row r="185" spans="1:13" ht="15.75" customHeight="1" x14ac:dyDescent="0.3">
      <c r="A185">
        <v>184</v>
      </c>
      <c r="B185">
        <v>2</v>
      </c>
      <c r="C185">
        <v>4</v>
      </c>
      <c r="D185">
        <v>5</v>
      </c>
      <c r="E185">
        <v>3</v>
      </c>
      <c r="F185">
        <v>6</v>
      </c>
      <c r="G185">
        <v>1</v>
      </c>
      <c r="H185">
        <v>184</v>
      </c>
      <c r="I185" s="2" t="s">
        <v>25</v>
      </c>
      <c r="J185" s="2" t="s">
        <v>17</v>
      </c>
      <c r="K185" s="3" t="s">
        <v>27</v>
      </c>
      <c r="L185" s="2" t="s">
        <v>24</v>
      </c>
      <c r="M185" s="3" t="s">
        <v>43</v>
      </c>
    </row>
    <row r="186" spans="1:13" ht="15.75" customHeight="1" x14ac:dyDescent="0.3">
      <c r="A186">
        <v>185</v>
      </c>
      <c r="B186">
        <v>2</v>
      </c>
      <c r="C186">
        <v>4</v>
      </c>
      <c r="D186">
        <v>5</v>
      </c>
      <c r="E186">
        <v>6</v>
      </c>
      <c r="F186">
        <v>1</v>
      </c>
      <c r="G186">
        <v>3</v>
      </c>
      <c r="H186">
        <v>185</v>
      </c>
      <c r="I186" s="2" t="s">
        <v>25</v>
      </c>
      <c r="J186" s="2" t="s">
        <v>17</v>
      </c>
      <c r="K186" s="2" t="s">
        <v>18</v>
      </c>
      <c r="L186" s="3" t="s">
        <v>43</v>
      </c>
      <c r="M186" s="2" t="s">
        <v>31</v>
      </c>
    </row>
    <row r="187" spans="1:13" ht="15.75" customHeight="1" x14ac:dyDescent="0.3">
      <c r="A187">
        <v>186</v>
      </c>
      <c r="B187">
        <v>2</v>
      </c>
      <c r="C187">
        <v>4</v>
      </c>
      <c r="D187">
        <v>5</v>
      </c>
      <c r="E187">
        <v>6</v>
      </c>
      <c r="F187">
        <v>3</v>
      </c>
      <c r="G187">
        <v>1</v>
      </c>
      <c r="H187">
        <v>186</v>
      </c>
      <c r="I187" s="2" t="s">
        <v>25</v>
      </c>
      <c r="J187" s="2" t="s">
        <v>17</v>
      </c>
      <c r="K187" s="2" t="s">
        <v>18</v>
      </c>
      <c r="L187" s="3" t="s">
        <v>28</v>
      </c>
      <c r="M187" s="3" t="s">
        <v>40</v>
      </c>
    </row>
    <row r="188" spans="1:13" ht="15.75" customHeight="1" x14ac:dyDescent="0.3">
      <c r="A188">
        <v>187</v>
      </c>
      <c r="B188">
        <v>2</v>
      </c>
      <c r="C188">
        <v>4</v>
      </c>
      <c r="D188">
        <v>6</v>
      </c>
      <c r="E188">
        <v>1</v>
      </c>
      <c r="F188">
        <v>3</v>
      </c>
      <c r="G188">
        <v>5</v>
      </c>
      <c r="H188">
        <v>187</v>
      </c>
      <c r="I188" s="2" t="s">
        <v>25</v>
      </c>
      <c r="J188" s="2" t="s">
        <v>19</v>
      </c>
      <c r="K188" s="3" t="s">
        <v>43</v>
      </c>
      <c r="L188" s="2" t="s">
        <v>31</v>
      </c>
      <c r="M188" s="2" t="s">
        <v>21</v>
      </c>
    </row>
    <row r="189" spans="1:13" ht="15.75" customHeight="1" x14ac:dyDescent="0.3">
      <c r="A189">
        <v>188</v>
      </c>
      <c r="B189">
        <v>2</v>
      </c>
      <c r="C189">
        <v>4</v>
      </c>
      <c r="D189">
        <v>6</v>
      </c>
      <c r="E189">
        <v>1</v>
      </c>
      <c r="F189">
        <v>5</v>
      </c>
      <c r="G189">
        <v>3</v>
      </c>
      <c r="H189">
        <v>188</v>
      </c>
      <c r="I189" s="2" t="s">
        <v>25</v>
      </c>
      <c r="J189" s="2" t="s">
        <v>19</v>
      </c>
      <c r="K189" s="3" t="s">
        <v>43</v>
      </c>
      <c r="L189" s="2" t="s">
        <v>37</v>
      </c>
      <c r="M189" s="3" t="s">
        <v>27</v>
      </c>
    </row>
    <row r="190" spans="1:13" ht="15.75" customHeight="1" x14ac:dyDescent="0.3">
      <c r="A190">
        <v>189</v>
      </c>
      <c r="B190">
        <v>2</v>
      </c>
      <c r="C190">
        <v>4</v>
      </c>
      <c r="D190">
        <v>6</v>
      </c>
      <c r="E190">
        <v>3</v>
      </c>
      <c r="F190">
        <v>1</v>
      </c>
      <c r="G190">
        <v>5</v>
      </c>
      <c r="H190">
        <v>189</v>
      </c>
      <c r="I190" s="2" t="s">
        <v>25</v>
      </c>
      <c r="J190" s="2" t="s">
        <v>19</v>
      </c>
      <c r="K190" s="3" t="s">
        <v>28</v>
      </c>
      <c r="L190" s="3" t="s">
        <v>40</v>
      </c>
      <c r="M190" s="2" t="s">
        <v>37</v>
      </c>
    </row>
    <row r="191" spans="1:13" ht="15.75" customHeight="1" x14ac:dyDescent="0.3">
      <c r="A191">
        <v>190</v>
      </c>
      <c r="B191">
        <v>2</v>
      </c>
      <c r="C191">
        <v>4</v>
      </c>
      <c r="D191">
        <v>6</v>
      </c>
      <c r="E191">
        <v>3</v>
      </c>
      <c r="F191">
        <v>5</v>
      </c>
      <c r="G191">
        <v>1</v>
      </c>
      <c r="H191">
        <v>190</v>
      </c>
      <c r="I191" s="2" t="s">
        <v>25</v>
      </c>
      <c r="J191" s="2" t="s">
        <v>19</v>
      </c>
      <c r="K191" s="3" t="s">
        <v>28</v>
      </c>
      <c r="L191" s="2" t="s">
        <v>21</v>
      </c>
      <c r="M191" s="3" t="s">
        <v>42</v>
      </c>
    </row>
    <row r="192" spans="1:13" ht="15.75" customHeight="1" x14ac:dyDescent="0.3">
      <c r="A192">
        <v>191</v>
      </c>
      <c r="B192">
        <v>2</v>
      </c>
      <c r="C192">
        <v>4</v>
      </c>
      <c r="D192">
        <v>6</v>
      </c>
      <c r="E192">
        <v>5</v>
      </c>
      <c r="F192">
        <v>1</v>
      </c>
      <c r="G192">
        <v>3</v>
      </c>
      <c r="H192">
        <v>191</v>
      </c>
      <c r="I192" s="2" t="s">
        <v>25</v>
      </c>
      <c r="J192" s="2" t="s">
        <v>19</v>
      </c>
      <c r="K192" s="3" t="s">
        <v>20</v>
      </c>
      <c r="L192" s="3" t="s">
        <v>42</v>
      </c>
      <c r="M192" s="2" t="s">
        <v>31</v>
      </c>
    </row>
    <row r="193" spans="1:13" ht="15.75" customHeight="1" x14ac:dyDescent="0.3">
      <c r="A193">
        <v>192</v>
      </c>
      <c r="B193">
        <v>2</v>
      </c>
      <c r="C193">
        <v>4</v>
      </c>
      <c r="D193">
        <v>6</v>
      </c>
      <c r="E193">
        <v>5</v>
      </c>
      <c r="F193">
        <v>3</v>
      </c>
      <c r="G193">
        <v>1</v>
      </c>
      <c r="H193">
        <v>192</v>
      </c>
      <c r="I193" s="2" t="s">
        <v>25</v>
      </c>
      <c r="J193" s="2" t="s">
        <v>19</v>
      </c>
      <c r="K193" s="3" t="s">
        <v>20</v>
      </c>
      <c r="L193" s="3" t="s">
        <v>27</v>
      </c>
      <c r="M193" s="3" t="s">
        <v>40</v>
      </c>
    </row>
    <row r="194" spans="1:13" ht="15.75" customHeight="1" x14ac:dyDescent="0.3">
      <c r="A194">
        <v>193</v>
      </c>
      <c r="B194">
        <v>2</v>
      </c>
      <c r="C194">
        <v>5</v>
      </c>
      <c r="D194">
        <v>1</v>
      </c>
      <c r="E194">
        <v>3</v>
      </c>
      <c r="F194">
        <v>4</v>
      </c>
      <c r="G194">
        <v>6</v>
      </c>
      <c r="H194">
        <v>193</v>
      </c>
      <c r="I194" s="2" t="s">
        <v>29</v>
      </c>
      <c r="J194" s="3" t="s">
        <v>42</v>
      </c>
      <c r="K194" s="2" t="s">
        <v>31</v>
      </c>
      <c r="L194" s="2" t="s">
        <v>16</v>
      </c>
      <c r="M194" s="2" t="s">
        <v>19</v>
      </c>
    </row>
    <row r="195" spans="1:13" ht="15.75" customHeight="1" x14ac:dyDescent="0.3">
      <c r="A195">
        <v>194</v>
      </c>
      <c r="B195">
        <v>2</v>
      </c>
      <c r="C195">
        <v>5</v>
      </c>
      <c r="D195">
        <v>1</v>
      </c>
      <c r="E195">
        <v>3</v>
      </c>
      <c r="F195">
        <v>6</v>
      </c>
      <c r="G195">
        <v>4</v>
      </c>
      <c r="H195">
        <v>194</v>
      </c>
      <c r="I195" s="2" t="s">
        <v>29</v>
      </c>
      <c r="J195" s="3" t="s">
        <v>42</v>
      </c>
      <c r="K195" s="2" t="s">
        <v>31</v>
      </c>
      <c r="L195" s="2" t="s">
        <v>24</v>
      </c>
      <c r="M195" s="3" t="s">
        <v>23</v>
      </c>
    </row>
    <row r="196" spans="1:13" ht="15.75" customHeight="1" x14ac:dyDescent="0.3">
      <c r="A196">
        <v>195</v>
      </c>
      <c r="B196">
        <v>2</v>
      </c>
      <c r="C196">
        <v>5</v>
      </c>
      <c r="D196">
        <v>1</v>
      </c>
      <c r="E196">
        <v>4</v>
      </c>
      <c r="F196">
        <v>3</v>
      </c>
      <c r="G196">
        <v>6</v>
      </c>
      <c r="H196">
        <v>195</v>
      </c>
      <c r="I196" s="2" t="s">
        <v>29</v>
      </c>
      <c r="J196" s="3" t="s">
        <v>42</v>
      </c>
      <c r="K196" s="2" t="s">
        <v>36</v>
      </c>
      <c r="L196" s="3" t="s">
        <v>26</v>
      </c>
      <c r="M196" s="2" t="s">
        <v>24</v>
      </c>
    </row>
    <row r="197" spans="1:13" ht="15.75" customHeight="1" x14ac:dyDescent="0.3">
      <c r="A197">
        <v>196</v>
      </c>
      <c r="B197">
        <v>2</v>
      </c>
      <c r="C197">
        <v>5</v>
      </c>
      <c r="D197">
        <v>1</v>
      </c>
      <c r="E197">
        <v>4</v>
      </c>
      <c r="F197">
        <v>6</v>
      </c>
      <c r="G197">
        <v>3</v>
      </c>
      <c r="H197">
        <v>196</v>
      </c>
      <c r="I197" s="2" t="s">
        <v>29</v>
      </c>
      <c r="J197" s="3" t="s">
        <v>42</v>
      </c>
      <c r="K197" s="2" t="s">
        <v>36</v>
      </c>
      <c r="L197" s="2" t="s">
        <v>19</v>
      </c>
      <c r="M197" s="3" t="s">
        <v>28</v>
      </c>
    </row>
    <row r="198" spans="1:13" ht="15.75" customHeight="1" x14ac:dyDescent="0.3">
      <c r="A198">
        <v>197</v>
      </c>
      <c r="B198">
        <v>2</v>
      </c>
      <c r="C198">
        <v>5</v>
      </c>
      <c r="D198">
        <v>1</v>
      </c>
      <c r="E198">
        <v>6</v>
      </c>
      <c r="F198">
        <v>3</v>
      </c>
      <c r="G198">
        <v>4</v>
      </c>
      <c r="H198">
        <v>197</v>
      </c>
      <c r="I198" s="2" t="s">
        <v>29</v>
      </c>
      <c r="J198" s="3" t="s">
        <v>42</v>
      </c>
      <c r="K198" s="2" t="s">
        <v>38</v>
      </c>
      <c r="L198" s="3" t="s">
        <v>28</v>
      </c>
      <c r="M198" s="2" t="s">
        <v>16</v>
      </c>
    </row>
    <row r="199" spans="1:13" ht="15.75" customHeight="1" x14ac:dyDescent="0.3">
      <c r="A199">
        <v>198</v>
      </c>
      <c r="B199">
        <v>2</v>
      </c>
      <c r="C199">
        <v>5</v>
      </c>
      <c r="D199">
        <v>1</v>
      </c>
      <c r="E199">
        <v>6</v>
      </c>
      <c r="F199">
        <v>4</v>
      </c>
      <c r="G199">
        <v>3</v>
      </c>
      <c r="H199">
        <v>198</v>
      </c>
      <c r="I199" s="2" t="s">
        <v>29</v>
      </c>
      <c r="J199" s="3" t="s">
        <v>42</v>
      </c>
      <c r="K199" s="2" t="s">
        <v>38</v>
      </c>
      <c r="L199" s="3" t="s">
        <v>23</v>
      </c>
      <c r="M199" s="3" t="s">
        <v>26</v>
      </c>
    </row>
    <row r="200" spans="1:13" ht="15.75" customHeight="1" x14ac:dyDescent="0.3">
      <c r="A200">
        <v>199</v>
      </c>
      <c r="B200">
        <v>2</v>
      </c>
      <c r="C200">
        <v>5</v>
      </c>
      <c r="D200">
        <v>3</v>
      </c>
      <c r="E200">
        <v>1</v>
      </c>
      <c r="F200">
        <v>4</v>
      </c>
      <c r="G200">
        <v>6</v>
      </c>
      <c r="H200">
        <v>199</v>
      </c>
      <c r="I200" s="2" t="s">
        <v>29</v>
      </c>
      <c r="J200" s="3" t="s">
        <v>27</v>
      </c>
      <c r="K200" s="3" t="s">
        <v>40</v>
      </c>
      <c r="L200" s="2" t="s">
        <v>36</v>
      </c>
      <c r="M200" s="2" t="s">
        <v>19</v>
      </c>
    </row>
    <row r="201" spans="1:13" ht="15.75" customHeight="1" x14ac:dyDescent="0.3">
      <c r="A201">
        <v>200</v>
      </c>
      <c r="B201">
        <v>2</v>
      </c>
      <c r="C201">
        <v>5</v>
      </c>
      <c r="D201">
        <v>3</v>
      </c>
      <c r="E201">
        <v>1</v>
      </c>
      <c r="F201">
        <v>6</v>
      </c>
      <c r="G201">
        <v>4</v>
      </c>
      <c r="H201">
        <v>200</v>
      </c>
      <c r="I201" s="2" t="s">
        <v>29</v>
      </c>
      <c r="J201" s="3" t="s">
        <v>27</v>
      </c>
      <c r="K201" s="3" t="s">
        <v>40</v>
      </c>
      <c r="L201" s="2" t="s">
        <v>38</v>
      </c>
      <c r="M201" s="3" t="s">
        <v>23</v>
      </c>
    </row>
    <row r="202" spans="1:13" ht="15.75" customHeight="1" x14ac:dyDescent="0.3">
      <c r="A202">
        <v>201</v>
      </c>
      <c r="B202">
        <v>2</v>
      </c>
      <c r="C202">
        <v>5</v>
      </c>
      <c r="D202">
        <v>3</v>
      </c>
      <c r="E202">
        <v>4</v>
      </c>
      <c r="F202">
        <v>1</v>
      </c>
      <c r="G202">
        <v>6</v>
      </c>
      <c r="H202">
        <v>201</v>
      </c>
      <c r="I202" s="2" t="s">
        <v>29</v>
      </c>
      <c r="J202" s="3" t="s">
        <v>27</v>
      </c>
      <c r="K202" s="2" t="s">
        <v>16</v>
      </c>
      <c r="L202" s="3" t="s">
        <v>41</v>
      </c>
      <c r="M202" s="2" t="s">
        <v>38</v>
      </c>
    </row>
    <row r="203" spans="1:13" ht="15.75" customHeight="1" x14ac:dyDescent="0.3">
      <c r="A203">
        <v>202</v>
      </c>
      <c r="B203">
        <v>2</v>
      </c>
      <c r="C203">
        <v>5</v>
      </c>
      <c r="D203">
        <v>3</v>
      </c>
      <c r="E203">
        <v>4</v>
      </c>
      <c r="F203">
        <v>6</v>
      </c>
      <c r="G203">
        <v>1</v>
      </c>
      <c r="H203">
        <v>202</v>
      </c>
      <c r="I203" s="2" t="s">
        <v>29</v>
      </c>
      <c r="J203" s="3" t="s">
        <v>27</v>
      </c>
      <c r="K203" s="2" t="s">
        <v>16</v>
      </c>
      <c r="L203" s="2" t="s">
        <v>19</v>
      </c>
      <c r="M203" s="3" t="s">
        <v>43</v>
      </c>
    </row>
    <row r="204" spans="1:13" ht="15.75" customHeight="1" x14ac:dyDescent="0.3">
      <c r="A204">
        <v>203</v>
      </c>
      <c r="B204">
        <v>2</v>
      </c>
      <c r="C204">
        <v>5</v>
      </c>
      <c r="D204">
        <v>3</v>
      </c>
      <c r="E204">
        <v>6</v>
      </c>
      <c r="F204">
        <v>1</v>
      </c>
      <c r="G204">
        <v>4</v>
      </c>
      <c r="H204">
        <v>203</v>
      </c>
      <c r="I204" s="2" t="s">
        <v>29</v>
      </c>
      <c r="J204" s="3" t="s">
        <v>27</v>
      </c>
      <c r="K204" s="2" t="s">
        <v>24</v>
      </c>
      <c r="L204" s="3" t="s">
        <v>43</v>
      </c>
      <c r="M204" s="2" t="s">
        <v>36</v>
      </c>
    </row>
    <row r="205" spans="1:13" ht="15.75" customHeight="1" x14ac:dyDescent="0.3">
      <c r="A205">
        <v>204</v>
      </c>
      <c r="B205">
        <v>2</v>
      </c>
      <c r="C205">
        <v>5</v>
      </c>
      <c r="D205">
        <v>3</v>
      </c>
      <c r="E205">
        <v>6</v>
      </c>
      <c r="F205">
        <v>4</v>
      </c>
      <c r="G205">
        <v>1</v>
      </c>
      <c r="H205">
        <v>204</v>
      </c>
      <c r="I205" s="2" t="s">
        <v>29</v>
      </c>
      <c r="J205" s="3" t="s">
        <v>27</v>
      </c>
      <c r="K205" s="2" t="s">
        <v>24</v>
      </c>
      <c r="L205" s="3" t="s">
        <v>23</v>
      </c>
      <c r="M205" s="3" t="s">
        <v>41</v>
      </c>
    </row>
    <row r="206" spans="1:13" ht="15.75" customHeight="1" x14ac:dyDescent="0.3">
      <c r="A206">
        <v>205</v>
      </c>
      <c r="B206">
        <v>2</v>
      </c>
      <c r="C206">
        <v>5</v>
      </c>
      <c r="D206">
        <v>4</v>
      </c>
      <c r="E206">
        <v>1</v>
      </c>
      <c r="F206">
        <v>3</v>
      </c>
      <c r="G206">
        <v>6</v>
      </c>
      <c r="H206">
        <v>205</v>
      </c>
      <c r="I206" s="2" t="s">
        <v>29</v>
      </c>
      <c r="J206" s="3" t="s">
        <v>22</v>
      </c>
      <c r="K206" s="3" t="s">
        <v>41</v>
      </c>
      <c r="L206" s="2" t="s">
        <v>31</v>
      </c>
      <c r="M206" s="2" t="s">
        <v>24</v>
      </c>
    </row>
    <row r="207" spans="1:13" ht="15.75" customHeight="1" x14ac:dyDescent="0.3">
      <c r="A207">
        <v>206</v>
      </c>
      <c r="B207">
        <v>2</v>
      </c>
      <c r="C207">
        <v>5</v>
      </c>
      <c r="D207">
        <v>4</v>
      </c>
      <c r="E207">
        <v>1</v>
      </c>
      <c r="F207">
        <v>6</v>
      </c>
      <c r="G207">
        <v>3</v>
      </c>
      <c r="H207">
        <v>206</v>
      </c>
      <c r="I207" s="2" t="s">
        <v>29</v>
      </c>
      <c r="J207" s="3" t="s">
        <v>22</v>
      </c>
      <c r="K207" s="3" t="s">
        <v>41</v>
      </c>
      <c r="L207" s="2" t="s">
        <v>38</v>
      </c>
      <c r="M207" s="3" t="s">
        <v>28</v>
      </c>
    </row>
    <row r="208" spans="1:13" ht="15.75" customHeight="1" x14ac:dyDescent="0.3">
      <c r="A208">
        <v>207</v>
      </c>
      <c r="B208">
        <v>2</v>
      </c>
      <c r="C208">
        <v>5</v>
      </c>
      <c r="D208">
        <v>4</v>
      </c>
      <c r="E208">
        <v>3</v>
      </c>
      <c r="F208">
        <v>1</v>
      </c>
      <c r="G208">
        <v>6</v>
      </c>
      <c r="H208">
        <v>207</v>
      </c>
      <c r="I208" s="2" t="s">
        <v>29</v>
      </c>
      <c r="J208" s="3" t="s">
        <v>22</v>
      </c>
      <c r="K208" s="3" t="s">
        <v>26</v>
      </c>
      <c r="L208" s="3" t="s">
        <v>40</v>
      </c>
      <c r="M208" s="2" t="s">
        <v>38</v>
      </c>
    </row>
    <row r="209" spans="1:13" ht="15.75" customHeight="1" x14ac:dyDescent="0.3">
      <c r="A209">
        <v>208</v>
      </c>
      <c r="B209">
        <v>2</v>
      </c>
      <c r="C209">
        <v>5</v>
      </c>
      <c r="D209">
        <v>4</v>
      </c>
      <c r="E209">
        <v>3</v>
      </c>
      <c r="F209">
        <v>6</v>
      </c>
      <c r="G209">
        <v>1</v>
      </c>
      <c r="H209">
        <v>208</v>
      </c>
      <c r="I209" s="2" t="s">
        <v>29</v>
      </c>
      <c r="J209" s="3" t="s">
        <v>22</v>
      </c>
      <c r="K209" s="3" t="s">
        <v>26</v>
      </c>
      <c r="L209" s="2" t="s">
        <v>24</v>
      </c>
      <c r="M209" s="3" t="s">
        <v>43</v>
      </c>
    </row>
    <row r="210" spans="1:13" ht="15.75" customHeight="1" x14ac:dyDescent="0.3">
      <c r="A210">
        <v>209</v>
      </c>
      <c r="B210">
        <v>2</v>
      </c>
      <c r="C210">
        <v>5</v>
      </c>
      <c r="D210">
        <v>4</v>
      </c>
      <c r="E210">
        <v>6</v>
      </c>
      <c r="F210">
        <v>1</v>
      </c>
      <c r="G210">
        <v>3</v>
      </c>
      <c r="H210">
        <v>209</v>
      </c>
      <c r="I210" s="2" t="s">
        <v>29</v>
      </c>
      <c r="J210" s="3" t="s">
        <v>22</v>
      </c>
      <c r="K210" s="2" t="s">
        <v>19</v>
      </c>
      <c r="L210" s="3" t="s">
        <v>43</v>
      </c>
      <c r="M210" s="2" t="s">
        <v>31</v>
      </c>
    </row>
    <row r="211" spans="1:13" ht="15.75" customHeight="1" x14ac:dyDescent="0.3">
      <c r="A211">
        <v>210</v>
      </c>
      <c r="B211">
        <v>2</v>
      </c>
      <c r="C211">
        <v>5</v>
      </c>
      <c r="D211">
        <v>4</v>
      </c>
      <c r="E211">
        <v>6</v>
      </c>
      <c r="F211">
        <v>3</v>
      </c>
      <c r="G211">
        <v>1</v>
      </c>
      <c r="H211">
        <v>210</v>
      </c>
      <c r="I211" s="2" t="s">
        <v>29</v>
      </c>
      <c r="J211" s="3" t="s">
        <v>22</v>
      </c>
      <c r="K211" s="2" t="s">
        <v>19</v>
      </c>
      <c r="L211" s="3" t="s">
        <v>28</v>
      </c>
      <c r="M211" s="3" t="s">
        <v>40</v>
      </c>
    </row>
    <row r="212" spans="1:13" ht="15.75" customHeight="1" x14ac:dyDescent="0.3">
      <c r="A212">
        <v>211</v>
      </c>
      <c r="B212">
        <v>2</v>
      </c>
      <c r="C212">
        <v>5</v>
      </c>
      <c r="D212">
        <v>6</v>
      </c>
      <c r="E212">
        <v>1</v>
      </c>
      <c r="F212">
        <v>3</v>
      </c>
      <c r="G212">
        <v>4</v>
      </c>
      <c r="H212">
        <v>211</v>
      </c>
      <c r="I212" s="2" t="s">
        <v>29</v>
      </c>
      <c r="J212" s="2" t="s">
        <v>18</v>
      </c>
      <c r="K212" s="3" t="s">
        <v>43</v>
      </c>
      <c r="L212" s="2" t="s">
        <v>31</v>
      </c>
      <c r="M212" s="2" t="s">
        <v>16</v>
      </c>
    </row>
    <row r="213" spans="1:13" ht="15.75" customHeight="1" x14ac:dyDescent="0.3">
      <c r="A213">
        <v>212</v>
      </c>
      <c r="B213">
        <v>2</v>
      </c>
      <c r="C213">
        <v>5</v>
      </c>
      <c r="D213">
        <v>6</v>
      </c>
      <c r="E213">
        <v>1</v>
      </c>
      <c r="F213">
        <v>4</v>
      </c>
      <c r="G213">
        <v>3</v>
      </c>
      <c r="H213">
        <v>212</v>
      </c>
      <c r="I213" s="2" t="s">
        <v>29</v>
      </c>
      <c r="J213" s="2" t="s">
        <v>18</v>
      </c>
      <c r="K213" s="3" t="s">
        <v>43</v>
      </c>
      <c r="L213" s="2" t="s">
        <v>36</v>
      </c>
      <c r="M213" s="3" t="s">
        <v>26</v>
      </c>
    </row>
    <row r="214" spans="1:13" ht="15.75" customHeight="1" x14ac:dyDescent="0.3">
      <c r="A214">
        <v>213</v>
      </c>
      <c r="B214">
        <v>2</v>
      </c>
      <c r="C214">
        <v>5</v>
      </c>
      <c r="D214">
        <v>6</v>
      </c>
      <c r="E214">
        <v>3</v>
      </c>
      <c r="F214">
        <v>1</v>
      </c>
      <c r="G214">
        <v>4</v>
      </c>
      <c r="H214">
        <v>213</v>
      </c>
      <c r="I214" s="2" t="s">
        <v>29</v>
      </c>
      <c r="J214" s="2" t="s">
        <v>18</v>
      </c>
      <c r="K214" s="3" t="s">
        <v>28</v>
      </c>
      <c r="L214" s="3" t="s">
        <v>40</v>
      </c>
      <c r="M214" s="2" t="s">
        <v>36</v>
      </c>
    </row>
    <row r="215" spans="1:13" ht="15.75" customHeight="1" x14ac:dyDescent="0.3">
      <c r="A215">
        <v>214</v>
      </c>
      <c r="B215">
        <v>2</v>
      </c>
      <c r="C215">
        <v>5</v>
      </c>
      <c r="D215">
        <v>6</v>
      </c>
      <c r="E215">
        <v>3</v>
      </c>
      <c r="F215">
        <v>4</v>
      </c>
      <c r="G215">
        <v>1</v>
      </c>
      <c r="H215">
        <v>214</v>
      </c>
      <c r="I215" s="2" t="s">
        <v>29</v>
      </c>
      <c r="J215" s="2" t="s">
        <v>18</v>
      </c>
      <c r="K215" s="3" t="s">
        <v>28</v>
      </c>
      <c r="L215" s="2" t="s">
        <v>16</v>
      </c>
      <c r="M215" s="3" t="s">
        <v>41</v>
      </c>
    </row>
    <row r="216" spans="1:13" ht="15.75" customHeight="1" x14ac:dyDescent="0.3">
      <c r="A216">
        <v>215</v>
      </c>
      <c r="B216">
        <v>2</v>
      </c>
      <c r="C216">
        <v>5</v>
      </c>
      <c r="D216">
        <v>6</v>
      </c>
      <c r="E216">
        <v>4</v>
      </c>
      <c r="F216">
        <v>1</v>
      </c>
      <c r="G216">
        <v>3</v>
      </c>
      <c r="H216">
        <v>215</v>
      </c>
      <c r="I216" s="2" t="s">
        <v>29</v>
      </c>
      <c r="J216" s="2" t="s">
        <v>18</v>
      </c>
      <c r="K216" s="3" t="s">
        <v>23</v>
      </c>
      <c r="L216" s="3" t="s">
        <v>41</v>
      </c>
      <c r="M216" s="2" t="s">
        <v>31</v>
      </c>
    </row>
    <row r="217" spans="1:13" ht="15.75" customHeight="1" x14ac:dyDescent="0.3">
      <c r="A217">
        <v>216</v>
      </c>
      <c r="B217">
        <v>2</v>
      </c>
      <c r="C217">
        <v>5</v>
      </c>
      <c r="D217">
        <v>6</v>
      </c>
      <c r="E217">
        <v>4</v>
      </c>
      <c r="F217">
        <v>3</v>
      </c>
      <c r="G217">
        <v>1</v>
      </c>
      <c r="H217">
        <v>216</v>
      </c>
      <c r="I217" s="2" t="s">
        <v>29</v>
      </c>
      <c r="J217" s="2" t="s">
        <v>18</v>
      </c>
      <c r="K217" s="3" t="s">
        <v>23</v>
      </c>
      <c r="L217" s="3" t="s">
        <v>26</v>
      </c>
      <c r="M217" s="3" t="s">
        <v>40</v>
      </c>
    </row>
    <row r="218" spans="1:13" ht="15.75" customHeight="1" x14ac:dyDescent="0.3">
      <c r="A218">
        <v>217</v>
      </c>
      <c r="B218">
        <v>2</v>
      </c>
      <c r="C218">
        <v>6</v>
      </c>
      <c r="D218">
        <v>1</v>
      </c>
      <c r="E218">
        <v>3</v>
      </c>
      <c r="F218">
        <v>4</v>
      </c>
      <c r="G218">
        <v>5</v>
      </c>
      <c r="H218">
        <v>217</v>
      </c>
      <c r="I218" s="2" t="s">
        <v>30</v>
      </c>
      <c r="J218" s="3" t="s">
        <v>43</v>
      </c>
      <c r="K218" s="2" t="s">
        <v>31</v>
      </c>
      <c r="L218" s="2" t="s">
        <v>16</v>
      </c>
      <c r="M218" s="2" t="s">
        <v>17</v>
      </c>
    </row>
    <row r="219" spans="1:13" ht="15.75" customHeight="1" x14ac:dyDescent="0.3">
      <c r="A219">
        <v>218</v>
      </c>
      <c r="B219">
        <v>2</v>
      </c>
      <c r="C219">
        <v>6</v>
      </c>
      <c r="D219">
        <v>1</v>
      </c>
      <c r="E219">
        <v>3</v>
      </c>
      <c r="F219">
        <v>5</v>
      </c>
      <c r="G219">
        <v>4</v>
      </c>
      <c r="H219">
        <v>218</v>
      </c>
      <c r="I219" s="2" t="s">
        <v>30</v>
      </c>
      <c r="J219" s="3" t="s">
        <v>43</v>
      </c>
      <c r="K219" s="2" t="s">
        <v>31</v>
      </c>
      <c r="L219" s="2" t="s">
        <v>21</v>
      </c>
      <c r="M219" s="3" t="s">
        <v>22</v>
      </c>
    </row>
    <row r="220" spans="1:13" ht="15.75" customHeight="1" x14ac:dyDescent="0.3">
      <c r="A220">
        <v>219</v>
      </c>
      <c r="B220">
        <v>2</v>
      </c>
      <c r="C220">
        <v>6</v>
      </c>
      <c r="D220">
        <v>1</v>
      </c>
      <c r="E220">
        <v>4</v>
      </c>
      <c r="F220">
        <v>3</v>
      </c>
      <c r="G220">
        <v>5</v>
      </c>
      <c r="H220">
        <v>219</v>
      </c>
      <c r="I220" s="2" t="s">
        <v>30</v>
      </c>
      <c r="J220" s="3" t="s">
        <v>43</v>
      </c>
      <c r="K220" s="2" t="s">
        <v>36</v>
      </c>
      <c r="L220" s="3" t="s">
        <v>26</v>
      </c>
      <c r="M220" s="2" t="s">
        <v>21</v>
      </c>
    </row>
    <row r="221" spans="1:13" ht="15.75" customHeight="1" x14ac:dyDescent="0.3">
      <c r="A221">
        <v>220</v>
      </c>
      <c r="B221">
        <v>2</v>
      </c>
      <c r="C221">
        <v>6</v>
      </c>
      <c r="D221">
        <v>1</v>
      </c>
      <c r="E221">
        <v>4</v>
      </c>
      <c r="F221">
        <v>5</v>
      </c>
      <c r="G221">
        <v>3</v>
      </c>
      <c r="H221">
        <v>220</v>
      </c>
      <c r="I221" s="2" t="s">
        <v>30</v>
      </c>
      <c r="J221" s="3" t="s">
        <v>43</v>
      </c>
      <c r="K221" s="2" t="s">
        <v>36</v>
      </c>
      <c r="L221" s="2" t="s">
        <v>17</v>
      </c>
      <c r="M221" s="3" t="s">
        <v>27</v>
      </c>
    </row>
    <row r="222" spans="1:13" ht="15.75" customHeight="1" x14ac:dyDescent="0.3">
      <c r="A222">
        <v>221</v>
      </c>
      <c r="B222">
        <v>2</v>
      </c>
      <c r="C222">
        <v>6</v>
      </c>
      <c r="D222">
        <v>1</v>
      </c>
      <c r="E222">
        <v>5</v>
      </c>
      <c r="F222">
        <v>3</v>
      </c>
      <c r="G222">
        <v>4</v>
      </c>
      <c r="H222">
        <v>221</v>
      </c>
      <c r="I222" s="2" t="s">
        <v>30</v>
      </c>
      <c r="J222" s="3" t="s">
        <v>43</v>
      </c>
      <c r="K222" s="2" t="s">
        <v>37</v>
      </c>
      <c r="L222" s="3" t="s">
        <v>27</v>
      </c>
      <c r="M222" s="2" t="s">
        <v>16</v>
      </c>
    </row>
    <row r="223" spans="1:13" ht="15.75" customHeight="1" x14ac:dyDescent="0.3">
      <c r="A223">
        <v>222</v>
      </c>
      <c r="B223">
        <v>2</v>
      </c>
      <c r="C223">
        <v>6</v>
      </c>
      <c r="D223">
        <v>1</v>
      </c>
      <c r="E223">
        <v>5</v>
      </c>
      <c r="F223">
        <v>4</v>
      </c>
      <c r="G223">
        <v>3</v>
      </c>
      <c r="H223">
        <v>222</v>
      </c>
      <c r="I223" s="2" t="s">
        <v>30</v>
      </c>
      <c r="J223" s="3" t="s">
        <v>43</v>
      </c>
      <c r="K223" s="2" t="s">
        <v>37</v>
      </c>
      <c r="L223" s="3" t="s">
        <v>22</v>
      </c>
      <c r="M223" s="3" t="s">
        <v>26</v>
      </c>
    </row>
    <row r="224" spans="1:13" ht="15.75" customHeight="1" x14ac:dyDescent="0.3">
      <c r="A224">
        <v>223</v>
      </c>
      <c r="B224">
        <v>2</v>
      </c>
      <c r="C224">
        <v>6</v>
      </c>
      <c r="D224">
        <v>3</v>
      </c>
      <c r="E224">
        <v>1</v>
      </c>
      <c r="F224">
        <v>4</v>
      </c>
      <c r="G224">
        <v>5</v>
      </c>
      <c r="H224">
        <v>223</v>
      </c>
      <c r="I224" s="2" t="s">
        <v>30</v>
      </c>
      <c r="J224" s="3" t="s">
        <v>28</v>
      </c>
      <c r="K224" s="3" t="s">
        <v>40</v>
      </c>
      <c r="L224" s="2" t="s">
        <v>36</v>
      </c>
      <c r="M224" s="2" t="s">
        <v>17</v>
      </c>
    </row>
    <row r="225" spans="1:13" ht="15.75" customHeight="1" x14ac:dyDescent="0.3">
      <c r="A225">
        <v>224</v>
      </c>
      <c r="B225">
        <v>2</v>
      </c>
      <c r="C225">
        <v>6</v>
      </c>
      <c r="D225">
        <v>3</v>
      </c>
      <c r="E225">
        <v>1</v>
      </c>
      <c r="F225">
        <v>5</v>
      </c>
      <c r="G225">
        <v>4</v>
      </c>
      <c r="H225">
        <v>224</v>
      </c>
      <c r="I225" s="2" t="s">
        <v>30</v>
      </c>
      <c r="J225" s="3" t="s">
        <v>28</v>
      </c>
      <c r="K225" s="3" t="s">
        <v>40</v>
      </c>
      <c r="L225" s="2" t="s">
        <v>37</v>
      </c>
      <c r="M225" s="3" t="s">
        <v>22</v>
      </c>
    </row>
    <row r="226" spans="1:13" ht="15.75" customHeight="1" x14ac:dyDescent="0.3">
      <c r="A226">
        <v>225</v>
      </c>
      <c r="B226">
        <v>2</v>
      </c>
      <c r="C226">
        <v>6</v>
      </c>
      <c r="D226">
        <v>3</v>
      </c>
      <c r="E226">
        <v>4</v>
      </c>
      <c r="F226">
        <v>1</v>
      </c>
      <c r="G226">
        <v>5</v>
      </c>
      <c r="H226">
        <v>225</v>
      </c>
      <c r="I226" s="2" t="s">
        <v>30</v>
      </c>
      <c r="J226" s="3" t="s">
        <v>28</v>
      </c>
      <c r="K226" s="2" t="s">
        <v>16</v>
      </c>
      <c r="L226" s="3" t="s">
        <v>41</v>
      </c>
      <c r="M226" s="2" t="s">
        <v>37</v>
      </c>
    </row>
    <row r="227" spans="1:13" ht="15.75" customHeight="1" x14ac:dyDescent="0.3">
      <c r="A227">
        <v>226</v>
      </c>
      <c r="B227">
        <v>2</v>
      </c>
      <c r="C227">
        <v>6</v>
      </c>
      <c r="D227">
        <v>3</v>
      </c>
      <c r="E227">
        <v>4</v>
      </c>
      <c r="F227">
        <v>5</v>
      </c>
      <c r="G227">
        <v>1</v>
      </c>
      <c r="H227">
        <v>226</v>
      </c>
      <c r="I227" s="2" t="s">
        <v>30</v>
      </c>
      <c r="J227" s="3" t="s">
        <v>28</v>
      </c>
      <c r="K227" s="2" t="s">
        <v>16</v>
      </c>
      <c r="L227" s="2" t="s">
        <v>17</v>
      </c>
      <c r="M227" s="3" t="s">
        <v>42</v>
      </c>
    </row>
    <row r="228" spans="1:13" ht="15.75" customHeight="1" x14ac:dyDescent="0.3">
      <c r="A228">
        <v>227</v>
      </c>
      <c r="B228">
        <v>2</v>
      </c>
      <c r="C228">
        <v>6</v>
      </c>
      <c r="D228">
        <v>3</v>
      </c>
      <c r="E228">
        <v>5</v>
      </c>
      <c r="F228">
        <v>1</v>
      </c>
      <c r="G228">
        <v>4</v>
      </c>
      <c r="H228">
        <v>227</v>
      </c>
      <c r="I228" s="2" t="s">
        <v>30</v>
      </c>
      <c r="J228" s="3" t="s">
        <v>28</v>
      </c>
      <c r="K228" s="2" t="s">
        <v>21</v>
      </c>
      <c r="L228" s="3" t="s">
        <v>42</v>
      </c>
      <c r="M228" s="2" t="s">
        <v>36</v>
      </c>
    </row>
    <row r="229" spans="1:13" ht="15.75" customHeight="1" x14ac:dyDescent="0.3">
      <c r="A229">
        <v>228</v>
      </c>
      <c r="B229">
        <v>2</v>
      </c>
      <c r="C229">
        <v>6</v>
      </c>
      <c r="D229">
        <v>3</v>
      </c>
      <c r="E229">
        <v>5</v>
      </c>
      <c r="F229">
        <v>4</v>
      </c>
      <c r="G229">
        <v>1</v>
      </c>
      <c r="H229">
        <v>228</v>
      </c>
      <c r="I229" s="2" t="s">
        <v>30</v>
      </c>
      <c r="J229" s="3" t="s">
        <v>28</v>
      </c>
      <c r="K229" s="2" t="s">
        <v>21</v>
      </c>
      <c r="L229" s="3" t="s">
        <v>22</v>
      </c>
      <c r="M229" s="3" t="s">
        <v>41</v>
      </c>
    </row>
    <row r="230" spans="1:13" ht="15.75" customHeight="1" x14ac:dyDescent="0.3">
      <c r="A230">
        <v>229</v>
      </c>
      <c r="B230">
        <v>2</v>
      </c>
      <c r="C230">
        <v>6</v>
      </c>
      <c r="D230">
        <v>4</v>
      </c>
      <c r="E230">
        <v>1</v>
      </c>
      <c r="F230">
        <v>3</v>
      </c>
      <c r="G230">
        <v>5</v>
      </c>
      <c r="H230">
        <v>229</v>
      </c>
      <c r="I230" s="2" t="s">
        <v>30</v>
      </c>
      <c r="J230" s="3" t="s">
        <v>23</v>
      </c>
      <c r="K230" s="3" t="s">
        <v>41</v>
      </c>
      <c r="L230" s="2" t="s">
        <v>31</v>
      </c>
      <c r="M230" s="2" t="s">
        <v>21</v>
      </c>
    </row>
    <row r="231" spans="1:13" ht="15.75" customHeight="1" x14ac:dyDescent="0.3">
      <c r="A231">
        <v>230</v>
      </c>
      <c r="B231">
        <v>2</v>
      </c>
      <c r="C231">
        <v>6</v>
      </c>
      <c r="D231">
        <v>4</v>
      </c>
      <c r="E231">
        <v>1</v>
      </c>
      <c r="F231">
        <v>5</v>
      </c>
      <c r="G231">
        <v>3</v>
      </c>
      <c r="H231">
        <v>230</v>
      </c>
      <c r="I231" s="2" t="s">
        <v>30</v>
      </c>
      <c r="J231" s="3" t="s">
        <v>23</v>
      </c>
      <c r="K231" s="3" t="s">
        <v>41</v>
      </c>
      <c r="L231" s="2" t="s">
        <v>37</v>
      </c>
      <c r="M231" s="3" t="s">
        <v>27</v>
      </c>
    </row>
    <row r="232" spans="1:13" ht="15.75" customHeight="1" x14ac:dyDescent="0.3">
      <c r="A232">
        <v>231</v>
      </c>
      <c r="B232">
        <v>2</v>
      </c>
      <c r="C232">
        <v>6</v>
      </c>
      <c r="D232">
        <v>4</v>
      </c>
      <c r="E232">
        <v>3</v>
      </c>
      <c r="F232">
        <v>1</v>
      </c>
      <c r="G232">
        <v>5</v>
      </c>
      <c r="H232">
        <v>231</v>
      </c>
      <c r="I232" s="2" t="s">
        <v>30</v>
      </c>
      <c r="J232" s="3" t="s">
        <v>23</v>
      </c>
      <c r="K232" s="3" t="s">
        <v>26</v>
      </c>
      <c r="L232" s="3" t="s">
        <v>40</v>
      </c>
      <c r="M232" s="2" t="s">
        <v>37</v>
      </c>
    </row>
    <row r="233" spans="1:13" ht="15.75" customHeight="1" x14ac:dyDescent="0.3">
      <c r="A233">
        <v>232</v>
      </c>
      <c r="B233">
        <v>2</v>
      </c>
      <c r="C233">
        <v>6</v>
      </c>
      <c r="D233">
        <v>4</v>
      </c>
      <c r="E233">
        <v>3</v>
      </c>
      <c r="F233">
        <v>5</v>
      </c>
      <c r="G233">
        <v>1</v>
      </c>
      <c r="H233">
        <v>232</v>
      </c>
      <c r="I233" s="2" t="s">
        <v>30</v>
      </c>
      <c r="J233" s="3" t="s">
        <v>23</v>
      </c>
      <c r="K233" s="3" t="s">
        <v>26</v>
      </c>
      <c r="L233" s="2" t="s">
        <v>21</v>
      </c>
      <c r="M233" s="3" t="s">
        <v>42</v>
      </c>
    </row>
    <row r="234" spans="1:13" ht="15.75" customHeight="1" x14ac:dyDescent="0.3">
      <c r="A234">
        <v>233</v>
      </c>
      <c r="B234">
        <v>2</v>
      </c>
      <c r="C234">
        <v>6</v>
      </c>
      <c r="D234">
        <v>4</v>
      </c>
      <c r="E234">
        <v>5</v>
      </c>
      <c r="F234">
        <v>1</v>
      </c>
      <c r="G234">
        <v>3</v>
      </c>
      <c r="H234">
        <v>233</v>
      </c>
      <c r="I234" s="2" t="s">
        <v>30</v>
      </c>
      <c r="J234" s="3" t="s">
        <v>23</v>
      </c>
      <c r="K234" s="2" t="s">
        <v>17</v>
      </c>
      <c r="L234" s="3" t="s">
        <v>42</v>
      </c>
      <c r="M234" s="2" t="s">
        <v>31</v>
      </c>
    </row>
    <row r="235" spans="1:13" ht="15.75" customHeight="1" x14ac:dyDescent="0.3">
      <c r="A235">
        <v>234</v>
      </c>
      <c r="B235">
        <v>2</v>
      </c>
      <c r="C235">
        <v>6</v>
      </c>
      <c r="D235">
        <v>4</v>
      </c>
      <c r="E235">
        <v>5</v>
      </c>
      <c r="F235">
        <v>3</v>
      </c>
      <c r="G235">
        <v>1</v>
      </c>
      <c r="H235">
        <v>234</v>
      </c>
      <c r="I235" s="2" t="s">
        <v>30</v>
      </c>
      <c r="J235" s="3" t="s">
        <v>23</v>
      </c>
      <c r="K235" s="2" t="s">
        <v>17</v>
      </c>
      <c r="L235" s="3" t="s">
        <v>27</v>
      </c>
      <c r="M235" s="3" t="s">
        <v>40</v>
      </c>
    </row>
    <row r="236" spans="1:13" ht="15.75" customHeight="1" x14ac:dyDescent="0.3">
      <c r="A236">
        <v>235</v>
      </c>
      <c r="B236">
        <v>2</v>
      </c>
      <c r="C236">
        <v>6</v>
      </c>
      <c r="D236">
        <v>5</v>
      </c>
      <c r="E236">
        <v>1</v>
      </c>
      <c r="F236">
        <v>3</v>
      </c>
      <c r="G236">
        <v>4</v>
      </c>
      <c r="H236">
        <v>235</v>
      </c>
      <c r="I236" s="2" t="s">
        <v>30</v>
      </c>
      <c r="J236" s="3" t="s">
        <v>20</v>
      </c>
      <c r="K236" s="3" t="s">
        <v>42</v>
      </c>
      <c r="L236" s="2" t="s">
        <v>31</v>
      </c>
      <c r="M236" s="2" t="s">
        <v>16</v>
      </c>
    </row>
    <row r="237" spans="1:13" ht="15.75" customHeight="1" x14ac:dyDescent="0.3">
      <c r="A237">
        <v>236</v>
      </c>
      <c r="B237">
        <v>2</v>
      </c>
      <c r="C237">
        <v>6</v>
      </c>
      <c r="D237">
        <v>5</v>
      </c>
      <c r="E237">
        <v>1</v>
      </c>
      <c r="F237">
        <v>4</v>
      </c>
      <c r="G237">
        <v>3</v>
      </c>
      <c r="H237">
        <v>236</v>
      </c>
      <c r="I237" s="2" t="s">
        <v>30</v>
      </c>
      <c r="J237" s="3" t="s">
        <v>20</v>
      </c>
      <c r="K237" s="3" t="s">
        <v>42</v>
      </c>
      <c r="L237" s="2" t="s">
        <v>36</v>
      </c>
      <c r="M237" s="3" t="s">
        <v>26</v>
      </c>
    </row>
    <row r="238" spans="1:13" ht="15.75" customHeight="1" x14ac:dyDescent="0.3">
      <c r="A238">
        <v>237</v>
      </c>
      <c r="B238">
        <v>2</v>
      </c>
      <c r="C238">
        <v>6</v>
      </c>
      <c r="D238">
        <v>5</v>
      </c>
      <c r="E238">
        <v>3</v>
      </c>
      <c r="F238">
        <v>1</v>
      </c>
      <c r="G238">
        <v>4</v>
      </c>
      <c r="H238">
        <v>237</v>
      </c>
      <c r="I238" s="2" t="s">
        <v>30</v>
      </c>
      <c r="J238" s="3" t="s">
        <v>20</v>
      </c>
      <c r="K238" s="3" t="s">
        <v>27</v>
      </c>
      <c r="L238" s="3" t="s">
        <v>40</v>
      </c>
      <c r="M238" s="2" t="s">
        <v>36</v>
      </c>
    </row>
    <row r="239" spans="1:13" ht="15.75" customHeight="1" x14ac:dyDescent="0.3">
      <c r="A239">
        <v>238</v>
      </c>
      <c r="B239">
        <v>2</v>
      </c>
      <c r="C239">
        <v>6</v>
      </c>
      <c r="D239">
        <v>5</v>
      </c>
      <c r="E239">
        <v>3</v>
      </c>
      <c r="F239">
        <v>4</v>
      </c>
      <c r="G239">
        <v>1</v>
      </c>
      <c r="H239">
        <v>238</v>
      </c>
      <c r="I239" s="2" t="s">
        <v>30</v>
      </c>
      <c r="J239" s="3" t="s">
        <v>20</v>
      </c>
      <c r="K239" s="3" t="s">
        <v>27</v>
      </c>
      <c r="L239" s="2" t="s">
        <v>16</v>
      </c>
      <c r="M239" s="3" t="s">
        <v>41</v>
      </c>
    </row>
    <row r="240" spans="1:13" ht="15.75" customHeight="1" x14ac:dyDescent="0.3">
      <c r="A240">
        <v>239</v>
      </c>
      <c r="B240">
        <v>2</v>
      </c>
      <c r="C240">
        <v>6</v>
      </c>
      <c r="D240">
        <v>5</v>
      </c>
      <c r="E240">
        <v>4</v>
      </c>
      <c r="F240">
        <v>1</v>
      </c>
      <c r="G240">
        <v>3</v>
      </c>
      <c r="H240">
        <v>239</v>
      </c>
      <c r="I240" s="2" t="s">
        <v>30</v>
      </c>
      <c r="J240" s="3" t="s">
        <v>20</v>
      </c>
      <c r="K240" s="3" t="s">
        <v>22</v>
      </c>
      <c r="L240" s="3" t="s">
        <v>41</v>
      </c>
      <c r="M240" s="2" t="s">
        <v>31</v>
      </c>
    </row>
    <row r="241" spans="1:13" ht="15.75" customHeight="1" x14ac:dyDescent="0.3">
      <c r="A241">
        <v>240</v>
      </c>
      <c r="B241">
        <v>2</v>
      </c>
      <c r="C241">
        <v>6</v>
      </c>
      <c r="D241">
        <v>5</v>
      </c>
      <c r="E241">
        <v>4</v>
      </c>
      <c r="F241">
        <v>3</v>
      </c>
      <c r="G241">
        <v>1</v>
      </c>
      <c r="H241">
        <v>240</v>
      </c>
      <c r="I241" s="2" t="s">
        <v>30</v>
      </c>
      <c r="J241" s="3" t="s">
        <v>20</v>
      </c>
      <c r="K241" s="3" t="s">
        <v>22</v>
      </c>
      <c r="L241" s="3" t="s">
        <v>26</v>
      </c>
      <c r="M241" s="3" t="s">
        <v>40</v>
      </c>
    </row>
    <row r="242" spans="1:13" ht="15.75" customHeight="1" x14ac:dyDescent="0.3">
      <c r="A242">
        <v>241</v>
      </c>
      <c r="B242">
        <v>3</v>
      </c>
      <c r="C242">
        <v>1</v>
      </c>
      <c r="D242">
        <v>2</v>
      </c>
      <c r="E242">
        <v>4</v>
      </c>
      <c r="F242">
        <v>5</v>
      </c>
      <c r="G242">
        <v>6</v>
      </c>
      <c r="H242">
        <v>241</v>
      </c>
      <c r="I242" s="3" t="s">
        <v>40</v>
      </c>
      <c r="J242" s="2" t="s">
        <v>14</v>
      </c>
      <c r="K242" s="2" t="s">
        <v>25</v>
      </c>
      <c r="L242" s="2" t="s">
        <v>17</v>
      </c>
      <c r="M242" s="2" t="s">
        <v>18</v>
      </c>
    </row>
    <row r="243" spans="1:13" ht="15.75" customHeight="1" x14ac:dyDescent="0.3">
      <c r="A243">
        <v>242</v>
      </c>
      <c r="B243">
        <v>3</v>
      </c>
      <c r="C243">
        <v>1</v>
      </c>
      <c r="D243">
        <v>2</v>
      </c>
      <c r="E243">
        <v>4</v>
      </c>
      <c r="F243">
        <v>6</v>
      </c>
      <c r="G243">
        <v>5</v>
      </c>
      <c r="H243">
        <v>242</v>
      </c>
      <c r="I243" s="3" t="s">
        <v>40</v>
      </c>
      <c r="J243" s="2" t="s">
        <v>14</v>
      </c>
      <c r="K243" s="2" t="s">
        <v>25</v>
      </c>
      <c r="L243" s="2" t="s">
        <v>19</v>
      </c>
      <c r="M243" s="3" t="s">
        <v>20</v>
      </c>
    </row>
    <row r="244" spans="1:13" ht="15.75" customHeight="1" x14ac:dyDescent="0.3">
      <c r="A244">
        <v>243</v>
      </c>
      <c r="B244">
        <v>3</v>
      </c>
      <c r="C244">
        <v>1</v>
      </c>
      <c r="D244">
        <v>2</v>
      </c>
      <c r="E244">
        <v>5</v>
      </c>
      <c r="F244">
        <v>4</v>
      </c>
      <c r="G244">
        <v>6</v>
      </c>
      <c r="H244">
        <v>243</v>
      </c>
      <c r="I244" s="3" t="s">
        <v>40</v>
      </c>
      <c r="J244" s="2" t="s">
        <v>14</v>
      </c>
      <c r="K244" s="2" t="s">
        <v>29</v>
      </c>
      <c r="L244" s="3" t="s">
        <v>22</v>
      </c>
      <c r="M244" s="2" t="s">
        <v>19</v>
      </c>
    </row>
    <row r="245" spans="1:13" ht="15.75" customHeight="1" x14ac:dyDescent="0.3">
      <c r="A245">
        <v>244</v>
      </c>
      <c r="B245">
        <v>3</v>
      </c>
      <c r="C245">
        <v>1</v>
      </c>
      <c r="D245">
        <v>2</v>
      </c>
      <c r="E245">
        <v>5</v>
      </c>
      <c r="F245">
        <v>6</v>
      </c>
      <c r="G245">
        <v>4</v>
      </c>
      <c r="H245">
        <v>244</v>
      </c>
      <c r="I245" s="3" t="s">
        <v>40</v>
      </c>
      <c r="J245" s="2" t="s">
        <v>14</v>
      </c>
      <c r="K245" s="2" t="s">
        <v>29</v>
      </c>
      <c r="L245" s="2" t="s">
        <v>18</v>
      </c>
      <c r="M245" s="3" t="s">
        <v>23</v>
      </c>
    </row>
    <row r="246" spans="1:13" ht="15.75" customHeight="1" x14ac:dyDescent="0.3">
      <c r="A246">
        <v>245</v>
      </c>
      <c r="B246">
        <v>3</v>
      </c>
      <c r="C246">
        <v>1</v>
      </c>
      <c r="D246">
        <v>2</v>
      </c>
      <c r="E246">
        <v>6</v>
      </c>
      <c r="F246">
        <v>4</v>
      </c>
      <c r="G246">
        <v>5</v>
      </c>
      <c r="H246">
        <v>245</v>
      </c>
      <c r="I246" s="3" t="s">
        <v>40</v>
      </c>
      <c r="J246" s="2" t="s">
        <v>14</v>
      </c>
      <c r="K246" s="2" t="s">
        <v>30</v>
      </c>
      <c r="L246" s="3" t="s">
        <v>23</v>
      </c>
      <c r="M246" s="2" t="s">
        <v>17</v>
      </c>
    </row>
    <row r="247" spans="1:13" ht="15.75" customHeight="1" x14ac:dyDescent="0.3">
      <c r="A247">
        <v>246</v>
      </c>
      <c r="B247">
        <v>3</v>
      </c>
      <c r="C247">
        <v>1</v>
      </c>
      <c r="D247">
        <v>2</v>
      </c>
      <c r="E247">
        <v>6</v>
      </c>
      <c r="F247">
        <v>5</v>
      </c>
      <c r="G247">
        <v>4</v>
      </c>
      <c r="H247">
        <v>246</v>
      </c>
      <c r="I247" s="3" t="s">
        <v>40</v>
      </c>
      <c r="J247" s="2" t="s">
        <v>14</v>
      </c>
      <c r="K247" s="2" t="s">
        <v>30</v>
      </c>
      <c r="L247" s="3" t="s">
        <v>20</v>
      </c>
      <c r="M247" s="3" t="s">
        <v>22</v>
      </c>
    </row>
    <row r="248" spans="1:13" ht="15.75" customHeight="1" x14ac:dyDescent="0.3">
      <c r="A248">
        <v>247</v>
      </c>
      <c r="B248">
        <v>3</v>
      </c>
      <c r="C248">
        <v>1</v>
      </c>
      <c r="D248">
        <v>4</v>
      </c>
      <c r="E248">
        <v>2</v>
      </c>
      <c r="F248">
        <v>5</v>
      </c>
      <c r="G248">
        <v>6</v>
      </c>
      <c r="H248">
        <v>247</v>
      </c>
      <c r="I248" s="3" t="s">
        <v>40</v>
      </c>
      <c r="J248" s="2" t="s">
        <v>36</v>
      </c>
      <c r="K248" s="3" t="s">
        <v>33</v>
      </c>
      <c r="L248" s="2" t="s">
        <v>29</v>
      </c>
      <c r="M248" s="2" t="s">
        <v>18</v>
      </c>
    </row>
    <row r="249" spans="1:13" ht="15.75" customHeight="1" x14ac:dyDescent="0.3">
      <c r="A249">
        <v>248</v>
      </c>
      <c r="B249">
        <v>3</v>
      </c>
      <c r="C249">
        <v>1</v>
      </c>
      <c r="D249">
        <v>4</v>
      </c>
      <c r="E249">
        <v>2</v>
      </c>
      <c r="F249">
        <v>6</v>
      </c>
      <c r="G249">
        <v>5</v>
      </c>
      <c r="H249">
        <v>248</v>
      </c>
      <c r="I249" s="3" t="s">
        <v>40</v>
      </c>
      <c r="J249" s="2" t="s">
        <v>36</v>
      </c>
      <c r="K249" s="3" t="s">
        <v>33</v>
      </c>
      <c r="L249" s="2" t="s">
        <v>30</v>
      </c>
      <c r="M249" s="3" t="s">
        <v>20</v>
      </c>
    </row>
    <row r="250" spans="1:13" ht="15.75" customHeight="1" x14ac:dyDescent="0.3">
      <c r="A250">
        <v>249</v>
      </c>
      <c r="B250">
        <v>3</v>
      </c>
      <c r="C250">
        <v>1</v>
      </c>
      <c r="D250">
        <v>4</v>
      </c>
      <c r="E250">
        <v>5</v>
      </c>
      <c r="F250">
        <v>2</v>
      </c>
      <c r="G250">
        <v>6</v>
      </c>
      <c r="H250">
        <v>249</v>
      </c>
      <c r="I250" s="3" t="s">
        <v>40</v>
      </c>
      <c r="J250" s="2" t="s">
        <v>36</v>
      </c>
      <c r="K250" s="2" t="s">
        <v>17</v>
      </c>
      <c r="L250" s="3" t="s">
        <v>34</v>
      </c>
      <c r="M250" s="2" t="s">
        <v>30</v>
      </c>
    </row>
    <row r="251" spans="1:13" ht="15.75" customHeight="1" x14ac:dyDescent="0.3">
      <c r="A251">
        <v>250</v>
      </c>
      <c r="B251">
        <v>3</v>
      </c>
      <c r="C251">
        <v>1</v>
      </c>
      <c r="D251">
        <v>4</v>
      </c>
      <c r="E251">
        <v>5</v>
      </c>
      <c r="F251">
        <v>6</v>
      </c>
      <c r="G251">
        <v>2</v>
      </c>
      <c r="H251">
        <v>250</v>
      </c>
      <c r="I251" s="3" t="s">
        <v>40</v>
      </c>
      <c r="J251" s="2" t="s">
        <v>36</v>
      </c>
      <c r="K251" s="2" t="s">
        <v>17</v>
      </c>
      <c r="L251" s="2" t="s">
        <v>18</v>
      </c>
      <c r="M251" s="3" t="s">
        <v>35</v>
      </c>
    </row>
    <row r="252" spans="1:13" ht="15.75" customHeight="1" x14ac:dyDescent="0.3">
      <c r="A252">
        <v>251</v>
      </c>
      <c r="B252">
        <v>3</v>
      </c>
      <c r="C252">
        <v>1</v>
      </c>
      <c r="D252">
        <v>4</v>
      </c>
      <c r="E252">
        <v>6</v>
      </c>
      <c r="F252">
        <v>2</v>
      </c>
      <c r="G252">
        <v>5</v>
      </c>
      <c r="H252">
        <v>251</v>
      </c>
      <c r="I252" s="3" t="s">
        <v>40</v>
      </c>
      <c r="J252" s="2" t="s">
        <v>36</v>
      </c>
      <c r="K252" s="2" t="s">
        <v>19</v>
      </c>
      <c r="L252" s="3" t="s">
        <v>35</v>
      </c>
      <c r="M252" s="2" t="s">
        <v>29</v>
      </c>
    </row>
    <row r="253" spans="1:13" ht="15.75" customHeight="1" x14ac:dyDescent="0.3">
      <c r="A253">
        <v>252</v>
      </c>
      <c r="B253">
        <v>3</v>
      </c>
      <c r="C253">
        <v>1</v>
      </c>
      <c r="D253">
        <v>4</v>
      </c>
      <c r="E253">
        <v>6</v>
      </c>
      <c r="F253">
        <v>5</v>
      </c>
      <c r="G253">
        <v>2</v>
      </c>
      <c r="H253">
        <v>252</v>
      </c>
      <c r="I253" s="3" t="s">
        <v>40</v>
      </c>
      <c r="J253" s="2" t="s">
        <v>36</v>
      </c>
      <c r="K253" s="2" t="s">
        <v>19</v>
      </c>
      <c r="L253" s="3" t="s">
        <v>20</v>
      </c>
      <c r="M253" s="3" t="s">
        <v>34</v>
      </c>
    </row>
    <row r="254" spans="1:13" ht="15.75" customHeight="1" x14ac:dyDescent="0.3">
      <c r="A254">
        <v>253</v>
      </c>
      <c r="B254">
        <v>3</v>
      </c>
      <c r="C254">
        <v>1</v>
      </c>
      <c r="D254">
        <v>5</v>
      </c>
      <c r="E254">
        <v>2</v>
      </c>
      <c r="F254">
        <v>4</v>
      </c>
      <c r="G254">
        <v>6</v>
      </c>
      <c r="H254">
        <v>253</v>
      </c>
      <c r="I254" s="3" t="s">
        <v>40</v>
      </c>
      <c r="J254" s="2" t="s">
        <v>37</v>
      </c>
      <c r="K254" s="3" t="s">
        <v>34</v>
      </c>
      <c r="L254" s="2" t="s">
        <v>25</v>
      </c>
      <c r="M254" s="2" t="s">
        <v>19</v>
      </c>
    </row>
    <row r="255" spans="1:13" ht="15.75" customHeight="1" x14ac:dyDescent="0.3">
      <c r="A255">
        <v>254</v>
      </c>
      <c r="B255">
        <v>3</v>
      </c>
      <c r="C255">
        <v>1</v>
      </c>
      <c r="D255">
        <v>5</v>
      </c>
      <c r="E255">
        <v>2</v>
      </c>
      <c r="F255">
        <v>6</v>
      </c>
      <c r="G255">
        <v>4</v>
      </c>
      <c r="H255">
        <v>254</v>
      </c>
      <c r="I255" s="3" t="s">
        <v>40</v>
      </c>
      <c r="J255" s="2" t="s">
        <v>37</v>
      </c>
      <c r="K255" s="3" t="s">
        <v>34</v>
      </c>
      <c r="L255" s="2" t="s">
        <v>30</v>
      </c>
      <c r="M255" s="3" t="s">
        <v>23</v>
      </c>
    </row>
    <row r="256" spans="1:13" ht="15.75" customHeight="1" x14ac:dyDescent="0.3">
      <c r="A256">
        <v>255</v>
      </c>
      <c r="B256">
        <v>3</v>
      </c>
      <c r="C256">
        <v>1</v>
      </c>
      <c r="D256">
        <v>5</v>
      </c>
      <c r="E256">
        <v>4</v>
      </c>
      <c r="F256">
        <v>2</v>
      </c>
      <c r="G256">
        <v>6</v>
      </c>
      <c r="H256">
        <v>255</v>
      </c>
      <c r="I256" s="3" t="s">
        <v>40</v>
      </c>
      <c r="J256" s="2" t="s">
        <v>37</v>
      </c>
      <c r="K256" s="3" t="s">
        <v>22</v>
      </c>
      <c r="L256" s="3" t="s">
        <v>33</v>
      </c>
      <c r="M256" s="2" t="s">
        <v>30</v>
      </c>
    </row>
    <row r="257" spans="1:13" ht="15.75" customHeight="1" x14ac:dyDescent="0.3">
      <c r="A257">
        <v>256</v>
      </c>
      <c r="B257">
        <v>3</v>
      </c>
      <c r="C257">
        <v>1</v>
      </c>
      <c r="D257">
        <v>5</v>
      </c>
      <c r="E257">
        <v>4</v>
      </c>
      <c r="F257">
        <v>6</v>
      </c>
      <c r="G257">
        <v>2</v>
      </c>
      <c r="H257">
        <v>256</v>
      </c>
      <c r="I257" s="3" t="s">
        <v>40</v>
      </c>
      <c r="J257" s="2" t="s">
        <v>37</v>
      </c>
      <c r="K257" s="3" t="s">
        <v>22</v>
      </c>
      <c r="L257" s="2" t="s">
        <v>19</v>
      </c>
      <c r="M257" s="3" t="s">
        <v>35</v>
      </c>
    </row>
    <row r="258" spans="1:13" ht="15.75" customHeight="1" x14ac:dyDescent="0.3">
      <c r="A258">
        <v>257</v>
      </c>
      <c r="B258">
        <v>3</v>
      </c>
      <c r="C258">
        <v>1</v>
      </c>
      <c r="D258">
        <v>5</v>
      </c>
      <c r="E258">
        <v>6</v>
      </c>
      <c r="F258">
        <v>2</v>
      </c>
      <c r="G258">
        <v>4</v>
      </c>
      <c r="H258">
        <v>257</v>
      </c>
      <c r="I258" s="3" t="s">
        <v>40</v>
      </c>
      <c r="J258" s="2" t="s">
        <v>37</v>
      </c>
      <c r="K258" s="2" t="s">
        <v>18</v>
      </c>
      <c r="L258" s="3" t="s">
        <v>35</v>
      </c>
      <c r="M258" s="2" t="s">
        <v>25</v>
      </c>
    </row>
    <row r="259" spans="1:13" ht="15.75" customHeight="1" x14ac:dyDescent="0.3">
      <c r="A259">
        <v>258</v>
      </c>
      <c r="B259">
        <v>3</v>
      </c>
      <c r="C259">
        <v>1</v>
      </c>
      <c r="D259">
        <v>5</v>
      </c>
      <c r="E259">
        <v>6</v>
      </c>
      <c r="F259">
        <v>4</v>
      </c>
      <c r="G259">
        <v>2</v>
      </c>
      <c r="H259">
        <v>258</v>
      </c>
      <c r="I259" s="3" t="s">
        <v>40</v>
      </c>
      <c r="J259" s="2" t="s">
        <v>37</v>
      </c>
      <c r="K259" s="2" t="s">
        <v>18</v>
      </c>
      <c r="L259" s="3" t="s">
        <v>23</v>
      </c>
      <c r="M259" s="3" t="s">
        <v>33</v>
      </c>
    </row>
    <row r="260" spans="1:13" ht="15.75" customHeight="1" x14ac:dyDescent="0.3">
      <c r="A260">
        <v>259</v>
      </c>
      <c r="B260">
        <v>3</v>
      </c>
      <c r="C260">
        <v>1</v>
      </c>
      <c r="D260">
        <v>6</v>
      </c>
      <c r="E260">
        <v>2</v>
      </c>
      <c r="F260">
        <v>4</v>
      </c>
      <c r="G260">
        <v>5</v>
      </c>
      <c r="H260">
        <v>259</v>
      </c>
      <c r="I260" s="3" t="s">
        <v>40</v>
      </c>
      <c r="J260" s="2" t="s">
        <v>38</v>
      </c>
      <c r="K260" s="3" t="s">
        <v>35</v>
      </c>
      <c r="L260" s="2" t="s">
        <v>25</v>
      </c>
      <c r="M260" s="2" t="s">
        <v>17</v>
      </c>
    </row>
    <row r="261" spans="1:13" ht="15.75" customHeight="1" x14ac:dyDescent="0.3">
      <c r="A261">
        <v>260</v>
      </c>
      <c r="B261">
        <v>3</v>
      </c>
      <c r="C261">
        <v>1</v>
      </c>
      <c r="D261">
        <v>6</v>
      </c>
      <c r="E261">
        <v>2</v>
      </c>
      <c r="F261">
        <v>5</v>
      </c>
      <c r="G261">
        <v>4</v>
      </c>
      <c r="H261">
        <v>260</v>
      </c>
      <c r="I261" s="3" t="s">
        <v>40</v>
      </c>
      <c r="J261" s="2" t="s">
        <v>38</v>
      </c>
      <c r="K261" s="3" t="s">
        <v>35</v>
      </c>
      <c r="L261" s="2" t="s">
        <v>29</v>
      </c>
      <c r="M261" s="3" t="s">
        <v>22</v>
      </c>
    </row>
    <row r="262" spans="1:13" ht="15.75" customHeight="1" x14ac:dyDescent="0.3">
      <c r="A262">
        <v>261</v>
      </c>
      <c r="B262">
        <v>3</v>
      </c>
      <c r="C262">
        <v>1</v>
      </c>
      <c r="D262">
        <v>6</v>
      </c>
      <c r="E262">
        <v>4</v>
      </c>
      <c r="F262">
        <v>2</v>
      </c>
      <c r="G262">
        <v>5</v>
      </c>
      <c r="H262">
        <v>261</v>
      </c>
      <c r="I262" s="3" t="s">
        <v>40</v>
      </c>
      <c r="J262" s="2" t="s">
        <v>38</v>
      </c>
      <c r="K262" s="3" t="s">
        <v>23</v>
      </c>
      <c r="L262" s="3" t="s">
        <v>33</v>
      </c>
      <c r="M262" s="2" t="s">
        <v>29</v>
      </c>
    </row>
    <row r="263" spans="1:13" ht="15.75" customHeight="1" x14ac:dyDescent="0.3">
      <c r="A263">
        <v>262</v>
      </c>
      <c r="B263">
        <v>3</v>
      </c>
      <c r="C263">
        <v>1</v>
      </c>
      <c r="D263">
        <v>6</v>
      </c>
      <c r="E263">
        <v>4</v>
      </c>
      <c r="F263">
        <v>5</v>
      </c>
      <c r="G263">
        <v>2</v>
      </c>
      <c r="H263">
        <v>262</v>
      </c>
      <c r="I263" s="3" t="s">
        <v>40</v>
      </c>
      <c r="J263" s="2" t="s">
        <v>38</v>
      </c>
      <c r="K263" s="3" t="s">
        <v>23</v>
      </c>
      <c r="L263" s="2" t="s">
        <v>17</v>
      </c>
      <c r="M263" s="3" t="s">
        <v>34</v>
      </c>
    </row>
    <row r="264" spans="1:13" ht="15.75" customHeight="1" x14ac:dyDescent="0.3">
      <c r="A264">
        <v>263</v>
      </c>
      <c r="B264">
        <v>3</v>
      </c>
      <c r="C264">
        <v>1</v>
      </c>
      <c r="D264">
        <v>6</v>
      </c>
      <c r="E264">
        <v>5</v>
      </c>
      <c r="F264">
        <v>2</v>
      </c>
      <c r="G264">
        <v>4</v>
      </c>
      <c r="H264">
        <v>263</v>
      </c>
      <c r="I264" s="3" t="s">
        <v>40</v>
      </c>
      <c r="J264" s="2" t="s">
        <v>38</v>
      </c>
      <c r="K264" s="3" t="s">
        <v>20</v>
      </c>
      <c r="L264" s="3" t="s">
        <v>34</v>
      </c>
      <c r="M264" s="2" t="s">
        <v>25</v>
      </c>
    </row>
    <row r="265" spans="1:13" ht="15.75" customHeight="1" x14ac:dyDescent="0.3">
      <c r="A265">
        <v>264</v>
      </c>
      <c r="B265">
        <v>3</v>
      </c>
      <c r="C265">
        <v>1</v>
      </c>
      <c r="D265">
        <v>6</v>
      </c>
      <c r="E265">
        <v>5</v>
      </c>
      <c r="F265">
        <v>4</v>
      </c>
      <c r="G265">
        <v>2</v>
      </c>
      <c r="H265">
        <v>264</v>
      </c>
      <c r="I265" s="3" t="s">
        <v>40</v>
      </c>
      <c r="J265" s="2" t="s">
        <v>38</v>
      </c>
      <c r="K265" s="3" t="s">
        <v>20</v>
      </c>
      <c r="L265" s="3" t="s">
        <v>22</v>
      </c>
      <c r="M265" s="3" t="s">
        <v>33</v>
      </c>
    </row>
    <row r="266" spans="1:13" ht="15.75" customHeight="1" x14ac:dyDescent="0.3">
      <c r="A266">
        <v>265</v>
      </c>
      <c r="B266">
        <v>3</v>
      </c>
      <c r="C266">
        <v>2</v>
      </c>
      <c r="D266">
        <v>1</v>
      </c>
      <c r="E266">
        <v>4</v>
      </c>
      <c r="F266">
        <v>5</v>
      </c>
      <c r="G266">
        <v>6</v>
      </c>
      <c r="H266">
        <v>265</v>
      </c>
      <c r="I266" s="3" t="s">
        <v>32</v>
      </c>
      <c r="J266" s="3" t="s">
        <v>39</v>
      </c>
      <c r="K266" s="2" t="s">
        <v>36</v>
      </c>
      <c r="L266" s="2" t="s">
        <v>17</v>
      </c>
      <c r="M266" s="2" t="s">
        <v>18</v>
      </c>
    </row>
    <row r="267" spans="1:13" ht="15.75" customHeight="1" x14ac:dyDescent="0.3">
      <c r="A267">
        <v>266</v>
      </c>
      <c r="B267">
        <v>3</v>
      </c>
      <c r="C267">
        <v>2</v>
      </c>
      <c r="D267">
        <v>1</v>
      </c>
      <c r="E267">
        <v>4</v>
      </c>
      <c r="F267">
        <v>6</v>
      </c>
      <c r="G267">
        <v>5</v>
      </c>
      <c r="H267">
        <v>266</v>
      </c>
      <c r="I267" s="3" t="s">
        <v>32</v>
      </c>
      <c r="J267" s="3" t="s">
        <v>39</v>
      </c>
      <c r="K267" s="2" t="s">
        <v>36</v>
      </c>
      <c r="L267" s="2" t="s">
        <v>19</v>
      </c>
      <c r="M267" s="3" t="s">
        <v>20</v>
      </c>
    </row>
    <row r="268" spans="1:13" ht="15.75" customHeight="1" x14ac:dyDescent="0.3">
      <c r="A268">
        <v>267</v>
      </c>
      <c r="B268">
        <v>3</v>
      </c>
      <c r="C268">
        <v>2</v>
      </c>
      <c r="D268">
        <v>1</v>
      </c>
      <c r="E268">
        <v>5</v>
      </c>
      <c r="F268">
        <v>4</v>
      </c>
      <c r="G268">
        <v>6</v>
      </c>
      <c r="H268">
        <v>267</v>
      </c>
      <c r="I268" s="3" t="s">
        <v>32</v>
      </c>
      <c r="J268" s="3" t="s">
        <v>39</v>
      </c>
      <c r="K268" s="2" t="s">
        <v>37</v>
      </c>
      <c r="L268" s="3" t="s">
        <v>22</v>
      </c>
      <c r="M268" s="2" t="s">
        <v>19</v>
      </c>
    </row>
    <row r="269" spans="1:13" ht="15.75" customHeight="1" x14ac:dyDescent="0.3">
      <c r="A269">
        <v>268</v>
      </c>
      <c r="B269">
        <v>3</v>
      </c>
      <c r="C269">
        <v>2</v>
      </c>
      <c r="D269">
        <v>1</v>
      </c>
      <c r="E269">
        <v>5</v>
      </c>
      <c r="F269">
        <v>6</v>
      </c>
      <c r="G269">
        <v>4</v>
      </c>
      <c r="H269">
        <v>268</v>
      </c>
      <c r="I269" s="3" t="s">
        <v>32</v>
      </c>
      <c r="J269" s="3" t="s">
        <v>39</v>
      </c>
      <c r="K269" s="2" t="s">
        <v>37</v>
      </c>
      <c r="L269" s="2" t="s">
        <v>18</v>
      </c>
      <c r="M269" s="3" t="s">
        <v>23</v>
      </c>
    </row>
    <row r="270" spans="1:13" ht="15.75" customHeight="1" x14ac:dyDescent="0.3">
      <c r="A270">
        <v>269</v>
      </c>
      <c r="B270">
        <v>3</v>
      </c>
      <c r="C270">
        <v>2</v>
      </c>
      <c r="D270">
        <v>1</v>
      </c>
      <c r="E270">
        <v>6</v>
      </c>
      <c r="F270">
        <v>4</v>
      </c>
      <c r="G270">
        <v>5</v>
      </c>
      <c r="H270">
        <v>269</v>
      </c>
      <c r="I270" s="3" t="s">
        <v>32</v>
      </c>
      <c r="J270" s="3" t="s">
        <v>39</v>
      </c>
      <c r="K270" s="2" t="s">
        <v>38</v>
      </c>
      <c r="L270" s="3" t="s">
        <v>23</v>
      </c>
      <c r="M270" s="2" t="s">
        <v>17</v>
      </c>
    </row>
    <row r="271" spans="1:13" ht="15.75" customHeight="1" x14ac:dyDescent="0.3">
      <c r="A271">
        <v>270</v>
      </c>
      <c r="B271">
        <v>3</v>
      </c>
      <c r="C271">
        <v>2</v>
      </c>
      <c r="D271">
        <v>1</v>
      </c>
      <c r="E271">
        <v>6</v>
      </c>
      <c r="F271">
        <v>5</v>
      </c>
      <c r="G271">
        <v>4</v>
      </c>
      <c r="H271">
        <v>270</v>
      </c>
      <c r="I271" s="3" t="s">
        <v>32</v>
      </c>
      <c r="J271" s="3" t="s">
        <v>39</v>
      </c>
      <c r="K271" s="2" t="s">
        <v>38</v>
      </c>
      <c r="L271" s="3" t="s">
        <v>20</v>
      </c>
      <c r="M271" s="3" t="s">
        <v>22</v>
      </c>
    </row>
    <row r="272" spans="1:13" ht="15.75" customHeight="1" x14ac:dyDescent="0.3">
      <c r="A272">
        <v>271</v>
      </c>
      <c r="B272">
        <v>3</v>
      </c>
      <c r="C272">
        <v>2</v>
      </c>
      <c r="D272">
        <v>4</v>
      </c>
      <c r="E272">
        <v>1</v>
      </c>
      <c r="F272">
        <v>5</v>
      </c>
      <c r="G272">
        <v>6</v>
      </c>
      <c r="H272">
        <v>271</v>
      </c>
      <c r="I272" s="3" t="s">
        <v>32</v>
      </c>
      <c r="J272" s="2" t="s">
        <v>25</v>
      </c>
      <c r="K272" s="3" t="s">
        <v>41</v>
      </c>
      <c r="L272" s="2" t="s">
        <v>37</v>
      </c>
      <c r="M272" s="2" t="s">
        <v>18</v>
      </c>
    </row>
    <row r="273" spans="1:13" ht="15.75" customHeight="1" x14ac:dyDescent="0.3">
      <c r="A273">
        <v>272</v>
      </c>
      <c r="B273">
        <v>3</v>
      </c>
      <c r="C273">
        <v>2</v>
      </c>
      <c r="D273">
        <v>4</v>
      </c>
      <c r="E273">
        <v>1</v>
      </c>
      <c r="F273">
        <v>6</v>
      </c>
      <c r="G273">
        <v>5</v>
      </c>
      <c r="H273">
        <v>272</v>
      </c>
      <c r="I273" s="3" t="s">
        <v>32</v>
      </c>
      <c r="J273" s="2" t="s">
        <v>25</v>
      </c>
      <c r="K273" s="3" t="s">
        <v>41</v>
      </c>
      <c r="L273" s="2" t="s">
        <v>38</v>
      </c>
      <c r="M273" s="3" t="s">
        <v>20</v>
      </c>
    </row>
    <row r="274" spans="1:13" ht="15.75" customHeight="1" x14ac:dyDescent="0.3">
      <c r="A274">
        <v>273</v>
      </c>
      <c r="B274">
        <v>3</v>
      </c>
      <c r="C274">
        <v>2</v>
      </c>
      <c r="D274">
        <v>4</v>
      </c>
      <c r="E274">
        <v>5</v>
      </c>
      <c r="F274">
        <v>1</v>
      </c>
      <c r="G274">
        <v>6</v>
      </c>
      <c r="H274">
        <v>273</v>
      </c>
      <c r="I274" s="3" t="s">
        <v>32</v>
      </c>
      <c r="J274" s="2" t="s">
        <v>25</v>
      </c>
      <c r="K274" s="2" t="s">
        <v>17</v>
      </c>
      <c r="L274" s="3" t="s">
        <v>42</v>
      </c>
      <c r="M274" s="2" t="s">
        <v>38</v>
      </c>
    </row>
    <row r="275" spans="1:13" ht="15.75" customHeight="1" x14ac:dyDescent="0.3">
      <c r="A275">
        <v>274</v>
      </c>
      <c r="B275">
        <v>3</v>
      </c>
      <c r="C275">
        <v>2</v>
      </c>
      <c r="D275">
        <v>4</v>
      </c>
      <c r="E275">
        <v>5</v>
      </c>
      <c r="F275">
        <v>6</v>
      </c>
      <c r="G275">
        <v>1</v>
      </c>
      <c r="H275">
        <v>274</v>
      </c>
      <c r="I275" s="3" t="s">
        <v>32</v>
      </c>
      <c r="J275" s="2" t="s">
        <v>25</v>
      </c>
      <c r="K275" s="2" t="s">
        <v>17</v>
      </c>
      <c r="L275" s="2" t="s">
        <v>18</v>
      </c>
      <c r="M275" s="3" t="s">
        <v>43</v>
      </c>
    </row>
    <row r="276" spans="1:13" ht="15.75" customHeight="1" x14ac:dyDescent="0.3">
      <c r="A276">
        <v>275</v>
      </c>
      <c r="B276">
        <v>3</v>
      </c>
      <c r="C276">
        <v>2</v>
      </c>
      <c r="D276">
        <v>4</v>
      </c>
      <c r="E276">
        <v>6</v>
      </c>
      <c r="F276">
        <v>1</v>
      </c>
      <c r="G276">
        <v>5</v>
      </c>
      <c r="H276">
        <v>275</v>
      </c>
      <c r="I276" s="3" t="s">
        <v>32</v>
      </c>
      <c r="J276" s="2" t="s">
        <v>25</v>
      </c>
      <c r="K276" s="2" t="s">
        <v>19</v>
      </c>
      <c r="L276" s="3" t="s">
        <v>43</v>
      </c>
      <c r="M276" s="2" t="s">
        <v>37</v>
      </c>
    </row>
    <row r="277" spans="1:13" ht="15.75" customHeight="1" x14ac:dyDescent="0.3">
      <c r="A277">
        <v>276</v>
      </c>
      <c r="B277">
        <v>3</v>
      </c>
      <c r="C277">
        <v>2</v>
      </c>
      <c r="D277">
        <v>4</v>
      </c>
      <c r="E277">
        <v>6</v>
      </c>
      <c r="F277">
        <v>5</v>
      </c>
      <c r="G277">
        <v>1</v>
      </c>
      <c r="H277">
        <v>276</v>
      </c>
      <c r="I277" s="3" t="s">
        <v>32</v>
      </c>
      <c r="J277" s="2" t="s">
        <v>25</v>
      </c>
      <c r="K277" s="2" t="s">
        <v>19</v>
      </c>
      <c r="L277" s="3" t="s">
        <v>20</v>
      </c>
      <c r="M277" s="3" t="s">
        <v>42</v>
      </c>
    </row>
    <row r="278" spans="1:13" ht="15.75" customHeight="1" x14ac:dyDescent="0.3">
      <c r="A278">
        <v>277</v>
      </c>
      <c r="B278">
        <v>3</v>
      </c>
      <c r="C278">
        <v>2</v>
      </c>
      <c r="D278">
        <v>5</v>
      </c>
      <c r="E278">
        <v>1</v>
      </c>
      <c r="F278">
        <v>4</v>
      </c>
      <c r="G278">
        <v>6</v>
      </c>
      <c r="H278">
        <v>277</v>
      </c>
      <c r="I278" s="3" t="s">
        <v>32</v>
      </c>
      <c r="J278" s="2" t="s">
        <v>29</v>
      </c>
      <c r="K278" s="3" t="s">
        <v>42</v>
      </c>
      <c r="L278" s="2" t="s">
        <v>36</v>
      </c>
      <c r="M278" s="2" t="s">
        <v>19</v>
      </c>
    </row>
    <row r="279" spans="1:13" ht="15.75" customHeight="1" x14ac:dyDescent="0.3">
      <c r="A279">
        <v>278</v>
      </c>
      <c r="B279">
        <v>3</v>
      </c>
      <c r="C279">
        <v>2</v>
      </c>
      <c r="D279">
        <v>5</v>
      </c>
      <c r="E279">
        <v>1</v>
      </c>
      <c r="F279">
        <v>6</v>
      </c>
      <c r="G279">
        <v>4</v>
      </c>
      <c r="H279">
        <v>278</v>
      </c>
      <c r="I279" s="3" t="s">
        <v>32</v>
      </c>
      <c r="J279" s="2" t="s">
        <v>29</v>
      </c>
      <c r="K279" s="3" t="s">
        <v>42</v>
      </c>
      <c r="L279" s="2" t="s">
        <v>38</v>
      </c>
      <c r="M279" s="3" t="s">
        <v>23</v>
      </c>
    </row>
    <row r="280" spans="1:13" ht="15.75" customHeight="1" x14ac:dyDescent="0.3">
      <c r="A280">
        <v>279</v>
      </c>
      <c r="B280">
        <v>3</v>
      </c>
      <c r="C280">
        <v>2</v>
      </c>
      <c r="D280">
        <v>5</v>
      </c>
      <c r="E280">
        <v>4</v>
      </c>
      <c r="F280">
        <v>1</v>
      </c>
      <c r="G280">
        <v>6</v>
      </c>
      <c r="H280">
        <v>279</v>
      </c>
      <c r="I280" s="3" t="s">
        <v>32</v>
      </c>
      <c r="J280" s="2" t="s">
        <v>29</v>
      </c>
      <c r="K280" s="3" t="s">
        <v>22</v>
      </c>
      <c r="L280" s="3" t="s">
        <v>41</v>
      </c>
      <c r="M280" s="2" t="s">
        <v>38</v>
      </c>
    </row>
    <row r="281" spans="1:13" ht="15.75" customHeight="1" x14ac:dyDescent="0.3">
      <c r="A281">
        <v>280</v>
      </c>
      <c r="B281">
        <v>3</v>
      </c>
      <c r="C281">
        <v>2</v>
      </c>
      <c r="D281">
        <v>5</v>
      </c>
      <c r="E281">
        <v>4</v>
      </c>
      <c r="F281">
        <v>6</v>
      </c>
      <c r="G281">
        <v>1</v>
      </c>
      <c r="H281">
        <v>280</v>
      </c>
      <c r="I281" s="3" t="s">
        <v>32</v>
      </c>
      <c r="J281" s="2" t="s">
        <v>29</v>
      </c>
      <c r="K281" s="3" t="s">
        <v>22</v>
      </c>
      <c r="L281" s="2" t="s">
        <v>19</v>
      </c>
      <c r="M281" s="3" t="s">
        <v>43</v>
      </c>
    </row>
    <row r="282" spans="1:13" ht="15.75" customHeight="1" x14ac:dyDescent="0.3">
      <c r="A282">
        <v>281</v>
      </c>
      <c r="B282">
        <v>3</v>
      </c>
      <c r="C282">
        <v>2</v>
      </c>
      <c r="D282">
        <v>5</v>
      </c>
      <c r="E282">
        <v>6</v>
      </c>
      <c r="F282">
        <v>1</v>
      </c>
      <c r="G282">
        <v>4</v>
      </c>
      <c r="H282">
        <v>281</v>
      </c>
      <c r="I282" s="3" t="s">
        <v>32</v>
      </c>
      <c r="J282" s="2" t="s">
        <v>29</v>
      </c>
      <c r="K282" s="2" t="s">
        <v>18</v>
      </c>
      <c r="L282" s="3" t="s">
        <v>43</v>
      </c>
      <c r="M282" s="2" t="s">
        <v>36</v>
      </c>
    </row>
    <row r="283" spans="1:13" ht="15.75" customHeight="1" x14ac:dyDescent="0.3">
      <c r="A283">
        <v>282</v>
      </c>
      <c r="B283">
        <v>3</v>
      </c>
      <c r="C283">
        <v>2</v>
      </c>
      <c r="D283">
        <v>5</v>
      </c>
      <c r="E283">
        <v>6</v>
      </c>
      <c r="F283">
        <v>4</v>
      </c>
      <c r="G283">
        <v>1</v>
      </c>
      <c r="H283">
        <v>282</v>
      </c>
      <c r="I283" s="3" t="s">
        <v>32</v>
      </c>
      <c r="J283" s="2" t="s">
        <v>29</v>
      </c>
      <c r="K283" s="2" t="s">
        <v>18</v>
      </c>
      <c r="L283" s="3" t="s">
        <v>23</v>
      </c>
      <c r="M283" s="3" t="s">
        <v>41</v>
      </c>
    </row>
    <row r="284" spans="1:13" ht="15.75" customHeight="1" x14ac:dyDescent="0.3">
      <c r="A284">
        <v>283</v>
      </c>
      <c r="B284">
        <v>3</v>
      </c>
      <c r="C284">
        <v>2</v>
      </c>
      <c r="D284">
        <v>6</v>
      </c>
      <c r="E284">
        <v>1</v>
      </c>
      <c r="F284">
        <v>4</v>
      </c>
      <c r="G284">
        <v>5</v>
      </c>
      <c r="H284">
        <v>283</v>
      </c>
      <c r="I284" s="3" t="s">
        <v>32</v>
      </c>
      <c r="J284" s="2" t="s">
        <v>30</v>
      </c>
      <c r="K284" s="3" t="s">
        <v>43</v>
      </c>
      <c r="L284" s="2" t="s">
        <v>36</v>
      </c>
      <c r="M284" s="2" t="s">
        <v>17</v>
      </c>
    </row>
    <row r="285" spans="1:13" ht="15.75" customHeight="1" x14ac:dyDescent="0.3">
      <c r="A285">
        <v>284</v>
      </c>
      <c r="B285">
        <v>3</v>
      </c>
      <c r="C285">
        <v>2</v>
      </c>
      <c r="D285">
        <v>6</v>
      </c>
      <c r="E285">
        <v>1</v>
      </c>
      <c r="F285">
        <v>5</v>
      </c>
      <c r="G285">
        <v>4</v>
      </c>
      <c r="H285">
        <v>284</v>
      </c>
      <c r="I285" s="3" t="s">
        <v>32</v>
      </c>
      <c r="J285" s="2" t="s">
        <v>30</v>
      </c>
      <c r="K285" s="3" t="s">
        <v>43</v>
      </c>
      <c r="L285" s="2" t="s">
        <v>37</v>
      </c>
      <c r="M285" s="3" t="s">
        <v>22</v>
      </c>
    </row>
    <row r="286" spans="1:13" ht="15.75" customHeight="1" x14ac:dyDescent="0.3">
      <c r="A286">
        <v>285</v>
      </c>
      <c r="B286">
        <v>3</v>
      </c>
      <c r="C286">
        <v>2</v>
      </c>
      <c r="D286">
        <v>6</v>
      </c>
      <c r="E286">
        <v>4</v>
      </c>
      <c r="F286">
        <v>1</v>
      </c>
      <c r="G286">
        <v>5</v>
      </c>
      <c r="H286">
        <v>285</v>
      </c>
      <c r="I286" s="3" t="s">
        <v>32</v>
      </c>
      <c r="J286" s="2" t="s">
        <v>30</v>
      </c>
      <c r="K286" s="3" t="s">
        <v>23</v>
      </c>
      <c r="L286" s="3" t="s">
        <v>41</v>
      </c>
      <c r="M286" s="2" t="s">
        <v>37</v>
      </c>
    </row>
    <row r="287" spans="1:13" ht="15.75" customHeight="1" x14ac:dyDescent="0.3">
      <c r="A287">
        <v>286</v>
      </c>
      <c r="B287">
        <v>3</v>
      </c>
      <c r="C287">
        <v>2</v>
      </c>
      <c r="D287">
        <v>6</v>
      </c>
      <c r="E287">
        <v>4</v>
      </c>
      <c r="F287">
        <v>5</v>
      </c>
      <c r="G287">
        <v>1</v>
      </c>
      <c r="H287">
        <v>286</v>
      </c>
      <c r="I287" s="3" t="s">
        <v>32</v>
      </c>
      <c r="J287" s="2" t="s">
        <v>30</v>
      </c>
      <c r="K287" s="3" t="s">
        <v>23</v>
      </c>
      <c r="L287" s="2" t="s">
        <v>17</v>
      </c>
      <c r="M287" s="3" t="s">
        <v>42</v>
      </c>
    </row>
    <row r="288" spans="1:13" ht="15.75" customHeight="1" x14ac:dyDescent="0.3">
      <c r="A288">
        <v>287</v>
      </c>
      <c r="B288">
        <v>3</v>
      </c>
      <c r="C288">
        <v>2</v>
      </c>
      <c r="D288">
        <v>6</v>
      </c>
      <c r="E288">
        <v>5</v>
      </c>
      <c r="F288">
        <v>1</v>
      </c>
      <c r="G288">
        <v>4</v>
      </c>
      <c r="H288">
        <v>287</v>
      </c>
      <c r="I288" s="3" t="s">
        <v>32</v>
      </c>
      <c r="J288" s="2" t="s">
        <v>30</v>
      </c>
      <c r="K288" s="3" t="s">
        <v>20</v>
      </c>
      <c r="L288" s="3" t="s">
        <v>42</v>
      </c>
      <c r="M288" s="2" t="s">
        <v>36</v>
      </c>
    </row>
    <row r="289" spans="1:13" ht="15.75" customHeight="1" x14ac:dyDescent="0.3">
      <c r="A289">
        <v>288</v>
      </c>
      <c r="B289">
        <v>3</v>
      </c>
      <c r="C289">
        <v>2</v>
      </c>
      <c r="D289">
        <v>6</v>
      </c>
      <c r="E289">
        <v>5</v>
      </c>
      <c r="F289">
        <v>4</v>
      </c>
      <c r="G289">
        <v>1</v>
      </c>
      <c r="H289">
        <v>288</v>
      </c>
      <c r="I289" s="3" t="s">
        <v>32</v>
      </c>
      <c r="J289" s="2" t="s">
        <v>30</v>
      </c>
      <c r="K289" s="3" t="s">
        <v>20</v>
      </c>
      <c r="L289" s="3" t="s">
        <v>22</v>
      </c>
      <c r="M289" s="3" t="s">
        <v>41</v>
      </c>
    </row>
    <row r="290" spans="1:13" ht="15.75" customHeight="1" x14ac:dyDescent="0.3">
      <c r="A290">
        <v>289</v>
      </c>
      <c r="B290">
        <v>3</v>
      </c>
      <c r="C290">
        <v>4</v>
      </c>
      <c r="D290">
        <v>1</v>
      </c>
      <c r="E290">
        <v>2</v>
      </c>
      <c r="F290">
        <v>5</v>
      </c>
      <c r="G290">
        <v>6</v>
      </c>
      <c r="H290">
        <v>289</v>
      </c>
      <c r="I290" s="2" t="s">
        <v>16</v>
      </c>
      <c r="J290" s="3" t="s">
        <v>41</v>
      </c>
      <c r="K290" s="2" t="s">
        <v>14</v>
      </c>
      <c r="L290" s="2" t="s">
        <v>29</v>
      </c>
      <c r="M290" s="2" t="s">
        <v>18</v>
      </c>
    </row>
    <row r="291" spans="1:13" ht="15.75" customHeight="1" x14ac:dyDescent="0.3">
      <c r="A291">
        <v>290</v>
      </c>
      <c r="B291">
        <v>3</v>
      </c>
      <c r="C291">
        <v>4</v>
      </c>
      <c r="D291">
        <v>1</v>
      </c>
      <c r="E291">
        <v>2</v>
      </c>
      <c r="F291">
        <v>6</v>
      </c>
      <c r="G291">
        <v>5</v>
      </c>
      <c r="H291">
        <v>290</v>
      </c>
      <c r="I291" s="2" t="s">
        <v>16</v>
      </c>
      <c r="J291" s="3" t="s">
        <v>41</v>
      </c>
      <c r="K291" s="2" t="s">
        <v>14</v>
      </c>
      <c r="L291" s="2" t="s">
        <v>30</v>
      </c>
      <c r="M291" s="3" t="s">
        <v>20</v>
      </c>
    </row>
    <row r="292" spans="1:13" ht="15.75" customHeight="1" x14ac:dyDescent="0.3">
      <c r="A292">
        <v>291</v>
      </c>
      <c r="B292">
        <v>3</v>
      </c>
      <c r="C292">
        <v>4</v>
      </c>
      <c r="D292">
        <v>1</v>
      </c>
      <c r="E292">
        <v>5</v>
      </c>
      <c r="F292">
        <v>2</v>
      </c>
      <c r="G292">
        <v>6</v>
      </c>
      <c r="H292">
        <v>291</v>
      </c>
      <c r="I292" s="2" t="s">
        <v>16</v>
      </c>
      <c r="J292" s="3" t="s">
        <v>41</v>
      </c>
      <c r="K292" s="2" t="s">
        <v>37</v>
      </c>
      <c r="L292" s="3" t="s">
        <v>34</v>
      </c>
      <c r="M292" s="2" t="s">
        <v>30</v>
      </c>
    </row>
    <row r="293" spans="1:13" ht="15.75" customHeight="1" x14ac:dyDescent="0.3">
      <c r="A293">
        <v>292</v>
      </c>
      <c r="B293">
        <v>3</v>
      </c>
      <c r="C293">
        <v>4</v>
      </c>
      <c r="D293">
        <v>1</v>
      </c>
      <c r="E293">
        <v>5</v>
      </c>
      <c r="F293">
        <v>6</v>
      </c>
      <c r="G293">
        <v>2</v>
      </c>
      <c r="H293">
        <v>292</v>
      </c>
      <c r="I293" s="2" t="s">
        <v>16</v>
      </c>
      <c r="J293" s="3" t="s">
        <v>41</v>
      </c>
      <c r="K293" s="2" t="s">
        <v>37</v>
      </c>
      <c r="L293" s="2" t="s">
        <v>18</v>
      </c>
      <c r="M293" s="3" t="s">
        <v>35</v>
      </c>
    </row>
    <row r="294" spans="1:13" ht="15.75" customHeight="1" x14ac:dyDescent="0.3">
      <c r="A294">
        <v>293</v>
      </c>
      <c r="B294">
        <v>3</v>
      </c>
      <c r="C294">
        <v>4</v>
      </c>
      <c r="D294">
        <v>1</v>
      </c>
      <c r="E294">
        <v>6</v>
      </c>
      <c r="F294">
        <v>2</v>
      </c>
      <c r="G294">
        <v>5</v>
      </c>
      <c r="H294">
        <v>293</v>
      </c>
      <c r="I294" s="2" t="s">
        <v>16</v>
      </c>
      <c r="J294" s="3" t="s">
        <v>41</v>
      </c>
      <c r="K294" s="2" t="s">
        <v>38</v>
      </c>
      <c r="L294" s="3" t="s">
        <v>35</v>
      </c>
      <c r="M294" s="2" t="s">
        <v>29</v>
      </c>
    </row>
    <row r="295" spans="1:13" ht="15.75" customHeight="1" x14ac:dyDescent="0.3">
      <c r="A295">
        <v>294</v>
      </c>
      <c r="B295">
        <v>3</v>
      </c>
      <c r="C295">
        <v>4</v>
      </c>
      <c r="D295">
        <v>1</v>
      </c>
      <c r="E295">
        <v>6</v>
      </c>
      <c r="F295">
        <v>5</v>
      </c>
      <c r="G295">
        <v>2</v>
      </c>
      <c r="H295">
        <v>294</v>
      </c>
      <c r="I295" s="2" t="s">
        <v>16</v>
      </c>
      <c r="J295" s="3" t="s">
        <v>41</v>
      </c>
      <c r="K295" s="2" t="s">
        <v>38</v>
      </c>
      <c r="L295" s="3" t="s">
        <v>20</v>
      </c>
      <c r="M295" s="3" t="s">
        <v>34</v>
      </c>
    </row>
    <row r="296" spans="1:13" ht="15.75" customHeight="1" x14ac:dyDescent="0.3">
      <c r="A296">
        <v>295</v>
      </c>
      <c r="B296">
        <v>3</v>
      </c>
      <c r="C296">
        <v>4</v>
      </c>
      <c r="D296">
        <v>2</v>
      </c>
      <c r="E296">
        <v>1</v>
      </c>
      <c r="F296">
        <v>5</v>
      </c>
      <c r="G296">
        <v>6</v>
      </c>
      <c r="H296">
        <v>295</v>
      </c>
      <c r="I296" s="2" t="s">
        <v>16</v>
      </c>
      <c r="J296" s="3" t="s">
        <v>33</v>
      </c>
      <c r="K296" s="3" t="s">
        <v>39</v>
      </c>
      <c r="L296" s="2" t="s">
        <v>37</v>
      </c>
      <c r="M296" s="2" t="s">
        <v>18</v>
      </c>
    </row>
    <row r="297" spans="1:13" ht="15.75" customHeight="1" x14ac:dyDescent="0.3">
      <c r="A297">
        <v>296</v>
      </c>
      <c r="B297">
        <v>3</v>
      </c>
      <c r="C297">
        <v>4</v>
      </c>
      <c r="D297">
        <v>2</v>
      </c>
      <c r="E297">
        <v>1</v>
      </c>
      <c r="F297">
        <v>6</v>
      </c>
      <c r="G297">
        <v>5</v>
      </c>
      <c r="H297">
        <v>296</v>
      </c>
      <c r="I297" s="2" t="s">
        <v>16</v>
      </c>
      <c r="J297" s="3" t="s">
        <v>33</v>
      </c>
      <c r="K297" s="3" t="s">
        <v>39</v>
      </c>
      <c r="L297" s="2" t="s">
        <v>38</v>
      </c>
      <c r="M297" s="3" t="s">
        <v>20</v>
      </c>
    </row>
    <row r="298" spans="1:13" ht="15.75" customHeight="1" x14ac:dyDescent="0.3">
      <c r="A298">
        <v>297</v>
      </c>
      <c r="B298">
        <v>3</v>
      </c>
      <c r="C298">
        <v>4</v>
      </c>
      <c r="D298">
        <v>2</v>
      </c>
      <c r="E298">
        <v>5</v>
      </c>
      <c r="F298">
        <v>1</v>
      </c>
      <c r="G298">
        <v>6</v>
      </c>
      <c r="H298">
        <v>297</v>
      </c>
      <c r="I298" s="2" t="s">
        <v>16</v>
      </c>
      <c r="J298" s="3" t="s">
        <v>33</v>
      </c>
      <c r="K298" s="2" t="s">
        <v>29</v>
      </c>
      <c r="L298" s="3" t="s">
        <v>42</v>
      </c>
      <c r="M298" s="2" t="s">
        <v>38</v>
      </c>
    </row>
    <row r="299" spans="1:13" ht="15.75" customHeight="1" x14ac:dyDescent="0.3">
      <c r="A299">
        <v>298</v>
      </c>
      <c r="B299">
        <v>3</v>
      </c>
      <c r="C299">
        <v>4</v>
      </c>
      <c r="D299">
        <v>2</v>
      </c>
      <c r="E299">
        <v>5</v>
      </c>
      <c r="F299">
        <v>6</v>
      </c>
      <c r="G299">
        <v>1</v>
      </c>
      <c r="H299">
        <v>298</v>
      </c>
      <c r="I299" s="2" t="s">
        <v>16</v>
      </c>
      <c r="J299" s="3" t="s">
        <v>33</v>
      </c>
      <c r="K299" s="2" t="s">
        <v>29</v>
      </c>
      <c r="L299" s="2" t="s">
        <v>18</v>
      </c>
      <c r="M299" s="3" t="s">
        <v>43</v>
      </c>
    </row>
    <row r="300" spans="1:13" ht="15.75" customHeight="1" x14ac:dyDescent="0.3">
      <c r="A300">
        <v>299</v>
      </c>
      <c r="B300">
        <v>3</v>
      </c>
      <c r="C300">
        <v>4</v>
      </c>
      <c r="D300">
        <v>2</v>
      </c>
      <c r="E300">
        <v>6</v>
      </c>
      <c r="F300">
        <v>1</v>
      </c>
      <c r="G300">
        <v>5</v>
      </c>
      <c r="H300">
        <v>299</v>
      </c>
      <c r="I300" s="2" t="s">
        <v>16</v>
      </c>
      <c r="J300" s="3" t="s">
        <v>33</v>
      </c>
      <c r="K300" s="2" t="s">
        <v>30</v>
      </c>
      <c r="L300" s="3" t="s">
        <v>43</v>
      </c>
      <c r="M300" s="2" t="s">
        <v>37</v>
      </c>
    </row>
    <row r="301" spans="1:13" ht="15.75" customHeight="1" x14ac:dyDescent="0.3">
      <c r="A301">
        <v>300</v>
      </c>
      <c r="B301">
        <v>3</v>
      </c>
      <c r="C301">
        <v>4</v>
      </c>
      <c r="D301">
        <v>2</v>
      </c>
      <c r="E301">
        <v>6</v>
      </c>
      <c r="F301">
        <v>5</v>
      </c>
      <c r="G301">
        <v>1</v>
      </c>
      <c r="H301">
        <v>300</v>
      </c>
      <c r="I301" s="2" t="s">
        <v>16</v>
      </c>
      <c r="J301" s="3" t="s">
        <v>33</v>
      </c>
      <c r="K301" s="2" t="s">
        <v>30</v>
      </c>
      <c r="L301" s="3" t="s">
        <v>20</v>
      </c>
      <c r="M301" s="3" t="s">
        <v>42</v>
      </c>
    </row>
    <row r="302" spans="1:13" ht="15.75" customHeight="1" x14ac:dyDescent="0.3">
      <c r="A302">
        <v>301</v>
      </c>
      <c r="B302">
        <v>3</v>
      </c>
      <c r="C302">
        <v>4</v>
      </c>
      <c r="D302">
        <v>5</v>
      </c>
      <c r="E302">
        <v>1</v>
      </c>
      <c r="F302">
        <v>2</v>
      </c>
      <c r="G302">
        <v>6</v>
      </c>
      <c r="H302">
        <v>301</v>
      </c>
      <c r="I302" s="2" t="s">
        <v>16</v>
      </c>
      <c r="J302" s="2" t="s">
        <v>17</v>
      </c>
      <c r="K302" s="3" t="s">
        <v>42</v>
      </c>
      <c r="L302" s="2" t="s">
        <v>14</v>
      </c>
      <c r="M302" s="2" t="s">
        <v>30</v>
      </c>
    </row>
    <row r="303" spans="1:13" ht="15.75" customHeight="1" x14ac:dyDescent="0.3">
      <c r="A303">
        <v>302</v>
      </c>
      <c r="B303">
        <v>3</v>
      </c>
      <c r="C303">
        <v>4</v>
      </c>
      <c r="D303">
        <v>5</v>
      </c>
      <c r="E303">
        <v>1</v>
      </c>
      <c r="F303">
        <v>6</v>
      </c>
      <c r="G303">
        <v>2</v>
      </c>
      <c r="H303">
        <v>302</v>
      </c>
      <c r="I303" s="2" t="s">
        <v>16</v>
      </c>
      <c r="J303" s="2" t="s">
        <v>17</v>
      </c>
      <c r="K303" s="3" t="s">
        <v>42</v>
      </c>
      <c r="L303" s="2" t="s">
        <v>38</v>
      </c>
      <c r="M303" s="3" t="s">
        <v>35</v>
      </c>
    </row>
    <row r="304" spans="1:13" ht="15.75" customHeight="1" x14ac:dyDescent="0.3">
      <c r="A304">
        <v>303</v>
      </c>
      <c r="B304">
        <v>3</v>
      </c>
      <c r="C304">
        <v>4</v>
      </c>
      <c r="D304">
        <v>5</v>
      </c>
      <c r="E304">
        <v>2</v>
      </c>
      <c r="F304">
        <v>1</v>
      </c>
      <c r="G304">
        <v>6</v>
      </c>
      <c r="H304">
        <v>303</v>
      </c>
      <c r="I304" s="2" t="s">
        <v>16</v>
      </c>
      <c r="J304" s="2" t="s">
        <v>17</v>
      </c>
      <c r="K304" s="3" t="s">
        <v>34</v>
      </c>
      <c r="L304" s="3" t="s">
        <v>39</v>
      </c>
      <c r="M304" s="2" t="s">
        <v>38</v>
      </c>
    </row>
    <row r="305" spans="1:13" ht="15.75" customHeight="1" x14ac:dyDescent="0.3">
      <c r="A305">
        <v>304</v>
      </c>
      <c r="B305">
        <v>3</v>
      </c>
      <c r="C305">
        <v>4</v>
      </c>
      <c r="D305">
        <v>5</v>
      </c>
      <c r="E305">
        <v>2</v>
      </c>
      <c r="F305">
        <v>6</v>
      </c>
      <c r="G305">
        <v>1</v>
      </c>
      <c r="H305">
        <v>304</v>
      </c>
      <c r="I305" s="2" t="s">
        <v>16</v>
      </c>
      <c r="J305" s="2" t="s">
        <v>17</v>
      </c>
      <c r="K305" s="3" t="s">
        <v>34</v>
      </c>
      <c r="L305" s="2" t="s">
        <v>30</v>
      </c>
      <c r="M305" s="3" t="s">
        <v>43</v>
      </c>
    </row>
    <row r="306" spans="1:13" ht="15.75" customHeight="1" x14ac:dyDescent="0.3">
      <c r="A306">
        <v>305</v>
      </c>
      <c r="B306">
        <v>3</v>
      </c>
      <c r="C306">
        <v>4</v>
      </c>
      <c r="D306">
        <v>5</v>
      </c>
      <c r="E306">
        <v>6</v>
      </c>
      <c r="F306">
        <v>1</v>
      </c>
      <c r="G306">
        <v>2</v>
      </c>
      <c r="H306">
        <v>305</v>
      </c>
      <c r="I306" s="2" t="s">
        <v>16</v>
      </c>
      <c r="J306" s="2" t="s">
        <v>17</v>
      </c>
      <c r="K306" s="2" t="s">
        <v>18</v>
      </c>
      <c r="L306" s="3" t="s">
        <v>43</v>
      </c>
      <c r="M306" s="2" t="s">
        <v>14</v>
      </c>
    </row>
    <row r="307" spans="1:13" ht="15.75" customHeight="1" x14ac:dyDescent="0.3">
      <c r="A307">
        <v>306</v>
      </c>
      <c r="B307">
        <v>3</v>
      </c>
      <c r="C307">
        <v>4</v>
      </c>
      <c r="D307">
        <v>5</v>
      </c>
      <c r="E307">
        <v>6</v>
      </c>
      <c r="F307">
        <v>2</v>
      </c>
      <c r="G307">
        <v>1</v>
      </c>
      <c r="H307">
        <v>306</v>
      </c>
      <c r="I307" s="2" t="s">
        <v>16</v>
      </c>
      <c r="J307" s="2" t="s">
        <v>17</v>
      </c>
      <c r="K307" s="2" t="s">
        <v>18</v>
      </c>
      <c r="L307" s="3" t="s">
        <v>35</v>
      </c>
      <c r="M307" s="3" t="s">
        <v>39</v>
      </c>
    </row>
    <row r="308" spans="1:13" ht="15.75" customHeight="1" x14ac:dyDescent="0.3">
      <c r="A308">
        <v>307</v>
      </c>
      <c r="B308">
        <v>3</v>
      </c>
      <c r="C308">
        <v>4</v>
      </c>
      <c r="D308">
        <v>6</v>
      </c>
      <c r="E308">
        <v>1</v>
      </c>
      <c r="F308">
        <v>2</v>
      </c>
      <c r="G308">
        <v>5</v>
      </c>
      <c r="H308">
        <v>307</v>
      </c>
      <c r="I308" s="2" t="s">
        <v>16</v>
      </c>
      <c r="J308" s="2" t="s">
        <v>19</v>
      </c>
      <c r="K308" s="3" t="s">
        <v>43</v>
      </c>
      <c r="L308" s="2" t="s">
        <v>14</v>
      </c>
      <c r="M308" s="2" t="s">
        <v>29</v>
      </c>
    </row>
    <row r="309" spans="1:13" ht="15.75" customHeight="1" x14ac:dyDescent="0.3">
      <c r="A309">
        <v>308</v>
      </c>
      <c r="B309">
        <v>3</v>
      </c>
      <c r="C309">
        <v>4</v>
      </c>
      <c r="D309">
        <v>6</v>
      </c>
      <c r="E309">
        <v>1</v>
      </c>
      <c r="F309">
        <v>5</v>
      </c>
      <c r="G309">
        <v>2</v>
      </c>
      <c r="H309">
        <v>308</v>
      </c>
      <c r="I309" s="2" t="s">
        <v>16</v>
      </c>
      <c r="J309" s="2" t="s">
        <v>19</v>
      </c>
      <c r="K309" s="3" t="s">
        <v>43</v>
      </c>
      <c r="L309" s="2" t="s">
        <v>37</v>
      </c>
      <c r="M309" s="3" t="s">
        <v>34</v>
      </c>
    </row>
    <row r="310" spans="1:13" ht="15.75" customHeight="1" x14ac:dyDescent="0.3">
      <c r="A310">
        <v>309</v>
      </c>
      <c r="B310">
        <v>3</v>
      </c>
      <c r="C310">
        <v>4</v>
      </c>
      <c r="D310">
        <v>6</v>
      </c>
      <c r="E310">
        <v>2</v>
      </c>
      <c r="F310">
        <v>1</v>
      </c>
      <c r="G310">
        <v>5</v>
      </c>
      <c r="H310">
        <v>309</v>
      </c>
      <c r="I310" s="2" t="s">
        <v>16</v>
      </c>
      <c r="J310" s="2" t="s">
        <v>19</v>
      </c>
      <c r="K310" s="3" t="s">
        <v>35</v>
      </c>
      <c r="L310" s="3" t="s">
        <v>39</v>
      </c>
      <c r="M310" s="2" t="s">
        <v>37</v>
      </c>
    </row>
    <row r="311" spans="1:13" ht="15.75" customHeight="1" x14ac:dyDescent="0.3">
      <c r="A311">
        <v>310</v>
      </c>
      <c r="B311">
        <v>3</v>
      </c>
      <c r="C311">
        <v>4</v>
      </c>
      <c r="D311">
        <v>6</v>
      </c>
      <c r="E311">
        <v>2</v>
      </c>
      <c r="F311">
        <v>5</v>
      </c>
      <c r="G311">
        <v>1</v>
      </c>
      <c r="H311">
        <v>310</v>
      </c>
      <c r="I311" s="2" t="s">
        <v>16</v>
      </c>
      <c r="J311" s="2" t="s">
        <v>19</v>
      </c>
      <c r="K311" s="3" t="s">
        <v>35</v>
      </c>
      <c r="L311" s="2" t="s">
        <v>29</v>
      </c>
      <c r="M311" s="3" t="s">
        <v>42</v>
      </c>
    </row>
    <row r="312" spans="1:13" ht="15.75" customHeight="1" x14ac:dyDescent="0.3">
      <c r="A312">
        <v>311</v>
      </c>
      <c r="B312">
        <v>3</v>
      </c>
      <c r="C312">
        <v>4</v>
      </c>
      <c r="D312">
        <v>6</v>
      </c>
      <c r="E312">
        <v>5</v>
      </c>
      <c r="F312">
        <v>1</v>
      </c>
      <c r="G312">
        <v>2</v>
      </c>
      <c r="H312">
        <v>311</v>
      </c>
      <c r="I312" s="2" t="s">
        <v>16</v>
      </c>
      <c r="J312" s="2" t="s">
        <v>19</v>
      </c>
      <c r="K312" s="3" t="s">
        <v>20</v>
      </c>
      <c r="L312" s="3" t="s">
        <v>42</v>
      </c>
      <c r="M312" s="2" t="s">
        <v>14</v>
      </c>
    </row>
    <row r="313" spans="1:13" ht="15.75" customHeight="1" x14ac:dyDescent="0.3">
      <c r="A313">
        <v>312</v>
      </c>
      <c r="B313">
        <v>3</v>
      </c>
      <c r="C313">
        <v>4</v>
      </c>
      <c r="D313">
        <v>6</v>
      </c>
      <c r="E313">
        <v>5</v>
      </c>
      <c r="F313">
        <v>2</v>
      </c>
      <c r="G313">
        <v>1</v>
      </c>
      <c r="H313">
        <v>312</v>
      </c>
      <c r="I313" s="2" t="s">
        <v>16</v>
      </c>
      <c r="J313" s="2" t="s">
        <v>19</v>
      </c>
      <c r="K313" s="3" t="s">
        <v>20</v>
      </c>
      <c r="L313" s="3" t="s">
        <v>34</v>
      </c>
      <c r="M313" s="3" t="s">
        <v>39</v>
      </c>
    </row>
    <row r="314" spans="1:13" ht="15.75" customHeight="1" x14ac:dyDescent="0.3">
      <c r="A314">
        <v>313</v>
      </c>
      <c r="B314">
        <v>3</v>
      </c>
      <c r="C314">
        <v>5</v>
      </c>
      <c r="D314">
        <v>1</v>
      </c>
      <c r="E314">
        <v>2</v>
      </c>
      <c r="F314">
        <v>4</v>
      </c>
      <c r="G314">
        <v>6</v>
      </c>
      <c r="H314">
        <v>313</v>
      </c>
      <c r="I314" s="2" t="s">
        <v>21</v>
      </c>
      <c r="J314" s="3" t="s">
        <v>42</v>
      </c>
      <c r="K314" s="2" t="s">
        <v>14</v>
      </c>
      <c r="L314" s="2" t="s">
        <v>25</v>
      </c>
      <c r="M314" s="2" t="s">
        <v>19</v>
      </c>
    </row>
    <row r="315" spans="1:13" ht="15.75" customHeight="1" x14ac:dyDescent="0.3">
      <c r="A315">
        <v>314</v>
      </c>
      <c r="B315">
        <v>3</v>
      </c>
      <c r="C315">
        <v>5</v>
      </c>
      <c r="D315">
        <v>1</v>
      </c>
      <c r="E315">
        <v>2</v>
      </c>
      <c r="F315">
        <v>6</v>
      </c>
      <c r="G315">
        <v>4</v>
      </c>
      <c r="H315">
        <v>314</v>
      </c>
      <c r="I315" s="2" t="s">
        <v>21</v>
      </c>
      <c r="J315" s="3" t="s">
        <v>42</v>
      </c>
      <c r="K315" s="2" t="s">
        <v>14</v>
      </c>
      <c r="L315" s="2" t="s">
        <v>30</v>
      </c>
      <c r="M315" s="3" t="s">
        <v>23</v>
      </c>
    </row>
    <row r="316" spans="1:13" ht="15.75" customHeight="1" x14ac:dyDescent="0.3">
      <c r="A316">
        <v>315</v>
      </c>
      <c r="B316">
        <v>3</v>
      </c>
      <c r="C316">
        <v>5</v>
      </c>
      <c r="D316">
        <v>1</v>
      </c>
      <c r="E316">
        <v>4</v>
      </c>
      <c r="F316">
        <v>2</v>
      </c>
      <c r="G316">
        <v>6</v>
      </c>
      <c r="H316">
        <v>315</v>
      </c>
      <c r="I316" s="2" t="s">
        <v>21</v>
      </c>
      <c r="J316" s="3" t="s">
        <v>42</v>
      </c>
      <c r="K316" s="2" t="s">
        <v>36</v>
      </c>
      <c r="L316" s="3" t="s">
        <v>33</v>
      </c>
      <c r="M316" s="2" t="s">
        <v>30</v>
      </c>
    </row>
    <row r="317" spans="1:13" ht="15.75" customHeight="1" x14ac:dyDescent="0.3">
      <c r="A317">
        <v>316</v>
      </c>
      <c r="B317">
        <v>3</v>
      </c>
      <c r="C317">
        <v>5</v>
      </c>
      <c r="D317">
        <v>1</v>
      </c>
      <c r="E317">
        <v>4</v>
      </c>
      <c r="F317">
        <v>6</v>
      </c>
      <c r="G317">
        <v>2</v>
      </c>
      <c r="H317">
        <v>316</v>
      </c>
      <c r="I317" s="2" t="s">
        <v>21</v>
      </c>
      <c r="J317" s="3" t="s">
        <v>42</v>
      </c>
      <c r="K317" s="2" t="s">
        <v>36</v>
      </c>
      <c r="L317" s="2" t="s">
        <v>19</v>
      </c>
      <c r="M317" s="3" t="s">
        <v>35</v>
      </c>
    </row>
    <row r="318" spans="1:13" ht="15.75" customHeight="1" x14ac:dyDescent="0.3">
      <c r="A318">
        <v>317</v>
      </c>
      <c r="B318">
        <v>3</v>
      </c>
      <c r="C318">
        <v>5</v>
      </c>
      <c r="D318">
        <v>1</v>
      </c>
      <c r="E318">
        <v>6</v>
      </c>
      <c r="F318">
        <v>2</v>
      </c>
      <c r="G318">
        <v>4</v>
      </c>
      <c r="H318">
        <v>317</v>
      </c>
      <c r="I318" s="2" t="s">
        <v>21</v>
      </c>
      <c r="J318" s="3" t="s">
        <v>42</v>
      </c>
      <c r="K318" s="2" t="s">
        <v>38</v>
      </c>
      <c r="L318" s="3" t="s">
        <v>35</v>
      </c>
      <c r="M318" s="2" t="s">
        <v>25</v>
      </c>
    </row>
    <row r="319" spans="1:13" ht="15.75" customHeight="1" x14ac:dyDescent="0.3">
      <c r="A319">
        <v>318</v>
      </c>
      <c r="B319">
        <v>3</v>
      </c>
      <c r="C319">
        <v>5</v>
      </c>
      <c r="D319">
        <v>1</v>
      </c>
      <c r="E319">
        <v>6</v>
      </c>
      <c r="F319">
        <v>4</v>
      </c>
      <c r="G319">
        <v>2</v>
      </c>
      <c r="H319">
        <v>318</v>
      </c>
      <c r="I319" s="2" t="s">
        <v>21</v>
      </c>
      <c r="J319" s="3" t="s">
        <v>42</v>
      </c>
      <c r="K319" s="2" t="s">
        <v>38</v>
      </c>
      <c r="L319" s="3" t="s">
        <v>23</v>
      </c>
      <c r="M319" s="3" t="s">
        <v>33</v>
      </c>
    </row>
    <row r="320" spans="1:13" ht="15.75" customHeight="1" x14ac:dyDescent="0.3">
      <c r="A320">
        <v>319</v>
      </c>
      <c r="B320">
        <v>3</v>
      </c>
      <c r="C320">
        <v>5</v>
      </c>
      <c r="D320">
        <v>2</v>
      </c>
      <c r="E320">
        <v>1</v>
      </c>
      <c r="F320">
        <v>4</v>
      </c>
      <c r="G320">
        <v>6</v>
      </c>
      <c r="H320">
        <v>319</v>
      </c>
      <c r="I320" s="2" t="s">
        <v>21</v>
      </c>
      <c r="J320" s="3" t="s">
        <v>34</v>
      </c>
      <c r="K320" s="3" t="s">
        <v>39</v>
      </c>
      <c r="L320" s="2" t="s">
        <v>36</v>
      </c>
      <c r="M320" s="2" t="s">
        <v>19</v>
      </c>
    </row>
    <row r="321" spans="1:13" ht="15.75" customHeight="1" x14ac:dyDescent="0.3">
      <c r="A321">
        <v>320</v>
      </c>
      <c r="B321">
        <v>3</v>
      </c>
      <c r="C321">
        <v>5</v>
      </c>
      <c r="D321">
        <v>2</v>
      </c>
      <c r="E321">
        <v>1</v>
      </c>
      <c r="F321">
        <v>6</v>
      </c>
      <c r="G321">
        <v>4</v>
      </c>
      <c r="H321">
        <v>320</v>
      </c>
      <c r="I321" s="2" t="s">
        <v>21</v>
      </c>
      <c r="J321" s="3" t="s">
        <v>34</v>
      </c>
      <c r="K321" s="3" t="s">
        <v>39</v>
      </c>
      <c r="L321" s="2" t="s">
        <v>38</v>
      </c>
      <c r="M321" s="3" t="s">
        <v>23</v>
      </c>
    </row>
    <row r="322" spans="1:13" ht="15.75" customHeight="1" x14ac:dyDescent="0.3">
      <c r="A322">
        <v>321</v>
      </c>
      <c r="B322">
        <v>3</v>
      </c>
      <c r="C322">
        <v>5</v>
      </c>
      <c r="D322">
        <v>2</v>
      </c>
      <c r="E322">
        <v>4</v>
      </c>
      <c r="F322">
        <v>1</v>
      </c>
      <c r="G322">
        <v>6</v>
      </c>
      <c r="H322">
        <v>321</v>
      </c>
      <c r="I322" s="2" t="s">
        <v>21</v>
      </c>
      <c r="J322" s="3" t="s">
        <v>34</v>
      </c>
      <c r="K322" s="2" t="s">
        <v>25</v>
      </c>
      <c r="L322" s="3" t="s">
        <v>41</v>
      </c>
      <c r="M322" s="2" t="s">
        <v>38</v>
      </c>
    </row>
    <row r="323" spans="1:13" ht="15.75" customHeight="1" x14ac:dyDescent="0.3">
      <c r="A323">
        <v>322</v>
      </c>
      <c r="B323">
        <v>3</v>
      </c>
      <c r="C323">
        <v>5</v>
      </c>
      <c r="D323">
        <v>2</v>
      </c>
      <c r="E323">
        <v>4</v>
      </c>
      <c r="F323">
        <v>6</v>
      </c>
      <c r="G323">
        <v>1</v>
      </c>
      <c r="H323">
        <v>322</v>
      </c>
      <c r="I323" s="2" t="s">
        <v>21</v>
      </c>
      <c r="J323" s="3" t="s">
        <v>34</v>
      </c>
      <c r="K323" s="2" t="s">
        <v>25</v>
      </c>
      <c r="L323" s="2" t="s">
        <v>19</v>
      </c>
      <c r="M323" s="3" t="s">
        <v>43</v>
      </c>
    </row>
    <row r="324" spans="1:13" ht="15.75" customHeight="1" x14ac:dyDescent="0.3">
      <c r="A324">
        <v>323</v>
      </c>
      <c r="B324">
        <v>3</v>
      </c>
      <c r="C324">
        <v>5</v>
      </c>
      <c r="D324">
        <v>2</v>
      </c>
      <c r="E324">
        <v>6</v>
      </c>
      <c r="F324">
        <v>1</v>
      </c>
      <c r="G324">
        <v>4</v>
      </c>
      <c r="H324">
        <v>323</v>
      </c>
      <c r="I324" s="2" t="s">
        <v>21</v>
      </c>
      <c r="J324" s="3" t="s">
        <v>34</v>
      </c>
      <c r="K324" s="2" t="s">
        <v>30</v>
      </c>
      <c r="L324" s="3" t="s">
        <v>43</v>
      </c>
      <c r="M324" s="2" t="s">
        <v>36</v>
      </c>
    </row>
    <row r="325" spans="1:13" ht="15.75" customHeight="1" x14ac:dyDescent="0.3">
      <c r="A325">
        <v>324</v>
      </c>
      <c r="B325">
        <v>3</v>
      </c>
      <c r="C325">
        <v>5</v>
      </c>
      <c r="D325">
        <v>2</v>
      </c>
      <c r="E325">
        <v>6</v>
      </c>
      <c r="F325">
        <v>4</v>
      </c>
      <c r="G325">
        <v>1</v>
      </c>
      <c r="H325">
        <v>324</v>
      </c>
      <c r="I325" s="2" t="s">
        <v>21</v>
      </c>
      <c r="J325" s="3" t="s">
        <v>34</v>
      </c>
      <c r="K325" s="2" t="s">
        <v>30</v>
      </c>
      <c r="L325" s="3" t="s">
        <v>23</v>
      </c>
      <c r="M325" s="3" t="s">
        <v>41</v>
      </c>
    </row>
    <row r="326" spans="1:13" ht="15.75" customHeight="1" x14ac:dyDescent="0.3">
      <c r="A326">
        <v>325</v>
      </c>
      <c r="B326">
        <v>3</v>
      </c>
      <c r="C326">
        <v>5</v>
      </c>
      <c r="D326">
        <v>4</v>
      </c>
      <c r="E326">
        <v>1</v>
      </c>
      <c r="F326">
        <v>2</v>
      </c>
      <c r="G326">
        <v>6</v>
      </c>
      <c r="H326">
        <v>325</v>
      </c>
      <c r="I326" s="2" t="s">
        <v>21</v>
      </c>
      <c r="J326" s="3" t="s">
        <v>22</v>
      </c>
      <c r="K326" s="3" t="s">
        <v>41</v>
      </c>
      <c r="L326" s="2" t="s">
        <v>14</v>
      </c>
      <c r="M326" s="2" t="s">
        <v>30</v>
      </c>
    </row>
    <row r="327" spans="1:13" ht="15.75" customHeight="1" x14ac:dyDescent="0.3">
      <c r="A327">
        <v>326</v>
      </c>
      <c r="B327">
        <v>3</v>
      </c>
      <c r="C327">
        <v>5</v>
      </c>
      <c r="D327">
        <v>4</v>
      </c>
      <c r="E327">
        <v>1</v>
      </c>
      <c r="F327">
        <v>6</v>
      </c>
      <c r="G327">
        <v>2</v>
      </c>
      <c r="H327">
        <v>326</v>
      </c>
      <c r="I327" s="2" t="s">
        <v>21</v>
      </c>
      <c r="J327" s="3" t="s">
        <v>22</v>
      </c>
      <c r="K327" s="3" t="s">
        <v>41</v>
      </c>
      <c r="L327" s="2" t="s">
        <v>38</v>
      </c>
      <c r="M327" s="3" t="s">
        <v>35</v>
      </c>
    </row>
    <row r="328" spans="1:13" ht="15.75" customHeight="1" x14ac:dyDescent="0.3">
      <c r="A328">
        <v>327</v>
      </c>
      <c r="B328">
        <v>3</v>
      </c>
      <c r="C328">
        <v>5</v>
      </c>
      <c r="D328">
        <v>4</v>
      </c>
      <c r="E328">
        <v>2</v>
      </c>
      <c r="F328">
        <v>1</v>
      </c>
      <c r="G328">
        <v>6</v>
      </c>
      <c r="H328">
        <v>327</v>
      </c>
      <c r="I328" s="2" t="s">
        <v>21</v>
      </c>
      <c r="J328" s="3" t="s">
        <v>22</v>
      </c>
      <c r="K328" s="3" t="s">
        <v>33</v>
      </c>
      <c r="L328" s="3" t="s">
        <v>39</v>
      </c>
      <c r="M328" s="2" t="s">
        <v>38</v>
      </c>
    </row>
    <row r="329" spans="1:13" ht="15.75" customHeight="1" x14ac:dyDescent="0.3">
      <c r="A329">
        <v>328</v>
      </c>
      <c r="B329">
        <v>3</v>
      </c>
      <c r="C329">
        <v>5</v>
      </c>
      <c r="D329">
        <v>4</v>
      </c>
      <c r="E329">
        <v>2</v>
      </c>
      <c r="F329">
        <v>6</v>
      </c>
      <c r="G329">
        <v>1</v>
      </c>
      <c r="H329">
        <v>328</v>
      </c>
      <c r="I329" s="2" t="s">
        <v>21</v>
      </c>
      <c r="J329" s="3" t="s">
        <v>22</v>
      </c>
      <c r="K329" s="3" t="s">
        <v>33</v>
      </c>
      <c r="L329" s="2" t="s">
        <v>30</v>
      </c>
      <c r="M329" s="3" t="s">
        <v>43</v>
      </c>
    </row>
    <row r="330" spans="1:13" ht="15.75" customHeight="1" x14ac:dyDescent="0.3">
      <c r="A330">
        <v>329</v>
      </c>
      <c r="B330">
        <v>3</v>
      </c>
      <c r="C330">
        <v>5</v>
      </c>
      <c r="D330">
        <v>4</v>
      </c>
      <c r="E330">
        <v>6</v>
      </c>
      <c r="F330">
        <v>1</v>
      </c>
      <c r="G330">
        <v>2</v>
      </c>
      <c r="H330">
        <v>329</v>
      </c>
      <c r="I330" s="2" t="s">
        <v>21</v>
      </c>
      <c r="J330" s="3" t="s">
        <v>22</v>
      </c>
      <c r="K330" s="2" t="s">
        <v>19</v>
      </c>
      <c r="L330" s="3" t="s">
        <v>43</v>
      </c>
      <c r="M330" s="2" t="s">
        <v>14</v>
      </c>
    </row>
    <row r="331" spans="1:13" ht="15.75" customHeight="1" x14ac:dyDescent="0.3">
      <c r="A331">
        <v>330</v>
      </c>
      <c r="B331">
        <v>3</v>
      </c>
      <c r="C331">
        <v>5</v>
      </c>
      <c r="D331">
        <v>4</v>
      </c>
      <c r="E331">
        <v>6</v>
      </c>
      <c r="F331">
        <v>2</v>
      </c>
      <c r="G331">
        <v>1</v>
      </c>
      <c r="H331">
        <v>330</v>
      </c>
      <c r="I331" s="2" t="s">
        <v>21</v>
      </c>
      <c r="J331" s="3" t="s">
        <v>22</v>
      </c>
      <c r="K331" s="2" t="s">
        <v>19</v>
      </c>
      <c r="L331" s="3" t="s">
        <v>35</v>
      </c>
      <c r="M331" s="3" t="s">
        <v>39</v>
      </c>
    </row>
    <row r="332" spans="1:13" ht="15.75" customHeight="1" x14ac:dyDescent="0.3">
      <c r="A332">
        <v>331</v>
      </c>
      <c r="B332">
        <v>3</v>
      </c>
      <c r="C332">
        <v>5</v>
      </c>
      <c r="D332">
        <v>6</v>
      </c>
      <c r="E332">
        <v>1</v>
      </c>
      <c r="F332">
        <v>2</v>
      </c>
      <c r="G332">
        <v>4</v>
      </c>
      <c r="H332">
        <v>331</v>
      </c>
      <c r="I332" s="2" t="s">
        <v>21</v>
      </c>
      <c r="J332" s="2" t="s">
        <v>18</v>
      </c>
      <c r="K332" s="3" t="s">
        <v>43</v>
      </c>
      <c r="L332" s="2" t="s">
        <v>14</v>
      </c>
      <c r="M332" s="2" t="s">
        <v>25</v>
      </c>
    </row>
    <row r="333" spans="1:13" ht="15.75" customHeight="1" x14ac:dyDescent="0.3">
      <c r="A333">
        <v>332</v>
      </c>
      <c r="B333">
        <v>3</v>
      </c>
      <c r="C333">
        <v>5</v>
      </c>
      <c r="D333">
        <v>6</v>
      </c>
      <c r="E333">
        <v>1</v>
      </c>
      <c r="F333">
        <v>4</v>
      </c>
      <c r="G333">
        <v>2</v>
      </c>
      <c r="H333">
        <v>332</v>
      </c>
      <c r="I333" s="2" t="s">
        <v>21</v>
      </c>
      <c r="J333" s="2" t="s">
        <v>18</v>
      </c>
      <c r="K333" s="3" t="s">
        <v>43</v>
      </c>
      <c r="L333" s="2" t="s">
        <v>36</v>
      </c>
      <c r="M333" s="3" t="s">
        <v>33</v>
      </c>
    </row>
    <row r="334" spans="1:13" ht="15.75" customHeight="1" x14ac:dyDescent="0.3">
      <c r="A334">
        <v>333</v>
      </c>
      <c r="B334">
        <v>3</v>
      </c>
      <c r="C334">
        <v>5</v>
      </c>
      <c r="D334">
        <v>6</v>
      </c>
      <c r="E334">
        <v>2</v>
      </c>
      <c r="F334">
        <v>1</v>
      </c>
      <c r="G334">
        <v>4</v>
      </c>
      <c r="H334">
        <v>333</v>
      </c>
      <c r="I334" s="2" t="s">
        <v>21</v>
      </c>
      <c r="J334" s="2" t="s">
        <v>18</v>
      </c>
      <c r="K334" s="3" t="s">
        <v>35</v>
      </c>
      <c r="L334" s="3" t="s">
        <v>39</v>
      </c>
      <c r="M334" s="2" t="s">
        <v>36</v>
      </c>
    </row>
    <row r="335" spans="1:13" ht="15.75" customHeight="1" x14ac:dyDescent="0.3">
      <c r="A335">
        <v>334</v>
      </c>
      <c r="B335">
        <v>3</v>
      </c>
      <c r="C335">
        <v>5</v>
      </c>
      <c r="D335">
        <v>6</v>
      </c>
      <c r="E335">
        <v>2</v>
      </c>
      <c r="F335">
        <v>4</v>
      </c>
      <c r="G335">
        <v>1</v>
      </c>
      <c r="H335">
        <v>334</v>
      </c>
      <c r="I335" s="2" t="s">
        <v>21</v>
      </c>
      <c r="J335" s="2" t="s">
        <v>18</v>
      </c>
      <c r="K335" s="3" t="s">
        <v>35</v>
      </c>
      <c r="L335" s="2" t="s">
        <v>25</v>
      </c>
      <c r="M335" s="3" t="s">
        <v>41</v>
      </c>
    </row>
    <row r="336" spans="1:13" ht="15.75" customHeight="1" x14ac:dyDescent="0.3">
      <c r="A336">
        <v>335</v>
      </c>
      <c r="B336">
        <v>3</v>
      </c>
      <c r="C336">
        <v>5</v>
      </c>
      <c r="D336">
        <v>6</v>
      </c>
      <c r="E336">
        <v>4</v>
      </c>
      <c r="F336">
        <v>1</v>
      </c>
      <c r="G336">
        <v>2</v>
      </c>
      <c r="H336">
        <v>335</v>
      </c>
      <c r="I336" s="2" t="s">
        <v>21</v>
      </c>
      <c r="J336" s="2" t="s">
        <v>18</v>
      </c>
      <c r="K336" s="3" t="s">
        <v>23</v>
      </c>
      <c r="L336" s="3" t="s">
        <v>41</v>
      </c>
      <c r="M336" s="2" t="s">
        <v>14</v>
      </c>
    </row>
    <row r="337" spans="1:13" ht="15.75" customHeight="1" x14ac:dyDescent="0.3">
      <c r="A337">
        <v>336</v>
      </c>
      <c r="B337">
        <v>3</v>
      </c>
      <c r="C337">
        <v>5</v>
      </c>
      <c r="D337">
        <v>6</v>
      </c>
      <c r="E337">
        <v>4</v>
      </c>
      <c r="F337">
        <v>2</v>
      </c>
      <c r="G337">
        <v>1</v>
      </c>
      <c r="H337">
        <v>336</v>
      </c>
      <c r="I337" s="2" t="s">
        <v>21</v>
      </c>
      <c r="J337" s="2" t="s">
        <v>18</v>
      </c>
      <c r="K337" s="3" t="s">
        <v>23</v>
      </c>
      <c r="L337" s="3" t="s">
        <v>33</v>
      </c>
      <c r="M337" s="3" t="s">
        <v>39</v>
      </c>
    </row>
    <row r="338" spans="1:13" ht="15.75" customHeight="1" x14ac:dyDescent="0.3">
      <c r="A338">
        <v>337</v>
      </c>
      <c r="B338">
        <v>3</v>
      </c>
      <c r="C338">
        <v>6</v>
      </c>
      <c r="D338">
        <v>1</v>
      </c>
      <c r="E338">
        <v>2</v>
      </c>
      <c r="F338">
        <v>4</v>
      </c>
      <c r="G338">
        <v>5</v>
      </c>
      <c r="H338">
        <v>337</v>
      </c>
      <c r="I338" s="2" t="s">
        <v>24</v>
      </c>
      <c r="J338" s="3" t="s">
        <v>43</v>
      </c>
      <c r="K338" s="2" t="s">
        <v>14</v>
      </c>
      <c r="L338" s="2" t="s">
        <v>25</v>
      </c>
      <c r="M338" s="2" t="s">
        <v>17</v>
      </c>
    </row>
    <row r="339" spans="1:13" ht="15.75" customHeight="1" x14ac:dyDescent="0.3">
      <c r="A339">
        <v>338</v>
      </c>
      <c r="B339">
        <v>3</v>
      </c>
      <c r="C339">
        <v>6</v>
      </c>
      <c r="D339">
        <v>1</v>
      </c>
      <c r="E339">
        <v>2</v>
      </c>
      <c r="F339">
        <v>5</v>
      </c>
      <c r="G339">
        <v>4</v>
      </c>
      <c r="H339">
        <v>338</v>
      </c>
      <c r="I339" s="2" t="s">
        <v>24</v>
      </c>
      <c r="J339" s="3" t="s">
        <v>43</v>
      </c>
      <c r="K339" s="2" t="s">
        <v>14</v>
      </c>
      <c r="L339" s="2" t="s">
        <v>29</v>
      </c>
      <c r="M339" s="3" t="s">
        <v>22</v>
      </c>
    </row>
    <row r="340" spans="1:13" ht="15.75" customHeight="1" x14ac:dyDescent="0.3">
      <c r="A340">
        <v>339</v>
      </c>
      <c r="B340">
        <v>3</v>
      </c>
      <c r="C340">
        <v>6</v>
      </c>
      <c r="D340">
        <v>1</v>
      </c>
      <c r="E340">
        <v>4</v>
      </c>
      <c r="F340">
        <v>2</v>
      </c>
      <c r="G340">
        <v>5</v>
      </c>
      <c r="H340">
        <v>339</v>
      </c>
      <c r="I340" s="2" t="s">
        <v>24</v>
      </c>
      <c r="J340" s="3" t="s">
        <v>43</v>
      </c>
      <c r="K340" s="2" t="s">
        <v>36</v>
      </c>
      <c r="L340" s="3" t="s">
        <v>33</v>
      </c>
      <c r="M340" s="2" t="s">
        <v>29</v>
      </c>
    </row>
    <row r="341" spans="1:13" ht="15.75" customHeight="1" x14ac:dyDescent="0.3">
      <c r="A341">
        <v>340</v>
      </c>
      <c r="B341">
        <v>3</v>
      </c>
      <c r="C341">
        <v>6</v>
      </c>
      <c r="D341">
        <v>1</v>
      </c>
      <c r="E341">
        <v>4</v>
      </c>
      <c r="F341">
        <v>5</v>
      </c>
      <c r="G341">
        <v>2</v>
      </c>
      <c r="H341">
        <v>340</v>
      </c>
      <c r="I341" s="2" t="s">
        <v>24</v>
      </c>
      <c r="J341" s="3" t="s">
        <v>43</v>
      </c>
      <c r="K341" s="2" t="s">
        <v>36</v>
      </c>
      <c r="L341" s="2" t="s">
        <v>17</v>
      </c>
      <c r="M341" s="3" t="s">
        <v>34</v>
      </c>
    </row>
    <row r="342" spans="1:13" ht="15.75" customHeight="1" x14ac:dyDescent="0.3">
      <c r="A342">
        <v>341</v>
      </c>
      <c r="B342">
        <v>3</v>
      </c>
      <c r="C342">
        <v>6</v>
      </c>
      <c r="D342">
        <v>1</v>
      </c>
      <c r="E342">
        <v>5</v>
      </c>
      <c r="F342">
        <v>2</v>
      </c>
      <c r="G342">
        <v>4</v>
      </c>
      <c r="H342">
        <v>341</v>
      </c>
      <c r="I342" s="2" t="s">
        <v>24</v>
      </c>
      <c r="J342" s="3" t="s">
        <v>43</v>
      </c>
      <c r="K342" s="2" t="s">
        <v>37</v>
      </c>
      <c r="L342" s="3" t="s">
        <v>34</v>
      </c>
      <c r="M342" s="2" t="s">
        <v>25</v>
      </c>
    </row>
    <row r="343" spans="1:13" ht="15.75" customHeight="1" x14ac:dyDescent="0.3">
      <c r="A343">
        <v>342</v>
      </c>
      <c r="B343">
        <v>3</v>
      </c>
      <c r="C343">
        <v>6</v>
      </c>
      <c r="D343">
        <v>1</v>
      </c>
      <c r="E343">
        <v>5</v>
      </c>
      <c r="F343">
        <v>4</v>
      </c>
      <c r="G343">
        <v>2</v>
      </c>
      <c r="H343">
        <v>342</v>
      </c>
      <c r="I343" s="2" t="s">
        <v>24</v>
      </c>
      <c r="J343" s="3" t="s">
        <v>43</v>
      </c>
      <c r="K343" s="2" t="s">
        <v>37</v>
      </c>
      <c r="L343" s="3" t="s">
        <v>22</v>
      </c>
      <c r="M343" s="3" t="s">
        <v>33</v>
      </c>
    </row>
    <row r="344" spans="1:13" ht="15.75" customHeight="1" x14ac:dyDescent="0.3">
      <c r="A344">
        <v>343</v>
      </c>
      <c r="B344">
        <v>3</v>
      </c>
      <c r="C344">
        <v>6</v>
      </c>
      <c r="D344">
        <v>2</v>
      </c>
      <c r="E344">
        <v>1</v>
      </c>
      <c r="F344">
        <v>4</v>
      </c>
      <c r="G344">
        <v>5</v>
      </c>
      <c r="H344">
        <v>343</v>
      </c>
      <c r="I344" s="2" t="s">
        <v>24</v>
      </c>
      <c r="J344" s="3" t="s">
        <v>35</v>
      </c>
      <c r="K344" s="3" t="s">
        <v>39</v>
      </c>
      <c r="L344" s="2" t="s">
        <v>36</v>
      </c>
      <c r="M344" s="2" t="s">
        <v>17</v>
      </c>
    </row>
    <row r="345" spans="1:13" ht="15.75" customHeight="1" x14ac:dyDescent="0.3">
      <c r="A345">
        <v>344</v>
      </c>
      <c r="B345">
        <v>3</v>
      </c>
      <c r="C345">
        <v>6</v>
      </c>
      <c r="D345">
        <v>2</v>
      </c>
      <c r="E345">
        <v>1</v>
      </c>
      <c r="F345">
        <v>5</v>
      </c>
      <c r="G345">
        <v>4</v>
      </c>
      <c r="H345">
        <v>344</v>
      </c>
      <c r="I345" s="2" t="s">
        <v>24</v>
      </c>
      <c r="J345" s="3" t="s">
        <v>35</v>
      </c>
      <c r="K345" s="3" t="s">
        <v>39</v>
      </c>
      <c r="L345" s="2" t="s">
        <v>37</v>
      </c>
      <c r="M345" s="3" t="s">
        <v>22</v>
      </c>
    </row>
    <row r="346" spans="1:13" ht="15.75" customHeight="1" x14ac:dyDescent="0.3">
      <c r="A346">
        <v>345</v>
      </c>
      <c r="B346">
        <v>3</v>
      </c>
      <c r="C346">
        <v>6</v>
      </c>
      <c r="D346">
        <v>2</v>
      </c>
      <c r="E346">
        <v>4</v>
      </c>
      <c r="F346">
        <v>1</v>
      </c>
      <c r="G346">
        <v>5</v>
      </c>
      <c r="H346">
        <v>345</v>
      </c>
      <c r="I346" s="2" t="s">
        <v>24</v>
      </c>
      <c r="J346" s="3" t="s">
        <v>35</v>
      </c>
      <c r="K346" s="2" t="s">
        <v>25</v>
      </c>
      <c r="L346" s="3" t="s">
        <v>41</v>
      </c>
      <c r="M346" s="2" t="s">
        <v>37</v>
      </c>
    </row>
    <row r="347" spans="1:13" ht="15.75" customHeight="1" x14ac:dyDescent="0.3">
      <c r="A347">
        <v>346</v>
      </c>
      <c r="B347">
        <v>3</v>
      </c>
      <c r="C347">
        <v>6</v>
      </c>
      <c r="D347">
        <v>2</v>
      </c>
      <c r="E347">
        <v>4</v>
      </c>
      <c r="F347">
        <v>5</v>
      </c>
      <c r="G347">
        <v>1</v>
      </c>
      <c r="H347">
        <v>346</v>
      </c>
      <c r="I347" s="2" t="s">
        <v>24</v>
      </c>
      <c r="J347" s="3" t="s">
        <v>35</v>
      </c>
      <c r="K347" s="2" t="s">
        <v>25</v>
      </c>
      <c r="L347" s="2" t="s">
        <v>17</v>
      </c>
      <c r="M347" s="3" t="s">
        <v>42</v>
      </c>
    </row>
    <row r="348" spans="1:13" ht="15.75" customHeight="1" x14ac:dyDescent="0.3">
      <c r="A348">
        <v>347</v>
      </c>
      <c r="B348">
        <v>3</v>
      </c>
      <c r="C348">
        <v>6</v>
      </c>
      <c r="D348">
        <v>2</v>
      </c>
      <c r="E348">
        <v>5</v>
      </c>
      <c r="F348">
        <v>1</v>
      </c>
      <c r="G348">
        <v>4</v>
      </c>
      <c r="H348">
        <v>347</v>
      </c>
      <c r="I348" s="2" t="s">
        <v>24</v>
      </c>
      <c r="J348" s="3" t="s">
        <v>35</v>
      </c>
      <c r="K348" s="2" t="s">
        <v>29</v>
      </c>
      <c r="L348" s="3" t="s">
        <v>42</v>
      </c>
      <c r="M348" s="2" t="s">
        <v>36</v>
      </c>
    </row>
    <row r="349" spans="1:13" ht="15.75" customHeight="1" x14ac:dyDescent="0.3">
      <c r="A349">
        <v>348</v>
      </c>
      <c r="B349">
        <v>3</v>
      </c>
      <c r="C349">
        <v>6</v>
      </c>
      <c r="D349">
        <v>2</v>
      </c>
      <c r="E349">
        <v>5</v>
      </c>
      <c r="F349">
        <v>4</v>
      </c>
      <c r="G349">
        <v>1</v>
      </c>
      <c r="H349">
        <v>348</v>
      </c>
      <c r="I349" s="2" t="s">
        <v>24</v>
      </c>
      <c r="J349" s="3" t="s">
        <v>35</v>
      </c>
      <c r="K349" s="2" t="s">
        <v>29</v>
      </c>
      <c r="L349" s="3" t="s">
        <v>22</v>
      </c>
      <c r="M349" s="3" t="s">
        <v>41</v>
      </c>
    </row>
    <row r="350" spans="1:13" ht="15.75" customHeight="1" x14ac:dyDescent="0.3">
      <c r="A350">
        <v>349</v>
      </c>
      <c r="B350">
        <v>3</v>
      </c>
      <c r="C350">
        <v>6</v>
      </c>
      <c r="D350">
        <v>4</v>
      </c>
      <c r="E350">
        <v>1</v>
      </c>
      <c r="F350">
        <v>2</v>
      </c>
      <c r="G350">
        <v>5</v>
      </c>
      <c r="H350">
        <v>349</v>
      </c>
      <c r="I350" s="2" t="s">
        <v>24</v>
      </c>
      <c r="J350" s="3" t="s">
        <v>23</v>
      </c>
      <c r="K350" s="3" t="s">
        <v>41</v>
      </c>
      <c r="L350" s="2" t="s">
        <v>14</v>
      </c>
      <c r="M350" s="2" t="s">
        <v>29</v>
      </c>
    </row>
    <row r="351" spans="1:13" ht="15.75" customHeight="1" x14ac:dyDescent="0.3">
      <c r="A351">
        <v>350</v>
      </c>
      <c r="B351">
        <v>3</v>
      </c>
      <c r="C351">
        <v>6</v>
      </c>
      <c r="D351">
        <v>4</v>
      </c>
      <c r="E351">
        <v>1</v>
      </c>
      <c r="F351">
        <v>5</v>
      </c>
      <c r="G351">
        <v>2</v>
      </c>
      <c r="H351">
        <v>350</v>
      </c>
      <c r="I351" s="2" t="s">
        <v>24</v>
      </c>
      <c r="J351" s="3" t="s">
        <v>23</v>
      </c>
      <c r="K351" s="3" t="s">
        <v>41</v>
      </c>
      <c r="L351" s="2" t="s">
        <v>37</v>
      </c>
      <c r="M351" s="3" t="s">
        <v>34</v>
      </c>
    </row>
    <row r="352" spans="1:13" ht="15.75" customHeight="1" x14ac:dyDescent="0.3">
      <c r="A352">
        <v>351</v>
      </c>
      <c r="B352">
        <v>3</v>
      </c>
      <c r="C352">
        <v>6</v>
      </c>
      <c r="D352">
        <v>4</v>
      </c>
      <c r="E352">
        <v>2</v>
      </c>
      <c r="F352">
        <v>1</v>
      </c>
      <c r="G352">
        <v>5</v>
      </c>
      <c r="H352">
        <v>351</v>
      </c>
      <c r="I352" s="2" t="s">
        <v>24</v>
      </c>
      <c r="J352" s="3" t="s">
        <v>23</v>
      </c>
      <c r="K352" s="3" t="s">
        <v>33</v>
      </c>
      <c r="L352" s="3" t="s">
        <v>39</v>
      </c>
      <c r="M352" s="2" t="s">
        <v>37</v>
      </c>
    </row>
    <row r="353" spans="1:13" ht="15.75" customHeight="1" x14ac:dyDescent="0.3">
      <c r="A353">
        <v>352</v>
      </c>
      <c r="B353">
        <v>3</v>
      </c>
      <c r="C353">
        <v>6</v>
      </c>
      <c r="D353">
        <v>4</v>
      </c>
      <c r="E353">
        <v>2</v>
      </c>
      <c r="F353">
        <v>5</v>
      </c>
      <c r="G353">
        <v>1</v>
      </c>
      <c r="H353">
        <v>352</v>
      </c>
      <c r="I353" s="2" t="s">
        <v>24</v>
      </c>
      <c r="J353" s="3" t="s">
        <v>23</v>
      </c>
      <c r="K353" s="3" t="s">
        <v>33</v>
      </c>
      <c r="L353" s="2" t="s">
        <v>29</v>
      </c>
      <c r="M353" s="3" t="s">
        <v>42</v>
      </c>
    </row>
    <row r="354" spans="1:13" ht="15.75" customHeight="1" x14ac:dyDescent="0.3">
      <c r="A354">
        <v>353</v>
      </c>
      <c r="B354">
        <v>3</v>
      </c>
      <c r="C354">
        <v>6</v>
      </c>
      <c r="D354">
        <v>4</v>
      </c>
      <c r="E354">
        <v>5</v>
      </c>
      <c r="F354">
        <v>1</v>
      </c>
      <c r="G354">
        <v>2</v>
      </c>
      <c r="H354">
        <v>353</v>
      </c>
      <c r="I354" s="2" t="s">
        <v>24</v>
      </c>
      <c r="J354" s="3" t="s">
        <v>23</v>
      </c>
      <c r="K354" s="2" t="s">
        <v>17</v>
      </c>
      <c r="L354" s="3" t="s">
        <v>42</v>
      </c>
      <c r="M354" s="2" t="s">
        <v>14</v>
      </c>
    </row>
    <row r="355" spans="1:13" ht="15.75" customHeight="1" x14ac:dyDescent="0.3">
      <c r="A355">
        <v>354</v>
      </c>
      <c r="B355">
        <v>3</v>
      </c>
      <c r="C355">
        <v>6</v>
      </c>
      <c r="D355">
        <v>4</v>
      </c>
      <c r="E355">
        <v>5</v>
      </c>
      <c r="F355">
        <v>2</v>
      </c>
      <c r="G355">
        <v>1</v>
      </c>
      <c r="H355">
        <v>354</v>
      </c>
      <c r="I355" s="2" t="s">
        <v>24</v>
      </c>
      <c r="J355" s="3" t="s">
        <v>23</v>
      </c>
      <c r="K355" s="2" t="s">
        <v>17</v>
      </c>
      <c r="L355" s="3" t="s">
        <v>34</v>
      </c>
      <c r="M355" s="3" t="s">
        <v>39</v>
      </c>
    </row>
    <row r="356" spans="1:13" ht="15.75" customHeight="1" x14ac:dyDescent="0.3">
      <c r="A356">
        <v>355</v>
      </c>
      <c r="B356">
        <v>3</v>
      </c>
      <c r="C356">
        <v>6</v>
      </c>
      <c r="D356">
        <v>5</v>
      </c>
      <c r="E356">
        <v>1</v>
      </c>
      <c r="F356">
        <v>2</v>
      </c>
      <c r="G356">
        <v>4</v>
      </c>
      <c r="H356">
        <v>355</v>
      </c>
      <c r="I356" s="2" t="s">
        <v>24</v>
      </c>
      <c r="J356" s="3" t="s">
        <v>20</v>
      </c>
      <c r="K356" s="3" t="s">
        <v>42</v>
      </c>
      <c r="L356" s="2" t="s">
        <v>14</v>
      </c>
      <c r="M356" s="2" t="s">
        <v>25</v>
      </c>
    </row>
    <row r="357" spans="1:13" ht="15.75" customHeight="1" x14ac:dyDescent="0.3">
      <c r="A357">
        <v>356</v>
      </c>
      <c r="B357">
        <v>3</v>
      </c>
      <c r="C357">
        <v>6</v>
      </c>
      <c r="D357">
        <v>5</v>
      </c>
      <c r="E357">
        <v>1</v>
      </c>
      <c r="F357">
        <v>4</v>
      </c>
      <c r="G357">
        <v>2</v>
      </c>
      <c r="H357">
        <v>356</v>
      </c>
      <c r="I357" s="2" t="s">
        <v>24</v>
      </c>
      <c r="J357" s="3" t="s">
        <v>20</v>
      </c>
      <c r="K357" s="3" t="s">
        <v>42</v>
      </c>
      <c r="L357" s="2" t="s">
        <v>36</v>
      </c>
      <c r="M357" s="3" t="s">
        <v>33</v>
      </c>
    </row>
    <row r="358" spans="1:13" ht="15.75" customHeight="1" x14ac:dyDescent="0.3">
      <c r="A358">
        <v>357</v>
      </c>
      <c r="B358">
        <v>3</v>
      </c>
      <c r="C358">
        <v>6</v>
      </c>
      <c r="D358">
        <v>5</v>
      </c>
      <c r="E358">
        <v>2</v>
      </c>
      <c r="F358">
        <v>1</v>
      </c>
      <c r="G358">
        <v>4</v>
      </c>
      <c r="H358">
        <v>357</v>
      </c>
      <c r="I358" s="2" t="s">
        <v>24</v>
      </c>
      <c r="J358" s="3" t="s">
        <v>20</v>
      </c>
      <c r="K358" s="3" t="s">
        <v>34</v>
      </c>
      <c r="L358" s="3" t="s">
        <v>39</v>
      </c>
      <c r="M358" s="2" t="s">
        <v>36</v>
      </c>
    </row>
    <row r="359" spans="1:13" ht="15.75" customHeight="1" x14ac:dyDescent="0.3">
      <c r="A359">
        <v>358</v>
      </c>
      <c r="B359">
        <v>3</v>
      </c>
      <c r="C359">
        <v>6</v>
      </c>
      <c r="D359">
        <v>5</v>
      </c>
      <c r="E359">
        <v>2</v>
      </c>
      <c r="F359">
        <v>4</v>
      </c>
      <c r="G359">
        <v>1</v>
      </c>
      <c r="H359">
        <v>358</v>
      </c>
      <c r="I359" s="2" t="s">
        <v>24</v>
      </c>
      <c r="J359" s="3" t="s">
        <v>20</v>
      </c>
      <c r="K359" s="3" t="s">
        <v>34</v>
      </c>
      <c r="L359" s="2" t="s">
        <v>25</v>
      </c>
      <c r="M359" s="3" t="s">
        <v>41</v>
      </c>
    </row>
    <row r="360" spans="1:13" ht="15.75" customHeight="1" x14ac:dyDescent="0.3">
      <c r="A360">
        <v>359</v>
      </c>
      <c r="B360">
        <v>3</v>
      </c>
      <c r="C360">
        <v>6</v>
      </c>
      <c r="D360">
        <v>5</v>
      </c>
      <c r="E360">
        <v>4</v>
      </c>
      <c r="F360">
        <v>1</v>
      </c>
      <c r="G360">
        <v>2</v>
      </c>
      <c r="H360">
        <v>359</v>
      </c>
      <c r="I360" s="2" t="s">
        <v>24</v>
      </c>
      <c r="J360" s="3" t="s">
        <v>20</v>
      </c>
      <c r="K360" s="3" t="s">
        <v>22</v>
      </c>
      <c r="L360" s="3" t="s">
        <v>41</v>
      </c>
      <c r="M360" s="2" t="s">
        <v>14</v>
      </c>
    </row>
    <row r="361" spans="1:13" ht="15.75" customHeight="1" x14ac:dyDescent="0.3">
      <c r="A361">
        <v>360</v>
      </c>
      <c r="B361">
        <v>3</v>
      </c>
      <c r="C361">
        <v>6</v>
      </c>
      <c r="D361">
        <v>5</v>
      </c>
      <c r="E361">
        <v>4</v>
      </c>
      <c r="F361">
        <v>2</v>
      </c>
      <c r="G361">
        <v>1</v>
      </c>
      <c r="H361">
        <v>360</v>
      </c>
      <c r="I361" s="2" t="s">
        <v>24</v>
      </c>
      <c r="J361" s="3" t="s">
        <v>20</v>
      </c>
      <c r="K361" s="3" t="s">
        <v>22</v>
      </c>
      <c r="L361" s="3" t="s">
        <v>33</v>
      </c>
      <c r="M361" s="3" t="s">
        <v>39</v>
      </c>
    </row>
    <row r="362" spans="1:13" ht="15.75" customHeight="1" x14ac:dyDescent="0.3">
      <c r="A362">
        <v>361</v>
      </c>
      <c r="B362">
        <v>4</v>
      </c>
      <c r="C362">
        <v>1</v>
      </c>
      <c r="D362">
        <v>2</v>
      </c>
      <c r="E362">
        <v>3</v>
      </c>
      <c r="F362">
        <v>5</v>
      </c>
      <c r="G362">
        <v>6</v>
      </c>
      <c r="H362">
        <v>361</v>
      </c>
      <c r="I362" s="3" t="s">
        <v>41</v>
      </c>
      <c r="J362" s="2" t="s">
        <v>14</v>
      </c>
      <c r="K362" s="2" t="s">
        <v>15</v>
      </c>
      <c r="L362" s="2" t="s">
        <v>21</v>
      </c>
      <c r="M362" s="2" t="s">
        <v>18</v>
      </c>
    </row>
    <row r="363" spans="1:13" ht="15.75" customHeight="1" x14ac:dyDescent="0.3">
      <c r="A363">
        <v>362</v>
      </c>
      <c r="B363">
        <v>4</v>
      </c>
      <c r="C363">
        <v>1</v>
      </c>
      <c r="D363">
        <v>2</v>
      </c>
      <c r="E363">
        <v>3</v>
      </c>
      <c r="F363">
        <v>6</v>
      </c>
      <c r="G363">
        <v>5</v>
      </c>
      <c r="H363">
        <v>362</v>
      </c>
      <c r="I363" s="3" t="s">
        <v>41</v>
      </c>
      <c r="J363" s="2" t="s">
        <v>14</v>
      </c>
      <c r="K363" s="2" t="s">
        <v>15</v>
      </c>
      <c r="L363" s="2" t="s">
        <v>24</v>
      </c>
      <c r="M363" s="3" t="s">
        <v>20</v>
      </c>
    </row>
    <row r="364" spans="1:13" ht="15.75" customHeight="1" x14ac:dyDescent="0.3">
      <c r="A364">
        <v>363</v>
      </c>
      <c r="B364">
        <v>4</v>
      </c>
      <c r="C364">
        <v>1</v>
      </c>
      <c r="D364">
        <v>2</v>
      </c>
      <c r="E364">
        <v>5</v>
      </c>
      <c r="F364">
        <v>3</v>
      </c>
      <c r="G364">
        <v>6</v>
      </c>
      <c r="H364">
        <v>363</v>
      </c>
      <c r="I364" s="3" t="s">
        <v>41</v>
      </c>
      <c r="J364" s="2" t="s">
        <v>14</v>
      </c>
      <c r="K364" s="2" t="s">
        <v>29</v>
      </c>
      <c r="L364" s="3" t="s">
        <v>27</v>
      </c>
      <c r="M364" s="2" t="s">
        <v>24</v>
      </c>
    </row>
    <row r="365" spans="1:13" ht="15.75" customHeight="1" x14ac:dyDescent="0.3">
      <c r="A365">
        <v>364</v>
      </c>
      <c r="B365">
        <v>4</v>
      </c>
      <c r="C365">
        <v>1</v>
      </c>
      <c r="D365">
        <v>2</v>
      </c>
      <c r="E365">
        <v>5</v>
      </c>
      <c r="F365">
        <v>6</v>
      </c>
      <c r="G365">
        <v>3</v>
      </c>
      <c r="H365">
        <v>364</v>
      </c>
      <c r="I365" s="3" t="s">
        <v>41</v>
      </c>
      <c r="J365" s="2" t="s">
        <v>14</v>
      </c>
      <c r="K365" s="2" t="s">
        <v>29</v>
      </c>
      <c r="L365" s="2" t="s">
        <v>18</v>
      </c>
      <c r="M365" s="3" t="s">
        <v>28</v>
      </c>
    </row>
    <row r="366" spans="1:13" ht="15.75" customHeight="1" x14ac:dyDescent="0.3">
      <c r="A366">
        <v>365</v>
      </c>
      <c r="B366">
        <v>4</v>
      </c>
      <c r="C366">
        <v>1</v>
      </c>
      <c r="D366">
        <v>2</v>
      </c>
      <c r="E366">
        <v>6</v>
      </c>
      <c r="F366">
        <v>3</v>
      </c>
      <c r="G366">
        <v>5</v>
      </c>
      <c r="H366">
        <v>365</v>
      </c>
      <c r="I366" s="3" t="s">
        <v>41</v>
      </c>
      <c r="J366" s="2" t="s">
        <v>14</v>
      </c>
      <c r="K366" s="2" t="s">
        <v>30</v>
      </c>
      <c r="L366" s="3" t="s">
        <v>28</v>
      </c>
      <c r="M366" s="2" t="s">
        <v>21</v>
      </c>
    </row>
    <row r="367" spans="1:13" ht="15.75" customHeight="1" x14ac:dyDescent="0.3">
      <c r="A367">
        <v>366</v>
      </c>
      <c r="B367">
        <v>4</v>
      </c>
      <c r="C367">
        <v>1</v>
      </c>
      <c r="D367">
        <v>2</v>
      </c>
      <c r="E367">
        <v>6</v>
      </c>
      <c r="F367">
        <v>5</v>
      </c>
      <c r="G367">
        <v>3</v>
      </c>
      <c r="H367">
        <v>366</v>
      </c>
      <c r="I367" s="3" t="s">
        <v>41</v>
      </c>
      <c r="J367" s="2" t="s">
        <v>14</v>
      </c>
      <c r="K367" s="2" t="s">
        <v>30</v>
      </c>
      <c r="L367" s="3" t="s">
        <v>20</v>
      </c>
      <c r="M367" s="3" t="s">
        <v>27</v>
      </c>
    </row>
    <row r="368" spans="1:13" ht="15.75" customHeight="1" x14ac:dyDescent="0.3">
      <c r="A368">
        <v>367</v>
      </c>
      <c r="B368">
        <v>4</v>
      </c>
      <c r="C368">
        <v>1</v>
      </c>
      <c r="D368">
        <v>3</v>
      </c>
      <c r="E368">
        <v>2</v>
      </c>
      <c r="F368">
        <v>5</v>
      </c>
      <c r="G368">
        <v>6</v>
      </c>
      <c r="H368">
        <v>367</v>
      </c>
      <c r="I368" s="3" t="s">
        <v>41</v>
      </c>
      <c r="J368" s="2" t="s">
        <v>31</v>
      </c>
      <c r="K368" s="3" t="s">
        <v>32</v>
      </c>
      <c r="L368" s="2" t="s">
        <v>29</v>
      </c>
      <c r="M368" s="2" t="s">
        <v>18</v>
      </c>
    </row>
    <row r="369" spans="1:13" ht="15.75" customHeight="1" x14ac:dyDescent="0.3">
      <c r="A369">
        <v>368</v>
      </c>
      <c r="B369">
        <v>4</v>
      </c>
      <c r="C369">
        <v>1</v>
      </c>
      <c r="D369">
        <v>3</v>
      </c>
      <c r="E369">
        <v>2</v>
      </c>
      <c r="F369">
        <v>6</v>
      </c>
      <c r="G369">
        <v>5</v>
      </c>
      <c r="H369">
        <v>368</v>
      </c>
      <c r="I369" s="3" t="s">
        <v>41</v>
      </c>
      <c r="J369" s="2" t="s">
        <v>31</v>
      </c>
      <c r="K369" s="3" t="s">
        <v>32</v>
      </c>
      <c r="L369" s="2" t="s">
        <v>30</v>
      </c>
      <c r="M369" s="3" t="s">
        <v>20</v>
      </c>
    </row>
    <row r="370" spans="1:13" ht="15.75" customHeight="1" x14ac:dyDescent="0.3">
      <c r="A370">
        <v>369</v>
      </c>
      <c r="B370">
        <v>4</v>
      </c>
      <c r="C370">
        <v>1</v>
      </c>
      <c r="D370">
        <v>3</v>
      </c>
      <c r="E370">
        <v>5</v>
      </c>
      <c r="F370">
        <v>2</v>
      </c>
      <c r="G370">
        <v>6</v>
      </c>
      <c r="H370">
        <v>369</v>
      </c>
      <c r="I370" s="3" t="s">
        <v>41</v>
      </c>
      <c r="J370" s="2" t="s">
        <v>31</v>
      </c>
      <c r="K370" s="2" t="s">
        <v>21</v>
      </c>
      <c r="L370" s="3" t="s">
        <v>34</v>
      </c>
      <c r="M370" s="2" t="s">
        <v>30</v>
      </c>
    </row>
    <row r="371" spans="1:13" ht="15.75" customHeight="1" x14ac:dyDescent="0.3">
      <c r="A371">
        <v>370</v>
      </c>
      <c r="B371">
        <v>4</v>
      </c>
      <c r="C371">
        <v>1</v>
      </c>
      <c r="D371">
        <v>3</v>
      </c>
      <c r="E371">
        <v>5</v>
      </c>
      <c r="F371">
        <v>6</v>
      </c>
      <c r="G371">
        <v>2</v>
      </c>
      <c r="H371">
        <v>370</v>
      </c>
      <c r="I371" s="3" t="s">
        <v>41</v>
      </c>
      <c r="J371" s="2" t="s">
        <v>31</v>
      </c>
      <c r="K371" s="2" t="s">
        <v>21</v>
      </c>
      <c r="L371" s="2" t="s">
        <v>18</v>
      </c>
      <c r="M371" s="3" t="s">
        <v>35</v>
      </c>
    </row>
    <row r="372" spans="1:13" ht="15.75" customHeight="1" x14ac:dyDescent="0.3">
      <c r="A372">
        <v>371</v>
      </c>
      <c r="B372">
        <v>4</v>
      </c>
      <c r="C372">
        <v>1</v>
      </c>
      <c r="D372">
        <v>3</v>
      </c>
      <c r="E372">
        <v>6</v>
      </c>
      <c r="F372">
        <v>2</v>
      </c>
      <c r="G372">
        <v>5</v>
      </c>
      <c r="H372">
        <v>371</v>
      </c>
      <c r="I372" s="3" t="s">
        <v>41</v>
      </c>
      <c r="J372" s="2" t="s">
        <v>31</v>
      </c>
      <c r="K372" s="2" t="s">
        <v>24</v>
      </c>
      <c r="L372" s="3" t="s">
        <v>35</v>
      </c>
      <c r="M372" s="2" t="s">
        <v>29</v>
      </c>
    </row>
    <row r="373" spans="1:13" ht="15.75" customHeight="1" x14ac:dyDescent="0.3">
      <c r="A373">
        <v>372</v>
      </c>
      <c r="B373">
        <v>4</v>
      </c>
      <c r="C373">
        <v>1</v>
      </c>
      <c r="D373">
        <v>3</v>
      </c>
      <c r="E373">
        <v>6</v>
      </c>
      <c r="F373">
        <v>5</v>
      </c>
      <c r="G373">
        <v>2</v>
      </c>
      <c r="H373">
        <v>372</v>
      </c>
      <c r="I373" s="3" t="s">
        <v>41</v>
      </c>
      <c r="J373" s="2" t="s">
        <v>31</v>
      </c>
      <c r="K373" s="2" t="s">
        <v>24</v>
      </c>
      <c r="L373" s="3" t="s">
        <v>20</v>
      </c>
      <c r="M373" s="3" t="s">
        <v>34</v>
      </c>
    </row>
    <row r="374" spans="1:13" ht="15.75" customHeight="1" x14ac:dyDescent="0.3">
      <c r="A374">
        <v>373</v>
      </c>
      <c r="B374">
        <v>4</v>
      </c>
      <c r="C374">
        <v>1</v>
      </c>
      <c r="D374">
        <v>5</v>
      </c>
      <c r="E374">
        <v>2</v>
      </c>
      <c r="F374">
        <v>3</v>
      </c>
      <c r="G374">
        <v>6</v>
      </c>
      <c r="H374">
        <v>373</v>
      </c>
      <c r="I374" s="3" t="s">
        <v>41</v>
      </c>
      <c r="J374" s="2" t="s">
        <v>37</v>
      </c>
      <c r="K374" s="3" t="s">
        <v>34</v>
      </c>
      <c r="L374" s="2" t="s">
        <v>15</v>
      </c>
      <c r="M374" s="2" t="s">
        <v>24</v>
      </c>
    </row>
    <row r="375" spans="1:13" ht="15.75" customHeight="1" x14ac:dyDescent="0.3">
      <c r="A375">
        <v>374</v>
      </c>
      <c r="B375">
        <v>4</v>
      </c>
      <c r="C375">
        <v>1</v>
      </c>
      <c r="D375">
        <v>5</v>
      </c>
      <c r="E375">
        <v>2</v>
      </c>
      <c r="F375">
        <v>6</v>
      </c>
      <c r="G375">
        <v>3</v>
      </c>
      <c r="H375">
        <v>374</v>
      </c>
      <c r="I375" s="3" t="s">
        <v>41</v>
      </c>
      <c r="J375" s="2" t="s">
        <v>37</v>
      </c>
      <c r="K375" s="3" t="s">
        <v>34</v>
      </c>
      <c r="L375" s="2" t="s">
        <v>30</v>
      </c>
      <c r="M375" s="3" t="s">
        <v>28</v>
      </c>
    </row>
    <row r="376" spans="1:13" ht="15.75" customHeight="1" x14ac:dyDescent="0.3">
      <c r="A376">
        <v>375</v>
      </c>
      <c r="B376">
        <v>4</v>
      </c>
      <c r="C376">
        <v>1</v>
      </c>
      <c r="D376">
        <v>5</v>
      </c>
      <c r="E376">
        <v>3</v>
      </c>
      <c r="F376">
        <v>2</v>
      </c>
      <c r="G376">
        <v>6</v>
      </c>
      <c r="H376">
        <v>375</v>
      </c>
      <c r="I376" s="3" t="s">
        <v>41</v>
      </c>
      <c r="J376" s="2" t="s">
        <v>37</v>
      </c>
      <c r="K376" s="3" t="s">
        <v>27</v>
      </c>
      <c r="L376" s="3" t="s">
        <v>32</v>
      </c>
      <c r="M376" s="2" t="s">
        <v>30</v>
      </c>
    </row>
    <row r="377" spans="1:13" ht="15.75" customHeight="1" x14ac:dyDescent="0.3">
      <c r="A377">
        <v>376</v>
      </c>
      <c r="B377">
        <v>4</v>
      </c>
      <c r="C377">
        <v>1</v>
      </c>
      <c r="D377">
        <v>5</v>
      </c>
      <c r="E377">
        <v>3</v>
      </c>
      <c r="F377">
        <v>6</v>
      </c>
      <c r="G377">
        <v>2</v>
      </c>
      <c r="H377">
        <v>376</v>
      </c>
      <c r="I377" s="3" t="s">
        <v>41</v>
      </c>
      <c r="J377" s="2" t="s">
        <v>37</v>
      </c>
      <c r="K377" s="3" t="s">
        <v>27</v>
      </c>
      <c r="L377" s="2" t="s">
        <v>24</v>
      </c>
      <c r="M377" s="3" t="s">
        <v>35</v>
      </c>
    </row>
    <row r="378" spans="1:13" ht="15.75" customHeight="1" x14ac:dyDescent="0.3">
      <c r="A378">
        <v>377</v>
      </c>
      <c r="B378">
        <v>4</v>
      </c>
      <c r="C378">
        <v>1</v>
      </c>
      <c r="D378">
        <v>5</v>
      </c>
      <c r="E378">
        <v>6</v>
      </c>
      <c r="F378">
        <v>2</v>
      </c>
      <c r="G378">
        <v>3</v>
      </c>
      <c r="H378">
        <v>377</v>
      </c>
      <c r="I378" s="3" t="s">
        <v>41</v>
      </c>
      <c r="J378" s="2" t="s">
        <v>37</v>
      </c>
      <c r="K378" s="2" t="s">
        <v>18</v>
      </c>
      <c r="L378" s="3" t="s">
        <v>35</v>
      </c>
      <c r="M378" s="2" t="s">
        <v>15</v>
      </c>
    </row>
    <row r="379" spans="1:13" ht="15.75" customHeight="1" x14ac:dyDescent="0.3">
      <c r="A379">
        <v>378</v>
      </c>
      <c r="B379">
        <v>4</v>
      </c>
      <c r="C379">
        <v>1</v>
      </c>
      <c r="D379">
        <v>5</v>
      </c>
      <c r="E379">
        <v>6</v>
      </c>
      <c r="F379">
        <v>3</v>
      </c>
      <c r="G379">
        <v>2</v>
      </c>
      <c r="H379">
        <v>378</v>
      </c>
      <c r="I379" s="3" t="s">
        <v>41</v>
      </c>
      <c r="J379" s="2" t="s">
        <v>37</v>
      </c>
      <c r="K379" s="2" t="s">
        <v>18</v>
      </c>
      <c r="L379" s="3" t="s">
        <v>28</v>
      </c>
      <c r="M379" s="3" t="s">
        <v>32</v>
      </c>
    </row>
    <row r="380" spans="1:13" ht="15.75" customHeight="1" x14ac:dyDescent="0.3">
      <c r="A380">
        <v>379</v>
      </c>
      <c r="B380">
        <v>4</v>
      </c>
      <c r="C380">
        <v>1</v>
      </c>
      <c r="D380">
        <v>6</v>
      </c>
      <c r="E380">
        <v>2</v>
      </c>
      <c r="F380">
        <v>3</v>
      </c>
      <c r="G380">
        <v>5</v>
      </c>
      <c r="H380">
        <v>379</v>
      </c>
      <c r="I380" s="3" t="s">
        <v>41</v>
      </c>
      <c r="J380" s="2" t="s">
        <v>38</v>
      </c>
      <c r="K380" s="3" t="s">
        <v>35</v>
      </c>
      <c r="L380" s="2" t="s">
        <v>15</v>
      </c>
      <c r="M380" s="2" t="s">
        <v>21</v>
      </c>
    </row>
    <row r="381" spans="1:13" ht="15.75" customHeight="1" x14ac:dyDescent="0.3">
      <c r="A381">
        <v>380</v>
      </c>
      <c r="B381">
        <v>4</v>
      </c>
      <c r="C381">
        <v>1</v>
      </c>
      <c r="D381">
        <v>6</v>
      </c>
      <c r="E381">
        <v>2</v>
      </c>
      <c r="F381">
        <v>5</v>
      </c>
      <c r="G381">
        <v>3</v>
      </c>
      <c r="H381">
        <v>380</v>
      </c>
      <c r="I381" s="3" t="s">
        <v>41</v>
      </c>
      <c r="J381" s="2" t="s">
        <v>38</v>
      </c>
      <c r="K381" s="3" t="s">
        <v>35</v>
      </c>
      <c r="L381" s="2" t="s">
        <v>29</v>
      </c>
      <c r="M381" s="3" t="s">
        <v>27</v>
      </c>
    </row>
    <row r="382" spans="1:13" ht="15.75" customHeight="1" x14ac:dyDescent="0.3">
      <c r="A382">
        <v>381</v>
      </c>
      <c r="B382">
        <v>4</v>
      </c>
      <c r="C382">
        <v>1</v>
      </c>
      <c r="D382">
        <v>6</v>
      </c>
      <c r="E382">
        <v>3</v>
      </c>
      <c r="F382">
        <v>2</v>
      </c>
      <c r="G382">
        <v>5</v>
      </c>
      <c r="H382">
        <v>381</v>
      </c>
      <c r="I382" s="3" t="s">
        <v>41</v>
      </c>
      <c r="J382" s="2" t="s">
        <v>38</v>
      </c>
      <c r="K382" s="3" t="s">
        <v>28</v>
      </c>
      <c r="L382" s="3" t="s">
        <v>32</v>
      </c>
      <c r="M382" s="2" t="s">
        <v>29</v>
      </c>
    </row>
    <row r="383" spans="1:13" ht="15.75" customHeight="1" x14ac:dyDescent="0.3">
      <c r="A383">
        <v>382</v>
      </c>
      <c r="B383">
        <v>4</v>
      </c>
      <c r="C383">
        <v>1</v>
      </c>
      <c r="D383">
        <v>6</v>
      </c>
      <c r="E383">
        <v>3</v>
      </c>
      <c r="F383">
        <v>5</v>
      </c>
      <c r="G383">
        <v>2</v>
      </c>
      <c r="H383">
        <v>382</v>
      </c>
      <c r="I383" s="3" t="s">
        <v>41</v>
      </c>
      <c r="J383" s="2" t="s">
        <v>38</v>
      </c>
      <c r="K383" s="3" t="s">
        <v>28</v>
      </c>
      <c r="L383" s="2" t="s">
        <v>21</v>
      </c>
      <c r="M383" s="3" t="s">
        <v>34</v>
      </c>
    </row>
    <row r="384" spans="1:13" ht="15.75" customHeight="1" x14ac:dyDescent="0.3">
      <c r="A384">
        <v>383</v>
      </c>
      <c r="B384">
        <v>4</v>
      </c>
      <c r="C384">
        <v>1</v>
      </c>
      <c r="D384">
        <v>6</v>
      </c>
      <c r="E384">
        <v>5</v>
      </c>
      <c r="F384">
        <v>2</v>
      </c>
      <c r="G384">
        <v>3</v>
      </c>
      <c r="H384">
        <v>383</v>
      </c>
      <c r="I384" s="3" t="s">
        <v>41</v>
      </c>
      <c r="J384" s="2" t="s">
        <v>38</v>
      </c>
      <c r="K384" s="3" t="s">
        <v>20</v>
      </c>
      <c r="L384" s="3" t="s">
        <v>34</v>
      </c>
      <c r="M384" s="2" t="s">
        <v>15</v>
      </c>
    </row>
    <row r="385" spans="1:13" ht="15.75" customHeight="1" x14ac:dyDescent="0.3">
      <c r="A385">
        <v>384</v>
      </c>
      <c r="B385">
        <v>4</v>
      </c>
      <c r="C385">
        <v>1</v>
      </c>
      <c r="D385">
        <v>6</v>
      </c>
      <c r="E385">
        <v>5</v>
      </c>
      <c r="F385">
        <v>3</v>
      </c>
      <c r="G385">
        <v>2</v>
      </c>
      <c r="H385">
        <v>384</v>
      </c>
      <c r="I385" s="3" t="s">
        <v>41</v>
      </c>
      <c r="J385" s="2" t="s">
        <v>38</v>
      </c>
      <c r="K385" s="3" t="s">
        <v>20</v>
      </c>
      <c r="L385" s="3" t="s">
        <v>27</v>
      </c>
      <c r="M385" s="3" t="s">
        <v>32</v>
      </c>
    </row>
    <row r="386" spans="1:13" ht="15.75" customHeight="1" x14ac:dyDescent="0.3">
      <c r="A386">
        <v>385</v>
      </c>
      <c r="B386">
        <v>4</v>
      </c>
      <c r="C386">
        <v>2</v>
      </c>
      <c r="D386">
        <v>1</v>
      </c>
      <c r="E386">
        <v>3</v>
      </c>
      <c r="F386">
        <v>5</v>
      </c>
      <c r="G386">
        <v>6</v>
      </c>
      <c r="H386">
        <v>385</v>
      </c>
      <c r="I386" s="3" t="s">
        <v>33</v>
      </c>
      <c r="J386" s="3" t="s">
        <v>39</v>
      </c>
      <c r="K386" s="2" t="s">
        <v>31</v>
      </c>
      <c r="L386" s="2" t="s">
        <v>21</v>
      </c>
      <c r="M386" s="2" t="s">
        <v>18</v>
      </c>
    </row>
    <row r="387" spans="1:13" ht="15.75" customHeight="1" x14ac:dyDescent="0.3">
      <c r="A387">
        <v>386</v>
      </c>
      <c r="B387">
        <v>4</v>
      </c>
      <c r="C387">
        <v>2</v>
      </c>
      <c r="D387">
        <v>1</v>
      </c>
      <c r="E387">
        <v>3</v>
      </c>
      <c r="F387">
        <v>6</v>
      </c>
      <c r="G387">
        <v>5</v>
      </c>
      <c r="H387">
        <v>386</v>
      </c>
      <c r="I387" s="3" t="s">
        <v>33</v>
      </c>
      <c r="J387" s="3" t="s">
        <v>39</v>
      </c>
      <c r="K387" s="2" t="s">
        <v>31</v>
      </c>
      <c r="L387" s="2" t="s">
        <v>24</v>
      </c>
      <c r="M387" s="3" t="s">
        <v>20</v>
      </c>
    </row>
    <row r="388" spans="1:13" ht="15.75" customHeight="1" x14ac:dyDescent="0.3">
      <c r="A388">
        <v>387</v>
      </c>
      <c r="B388">
        <v>4</v>
      </c>
      <c r="C388">
        <v>2</v>
      </c>
      <c r="D388">
        <v>1</v>
      </c>
      <c r="E388">
        <v>5</v>
      </c>
      <c r="F388">
        <v>3</v>
      </c>
      <c r="G388">
        <v>6</v>
      </c>
      <c r="H388">
        <v>387</v>
      </c>
      <c r="I388" s="3" t="s">
        <v>33</v>
      </c>
      <c r="J388" s="3" t="s">
        <v>39</v>
      </c>
      <c r="K388" s="2" t="s">
        <v>37</v>
      </c>
      <c r="L388" s="3" t="s">
        <v>27</v>
      </c>
      <c r="M388" s="2" t="s">
        <v>24</v>
      </c>
    </row>
    <row r="389" spans="1:13" ht="15.75" customHeight="1" x14ac:dyDescent="0.3">
      <c r="A389">
        <v>388</v>
      </c>
      <c r="B389">
        <v>4</v>
      </c>
      <c r="C389">
        <v>2</v>
      </c>
      <c r="D389">
        <v>1</v>
      </c>
      <c r="E389">
        <v>5</v>
      </c>
      <c r="F389">
        <v>6</v>
      </c>
      <c r="G389">
        <v>3</v>
      </c>
      <c r="H389">
        <v>388</v>
      </c>
      <c r="I389" s="3" t="s">
        <v>33</v>
      </c>
      <c r="J389" s="3" t="s">
        <v>39</v>
      </c>
      <c r="K389" s="2" t="s">
        <v>37</v>
      </c>
      <c r="L389" s="2" t="s">
        <v>18</v>
      </c>
      <c r="M389" s="3" t="s">
        <v>28</v>
      </c>
    </row>
    <row r="390" spans="1:13" ht="15.75" customHeight="1" x14ac:dyDescent="0.3">
      <c r="A390">
        <v>389</v>
      </c>
      <c r="B390">
        <v>4</v>
      </c>
      <c r="C390">
        <v>2</v>
      </c>
      <c r="D390">
        <v>1</v>
      </c>
      <c r="E390">
        <v>6</v>
      </c>
      <c r="F390">
        <v>3</v>
      </c>
      <c r="G390">
        <v>5</v>
      </c>
      <c r="H390">
        <v>389</v>
      </c>
      <c r="I390" s="3" t="s">
        <v>33</v>
      </c>
      <c r="J390" s="3" t="s">
        <v>39</v>
      </c>
      <c r="K390" s="2" t="s">
        <v>38</v>
      </c>
      <c r="L390" s="3" t="s">
        <v>28</v>
      </c>
      <c r="M390" s="2" t="s">
        <v>21</v>
      </c>
    </row>
    <row r="391" spans="1:13" ht="15.75" customHeight="1" x14ac:dyDescent="0.3">
      <c r="A391">
        <v>390</v>
      </c>
      <c r="B391">
        <v>4</v>
      </c>
      <c r="C391">
        <v>2</v>
      </c>
      <c r="D391">
        <v>1</v>
      </c>
      <c r="E391">
        <v>6</v>
      </c>
      <c r="F391">
        <v>5</v>
      </c>
      <c r="G391">
        <v>3</v>
      </c>
      <c r="H391">
        <v>390</v>
      </c>
      <c r="I391" s="3" t="s">
        <v>33</v>
      </c>
      <c r="J391" s="3" t="s">
        <v>39</v>
      </c>
      <c r="K391" s="2" t="s">
        <v>38</v>
      </c>
      <c r="L391" s="3" t="s">
        <v>20</v>
      </c>
      <c r="M391" s="3" t="s">
        <v>27</v>
      </c>
    </row>
    <row r="392" spans="1:13" ht="15.75" customHeight="1" x14ac:dyDescent="0.3">
      <c r="A392">
        <v>391</v>
      </c>
      <c r="B392">
        <v>4</v>
      </c>
      <c r="C392">
        <v>2</v>
      </c>
      <c r="D392">
        <v>3</v>
      </c>
      <c r="E392">
        <v>1</v>
      </c>
      <c r="F392">
        <v>5</v>
      </c>
      <c r="G392">
        <v>6</v>
      </c>
      <c r="H392">
        <v>391</v>
      </c>
      <c r="I392" s="3" t="s">
        <v>33</v>
      </c>
      <c r="J392" s="2" t="s">
        <v>15</v>
      </c>
      <c r="K392" s="3" t="s">
        <v>40</v>
      </c>
      <c r="L392" s="2" t="s">
        <v>37</v>
      </c>
      <c r="M392" s="2" t="s">
        <v>18</v>
      </c>
    </row>
    <row r="393" spans="1:13" ht="15.75" customHeight="1" x14ac:dyDescent="0.3">
      <c r="A393">
        <v>392</v>
      </c>
      <c r="B393">
        <v>4</v>
      </c>
      <c r="C393">
        <v>2</v>
      </c>
      <c r="D393">
        <v>3</v>
      </c>
      <c r="E393">
        <v>1</v>
      </c>
      <c r="F393">
        <v>6</v>
      </c>
      <c r="G393">
        <v>5</v>
      </c>
      <c r="H393">
        <v>392</v>
      </c>
      <c r="I393" s="3" t="s">
        <v>33</v>
      </c>
      <c r="J393" s="2" t="s">
        <v>15</v>
      </c>
      <c r="K393" s="3" t="s">
        <v>40</v>
      </c>
      <c r="L393" s="2" t="s">
        <v>38</v>
      </c>
      <c r="M393" s="3" t="s">
        <v>20</v>
      </c>
    </row>
    <row r="394" spans="1:13" ht="15.75" customHeight="1" x14ac:dyDescent="0.3">
      <c r="A394">
        <v>393</v>
      </c>
      <c r="B394">
        <v>4</v>
      </c>
      <c r="C394">
        <v>2</v>
      </c>
      <c r="D394">
        <v>3</v>
      </c>
      <c r="E394">
        <v>5</v>
      </c>
      <c r="F394">
        <v>1</v>
      </c>
      <c r="G394">
        <v>6</v>
      </c>
      <c r="H394">
        <v>393</v>
      </c>
      <c r="I394" s="3" t="s">
        <v>33</v>
      </c>
      <c r="J394" s="2" t="s">
        <v>15</v>
      </c>
      <c r="K394" s="2" t="s">
        <v>21</v>
      </c>
      <c r="L394" s="3" t="s">
        <v>42</v>
      </c>
      <c r="M394" s="2" t="s">
        <v>38</v>
      </c>
    </row>
    <row r="395" spans="1:13" ht="15.75" customHeight="1" x14ac:dyDescent="0.3">
      <c r="A395">
        <v>394</v>
      </c>
      <c r="B395">
        <v>4</v>
      </c>
      <c r="C395">
        <v>2</v>
      </c>
      <c r="D395">
        <v>3</v>
      </c>
      <c r="E395">
        <v>5</v>
      </c>
      <c r="F395">
        <v>6</v>
      </c>
      <c r="G395">
        <v>1</v>
      </c>
      <c r="H395">
        <v>394</v>
      </c>
      <c r="I395" s="3" t="s">
        <v>33</v>
      </c>
      <c r="J395" s="2" t="s">
        <v>15</v>
      </c>
      <c r="K395" s="2" t="s">
        <v>21</v>
      </c>
      <c r="L395" s="2" t="s">
        <v>18</v>
      </c>
      <c r="M395" s="3" t="s">
        <v>43</v>
      </c>
    </row>
    <row r="396" spans="1:13" ht="15.75" customHeight="1" x14ac:dyDescent="0.3">
      <c r="A396">
        <v>395</v>
      </c>
      <c r="B396">
        <v>4</v>
      </c>
      <c r="C396">
        <v>2</v>
      </c>
      <c r="D396">
        <v>3</v>
      </c>
      <c r="E396">
        <v>6</v>
      </c>
      <c r="F396">
        <v>1</v>
      </c>
      <c r="G396">
        <v>5</v>
      </c>
      <c r="H396">
        <v>395</v>
      </c>
      <c r="I396" s="3" t="s">
        <v>33</v>
      </c>
      <c r="J396" s="2" t="s">
        <v>15</v>
      </c>
      <c r="K396" s="2" t="s">
        <v>24</v>
      </c>
      <c r="L396" s="3" t="s">
        <v>43</v>
      </c>
      <c r="M396" s="2" t="s">
        <v>37</v>
      </c>
    </row>
    <row r="397" spans="1:13" ht="15.75" customHeight="1" x14ac:dyDescent="0.3">
      <c r="A397">
        <v>396</v>
      </c>
      <c r="B397">
        <v>4</v>
      </c>
      <c r="C397">
        <v>2</v>
      </c>
      <c r="D397">
        <v>3</v>
      </c>
      <c r="E397">
        <v>6</v>
      </c>
      <c r="F397">
        <v>5</v>
      </c>
      <c r="G397">
        <v>1</v>
      </c>
      <c r="H397">
        <v>396</v>
      </c>
      <c r="I397" s="3" t="s">
        <v>33</v>
      </c>
      <c r="J397" s="2" t="s">
        <v>15</v>
      </c>
      <c r="K397" s="2" t="s">
        <v>24</v>
      </c>
      <c r="L397" s="3" t="s">
        <v>20</v>
      </c>
      <c r="M397" s="3" t="s">
        <v>42</v>
      </c>
    </row>
    <row r="398" spans="1:13" ht="15.75" customHeight="1" x14ac:dyDescent="0.3">
      <c r="A398">
        <v>397</v>
      </c>
      <c r="B398">
        <v>4</v>
      </c>
      <c r="C398">
        <v>2</v>
      </c>
      <c r="D398">
        <v>5</v>
      </c>
      <c r="E398">
        <v>1</v>
      </c>
      <c r="F398">
        <v>3</v>
      </c>
      <c r="G398">
        <v>6</v>
      </c>
      <c r="H398">
        <v>397</v>
      </c>
      <c r="I398" s="3" t="s">
        <v>33</v>
      </c>
      <c r="J398" s="2" t="s">
        <v>29</v>
      </c>
      <c r="K398" s="3" t="s">
        <v>42</v>
      </c>
      <c r="L398" s="2" t="s">
        <v>31</v>
      </c>
      <c r="M398" s="2" t="s">
        <v>24</v>
      </c>
    </row>
    <row r="399" spans="1:13" ht="15.75" customHeight="1" x14ac:dyDescent="0.3">
      <c r="A399">
        <v>398</v>
      </c>
      <c r="B399">
        <v>4</v>
      </c>
      <c r="C399">
        <v>2</v>
      </c>
      <c r="D399">
        <v>5</v>
      </c>
      <c r="E399">
        <v>1</v>
      </c>
      <c r="F399">
        <v>6</v>
      </c>
      <c r="G399">
        <v>3</v>
      </c>
      <c r="H399">
        <v>398</v>
      </c>
      <c r="I399" s="3" t="s">
        <v>33</v>
      </c>
      <c r="J399" s="2" t="s">
        <v>29</v>
      </c>
      <c r="K399" s="3" t="s">
        <v>42</v>
      </c>
      <c r="L399" s="2" t="s">
        <v>38</v>
      </c>
      <c r="M399" s="3" t="s">
        <v>28</v>
      </c>
    </row>
    <row r="400" spans="1:13" ht="15.75" customHeight="1" x14ac:dyDescent="0.3">
      <c r="A400">
        <v>399</v>
      </c>
      <c r="B400">
        <v>4</v>
      </c>
      <c r="C400">
        <v>2</v>
      </c>
      <c r="D400">
        <v>5</v>
      </c>
      <c r="E400">
        <v>3</v>
      </c>
      <c r="F400">
        <v>1</v>
      </c>
      <c r="G400">
        <v>6</v>
      </c>
      <c r="H400">
        <v>399</v>
      </c>
      <c r="I400" s="3" t="s">
        <v>33</v>
      </c>
      <c r="J400" s="2" t="s">
        <v>29</v>
      </c>
      <c r="K400" s="3" t="s">
        <v>27</v>
      </c>
      <c r="L400" s="3" t="s">
        <v>40</v>
      </c>
      <c r="M400" s="2" t="s">
        <v>38</v>
      </c>
    </row>
    <row r="401" spans="1:13" ht="15.75" customHeight="1" x14ac:dyDescent="0.3">
      <c r="A401">
        <v>400</v>
      </c>
      <c r="B401">
        <v>4</v>
      </c>
      <c r="C401">
        <v>2</v>
      </c>
      <c r="D401">
        <v>5</v>
      </c>
      <c r="E401">
        <v>3</v>
      </c>
      <c r="F401">
        <v>6</v>
      </c>
      <c r="G401">
        <v>1</v>
      </c>
      <c r="H401">
        <v>400</v>
      </c>
      <c r="I401" s="3" t="s">
        <v>33</v>
      </c>
      <c r="J401" s="2" t="s">
        <v>29</v>
      </c>
      <c r="K401" s="3" t="s">
        <v>27</v>
      </c>
      <c r="L401" s="2" t="s">
        <v>24</v>
      </c>
      <c r="M401" s="3" t="s">
        <v>43</v>
      </c>
    </row>
    <row r="402" spans="1:13" ht="15.75" customHeight="1" x14ac:dyDescent="0.3">
      <c r="A402">
        <v>401</v>
      </c>
      <c r="B402">
        <v>4</v>
      </c>
      <c r="C402">
        <v>2</v>
      </c>
      <c r="D402">
        <v>5</v>
      </c>
      <c r="E402">
        <v>6</v>
      </c>
      <c r="F402">
        <v>1</v>
      </c>
      <c r="G402">
        <v>3</v>
      </c>
      <c r="H402">
        <v>401</v>
      </c>
      <c r="I402" s="3" t="s">
        <v>33</v>
      </c>
      <c r="J402" s="2" t="s">
        <v>29</v>
      </c>
      <c r="K402" s="2" t="s">
        <v>18</v>
      </c>
      <c r="L402" s="3" t="s">
        <v>43</v>
      </c>
      <c r="M402" s="2" t="s">
        <v>31</v>
      </c>
    </row>
    <row r="403" spans="1:13" ht="15.75" customHeight="1" x14ac:dyDescent="0.3">
      <c r="A403">
        <v>402</v>
      </c>
      <c r="B403">
        <v>4</v>
      </c>
      <c r="C403">
        <v>2</v>
      </c>
      <c r="D403">
        <v>5</v>
      </c>
      <c r="E403">
        <v>6</v>
      </c>
      <c r="F403">
        <v>3</v>
      </c>
      <c r="G403">
        <v>1</v>
      </c>
      <c r="H403">
        <v>402</v>
      </c>
      <c r="I403" s="3" t="s">
        <v>33</v>
      </c>
      <c r="J403" s="2" t="s">
        <v>29</v>
      </c>
      <c r="K403" s="2" t="s">
        <v>18</v>
      </c>
      <c r="L403" s="3" t="s">
        <v>28</v>
      </c>
      <c r="M403" s="3" t="s">
        <v>40</v>
      </c>
    </row>
    <row r="404" spans="1:13" ht="15.75" customHeight="1" x14ac:dyDescent="0.3">
      <c r="A404">
        <v>403</v>
      </c>
      <c r="B404">
        <v>4</v>
      </c>
      <c r="C404">
        <v>2</v>
      </c>
      <c r="D404">
        <v>6</v>
      </c>
      <c r="E404">
        <v>1</v>
      </c>
      <c r="F404">
        <v>3</v>
      </c>
      <c r="G404">
        <v>5</v>
      </c>
      <c r="H404">
        <v>403</v>
      </c>
      <c r="I404" s="3" t="s">
        <v>33</v>
      </c>
      <c r="J404" s="2" t="s">
        <v>30</v>
      </c>
      <c r="K404" s="3" t="s">
        <v>43</v>
      </c>
      <c r="L404" s="2" t="s">
        <v>31</v>
      </c>
      <c r="M404" s="2" t="s">
        <v>21</v>
      </c>
    </row>
    <row r="405" spans="1:13" ht="15.75" customHeight="1" x14ac:dyDescent="0.3">
      <c r="A405">
        <v>404</v>
      </c>
      <c r="B405">
        <v>4</v>
      </c>
      <c r="C405">
        <v>2</v>
      </c>
      <c r="D405">
        <v>6</v>
      </c>
      <c r="E405">
        <v>1</v>
      </c>
      <c r="F405">
        <v>5</v>
      </c>
      <c r="G405">
        <v>3</v>
      </c>
      <c r="H405">
        <v>404</v>
      </c>
      <c r="I405" s="3" t="s">
        <v>33</v>
      </c>
      <c r="J405" s="2" t="s">
        <v>30</v>
      </c>
      <c r="K405" s="3" t="s">
        <v>43</v>
      </c>
      <c r="L405" s="2" t="s">
        <v>37</v>
      </c>
      <c r="M405" s="3" t="s">
        <v>27</v>
      </c>
    </row>
    <row r="406" spans="1:13" ht="15.75" customHeight="1" x14ac:dyDescent="0.3">
      <c r="A406">
        <v>405</v>
      </c>
      <c r="B406">
        <v>4</v>
      </c>
      <c r="C406">
        <v>2</v>
      </c>
      <c r="D406">
        <v>6</v>
      </c>
      <c r="E406">
        <v>3</v>
      </c>
      <c r="F406">
        <v>1</v>
      </c>
      <c r="G406">
        <v>5</v>
      </c>
      <c r="H406">
        <v>405</v>
      </c>
      <c r="I406" s="3" t="s">
        <v>33</v>
      </c>
      <c r="J406" s="2" t="s">
        <v>30</v>
      </c>
      <c r="K406" s="3" t="s">
        <v>28</v>
      </c>
      <c r="L406" s="3" t="s">
        <v>40</v>
      </c>
      <c r="M406" s="2" t="s">
        <v>37</v>
      </c>
    </row>
    <row r="407" spans="1:13" ht="15.75" customHeight="1" x14ac:dyDescent="0.3">
      <c r="A407">
        <v>406</v>
      </c>
      <c r="B407">
        <v>4</v>
      </c>
      <c r="C407">
        <v>2</v>
      </c>
      <c r="D407">
        <v>6</v>
      </c>
      <c r="E407">
        <v>3</v>
      </c>
      <c r="F407">
        <v>5</v>
      </c>
      <c r="G407">
        <v>1</v>
      </c>
      <c r="H407">
        <v>406</v>
      </c>
      <c r="I407" s="3" t="s">
        <v>33</v>
      </c>
      <c r="J407" s="2" t="s">
        <v>30</v>
      </c>
      <c r="K407" s="3" t="s">
        <v>28</v>
      </c>
      <c r="L407" s="2" t="s">
        <v>21</v>
      </c>
      <c r="M407" s="3" t="s">
        <v>42</v>
      </c>
    </row>
    <row r="408" spans="1:13" ht="15.75" customHeight="1" x14ac:dyDescent="0.3">
      <c r="A408">
        <v>407</v>
      </c>
      <c r="B408">
        <v>4</v>
      </c>
      <c r="C408">
        <v>2</v>
      </c>
      <c r="D408">
        <v>6</v>
      </c>
      <c r="E408">
        <v>5</v>
      </c>
      <c r="F408">
        <v>1</v>
      </c>
      <c r="G408">
        <v>3</v>
      </c>
      <c r="H408">
        <v>407</v>
      </c>
      <c r="I408" s="3" t="s">
        <v>33</v>
      </c>
      <c r="J408" s="2" t="s">
        <v>30</v>
      </c>
      <c r="K408" s="3" t="s">
        <v>20</v>
      </c>
      <c r="L408" s="3" t="s">
        <v>42</v>
      </c>
      <c r="M408" s="2" t="s">
        <v>31</v>
      </c>
    </row>
    <row r="409" spans="1:13" ht="15.75" customHeight="1" x14ac:dyDescent="0.3">
      <c r="A409">
        <v>408</v>
      </c>
      <c r="B409">
        <v>4</v>
      </c>
      <c r="C409">
        <v>2</v>
      </c>
      <c r="D409">
        <v>6</v>
      </c>
      <c r="E409">
        <v>5</v>
      </c>
      <c r="F409">
        <v>3</v>
      </c>
      <c r="G409">
        <v>1</v>
      </c>
      <c r="H409">
        <v>408</v>
      </c>
      <c r="I409" s="3" t="s">
        <v>33</v>
      </c>
      <c r="J409" s="2" t="s">
        <v>30</v>
      </c>
      <c r="K409" s="3" t="s">
        <v>20</v>
      </c>
      <c r="L409" s="3" t="s">
        <v>27</v>
      </c>
      <c r="M409" s="3" t="s">
        <v>40</v>
      </c>
    </row>
    <row r="410" spans="1:13" ht="15.75" customHeight="1" x14ac:dyDescent="0.3">
      <c r="A410">
        <v>409</v>
      </c>
      <c r="B410">
        <v>4</v>
      </c>
      <c r="C410">
        <v>3</v>
      </c>
      <c r="D410">
        <v>1</v>
      </c>
      <c r="E410">
        <v>2</v>
      </c>
      <c r="F410">
        <v>5</v>
      </c>
      <c r="G410">
        <v>6</v>
      </c>
      <c r="H410">
        <v>409</v>
      </c>
      <c r="I410" s="3" t="s">
        <v>26</v>
      </c>
      <c r="J410" s="3" t="s">
        <v>40</v>
      </c>
      <c r="K410" s="2" t="s">
        <v>14</v>
      </c>
      <c r="L410" s="2" t="s">
        <v>29</v>
      </c>
      <c r="M410" s="2" t="s">
        <v>18</v>
      </c>
    </row>
    <row r="411" spans="1:13" ht="15.75" customHeight="1" x14ac:dyDescent="0.3">
      <c r="A411">
        <v>410</v>
      </c>
      <c r="B411">
        <v>4</v>
      </c>
      <c r="C411">
        <v>3</v>
      </c>
      <c r="D411">
        <v>1</v>
      </c>
      <c r="E411">
        <v>2</v>
      </c>
      <c r="F411">
        <v>6</v>
      </c>
      <c r="G411">
        <v>5</v>
      </c>
      <c r="H411">
        <v>410</v>
      </c>
      <c r="I411" s="3" t="s">
        <v>26</v>
      </c>
      <c r="J411" s="3" t="s">
        <v>40</v>
      </c>
      <c r="K411" s="2" t="s">
        <v>14</v>
      </c>
      <c r="L411" s="2" t="s">
        <v>30</v>
      </c>
      <c r="M411" s="3" t="s">
        <v>20</v>
      </c>
    </row>
    <row r="412" spans="1:13" ht="15.75" customHeight="1" x14ac:dyDescent="0.3">
      <c r="A412">
        <v>411</v>
      </c>
      <c r="B412">
        <v>4</v>
      </c>
      <c r="C412">
        <v>3</v>
      </c>
      <c r="D412">
        <v>1</v>
      </c>
      <c r="E412">
        <v>5</v>
      </c>
      <c r="F412">
        <v>2</v>
      </c>
      <c r="G412">
        <v>6</v>
      </c>
      <c r="H412">
        <v>411</v>
      </c>
      <c r="I412" s="3" t="s">
        <v>26</v>
      </c>
      <c r="J412" s="3" t="s">
        <v>40</v>
      </c>
      <c r="K412" s="2" t="s">
        <v>37</v>
      </c>
      <c r="L412" s="3" t="s">
        <v>34</v>
      </c>
      <c r="M412" s="2" t="s">
        <v>30</v>
      </c>
    </row>
    <row r="413" spans="1:13" ht="15.75" customHeight="1" x14ac:dyDescent="0.3">
      <c r="A413">
        <v>412</v>
      </c>
      <c r="B413">
        <v>4</v>
      </c>
      <c r="C413">
        <v>3</v>
      </c>
      <c r="D413">
        <v>1</v>
      </c>
      <c r="E413">
        <v>5</v>
      </c>
      <c r="F413">
        <v>6</v>
      </c>
      <c r="G413">
        <v>2</v>
      </c>
      <c r="H413">
        <v>412</v>
      </c>
      <c r="I413" s="3" t="s">
        <v>26</v>
      </c>
      <c r="J413" s="3" t="s">
        <v>40</v>
      </c>
      <c r="K413" s="2" t="s">
        <v>37</v>
      </c>
      <c r="L413" s="2" t="s">
        <v>18</v>
      </c>
      <c r="M413" s="3" t="s">
        <v>35</v>
      </c>
    </row>
    <row r="414" spans="1:13" ht="15.75" customHeight="1" x14ac:dyDescent="0.3">
      <c r="A414">
        <v>413</v>
      </c>
      <c r="B414">
        <v>4</v>
      </c>
      <c r="C414">
        <v>3</v>
      </c>
      <c r="D414">
        <v>1</v>
      </c>
      <c r="E414">
        <v>6</v>
      </c>
      <c r="F414">
        <v>2</v>
      </c>
      <c r="G414">
        <v>5</v>
      </c>
      <c r="H414">
        <v>413</v>
      </c>
      <c r="I414" s="3" t="s">
        <v>26</v>
      </c>
      <c r="J414" s="3" t="s">
        <v>40</v>
      </c>
      <c r="K414" s="2" t="s">
        <v>38</v>
      </c>
      <c r="L414" s="3" t="s">
        <v>35</v>
      </c>
      <c r="M414" s="2" t="s">
        <v>29</v>
      </c>
    </row>
    <row r="415" spans="1:13" ht="15.75" customHeight="1" x14ac:dyDescent="0.3">
      <c r="A415">
        <v>414</v>
      </c>
      <c r="B415">
        <v>4</v>
      </c>
      <c r="C415">
        <v>3</v>
      </c>
      <c r="D415">
        <v>1</v>
      </c>
      <c r="E415">
        <v>6</v>
      </c>
      <c r="F415">
        <v>5</v>
      </c>
      <c r="G415">
        <v>2</v>
      </c>
      <c r="H415">
        <v>414</v>
      </c>
      <c r="I415" s="3" t="s">
        <v>26</v>
      </c>
      <c r="J415" s="3" t="s">
        <v>40</v>
      </c>
      <c r="K415" s="2" t="s">
        <v>38</v>
      </c>
      <c r="L415" s="3" t="s">
        <v>20</v>
      </c>
      <c r="M415" s="3" t="s">
        <v>34</v>
      </c>
    </row>
    <row r="416" spans="1:13" ht="15.75" customHeight="1" x14ac:dyDescent="0.3">
      <c r="A416">
        <v>415</v>
      </c>
      <c r="B416">
        <v>4</v>
      </c>
      <c r="C416">
        <v>3</v>
      </c>
      <c r="D416">
        <v>2</v>
      </c>
      <c r="E416">
        <v>1</v>
      </c>
      <c r="F416">
        <v>5</v>
      </c>
      <c r="G416">
        <v>6</v>
      </c>
      <c r="H416">
        <v>415</v>
      </c>
      <c r="I416" s="3" t="s">
        <v>26</v>
      </c>
      <c r="J416" s="3" t="s">
        <v>32</v>
      </c>
      <c r="K416" s="3" t="s">
        <v>39</v>
      </c>
      <c r="L416" s="2" t="s">
        <v>37</v>
      </c>
      <c r="M416" s="2" t="s">
        <v>18</v>
      </c>
    </row>
    <row r="417" spans="1:13" ht="15.75" customHeight="1" x14ac:dyDescent="0.3">
      <c r="A417">
        <v>416</v>
      </c>
      <c r="B417">
        <v>4</v>
      </c>
      <c r="C417">
        <v>3</v>
      </c>
      <c r="D417">
        <v>2</v>
      </c>
      <c r="E417">
        <v>1</v>
      </c>
      <c r="F417">
        <v>6</v>
      </c>
      <c r="G417">
        <v>5</v>
      </c>
      <c r="H417">
        <v>416</v>
      </c>
      <c r="I417" s="3" t="s">
        <v>26</v>
      </c>
      <c r="J417" s="3" t="s">
        <v>32</v>
      </c>
      <c r="K417" s="3" t="s">
        <v>39</v>
      </c>
      <c r="L417" s="2" t="s">
        <v>38</v>
      </c>
      <c r="M417" s="3" t="s">
        <v>20</v>
      </c>
    </row>
    <row r="418" spans="1:13" ht="15.75" customHeight="1" x14ac:dyDescent="0.3">
      <c r="A418">
        <v>417</v>
      </c>
      <c r="B418">
        <v>4</v>
      </c>
      <c r="C418">
        <v>3</v>
      </c>
      <c r="D418">
        <v>2</v>
      </c>
      <c r="E418">
        <v>5</v>
      </c>
      <c r="F418">
        <v>1</v>
      </c>
      <c r="G418">
        <v>6</v>
      </c>
      <c r="H418">
        <v>417</v>
      </c>
      <c r="I418" s="3" t="s">
        <v>26</v>
      </c>
      <c r="J418" s="3" t="s">
        <v>32</v>
      </c>
      <c r="K418" s="2" t="s">
        <v>29</v>
      </c>
      <c r="L418" s="3" t="s">
        <v>42</v>
      </c>
      <c r="M418" s="2" t="s">
        <v>38</v>
      </c>
    </row>
    <row r="419" spans="1:13" ht="15.75" customHeight="1" x14ac:dyDescent="0.3">
      <c r="A419">
        <v>418</v>
      </c>
      <c r="B419">
        <v>4</v>
      </c>
      <c r="C419">
        <v>3</v>
      </c>
      <c r="D419">
        <v>2</v>
      </c>
      <c r="E419">
        <v>5</v>
      </c>
      <c r="F419">
        <v>6</v>
      </c>
      <c r="G419">
        <v>1</v>
      </c>
      <c r="H419">
        <v>418</v>
      </c>
      <c r="I419" s="3" t="s">
        <v>26</v>
      </c>
      <c r="J419" s="3" t="s">
        <v>32</v>
      </c>
      <c r="K419" s="2" t="s">
        <v>29</v>
      </c>
      <c r="L419" s="2" t="s">
        <v>18</v>
      </c>
      <c r="M419" s="3" t="s">
        <v>43</v>
      </c>
    </row>
    <row r="420" spans="1:13" ht="15.75" customHeight="1" x14ac:dyDescent="0.3">
      <c r="A420">
        <v>419</v>
      </c>
      <c r="B420">
        <v>4</v>
      </c>
      <c r="C420">
        <v>3</v>
      </c>
      <c r="D420">
        <v>2</v>
      </c>
      <c r="E420">
        <v>6</v>
      </c>
      <c r="F420">
        <v>1</v>
      </c>
      <c r="G420">
        <v>5</v>
      </c>
      <c r="H420">
        <v>419</v>
      </c>
      <c r="I420" s="3" t="s">
        <v>26</v>
      </c>
      <c r="J420" s="3" t="s">
        <v>32</v>
      </c>
      <c r="K420" s="2" t="s">
        <v>30</v>
      </c>
      <c r="L420" s="3" t="s">
        <v>43</v>
      </c>
      <c r="M420" s="2" t="s">
        <v>37</v>
      </c>
    </row>
    <row r="421" spans="1:13" ht="15.75" customHeight="1" x14ac:dyDescent="0.3">
      <c r="A421">
        <v>420</v>
      </c>
      <c r="B421">
        <v>4</v>
      </c>
      <c r="C421">
        <v>3</v>
      </c>
      <c r="D421">
        <v>2</v>
      </c>
      <c r="E421">
        <v>6</v>
      </c>
      <c r="F421">
        <v>5</v>
      </c>
      <c r="G421">
        <v>1</v>
      </c>
      <c r="H421">
        <v>420</v>
      </c>
      <c r="I421" s="3" t="s">
        <v>26</v>
      </c>
      <c r="J421" s="3" t="s">
        <v>32</v>
      </c>
      <c r="K421" s="2" t="s">
        <v>30</v>
      </c>
      <c r="L421" s="3" t="s">
        <v>20</v>
      </c>
      <c r="M421" s="3" t="s">
        <v>42</v>
      </c>
    </row>
    <row r="422" spans="1:13" ht="15.75" customHeight="1" x14ac:dyDescent="0.3">
      <c r="A422">
        <v>421</v>
      </c>
      <c r="B422">
        <v>4</v>
      </c>
      <c r="C422">
        <v>3</v>
      </c>
      <c r="D422">
        <v>5</v>
      </c>
      <c r="E422">
        <v>1</v>
      </c>
      <c r="F422">
        <v>2</v>
      </c>
      <c r="G422">
        <v>6</v>
      </c>
      <c r="H422">
        <v>421</v>
      </c>
      <c r="I422" s="3" t="s">
        <v>26</v>
      </c>
      <c r="J422" s="2" t="s">
        <v>21</v>
      </c>
      <c r="K422" s="3" t="s">
        <v>42</v>
      </c>
      <c r="L422" s="2" t="s">
        <v>14</v>
      </c>
      <c r="M422" s="2" t="s">
        <v>30</v>
      </c>
    </row>
    <row r="423" spans="1:13" ht="15.75" customHeight="1" x14ac:dyDescent="0.3">
      <c r="A423">
        <v>422</v>
      </c>
      <c r="B423">
        <v>4</v>
      </c>
      <c r="C423">
        <v>3</v>
      </c>
      <c r="D423">
        <v>5</v>
      </c>
      <c r="E423">
        <v>1</v>
      </c>
      <c r="F423">
        <v>6</v>
      </c>
      <c r="G423">
        <v>2</v>
      </c>
      <c r="H423">
        <v>422</v>
      </c>
      <c r="I423" s="3" t="s">
        <v>26</v>
      </c>
      <c r="J423" s="2" t="s">
        <v>21</v>
      </c>
      <c r="K423" s="3" t="s">
        <v>42</v>
      </c>
      <c r="L423" s="2" t="s">
        <v>38</v>
      </c>
      <c r="M423" s="3" t="s">
        <v>35</v>
      </c>
    </row>
    <row r="424" spans="1:13" ht="15.75" customHeight="1" x14ac:dyDescent="0.3">
      <c r="A424">
        <v>423</v>
      </c>
      <c r="B424">
        <v>4</v>
      </c>
      <c r="C424">
        <v>3</v>
      </c>
      <c r="D424">
        <v>5</v>
      </c>
      <c r="E424">
        <v>2</v>
      </c>
      <c r="F424">
        <v>1</v>
      </c>
      <c r="G424">
        <v>6</v>
      </c>
      <c r="H424">
        <v>423</v>
      </c>
      <c r="I424" s="3" t="s">
        <v>26</v>
      </c>
      <c r="J424" s="2" t="s">
        <v>21</v>
      </c>
      <c r="K424" s="3" t="s">
        <v>34</v>
      </c>
      <c r="L424" s="3" t="s">
        <v>39</v>
      </c>
      <c r="M424" s="2" t="s">
        <v>38</v>
      </c>
    </row>
    <row r="425" spans="1:13" ht="15.75" customHeight="1" x14ac:dyDescent="0.3">
      <c r="A425">
        <v>424</v>
      </c>
      <c r="B425">
        <v>4</v>
      </c>
      <c r="C425">
        <v>3</v>
      </c>
      <c r="D425">
        <v>5</v>
      </c>
      <c r="E425">
        <v>2</v>
      </c>
      <c r="F425">
        <v>6</v>
      </c>
      <c r="G425">
        <v>1</v>
      </c>
      <c r="H425">
        <v>424</v>
      </c>
      <c r="I425" s="3" t="s">
        <v>26</v>
      </c>
      <c r="J425" s="2" t="s">
        <v>21</v>
      </c>
      <c r="K425" s="3" t="s">
        <v>34</v>
      </c>
      <c r="L425" s="2" t="s">
        <v>30</v>
      </c>
      <c r="M425" s="3" t="s">
        <v>43</v>
      </c>
    </row>
    <row r="426" spans="1:13" ht="15.75" customHeight="1" x14ac:dyDescent="0.3">
      <c r="A426">
        <v>425</v>
      </c>
      <c r="B426">
        <v>4</v>
      </c>
      <c r="C426">
        <v>3</v>
      </c>
      <c r="D426">
        <v>5</v>
      </c>
      <c r="E426">
        <v>6</v>
      </c>
      <c r="F426">
        <v>1</v>
      </c>
      <c r="G426">
        <v>2</v>
      </c>
      <c r="H426">
        <v>425</v>
      </c>
      <c r="I426" s="3" t="s">
        <v>26</v>
      </c>
      <c r="J426" s="2" t="s">
        <v>21</v>
      </c>
      <c r="K426" s="2" t="s">
        <v>18</v>
      </c>
      <c r="L426" s="3" t="s">
        <v>43</v>
      </c>
      <c r="M426" s="2" t="s">
        <v>14</v>
      </c>
    </row>
    <row r="427" spans="1:13" ht="15.75" customHeight="1" x14ac:dyDescent="0.3">
      <c r="A427">
        <v>426</v>
      </c>
      <c r="B427">
        <v>4</v>
      </c>
      <c r="C427">
        <v>3</v>
      </c>
      <c r="D427">
        <v>5</v>
      </c>
      <c r="E427">
        <v>6</v>
      </c>
      <c r="F427">
        <v>2</v>
      </c>
      <c r="G427">
        <v>1</v>
      </c>
      <c r="H427">
        <v>426</v>
      </c>
      <c r="I427" s="3" t="s">
        <v>26</v>
      </c>
      <c r="J427" s="2" t="s">
        <v>21</v>
      </c>
      <c r="K427" s="2" t="s">
        <v>18</v>
      </c>
      <c r="L427" s="3" t="s">
        <v>35</v>
      </c>
      <c r="M427" s="3" t="s">
        <v>39</v>
      </c>
    </row>
    <row r="428" spans="1:13" ht="15.75" customHeight="1" x14ac:dyDescent="0.3">
      <c r="A428">
        <v>427</v>
      </c>
      <c r="B428">
        <v>4</v>
      </c>
      <c r="C428">
        <v>3</v>
      </c>
      <c r="D428">
        <v>6</v>
      </c>
      <c r="E428">
        <v>1</v>
      </c>
      <c r="F428">
        <v>2</v>
      </c>
      <c r="G428">
        <v>5</v>
      </c>
      <c r="H428">
        <v>427</v>
      </c>
      <c r="I428" s="3" t="s">
        <v>26</v>
      </c>
      <c r="J428" s="2" t="s">
        <v>24</v>
      </c>
      <c r="K428" s="3" t="s">
        <v>43</v>
      </c>
      <c r="L428" s="2" t="s">
        <v>14</v>
      </c>
      <c r="M428" s="2" t="s">
        <v>29</v>
      </c>
    </row>
    <row r="429" spans="1:13" ht="15.75" customHeight="1" x14ac:dyDescent="0.3">
      <c r="A429">
        <v>428</v>
      </c>
      <c r="B429">
        <v>4</v>
      </c>
      <c r="C429">
        <v>3</v>
      </c>
      <c r="D429">
        <v>6</v>
      </c>
      <c r="E429">
        <v>1</v>
      </c>
      <c r="F429">
        <v>5</v>
      </c>
      <c r="G429">
        <v>2</v>
      </c>
      <c r="H429">
        <v>428</v>
      </c>
      <c r="I429" s="3" t="s">
        <v>26</v>
      </c>
      <c r="J429" s="2" t="s">
        <v>24</v>
      </c>
      <c r="K429" s="3" t="s">
        <v>43</v>
      </c>
      <c r="L429" s="2" t="s">
        <v>37</v>
      </c>
      <c r="M429" s="3" t="s">
        <v>34</v>
      </c>
    </row>
    <row r="430" spans="1:13" ht="15.75" customHeight="1" x14ac:dyDescent="0.3">
      <c r="A430">
        <v>429</v>
      </c>
      <c r="B430">
        <v>4</v>
      </c>
      <c r="C430">
        <v>3</v>
      </c>
      <c r="D430">
        <v>6</v>
      </c>
      <c r="E430">
        <v>2</v>
      </c>
      <c r="F430">
        <v>1</v>
      </c>
      <c r="G430">
        <v>5</v>
      </c>
      <c r="H430">
        <v>429</v>
      </c>
      <c r="I430" s="3" t="s">
        <v>26</v>
      </c>
      <c r="J430" s="2" t="s">
        <v>24</v>
      </c>
      <c r="K430" s="3" t="s">
        <v>35</v>
      </c>
      <c r="L430" s="3" t="s">
        <v>39</v>
      </c>
      <c r="M430" s="2" t="s">
        <v>37</v>
      </c>
    </row>
    <row r="431" spans="1:13" ht="15.75" customHeight="1" x14ac:dyDescent="0.3">
      <c r="A431">
        <v>430</v>
      </c>
      <c r="B431">
        <v>4</v>
      </c>
      <c r="C431">
        <v>3</v>
      </c>
      <c r="D431">
        <v>6</v>
      </c>
      <c r="E431">
        <v>2</v>
      </c>
      <c r="F431">
        <v>5</v>
      </c>
      <c r="G431">
        <v>1</v>
      </c>
      <c r="H431">
        <v>430</v>
      </c>
      <c r="I431" s="3" t="s">
        <v>26</v>
      </c>
      <c r="J431" s="2" t="s">
        <v>24</v>
      </c>
      <c r="K431" s="3" t="s">
        <v>35</v>
      </c>
      <c r="L431" s="2" t="s">
        <v>29</v>
      </c>
      <c r="M431" s="3" t="s">
        <v>42</v>
      </c>
    </row>
    <row r="432" spans="1:13" ht="15.75" customHeight="1" x14ac:dyDescent="0.3">
      <c r="A432">
        <v>431</v>
      </c>
      <c r="B432">
        <v>4</v>
      </c>
      <c r="C432">
        <v>3</v>
      </c>
      <c r="D432">
        <v>6</v>
      </c>
      <c r="E432">
        <v>5</v>
      </c>
      <c r="F432">
        <v>1</v>
      </c>
      <c r="G432">
        <v>2</v>
      </c>
      <c r="H432">
        <v>431</v>
      </c>
      <c r="I432" s="3" t="s">
        <v>26</v>
      </c>
      <c r="J432" s="2" t="s">
        <v>24</v>
      </c>
      <c r="K432" s="3" t="s">
        <v>20</v>
      </c>
      <c r="L432" s="3" t="s">
        <v>42</v>
      </c>
      <c r="M432" s="2" t="s">
        <v>14</v>
      </c>
    </row>
    <row r="433" spans="1:13" ht="15.75" customHeight="1" x14ac:dyDescent="0.3">
      <c r="A433">
        <v>432</v>
      </c>
      <c r="B433">
        <v>4</v>
      </c>
      <c r="C433">
        <v>3</v>
      </c>
      <c r="D433">
        <v>6</v>
      </c>
      <c r="E433">
        <v>5</v>
      </c>
      <c r="F433">
        <v>2</v>
      </c>
      <c r="G433">
        <v>1</v>
      </c>
      <c r="H433">
        <v>432</v>
      </c>
      <c r="I433" s="3" t="s">
        <v>26</v>
      </c>
      <c r="J433" s="2" t="s">
        <v>24</v>
      </c>
      <c r="K433" s="3" t="s">
        <v>20</v>
      </c>
      <c r="L433" s="3" t="s">
        <v>34</v>
      </c>
      <c r="M433" s="3" t="s">
        <v>39</v>
      </c>
    </row>
    <row r="434" spans="1:13" ht="15.75" customHeight="1" x14ac:dyDescent="0.3">
      <c r="A434">
        <v>433</v>
      </c>
      <c r="B434">
        <v>4</v>
      </c>
      <c r="C434">
        <v>5</v>
      </c>
      <c r="D434">
        <v>1</v>
      </c>
      <c r="E434">
        <v>2</v>
      </c>
      <c r="F434">
        <v>3</v>
      </c>
      <c r="G434">
        <v>6</v>
      </c>
      <c r="H434">
        <v>433</v>
      </c>
      <c r="I434" s="2" t="s">
        <v>17</v>
      </c>
      <c r="J434" s="3" t="s">
        <v>42</v>
      </c>
      <c r="K434" s="2" t="s">
        <v>14</v>
      </c>
      <c r="L434" s="2" t="s">
        <v>15</v>
      </c>
      <c r="M434" s="2" t="s">
        <v>24</v>
      </c>
    </row>
    <row r="435" spans="1:13" ht="15.75" customHeight="1" x14ac:dyDescent="0.3">
      <c r="A435">
        <v>434</v>
      </c>
      <c r="B435">
        <v>4</v>
      </c>
      <c r="C435">
        <v>5</v>
      </c>
      <c r="D435">
        <v>1</v>
      </c>
      <c r="E435">
        <v>2</v>
      </c>
      <c r="F435">
        <v>6</v>
      </c>
      <c r="G435">
        <v>3</v>
      </c>
      <c r="H435">
        <v>434</v>
      </c>
      <c r="I435" s="2" t="s">
        <v>17</v>
      </c>
      <c r="J435" s="3" t="s">
        <v>42</v>
      </c>
      <c r="K435" s="2" t="s">
        <v>14</v>
      </c>
      <c r="L435" s="2" t="s">
        <v>30</v>
      </c>
      <c r="M435" s="3" t="s">
        <v>28</v>
      </c>
    </row>
    <row r="436" spans="1:13" ht="15.75" customHeight="1" x14ac:dyDescent="0.3">
      <c r="A436">
        <v>435</v>
      </c>
      <c r="B436">
        <v>4</v>
      </c>
      <c r="C436">
        <v>5</v>
      </c>
      <c r="D436">
        <v>1</v>
      </c>
      <c r="E436">
        <v>3</v>
      </c>
      <c r="F436">
        <v>2</v>
      </c>
      <c r="G436">
        <v>6</v>
      </c>
      <c r="H436">
        <v>435</v>
      </c>
      <c r="I436" s="2" t="s">
        <v>17</v>
      </c>
      <c r="J436" s="3" t="s">
        <v>42</v>
      </c>
      <c r="K436" s="2" t="s">
        <v>31</v>
      </c>
      <c r="L436" s="3" t="s">
        <v>32</v>
      </c>
      <c r="M436" s="2" t="s">
        <v>30</v>
      </c>
    </row>
    <row r="437" spans="1:13" ht="15.75" customHeight="1" x14ac:dyDescent="0.3">
      <c r="A437">
        <v>436</v>
      </c>
      <c r="B437">
        <v>4</v>
      </c>
      <c r="C437">
        <v>5</v>
      </c>
      <c r="D437">
        <v>1</v>
      </c>
      <c r="E437">
        <v>3</v>
      </c>
      <c r="F437">
        <v>6</v>
      </c>
      <c r="G437">
        <v>2</v>
      </c>
      <c r="H437">
        <v>436</v>
      </c>
      <c r="I437" s="2" t="s">
        <v>17</v>
      </c>
      <c r="J437" s="3" t="s">
        <v>42</v>
      </c>
      <c r="K437" s="2" t="s">
        <v>31</v>
      </c>
      <c r="L437" s="2" t="s">
        <v>24</v>
      </c>
      <c r="M437" s="3" t="s">
        <v>35</v>
      </c>
    </row>
    <row r="438" spans="1:13" ht="15.75" customHeight="1" x14ac:dyDescent="0.3">
      <c r="A438">
        <v>437</v>
      </c>
      <c r="B438">
        <v>4</v>
      </c>
      <c r="C438">
        <v>5</v>
      </c>
      <c r="D438">
        <v>1</v>
      </c>
      <c r="E438">
        <v>6</v>
      </c>
      <c r="F438">
        <v>2</v>
      </c>
      <c r="G438">
        <v>3</v>
      </c>
      <c r="H438">
        <v>437</v>
      </c>
      <c r="I438" s="2" t="s">
        <v>17</v>
      </c>
      <c r="J438" s="3" t="s">
        <v>42</v>
      </c>
      <c r="K438" s="2" t="s">
        <v>38</v>
      </c>
      <c r="L438" s="3" t="s">
        <v>35</v>
      </c>
      <c r="M438" s="2" t="s">
        <v>15</v>
      </c>
    </row>
    <row r="439" spans="1:13" ht="15.75" customHeight="1" x14ac:dyDescent="0.3">
      <c r="A439">
        <v>438</v>
      </c>
      <c r="B439">
        <v>4</v>
      </c>
      <c r="C439">
        <v>5</v>
      </c>
      <c r="D439">
        <v>1</v>
      </c>
      <c r="E439">
        <v>6</v>
      </c>
      <c r="F439">
        <v>3</v>
      </c>
      <c r="G439">
        <v>2</v>
      </c>
      <c r="H439">
        <v>438</v>
      </c>
      <c r="I439" s="2" t="s">
        <v>17</v>
      </c>
      <c r="J439" s="3" t="s">
        <v>42</v>
      </c>
      <c r="K439" s="2" t="s">
        <v>38</v>
      </c>
      <c r="L439" s="3" t="s">
        <v>28</v>
      </c>
      <c r="M439" s="3" t="s">
        <v>32</v>
      </c>
    </row>
    <row r="440" spans="1:13" ht="15.75" customHeight="1" x14ac:dyDescent="0.3">
      <c r="A440">
        <v>439</v>
      </c>
      <c r="B440">
        <v>4</v>
      </c>
      <c r="C440">
        <v>5</v>
      </c>
      <c r="D440">
        <v>2</v>
      </c>
      <c r="E440">
        <v>1</v>
      </c>
      <c r="F440">
        <v>3</v>
      </c>
      <c r="G440">
        <v>6</v>
      </c>
      <c r="H440">
        <v>439</v>
      </c>
      <c r="I440" s="2" t="s">
        <v>17</v>
      </c>
      <c r="J440" s="3" t="s">
        <v>34</v>
      </c>
      <c r="K440" s="3" t="s">
        <v>39</v>
      </c>
      <c r="L440" s="2" t="s">
        <v>31</v>
      </c>
      <c r="M440" s="2" t="s">
        <v>24</v>
      </c>
    </row>
    <row r="441" spans="1:13" ht="15.75" customHeight="1" x14ac:dyDescent="0.3">
      <c r="A441">
        <v>440</v>
      </c>
      <c r="B441">
        <v>4</v>
      </c>
      <c r="C441">
        <v>5</v>
      </c>
      <c r="D441">
        <v>2</v>
      </c>
      <c r="E441">
        <v>1</v>
      </c>
      <c r="F441">
        <v>6</v>
      </c>
      <c r="G441">
        <v>3</v>
      </c>
      <c r="H441">
        <v>440</v>
      </c>
      <c r="I441" s="2" t="s">
        <v>17</v>
      </c>
      <c r="J441" s="3" t="s">
        <v>34</v>
      </c>
      <c r="K441" s="3" t="s">
        <v>39</v>
      </c>
      <c r="L441" s="2" t="s">
        <v>38</v>
      </c>
      <c r="M441" s="3" t="s">
        <v>28</v>
      </c>
    </row>
    <row r="442" spans="1:13" ht="15.75" customHeight="1" x14ac:dyDescent="0.3">
      <c r="A442">
        <v>441</v>
      </c>
      <c r="B442">
        <v>4</v>
      </c>
      <c r="C442">
        <v>5</v>
      </c>
      <c r="D442">
        <v>2</v>
      </c>
      <c r="E442">
        <v>3</v>
      </c>
      <c r="F442">
        <v>1</v>
      </c>
      <c r="G442">
        <v>6</v>
      </c>
      <c r="H442">
        <v>441</v>
      </c>
      <c r="I442" s="2" t="s">
        <v>17</v>
      </c>
      <c r="J442" s="3" t="s">
        <v>34</v>
      </c>
      <c r="K442" s="2" t="s">
        <v>15</v>
      </c>
      <c r="L442" s="3" t="s">
        <v>40</v>
      </c>
      <c r="M442" s="2" t="s">
        <v>38</v>
      </c>
    </row>
    <row r="443" spans="1:13" ht="15.75" customHeight="1" x14ac:dyDescent="0.3">
      <c r="A443">
        <v>442</v>
      </c>
      <c r="B443">
        <v>4</v>
      </c>
      <c r="C443">
        <v>5</v>
      </c>
      <c r="D443">
        <v>2</v>
      </c>
      <c r="E443">
        <v>3</v>
      </c>
      <c r="F443">
        <v>6</v>
      </c>
      <c r="G443">
        <v>1</v>
      </c>
      <c r="H443">
        <v>442</v>
      </c>
      <c r="I443" s="2" t="s">
        <v>17</v>
      </c>
      <c r="J443" s="3" t="s">
        <v>34</v>
      </c>
      <c r="K443" s="2" t="s">
        <v>15</v>
      </c>
      <c r="L443" s="2" t="s">
        <v>24</v>
      </c>
      <c r="M443" s="3" t="s">
        <v>43</v>
      </c>
    </row>
    <row r="444" spans="1:13" ht="15.75" customHeight="1" x14ac:dyDescent="0.3">
      <c r="A444">
        <v>443</v>
      </c>
      <c r="B444">
        <v>4</v>
      </c>
      <c r="C444">
        <v>5</v>
      </c>
      <c r="D444">
        <v>2</v>
      </c>
      <c r="E444">
        <v>6</v>
      </c>
      <c r="F444">
        <v>1</v>
      </c>
      <c r="G444">
        <v>3</v>
      </c>
      <c r="H444">
        <v>443</v>
      </c>
      <c r="I444" s="2" t="s">
        <v>17</v>
      </c>
      <c r="J444" s="3" t="s">
        <v>34</v>
      </c>
      <c r="K444" s="2" t="s">
        <v>30</v>
      </c>
      <c r="L444" s="3" t="s">
        <v>43</v>
      </c>
      <c r="M444" s="2" t="s">
        <v>31</v>
      </c>
    </row>
    <row r="445" spans="1:13" ht="15.75" customHeight="1" x14ac:dyDescent="0.3">
      <c r="A445">
        <v>444</v>
      </c>
      <c r="B445">
        <v>4</v>
      </c>
      <c r="C445">
        <v>5</v>
      </c>
      <c r="D445">
        <v>2</v>
      </c>
      <c r="E445">
        <v>6</v>
      </c>
      <c r="F445">
        <v>3</v>
      </c>
      <c r="G445">
        <v>1</v>
      </c>
      <c r="H445">
        <v>444</v>
      </c>
      <c r="I445" s="2" t="s">
        <v>17</v>
      </c>
      <c r="J445" s="3" t="s">
        <v>34</v>
      </c>
      <c r="K445" s="2" t="s">
        <v>30</v>
      </c>
      <c r="L445" s="3" t="s">
        <v>28</v>
      </c>
      <c r="M445" s="3" t="s">
        <v>40</v>
      </c>
    </row>
    <row r="446" spans="1:13" ht="15.75" customHeight="1" x14ac:dyDescent="0.3">
      <c r="A446">
        <v>445</v>
      </c>
      <c r="B446">
        <v>4</v>
      </c>
      <c r="C446">
        <v>5</v>
      </c>
      <c r="D446">
        <v>3</v>
      </c>
      <c r="E446">
        <v>1</v>
      </c>
      <c r="F446">
        <v>2</v>
      </c>
      <c r="G446">
        <v>6</v>
      </c>
      <c r="H446">
        <v>445</v>
      </c>
      <c r="I446" s="2" t="s">
        <v>17</v>
      </c>
      <c r="J446" s="3" t="s">
        <v>27</v>
      </c>
      <c r="K446" s="3" t="s">
        <v>40</v>
      </c>
      <c r="L446" s="2" t="s">
        <v>14</v>
      </c>
      <c r="M446" s="2" t="s">
        <v>30</v>
      </c>
    </row>
    <row r="447" spans="1:13" ht="15.75" customHeight="1" x14ac:dyDescent="0.3">
      <c r="A447">
        <v>446</v>
      </c>
      <c r="B447">
        <v>4</v>
      </c>
      <c r="C447">
        <v>5</v>
      </c>
      <c r="D447">
        <v>3</v>
      </c>
      <c r="E447">
        <v>1</v>
      </c>
      <c r="F447">
        <v>6</v>
      </c>
      <c r="G447">
        <v>2</v>
      </c>
      <c r="H447">
        <v>446</v>
      </c>
      <c r="I447" s="2" t="s">
        <v>17</v>
      </c>
      <c r="J447" s="3" t="s">
        <v>27</v>
      </c>
      <c r="K447" s="3" t="s">
        <v>40</v>
      </c>
      <c r="L447" s="2" t="s">
        <v>38</v>
      </c>
      <c r="M447" s="3" t="s">
        <v>35</v>
      </c>
    </row>
    <row r="448" spans="1:13" ht="15.75" customHeight="1" x14ac:dyDescent="0.3">
      <c r="A448">
        <v>447</v>
      </c>
      <c r="B448">
        <v>4</v>
      </c>
      <c r="C448">
        <v>5</v>
      </c>
      <c r="D448">
        <v>3</v>
      </c>
      <c r="E448">
        <v>2</v>
      </c>
      <c r="F448">
        <v>1</v>
      </c>
      <c r="G448">
        <v>6</v>
      </c>
      <c r="H448">
        <v>447</v>
      </c>
      <c r="I448" s="2" t="s">
        <v>17</v>
      </c>
      <c r="J448" s="3" t="s">
        <v>27</v>
      </c>
      <c r="K448" s="3" t="s">
        <v>32</v>
      </c>
      <c r="L448" s="3" t="s">
        <v>39</v>
      </c>
      <c r="M448" s="2" t="s">
        <v>38</v>
      </c>
    </row>
    <row r="449" spans="1:13" ht="15.75" customHeight="1" x14ac:dyDescent="0.3">
      <c r="A449">
        <v>448</v>
      </c>
      <c r="B449">
        <v>4</v>
      </c>
      <c r="C449">
        <v>5</v>
      </c>
      <c r="D449">
        <v>3</v>
      </c>
      <c r="E449">
        <v>2</v>
      </c>
      <c r="F449">
        <v>6</v>
      </c>
      <c r="G449">
        <v>1</v>
      </c>
      <c r="H449">
        <v>448</v>
      </c>
      <c r="I449" s="2" t="s">
        <v>17</v>
      </c>
      <c r="J449" s="3" t="s">
        <v>27</v>
      </c>
      <c r="K449" s="3" t="s">
        <v>32</v>
      </c>
      <c r="L449" s="2" t="s">
        <v>30</v>
      </c>
      <c r="M449" s="3" t="s">
        <v>43</v>
      </c>
    </row>
    <row r="450" spans="1:13" ht="15.75" customHeight="1" x14ac:dyDescent="0.3">
      <c r="A450">
        <v>449</v>
      </c>
      <c r="B450">
        <v>4</v>
      </c>
      <c r="C450">
        <v>5</v>
      </c>
      <c r="D450">
        <v>3</v>
      </c>
      <c r="E450">
        <v>6</v>
      </c>
      <c r="F450">
        <v>1</v>
      </c>
      <c r="G450">
        <v>2</v>
      </c>
      <c r="H450">
        <v>449</v>
      </c>
      <c r="I450" s="2" t="s">
        <v>17</v>
      </c>
      <c r="J450" s="3" t="s">
        <v>27</v>
      </c>
      <c r="K450" s="2" t="s">
        <v>24</v>
      </c>
      <c r="L450" s="3" t="s">
        <v>43</v>
      </c>
      <c r="M450" s="2" t="s">
        <v>14</v>
      </c>
    </row>
    <row r="451" spans="1:13" ht="15.75" customHeight="1" x14ac:dyDescent="0.3">
      <c r="A451">
        <v>450</v>
      </c>
      <c r="B451">
        <v>4</v>
      </c>
      <c r="C451">
        <v>5</v>
      </c>
      <c r="D451">
        <v>3</v>
      </c>
      <c r="E451">
        <v>6</v>
      </c>
      <c r="F451">
        <v>2</v>
      </c>
      <c r="G451">
        <v>1</v>
      </c>
      <c r="H451">
        <v>450</v>
      </c>
      <c r="I451" s="2" t="s">
        <v>17</v>
      </c>
      <c r="J451" s="3" t="s">
        <v>27</v>
      </c>
      <c r="K451" s="2" t="s">
        <v>24</v>
      </c>
      <c r="L451" s="3" t="s">
        <v>35</v>
      </c>
      <c r="M451" s="3" t="s">
        <v>39</v>
      </c>
    </row>
    <row r="452" spans="1:13" ht="15.75" customHeight="1" x14ac:dyDescent="0.3">
      <c r="A452">
        <v>451</v>
      </c>
      <c r="B452">
        <v>4</v>
      </c>
      <c r="C452">
        <v>5</v>
      </c>
      <c r="D452">
        <v>6</v>
      </c>
      <c r="E452">
        <v>1</v>
      </c>
      <c r="F452">
        <v>2</v>
      </c>
      <c r="G452">
        <v>3</v>
      </c>
      <c r="H452">
        <v>451</v>
      </c>
      <c r="I452" s="2" t="s">
        <v>17</v>
      </c>
      <c r="J452" s="2" t="s">
        <v>18</v>
      </c>
      <c r="K452" s="3" t="s">
        <v>43</v>
      </c>
      <c r="L452" s="2" t="s">
        <v>14</v>
      </c>
      <c r="M452" s="2" t="s">
        <v>15</v>
      </c>
    </row>
    <row r="453" spans="1:13" ht="15.75" customHeight="1" x14ac:dyDescent="0.3">
      <c r="A453">
        <v>452</v>
      </c>
      <c r="B453">
        <v>4</v>
      </c>
      <c r="C453">
        <v>5</v>
      </c>
      <c r="D453">
        <v>6</v>
      </c>
      <c r="E453">
        <v>1</v>
      </c>
      <c r="F453">
        <v>3</v>
      </c>
      <c r="G453">
        <v>2</v>
      </c>
      <c r="H453">
        <v>452</v>
      </c>
      <c r="I453" s="2" t="s">
        <v>17</v>
      </c>
      <c r="J453" s="2" t="s">
        <v>18</v>
      </c>
      <c r="K453" s="3" t="s">
        <v>43</v>
      </c>
      <c r="L453" s="2" t="s">
        <v>31</v>
      </c>
      <c r="M453" s="3" t="s">
        <v>32</v>
      </c>
    </row>
    <row r="454" spans="1:13" ht="15.75" customHeight="1" x14ac:dyDescent="0.3">
      <c r="A454">
        <v>453</v>
      </c>
      <c r="B454">
        <v>4</v>
      </c>
      <c r="C454">
        <v>5</v>
      </c>
      <c r="D454">
        <v>6</v>
      </c>
      <c r="E454">
        <v>2</v>
      </c>
      <c r="F454">
        <v>1</v>
      </c>
      <c r="G454">
        <v>3</v>
      </c>
      <c r="H454">
        <v>453</v>
      </c>
      <c r="I454" s="2" t="s">
        <v>17</v>
      </c>
      <c r="J454" s="2" t="s">
        <v>18</v>
      </c>
      <c r="K454" s="3" t="s">
        <v>35</v>
      </c>
      <c r="L454" s="3" t="s">
        <v>39</v>
      </c>
      <c r="M454" s="2" t="s">
        <v>31</v>
      </c>
    </row>
    <row r="455" spans="1:13" ht="15.75" customHeight="1" x14ac:dyDescent="0.3">
      <c r="A455">
        <v>454</v>
      </c>
      <c r="B455">
        <v>4</v>
      </c>
      <c r="C455">
        <v>5</v>
      </c>
      <c r="D455">
        <v>6</v>
      </c>
      <c r="E455">
        <v>2</v>
      </c>
      <c r="F455">
        <v>3</v>
      </c>
      <c r="G455">
        <v>1</v>
      </c>
      <c r="H455">
        <v>454</v>
      </c>
      <c r="I455" s="2" t="s">
        <v>17</v>
      </c>
      <c r="J455" s="2" t="s">
        <v>18</v>
      </c>
      <c r="K455" s="3" t="s">
        <v>35</v>
      </c>
      <c r="L455" s="2" t="s">
        <v>15</v>
      </c>
      <c r="M455" s="3" t="s">
        <v>40</v>
      </c>
    </row>
    <row r="456" spans="1:13" ht="15.75" customHeight="1" x14ac:dyDescent="0.3">
      <c r="A456">
        <v>455</v>
      </c>
      <c r="B456">
        <v>4</v>
      </c>
      <c r="C456">
        <v>5</v>
      </c>
      <c r="D456">
        <v>6</v>
      </c>
      <c r="E456">
        <v>3</v>
      </c>
      <c r="F456">
        <v>1</v>
      </c>
      <c r="G456">
        <v>2</v>
      </c>
      <c r="H456">
        <v>455</v>
      </c>
      <c r="I456" s="2" t="s">
        <v>17</v>
      </c>
      <c r="J456" s="2" t="s">
        <v>18</v>
      </c>
      <c r="K456" s="3" t="s">
        <v>28</v>
      </c>
      <c r="L456" s="3" t="s">
        <v>40</v>
      </c>
      <c r="M456" s="2" t="s">
        <v>14</v>
      </c>
    </row>
    <row r="457" spans="1:13" ht="15.75" customHeight="1" x14ac:dyDescent="0.3">
      <c r="A457">
        <v>456</v>
      </c>
      <c r="B457">
        <v>4</v>
      </c>
      <c r="C457">
        <v>5</v>
      </c>
      <c r="D457">
        <v>6</v>
      </c>
      <c r="E457">
        <v>3</v>
      </c>
      <c r="F457">
        <v>2</v>
      </c>
      <c r="G457">
        <v>1</v>
      </c>
      <c r="H457">
        <v>456</v>
      </c>
      <c r="I457" s="2" t="s">
        <v>17</v>
      </c>
      <c r="J457" s="2" t="s">
        <v>18</v>
      </c>
      <c r="K457" s="3" t="s">
        <v>28</v>
      </c>
      <c r="L457" s="3" t="s">
        <v>32</v>
      </c>
      <c r="M457" s="3" t="s">
        <v>39</v>
      </c>
    </row>
    <row r="458" spans="1:13" ht="15.75" customHeight="1" x14ac:dyDescent="0.3">
      <c r="A458">
        <v>457</v>
      </c>
      <c r="B458">
        <v>4</v>
      </c>
      <c r="C458">
        <v>6</v>
      </c>
      <c r="D458">
        <v>1</v>
      </c>
      <c r="E458">
        <v>2</v>
      </c>
      <c r="F458">
        <v>3</v>
      </c>
      <c r="G458">
        <v>5</v>
      </c>
      <c r="H458">
        <v>457</v>
      </c>
      <c r="I458" s="2" t="s">
        <v>19</v>
      </c>
      <c r="J458" s="3" t="s">
        <v>43</v>
      </c>
      <c r="K458" s="2" t="s">
        <v>14</v>
      </c>
      <c r="L458" s="2" t="s">
        <v>15</v>
      </c>
      <c r="M458" s="2" t="s">
        <v>21</v>
      </c>
    </row>
    <row r="459" spans="1:13" ht="15.75" customHeight="1" x14ac:dyDescent="0.3">
      <c r="A459">
        <v>458</v>
      </c>
      <c r="B459">
        <v>4</v>
      </c>
      <c r="C459">
        <v>6</v>
      </c>
      <c r="D459">
        <v>1</v>
      </c>
      <c r="E459">
        <v>2</v>
      </c>
      <c r="F459">
        <v>5</v>
      </c>
      <c r="G459">
        <v>3</v>
      </c>
      <c r="H459">
        <v>458</v>
      </c>
      <c r="I459" s="2" t="s">
        <v>19</v>
      </c>
      <c r="J459" s="3" t="s">
        <v>43</v>
      </c>
      <c r="K459" s="2" t="s">
        <v>14</v>
      </c>
      <c r="L459" s="2" t="s">
        <v>29</v>
      </c>
      <c r="M459" s="3" t="s">
        <v>27</v>
      </c>
    </row>
    <row r="460" spans="1:13" ht="15.75" customHeight="1" x14ac:dyDescent="0.3">
      <c r="A460">
        <v>459</v>
      </c>
      <c r="B460">
        <v>4</v>
      </c>
      <c r="C460">
        <v>6</v>
      </c>
      <c r="D460">
        <v>1</v>
      </c>
      <c r="E460">
        <v>3</v>
      </c>
      <c r="F460">
        <v>2</v>
      </c>
      <c r="G460">
        <v>5</v>
      </c>
      <c r="H460">
        <v>459</v>
      </c>
      <c r="I460" s="2" t="s">
        <v>19</v>
      </c>
      <c r="J460" s="3" t="s">
        <v>43</v>
      </c>
      <c r="K460" s="2" t="s">
        <v>31</v>
      </c>
      <c r="L460" s="3" t="s">
        <v>32</v>
      </c>
      <c r="M460" s="2" t="s">
        <v>29</v>
      </c>
    </row>
    <row r="461" spans="1:13" ht="15.75" customHeight="1" x14ac:dyDescent="0.3">
      <c r="A461">
        <v>460</v>
      </c>
      <c r="B461">
        <v>4</v>
      </c>
      <c r="C461">
        <v>6</v>
      </c>
      <c r="D461">
        <v>1</v>
      </c>
      <c r="E461">
        <v>3</v>
      </c>
      <c r="F461">
        <v>5</v>
      </c>
      <c r="G461">
        <v>2</v>
      </c>
      <c r="H461">
        <v>460</v>
      </c>
      <c r="I461" s="2" t="s">
        <v>19</v>
      </c>
      <c r="J461" s="3" t="s">
        <v>43</v>
      </c>
      <c r="K461" s="2" t="s">
        <v>31</v>
      </c>
      <c r="L461" s="2" t="s">
        <v>21</v>
      </c>
      <c r="M461" s="3" t="s">
        <v>34</v>
      </c>
    </row>
    <row r="462" spans="1:13" ht="15.75" customHeight="1" x14ac:dyDescent="0.3">
      <c r="A462">
        <v>461</v>
      </c>
      <c r="B462">
        <v>4</v>
      </c>
      <c r="C462">
        <v>6</v>
      </c>
      <c r="D462">
        <v>1</v>
      </c>
      <c r="E462">
        <v>5</v>
      </c>
      <c r="F462">
        <v>2</v>
      </c>
      <c r="G462">
        <v>3</v>
      </c>
      <c r="H462">
        <v>461</v>
      </c>
      <c r="I462" s="2" t="s">
        <v>19</v>
      </c>
      <c r="J462" s="3" t="s">
        <v>43</v>
      </c>
      <c r="K462" s="2" t="s">
        <v>37</v>
      </c>
      <c r="L462" s="3" t="s">
        <v>34</v>
      </c>
      <c r="M462" s="2" t="s">
        <v>15</v>
      </c>
    </row>
    <row r="463" spans="1:13" ht="15.75" customHeight="1" x14ac:dyDescent="0.3">
      <c r="A463">
        <v>462</v>
      </c>
      <c r="B463">
        <v>4</v>
      </c>
      <c r="C463">
        <v>6</v>
      </c>
      <c r="D463">
        <v>1</v>
      </c>
      <c r="E463">
        <v>5</v>
      </c>
      <c r="F463">
        <v>3</v>
      </c>
      <c r="G463">
        <v>2</v>
      </c>
      <c r="H463">
        <v>462</v>
      </c>
      <c r="I463" s="2" t="s">
        <v>19</v>
      </c>
      <c r="J463" s="3" t="s">
        <v>43</v>
      </c>
      <c r="K463" s="2" t="s">
        <v>37</v>
      </c>
      <c r="L463" s="3" t="s">
        <v>27</v>
      </c>
      <c r="M463" s="3" t="s">
        <v>32</v>
      </c>
    </row>
    <row r="464" spans="1:13" ht="15.75" customHeight="1" x14ac:dyDescent="0.3">
      <c r="A464">
        <v>463</v>
      </c>
      <c r="B464">
        <v>4</v>
      </c>
      <c r="C464">
        <v>6</v>
      </c>
      <c r="D464">
        <v>2</v>
      </c>
      <c r="E464">
        <v>1</v>
      </c>
      <c r="F464">
        <v>3</v>
      </c>
      <c r="G464">
        <v>5</v>
      </c>
      <c r="H464">
        <v>463</v>
      </c>
      <c r="I464" s="2" t="s">
        <v>19</v>
      </c>
      <c r="J464" s="3" t="s">
        <v>35</v>
      </c>
      <c r="K464" s="3" t="s">
        <v>39</v>
      </c>
      <c r="L464" s="2" t="s">
        <v>31</v>
      </c>
      <c r="M464" s="2" t="s">
        <v>21</v>
      </c>
    </row>
    <row r="465" spans="1:13" ht="15.75" customHeight="1" x14ac:dyDescent="0.3">
      <c r="A465">
        <v>464</v>
      </c>
      <c r="B465">
        <v>4</v>
      </c>
      <c r="C465">
        <v>6</v>
      </c>
      <c r="D465">
        <v>2</v>
      </c>
      <c r="E465">
        <v>1</v>
      </c>
      <c r="F465">
        <v>5</v>
      </c>
      <c r="G465">
        <v>3</v>
      </c>
      <c r="H465">
        <v>464</v>
      </c>
      <c r="I465" s="2" t="s">
        <v>19</v>
      </c>
      <c r="J465" s="3" t="s">
        <v>35</v>
      </c>
      <c r="K465" s="3" t="s">
        <v>39</v>
      </c>
      <c r="L465" s="2" t="s">
        <v>37</v>
      </c>
      <c r="M465" s="3" t="s">
        <v>27</v>
      </c>
    </row>
    <row r="466" spans="1:13" ht="15.75" customHeight="1" x14ac:dyDescent="0.3">
      <c r="A466">
        <v>465</v>
      </c>
      <c r="B466">
        <v>4</v>
      </c>
      <c r="C466">
        <v>6</v>
      </c>
      <c r="D466">
        <v>2</v>
      </c>
      <c r="E466">
        <v>3</v>
      </c>
      <c r="F466">
        <v>1</v>
      </c>
      <c r="G466">
        <v>5</v>
      </c>
      <c r="H466">
        <v>465</v>
      </c>
      <c r="I466" s="2" t="s">
        <v>19</v>
      </c>
      <c r="J466" s="3" t="s">
        <v>35</v>
      </c>
      <c r="K466" s="2" t="s">
        <v>15</v>
      </c>
      <c r="L466" s="3" t="s">
        <v>40</v>
      </c>
      <c r="M466" s="2" t="s">
        <v>37</v>
      </c>
    </row>
    <row r="467" spans="1:13" ht="15.75" customHeight="1" x14ac:dyDescent="0.3">
      <c r="A467">
        <v>466</v>
      </c>
      <c r="B467">
        <v>4</v>
      </c>
      <c r="C467">
        <v>6</v>
      </c>
      <c r="D467">
        <v>2</v>
      </c>
      <c r="E467">
        <v>3</v>
      </c>
      <c r="F467">
        <v>5</v>
      </c>
      <c r="G467">
        <v>1</v>
      </c>
      <c r="H467">
        <v>466</v>
      </c>
      <c r="I467" s="2" t="s">
        <v>19</v>
      </c>
      <c r="J467" s="3" t="s">
        <v>35</v>
      </c>
      <c r="K467" s="2" t="s">
        <v>15</v>
      </c>
      <c r="L467" s="2" t="s">
        <v>21</v>
      </c>
      <c r="M467" s="3" t="s">
        <v>42</v>
      </c>
    </row>
    <row r="468" spans="1:13" ht="15.75" customHeight="1" x14ac:dyDescent="0.3">
      <c r="A468">
        <v>467</v>
      </c>
      <c r="B468">
        <v>4</v>
      </c>
      <c r="C468">
        <v>6</v>
      </c>
      <c r="D468">
        <v>2</v>
      </c>
      <c r="E468">
        <v>5</v>
      </c>
      <c r="F468">
        <v>1</v>
      </c>
      <c r="G468">
        <v>3</v>
      </c>
      <c r="H468">
        <v>467</v>
      </c>
      <c r="I468" s="2" t="s">
        <v>19</v>
      </c>
      <c r="J468" s="3" t="s">
        <v>35</v>
      </c>
      <c r="K468" s="2" t="s">
        <v>29</v>
      </c>
      <c r="L468" s="3" t="s">
        <v>42</v>
      </c>
      <c r="M468" s="2" t="s">
        <v>31</v>
      </c>
    </row>
    <row r="469" spans="1:13" ht="15.75" customHeight="1" x14ac:dyDescent="0.3">
      <c r="A469">
        <v>468</v>
      </c>
      <c r="B469">
        <v>4</v>
      </c>
      <c r="C469">
        <v>6</v>
      </c>
      <c r="D469">
        <v>2</v>
      </c>
      <c r="E469">
        <v>5</v>
      </c>
      <c r="F469">
        <v>3</v>
      </c>
      <c r="G469">
        <v>1</v>
      </c>
      <c r="H469">
        <v>468</v>
      </c>
      <c r="I469" s="2" t="s">
        <v>19</v>
      </c>
      <c r="J469" s="3" t="s">
        <v>35</v>
      </c>
      <c r="K469" s="2" t="s">
        <v>29</v>
      </c>
      <c r="L469" s="3" t="s">
        <v>27</v>
      </c>
      <c r="M469" s="3" t="s">
        <v>40</v>
      </c>
    </row>
    <row r="470" spans="1:13" ht="15.75" customHeight="1" x14ac:dyDescent="0.3">
      <c r="A470">
        <v>469</v>
      </c>
      <c r="B470">
        <v>4</v>
      </c>
      <c r="C470">
        <v>6</v>
      </c>
      <c r="D470">
        <v>3</v>
      </c>
      <c r="E470">
        <v>1</v>
      </c>
      <c r="F470">
        <v>2</v>
      </c>
      <c r="G470">
        <v>5</v>
      </c>
      <c r="H470">
        <v>469</v>
      </c>
      <c r="I470" s="2" t="s">
        <v>19</v>
      </c>
      <c r="J470" s="3" t="s">
        <v>28</v>
      </c>
      <c r="K470" s="3" t="s">
        <v>40</v>
      </c>
      <c r="L470" s="2" t="s">
        <v>14</v>
      </c>
      <c r="M470" s="2" t="s">
        <v>29</v>
      </c>
    </row>
    <row r="471" spans="1:13" ht="15.75" customHeight="1" x14ac:dyDescent="0.3">
      <c r="A471">
        <v>470</v>
      </c>
      <c r="B471">
        <v>4</v>
      </c>
      <c r="C471">
        <v>6</v>
      </c>
      <c r="D471">
        <v>3</v>
      </c>
      <c r="E471">
        <v>1</v>
      </c>
      <c r="F471">
        <v>5</v>
      </c>
      <c r="G471">
        <v>2</v>
      </c>
      <c r="H471">
        <v>470</v>
      </c>
      <c r="I471" s="2" t="s">
        <v>19</v>
      </c>
      <c r="J471" s="3" t="s">
        <v>28</v>
      </c>
      <c r="K471" s="3" t="s">
        <v>40</v>
      </c>
      <c r="L471" s="2" t="s">
        <v>37</v>
      </c>
      <c r="M471" s="3" t="s">
        <v>34</v>
      </c>
    </row>
    <row r="472" spans="1:13" ht="15.75" customHeight="1" x14ac:dyDescent="0.3">
      <c r="A472">
        <v>471</v>
      </c>
      <c r="B472">
        <v>4</v>
      </c>
      <c r="C472">
        <v>6</v>
      </c>
      <c r="D472">
        <v>3</v>
      </c>
      <c r="E472">
        <v>2</v>
      </c>
      <c r="F472">
        <v>1</v>
      </c>
      <c r="G472">
        <v>5</v>
      </c>
      <c r="H472">
        <v>471</v>
      </c>
      <c r="I472" s="2" t="s">
        <v>19</v>
      </c>
      <c r="J472" s="3" t="s">
        <v>28</v>
      </c>
      <c r="K472" s="3" t="s">
        <v>32</v>
      </c>
      <c r="L472" s="3" t="s">
        <v>39</v>
      </c>
      <c r="M472" s="2" t="s">
        <v>37</v>
      </c>
    </row>
    <row r="473" spans="1:13" ht="15.75" customHeight="1" x14ac:dyDescent="0.3">
      <c r="A473">
        <v>472</v>
      </c>
      <c r="B473">
        <v>4</v>
      </c>
      <c r="C473">
        <v>6</v>
      </c>
      <c r="D473">
        <v>3</v>
      </c>
      <c r="E473">
        <v>2</v>
      </c>
      <c r="F473">
        <v>5</v>
      </c>
      <c r="G473">
        <v>1</v>
      </c>
      <c r="H473">
        <v>472</v>
      </c>
      <c r="I473" s="2" t="s">
        <v>19</v>
      </c>
      <c r="J473" s="3" t="s">
        <v>28</v>
      </c>
      <c r="K473" s="3" t="s">
        <v>32</v>
      </c>
      <c r="L473" s="2" t="s">
        <v>29</v>
      </c>
      <c r="M473" s="3" t="s">
        <v>42</v>
      </c>
    </row>
    <row r="474" spans="1:13" ht="15.75" customHeight="1" x14ac:dyDescent="0.3">
      <c r="A474">
        <v>473</v>
      </c>
      <c r="B474">
        <v>4</v>
      </c>
      <c r="C474">
        <v>6</v>
      </c>
      <c r="D474">
        <v>3</v>
      </c>
      <c r="E474">
        <v>5</v>
      </c>
      <c r="F474">
        <v>1</v>
      </c>
      <c r="G474">
        <v>2</v>
      </c>
      <c r="H474">
        <v>473</v>
      </c>
      <c r="I474" s="2" t="s">
        <v>19</v>
      </c>
      <c r="J474" s="3" t="s">
        <v>28</v>
      </c>
      <c r="K474" s="2" t="s">
        <v>21</v>
      </c>
      <c r="L474" s="3" t="s">
        <v>42</v>
      </c>
      <c r="M474" s="2" t="s">
        <v>14</v>
      </c>
    </row>
    <row r="475" spans="1:13" ht="15.75" customHeight="1" x14ac:dyDescent="0.3">
      <c r="A475">
        <v>474</v>
      </c>
      <c r="B475">
        <v>4</v>
      </c>
      <c r="C475">
        <v>6</v>
      </c>
      <c r="D475">
        <v>3</v>
      </c>
      <c r="E475">
        <v>5</v>
      </c>
      <c r="F475">
        <v>2</v>
      </c>
      <c r="G475">
        <v>1</v>
      </c>
      <c r="H475">
        <v>474</v>
      </c>
      <c r="I475" s="2" t="s">
        <v>19</v>
      </c>
      <c r="J475" s="3" t="s">
        <v>28</v>
      </c>
      <c r="K475" s="2" t="s">
        <v>21</v>
      </c>
      <c r="L475" s="3" t="s">
        <v>34</v>
      </c>
      <c r="M475" s="3" t="s">
        <v>39</v>
      </c>
    </row>
    <row r="476" spans="1:13" ht="15.75" customHeight="1" x14ac:dyDescent="0.3">
      <c r="A476">
        <v>475</v>
      </c>
      <c r="B476">
        <v>4</v>
      </c>
      <c r="C476">
        <v>6</v>
      </c>
      <c r="D476">
        <v>5</v>
      </c>
      <c r="E476">
        <v>1</v>
      </c>
      <c r="F476">
        <v>2</v>
      </c>
      <c r="G476">
        <v>3</v>
      </c>
      <c r="H476">
        <v>475</v>
      </c>
      <c r="I476" s="2" t="s">
        <v>19</v>
      </c>
      <c r="J476" s="3" t="s">
        <v>20</v>
      </c>
      <c r="K476" s="3" t="s">
        <v>42</v>
      </c>
      <c r="L476" s="2" t="s">
        <v>14</v>
      </c>
      <c r="M476" s="2" t="s">
        <v>15</v>
      </c>
    </row>
    <row r="477" spans="1:13" ht="15.75" customHeight="1" x14ac:dyDescent="0.3">
      <c r="A477">
        <v>476</v>
      </c>
      <c r="B477">
        <v>4</v>
      </c>
      <c r="C477">
        <v>6</v>
      </c>
      <c r="D477">
        <v>5</v>
      </c>
      <c r="E477">
        <v>1</v>
      </c>
      <c r="F477">
        <v>3</v>
      </c>
      <c r="G477">
        <v>2</v>
      </c>
      <c r="H477">
        <v>476</v>
      </c>
      <c r="I477" s="2" t="s">
        <v>19</v>
      </c>
      <c r="J477" s="3" t="s">
        <v>20</v>
      </c>
      <c r="K477" s="3" t="s">
        <v>42</v>
      </c>
      <c r="L477" s="2" t="s">
        <v>31</v>
      </c>
      <c r="M477" s="3" t="s">
        <v>32</v>
      </c>
    </row>
    <row r="478" spans="1:13" ht="15.75" customHeight="1" x14ac:dyDescent="0.3">
      <c r="A478">
        <v>477</v>
      </c>
      <c r="B478">
        <v>4</v>
      </c>
      <c r="C478">
        <v>6</v>
      </c>
      <c r="D478">
        <v>5</v>
      </c>
      <c r="E478">
        <v>2</v>
      </c>
      <c r="F478">
        <v>1</v>
      </c>
      <c r="G478">
        <v>3</v>
      </c>
      <c r="H478">
        <v>477</v>
      </c>
      <c r="I478" s="2" t="s">
        <v>19</v>
      </c>
      <c r="J478" s="3" t="s">
        <v>20</v>
      </c>
      <c r="K478" s="3" t="s">
        <v>34</v>
      </c>
      <c r="L478" s="3" t="s">
        <v>39</v>
      </c>
      <c r="M478" s="2" t="s">
        <v>31</v>
      </c>
    </row>
    <row r="479" spans="1:13" ht="15.75" customHeight="1" x14ac:dyDescent="0.3">
      <c r="A479">
        <v>478</v>
      </c>
      <c r="B479">
        <v>4</v>
      </c>
      <c r="C479">
        <v>6</v>
      </c>
      <c r="D479">
        <v>5</v>
      </c>
      <c r="E479">
        <v>2</v>
      </c>
      <c r="F479">
        <v>3</v>
      </c>
      <c r="G479">
        <v>1</v>
      </c>
      <c r="H479">
        <v>478</v>
      </c>
      <c r="I479" s="2" t="s">
        <v>19</v>
      </c>
      <c r="J479" s="3" t="s">
        <v>20</v>
      </c>
      <c r="K479" s="3" t="s">
        <v>34</v>
      </c>
      <c r="L479" s="2" t="s">
        <v>15</v>
      </c>
      <c r="M479" s="3" t="s">
        <v>40</v>
      </c>
    </row>
    <row r="480" spans="1:13" ht="15.75" customHeight="1" x14ac:dyDescent="0.3">
      <c r="A480">
        <v>479</v>
      </c>
      <c r="B480">
        <v>4</v>
      </c>
      <c r="C480">
        <v>6</v>
      </c>
      <c r="D480">
        <v>5</v>
      </c>
      <c r="E480">
        <v>3</v>
      </c>
      <c r="F480">
        <v>1</v>
      </c>
      <c r="G480">
        <v>2</v>
      </c>
      <c r="H480">
        <v>479</v>
      </c>
      <c r="I480" s="2" t="s">
        <v>19</v>
      </c>
      <c r="J480" s="3" t="s">
        <v>20</v>
      </c>
      <c r="K480" s="3" t="s">
        <v>27</v>
      </c>
      <c r="L480" s="3" t="s">
        <v>40</v>
      </c>
      <c r="M480" s="2" t="s">
        <v>14</v>
      </c>
    </row>
    <row r="481" spans="1:13" ht="15.75" customHeight="1" x14ac:dyDescent="0.3">
      <c r="A481">
        <v>480</v>
      </c>
      <c r="B481">
        <v>4</v>
      </c>
      <c r="C481">
        <v>6</v>
      </c>
      <c r="D481">
        <v>5</v>
      </c>
      <c r="E481">
        <v>3</v>
      </c>
      <c r="F481">
        <v>2</v>
      </c>
      <c r="G481">
        <v>1</v>
      </c>
      <c r="H481">
        <v>480</v>
      </c>
      <c r="I481" s="2" t="s">
        <v>19</v>
      </c>
      <c r="J481" s="3" t="s">
        <v>20</v>
      </c>
      <c r="K481" s="3" t="s">
        <v>27</v>
      </c>
      <c r="L481" s="3" t="s">
        <v>32</v>
      </c>
      <c r="M481" s="3" t="s">
        <v>39</v>
      </c>
    </row>
    <row r="482" spans="1:13" ht="15.75" customHeight="1" x14ac:dyDescent="0.3">
      <c r="A482">
        <v>481</v>
      </c>
      <c r="B482">
        <v>5</v>
      </c>
      <c r="C482">
        <v>1</v>
      </c>
      <c r="D482">
        <v>2</v>
      </c>
      <c r="E482">
        <v>3</v>
      </c>
      <c r="F482">
        <v>4</v>
      </c>
      <c r="G482">
        <v>6</v>
      </c>
      <c r="H482">
        <v>481</v>
      </c>
      <c r="I482" s="3" t="s">
        <v>42</v>
      </c>
      <c r="J482" s="2" t="s">
        <v>14</v>
      </c>
      <c r="K482" s="2" t="s">
        <v>15</v>
      </c>
      <c r="L482" s="2" t="s">
        <v>16</v>
      </c>
      <c r="M482" s="2" t="s">
        <v>19</v>
      </c>
    </row>
    <row r="483" spans="1:13" ht="15.75" customHeight="1" x14ac:dyDescent="0.3">
      <c r="A483">
        <v>482</v>
      </c>
      <c r="B483">
        <v>5</v>
      </c>
      <c r="C483">
        <v>1</v>
      </c>
      <c r="D483">
        <v>2</v>
      </c>
      <c r="E483">
        <v>3</v>
      </c>
      <c r="F483">
        <v>6</v>
      </c>
      <c r="G483">
        <v>4</v>
      </c>
      <c r="H483">
        <v>482</v>
      </c>
      <c r="I483" s="3" t="s">
        <v>42</v>
      </c>
      <c r="J483" s="2" t="s">
        <v>14</v>
      </c>
      <c r="K483" s="2" t="s">
        <v>15</v>
      </c>
      <c r="L483" s="2" t="s">
        <v>24</v>
      </c>
      <c r="M483" s="3" t="s">
        <v>23</v>
      </c>
    </row>
    <row r="484" spans="1:13" ht="15.75" customHeight="1" x14ac:dyDescent="0.3">
      <c r="A484">
        <v>483</v>
      </c>
      <c r="B484">
        <v>5</v>
      </c>
      <c r="C484">
        <v>1</v>
      </c>
      <c r="D484">
        <v>2</v>
      </c>
      <c r="E484">
        <v>4</v>
      </c>
      <c r="F484">
        <v>3</v>
      </c>
      <c r="G484">
        <v>6</v>
      </c>
      <c r="H484">
        <v>483</v>
      </c>
      <c r="I484" s="3" t="s">
        <v>42</v>
      </c>
      <c r="J484" s="2" t="s">
        <v>14</v>
      </c>
      <c r="K484" s="2" t="s">
        <v>25</v>
      </c>
      <c r="L484" s="3" t="s">
        <v>26</v>
      </c>
      <c r="M484" s="2" t="s">
        <v>24</v>
      </c>
    </row>
    <row r="485" spans="1:13" ht="15.75" customHeight="1" x14ac:dyDescent="0.3">
      <c r="A485">
        <v>484</v>
      </c>
      <c r="B485">
        <v>5</v>
      </c>
      <c r="C485">
        <v>1</v>
      </c>
      <c r="D485">
        <v>2</v>
      </c>
      <c r="E485">
        <v>4</v>
      </c>
      <c r="F485">
        <v>6</v>
      </c>
      <c r="G485">
        <v>3</v>
      </c>
      <c r="H485">
        <v>484</v>
      </c>
      <c r="I485" s="3" t="s">
        <v>42</v>
      </c>
      <c r="J485" s="2" t="s">
        <v>14</v>
      </c>
      <c r="K485" s="2" t="s">
        <v>25</v>
      </c>
      <c r="L485" s="2" t="s">
        <v>19</v>
      </c>
      <c r="M485" s="3" t="s">
        <v>28</v>
      </c>
    </row>
    <row r="486" spans="1:13" ht="15.75" customHeight="1" x14ac:dyDescent="0.3">
      <c r="A486">
        <v>485</v>
      </c>
      <c r="B486">
        <v>5</v>
      </c>
      <c r="C486">
        <v>1</v>
      </c>
      <c r="D486">
        <v>2</v>
      </c>
      <c r="E486">
        <v>6</v>
      </c>
      <c r="F486">
        <v>3</v>
      </c>
      <c r="G486">
        <v>4</v>
      </c>
      <c r="H486">
        <v>485</v>
      </c>
      <c r="I486" s="3" t="s">
        <v>42</v>
      </c>
      <c r="J486" s="2" t="s">
        <v>14</v>
      </c>
      <c r="K486" s="2" t="s">
        <v>30</v>
      </c>
      <c r="L486" s="3" t="s">
        <v>28</v>
      </c>
      <c r="M486" s="2" t="s">
        <v>16</v>
      </c>
    </row>
    <row r="487" spans="1:13" ht="15.75" customHeight="1" x14ac:dyDescent="0.3">
      <c r="A487">
        <v>486</v>
      </c>
      <c r="B487">
        <v>5</v>
      </c>
      <c r="C487">
        <v>1</v>
      </c>
      <c r="D487">
        <v>2</v>
      </c>
      <c r="E487">
        <v>6</v>
      </c>
      <c r="F487">
        <v>4</v>
      </c>
      <c r="G487">
        <v>3</v>
      </c>
      <c r="H487">
        <v>486</v>
      </c>
      <c r="I487" s="3" t="s">
        <v>42</v>
      </c>
      <c r="J487" s="2" t="s">
        <v>14</v>
      </c>
      <c r="K487" s="2" t="s">
        <v>30</v>
      </c>
      <c r="L487" s="3" t="s">
        <v>23</v>
      </c>
      <c r="M487" s="3" t="s">
        <v>26</v>
      </c>
    </row>
    <row r="488" spans="1:13" ht="15.75" customHeight="1" x14ac:dyDescent="0.3">
      <c r="A488">
        <v>487</v>
      </c>
      <c r="B488">
        <v>5</v>
      </c>
      <c r="C488">
        <v>1</v>
      </c>
      <c r="D488">
        <v>3</v>
      </c>
      <c r="E488">
        <v>2</v>
      </c>
      <c r="F488">
        <v>4</v>
      </c>
      <c r="G488">
        <v>6</v>
      </c>
      <c r="H488">
        <v>487</v>
      </c>
      <c r="I488" s="3" t="s">
        <v>42</v>
      </c>
      <c r="J488" s="2" t="s">
        <v>31</v>
      </c>
      <c r="K488" s="3" t="s">
        <v>32</v>
      </c>
      <c r="L488" s="2" t="s">
        <v>25</v>
      </c>
      <c r="M488" s="2" t="s">
        <v>19</v>
      </c>
    </row>
    <row r="489" spans="1:13" ht="15.75" customHeight="1" x14ac:dyDescent="0.3">
      <c r="A489">
        <v>488</v>
      </c>
      <c r="B489">
        <v>5</v>
      </c>
      <c r="C489">
        <v>1</v>
      </c>
      <c r="D489">
        <v>3</v>
      </c>
      <c r="E489">
        <v>2</v>
      </c>
      <c r="F489">
        <v>6</v>
      </c>
      <c r="G489">
        <v>4</v>
      </c>
      <c r="H489">
        <v>488</v>
      </c>
      <c r="I489" s="3" t="s">
        <v>42</v>
      </c>
      <c r="J489" s="2" t="s">
        <v>31</v>
      </c>
      <c r="K489" s="3" t="s">
        <v>32</v>
      </c>
      <c r="L489" s="2" t="s">
        <v>30</v>
      </c>
      <c r="M489" s="3" t="s">
        <v>23</v>
      </c>
    </row>
    <row r="490" spans="1:13" ht="15.75" customHeight="1" x14ac:dyDescent="0.3">
      <c r="A490">
        <v>489</v>
      </c>
      <c r="B490">
        <v>5</v>
      </c>
      <c r="C490">
        <v>1</v>
      </c>
      <c r="D490">
        <v>3</v>
      </c>
      <c r="E490">
        <v>4</v>
      </c>
      <c r="F490">
        <v>2</v>
      </c>
      <c r="G490">
        <v>6</v>
      </c>
      <c r="H490">
        <v>489</v>
      </c>
      <c r="I490" s="3" t="s">
        <v>42</v>
      </c>
      <c r="J490" s="2" t="s">
        <v>31</v>
      </c>
      <c r="K490" s="2" t="s">
        <v>16</v>
      </c>
      <c r="L490" s="3" t="s">
        <v>33</v>
      </c>
      <c r="M490" s="2" t="s">
        <v>30</v>
      </c>
    </row>
    <row r="491" spans="1:13" ht="15.75" customHeight="1" x14ac:dyDescent="0.3">
      <c r="A491">
        <v>490</v>
      </c>
      <c r="B491">
        <v>5</v>
      </c>
      <c r="C491">
        <v>1</v>
      </c>
      <c r="D491">
        <v>3</v>
      </c>
      <c r="E491">
        <v>4</v>
      </c>
      <c r="F491">
        <v>6</v>
      </c>
      <c r="G491">
        <v>2</v>
      </c>
      <c r="H491">
        <v>490</v>
      </c>
      <c r="I491" s="3" t="s">
        <v>42</v>
      </c>
      <c r="J491" s="2" t="s">
        <v>31</v>
      </c>
      <c r="K491" s="2" t="s">
        <v>16</v>
      </c>
      <c r="L491" s="2" t="s">
        <v>19</v>
      </c>
      <c r="M491" s="3" t="s">
        <v>35</v>
      </c>
    </row>
    <row r="492" spans="1:13" ht="15.75" customHeight="1" x14ac:dyDescent="0.3">
      <c r="A492">
        <v>491</v>
      </c>
      <c r="B492">
        <v>5</v>
      </c>
      <c r="C492">
        <v>1</v>
      </c>
      <c r="D492">
        <v>3</v>
      </c>
      <c r="E492">
        <v>6</v>
      </c>
      <c r="F492">
        <v>2</v>
      </c>
      <c r="G492">
        <v>4</v>
      </c>
      <c r="H492">
        <v>491</v>
      </c>
      <c r="I492" s="3" t="s">
        <v>42</v>
      </c>
      <c r="J492" s="2" t="s">
        <v>31</v>
      </c>
      <c r="K492" s="2" t="s">
        <v>24</v>
      </c>
      <c r="L492" s="3" t="s">
        <v>35</v>
      </c>
      <c r="M492" s="2" t="s">
        <v>25</v>
      </c>
    </row>
    <row r="493" spans="1:13" ht="15.75" customHeight="1" x14ac:dyDescent="0.3">
      <c r="A493">
        <v>492</v>
      </c>
      <c r="B493">
        <v>5</v>
      </c>
      <c r="C493">
        <v>1</v>
      </c>
      <c r="D493">
        <v>3</v>
      </c>
      <c r="E493">
        <v>6</v>
      </c>
      <c r="F493">
        <v>4</v>
      </c>
      <c r="G493">
        <v>2</v>
      </c>
      <c r="H493">
        <v>492</v>
      </c>
      <c r="I493" s="3" t="s">
        <v>42</v>
      </c>
      <c r="J493" s="2" t="s">
        <v>31</v>
      </c>
      <c r="K493" s="2" t="s">
        <v>24</v>
      </c>
      <c r="L493" s="3" t="s">
        <v>23</v>
      </c>
      <c r="M493" s="3" t="s">
        <v>33</v>
      </c>
    </row>
    <row r="494" spans="1:13" ht="15.75" customHeight="1" x14ac:dyDescent="0.3">
      <c r="A494">
        <v>493</v>
      </c>
      <c r="B494">
        <v>5</v>
      </c>
      <c r="C494">
        <v>1</v>
      </c>
      <c r="D494">
        <v>4</v>
      </c>
      <c r="E494">
        <v>2</v>
      </c>
      <c r="F494">
        <v>3</v>
      </c>
      <c r="G494">
        <v>6</v>
      </c>
      <c r="H494">
        <v>493</v>
      </c>
      <c r="I494" s="3" t="s">
        <v>42</v>
      </c>
      <c r="J494" s="2" t="s">
        <v>36</v>
      </c>
      <c r="K494" s="3" t="s">
        <v>33</v>
      </c>
      <c r="L494" s="2" t="s">
        <v>15</v>
      </c>
      <c r="M494" s="2" t="s">
        <v>24</v>
      </c>
    </row>
    <row r="495" spans="1:13" ht="15.75" customHeight="1" x14ac:dyDescent="0.3">
      <c r="A495">
        <v>494</v>
      </c>
      <c r="B495">
        <v>5</v>
      </c>
      <c r="C495">
        <v>1</v>
      </c>
      <c r="D495">
        <v>4</v>
      </c>
      <c r="E495">
        <v>2</v>
      </c>
      <c r="F495">
        <v>6</v>
      </c>
      <c r="G495">
        <v>3</v>
      </c>
      <c r="H495">
        <v>494</v>
      </c>
      <c r="I495" s="3" t="s">
        <v>42</v>
      </c>
      <c r="J495" s="2" t="s">
        <v>36</v>
      </c>
      <c r="K495" s="3" t="s">
        <v>33</v>
      </c>
      <c r="L495" s="2" t="s">
        <v>30</v>
      </c>
      <c r="M495" s="3" t="s">
        <v>28</v>
      </c>
    </row>
    <row r="496" spans="1:13" ht="15.75" customHeight="1" x14ac:dyDescent="0.3">
      <c r="A496">
        <v>495</v>
      </c>
      <c r="B496">
        <v>5</v>
      </c>
      <c r="C496">
        <v>1</v>
      </c>
      <c r="D496">
        <v>4</v>
      </c>
      <c r="E496">
        <v>3</v>
      </c>
      <c r="F496">
        <v>2</v>
      </c>
      <c r="G496">
        <v>6</v>
      </c>
      <c r="H496">
        <v>495</v>
      </c>
      <c r="I496" s="3" t="s">
        <v>42</v>
      </c>
      <c r="J496" s="2" t="s">
        <v>36</v>
      </c>
      <c r="K496" s="3" t="s">
        <v>26</v>
      </c>
      <c r="L496" s="3" t="s">
        <v>32</v>
      </c>
      <c r="M496" s="2" t="s">
        <v>30</v>
      </c>
    </row>
    <row r="497" spans="1:13" ht="15.75" customHeight="1" x14ac:dyDescent="0.3">
      <c r="A497">
        <v>496</v>
      </c>
      <c r="B497">
        <v>5</v>
      </c>
      <c r="C497">
        <v>1</v>
      </c>
      <c r="D497">
        <v>4</v>
      </c>
      <c r="E497">
        <v>3</v>
      </c>
      <c r="F497">
        <v>6</v>
      </c>
      <c r="G497">
        <v>2</v>
      </c>
      <c r="H497">
        <v>496</v>
      </c>
      <c r="I497" s="3" t="s">
        <v>42</v>
      </c>
      <c r="J497" s="2" t="s">
        <v>36</v>
      </c>
      <c r="K497" s="3" t="s">
        <v>26</v>
      </c>
      <c r="L497" s="2" t="s">
        <v>24</v>
      </c>
      <c r="M497" s="3" t="s">
        <v>35</v>
      </c>
    </row>
    <row r="498" spans="1:13" ht="15.75" customHeight="1" x14ac:dyDescent="0.3">
      <c r="A498">
        <v>497</v>
      </c>
      <c r="B498">
        <v>5</v>
      </c>
      <c r="C498">
        <v>1</v>
      </c>
      <c r="D498">
        <v>4</v>
      </c>
      <c r="E498">
        <v>6</v>
      </c>
      <c r="F498">
        <v>2</v>
      </c>
      <c r="G498">
        <v>3</v>
      </c>
      <c r="H498">
        <v>497</v>
      </c>
      <c r="I498" s="3" t="s">
        <v>42</v>
      </c>
      <c r="J498" s="2" t="s">
        <v>36</v>
      </c>
      <c r="K498" s="2" t="s">
        <v>19</v>
      </c>
      <c r="L498" s="3" t="s">
        <v>35</v>
      </c>
      <c r="M498" s="2" t="s">
        <v>15</v>
      </c>
    </row>
    <row r="499" spans="1:13" ht="15.75" customHeight="1" x14ac:dyDescent="0.3">
      <c r="A499">
        <v>498</v>
      </c>
      <c r="B499">
        <v>5</v>
      </c>
      <c r="C499">
        <v>1</v>
      </c>
      <c r="D499">
        <v>4</v>
      </c>
      <c r="E499">
        <v>6</v>
      </c>
      <c r="F499">
        <v>3</v>
      </c>
      <c r="G499">
        <v>2</v>
      </c>
      <c r="H499">
        <v>498</v>
      </c>
      <c r="I499" s="3" t="s">
        <v>42</v>
      </c>
      <c r="J499" s="2" t="s">
        <v>36</v>
      </c>
      <c r="K499" s="2" t="s">
        <v>19</v>
      </c>
      <c r="L499" s="3" t="s">
        <v>28</v>
      </c>
      <c r="M499" s="3" t="s">
        <v>32</v>
      </c>
    </row>
    <row r="500" spans="1:13" ht="15.75" customHeight="1" x14ac:dyDescent="0.3">
      <c r="A500">
        <v>499</v>
      </c>
      <c r="B500">
        <v>5</v>
      </c>
      <c r="C500">
        <v>1</v>
      </c>
      <c r="D500">
        <v>6</v>
      </c>
      <c r="E500">
        <v>2</v>
      </c>
      <c r="F500">
        <v>3</v>
      </c>
      <c r="G500">
        <v>4</v>
      </c>
      <c r="H500">
        <v>499</v>
      </c>
      <c r="I500" s="3" t="s">
        <v>42</v>
      </c>
      <c r="J500" s="2" t="s">
        <v>38</v>
      </c>
      <c r="K500" s="3" t="s">
        <v>35</v>
      </c>
      <c r="L500" s="2" t="s">
        <v>15</v>
      </c>
      <c r="M500" s="2" t="s">
        <v>16</v>
      </c>
    </row>
    <row r="501" spans="1:13" ht="15.75" customHeight="1" x14ac:dyDescent="0.3">
      <c r="A501">
        <v>500</v>
      </c>
      <c r="B501">
        <v>5</v>
      </c>
      <c r="C501">
        <v>1</v>
      </c>
      <c r="D501">
        <v>6</v>
      </c>
      <c r="E501">
        <v>2</v>
      </c>
      <c r="F501">
        <v>4</v>
      </c>
      <c r="G501">
        <v>3</v>
      </c>
      <c r="H501">
        <v>500</v>
      </c>
      <c r="I501" s="3" t="s">
        <v>42</v>
      </c>
      <c r="J501" s="2" t="s">
        <v>38</v>
      </c>
      <c r="K501" s="3" t="s">
        <v>35</v>
      </c>
      <c r="L501" s="2" t="s">
        <v>25</v>
      </c>
      <c r="M501" s="3" t="s">
        <v>26</v>
      </c>
    </row>
    <row r="502" spans="1:13" ht="15.75" customHeight="1" x14ac:dyDescent="0.3">
      <c r="A502">
        <v>501</v>
      </c>
      <c r="B502">
        <v>5</v>
      </c>
      <c r="C502">
        <v>1</v>
      </c>
      <c r="D502">
        <v>6</v>
      </c>
      <c r="E502">
        <v>3</v>
      </c>
      <c r="F502">
        <v>2</v>
      </c>
      <c r="G502">
        <v>4</v>
      </c>
      <c r="H502">
        <v>501</v>
      </c>
      <c r="I502" s="3" t="s">
        <v>42</v>
      </c>
      <c r="J502" s="2" t="s">
        <v>38</v>
      </c>
      <c r="K502" s="3" t="s">
        <v>28</v>
      </c>
      <c r="L502" s="3" t="s">
        <v>32</v>
      </c>
      <c r="M502" s="2" t="s">
        <v>25</v>
      </c>
    </row>
    <row r="503" spans="1:13" ht="15.75" customHeight="1" x14ac:dyDescent="0.3">
      <c r="A503">
        <v>502</v>
      </c>
      <c r="B503">
        <v>5</v>
      </c>
      <c r="C503">
        <v>1</v>
      </c>
      <c r="D503">
        <v>6</v>
      </c>
      <c r="E503">
        <v>3</v>
      </c>
      <c r="F503">
        <v>4</v>
      </c>
      <c r="G503">
        <v>2</v>
      </c>
      <c r="H503">
        <v>502</v>
      </c>
      <c r="I503" s="3" t="s">
        <v>42</v>
      </c>
      <c r="J503" s="2" t="s">
        <v>38</v>
      </c>
      <c r="K503" s="3" t="s">
        <v>28</v>
      </c>
      <c r="L503" s="2" t="s">
        <v>16</v>
      </c>
      <c r="M503" s="3" t="s">
        <v>33</v>
      </c>
    </row>
    <row r="504" spans="1:13" ht="15.75" customHeight="1" x14ac:dyDescent="0.3">
      <c r="A504">
        <v>503</v>
      </c>
      <c r="B504">
        <v>5</v>
      </c>
      <c r="C504">
        <v>1</v>
      </c>
      <c r="D504">
        <v>6</v>
      </c>
      <c r="E504">
        <v>4</v>
      </c>
      <c r="F504">
        <v>2</v>
      </c>
      <c r="G504">
        <v>3</v>
      </c>
      <c r="H504">
        <v>503</v>
      </c>
      <c r="I504" s="3" t="s">
        <v>42</v>
      </c>
      <c r="J504" s="2" t="s">
        <v>38</v>
      </c>
      <c r="K504" s="3" t="s">
        <v>23</v>
      </c>
      <c r="L504" s="3" t="s">
        <v>33</v>
      </c>
      <c r="M504" s="2" t="s">
        <v>15</v>
      </c>
    </row>
    <row r="505" spans="1:13" ht="15.75" customHeight="1" x14ac:dyDescent="0.3">
      <c r="A505">
        <v>504</v>
      </c>
      <c r="B505">
        <v>5</v>
      </c>
      <c r="C505">
        <v>1</v>
      </c>
      <c r="D505">
        <v>6</v>
      </c>
      <c r="E505">
        <v>4</v>
      </c>
      <c r="F505">
        <v>3</v>
      </c>
      <c r="G505">
        <v>2</v>
      </c>
      <c r="H505">
        <v>504</v>
      </c>
      <c r="I505" s="3" t="s">
        <v>42</v>
      </c>
      <c r="J505" s="2" t="s">
        <v>38</v>
      </c>
      <c r="K505" s="3" t="s">
        <v>23</v>
      </c>
      <c r="L505" s="3" t="s">
        <v>26</v>
      </c>
      <c r="M505" s="3" t="s">
        <v>32</v>
      </c>
    </row>
    <row r="506" spans="1:13" ht="15.75" customHeight="1" x14ac:dyDescent="0.3">
      <c r="A506">
        <v>505</v>
      </c>
      <c r="B506">
        <v>5</v>
      </c>
      <c r="C506">
        <v>2</v>
      </c>
      <c r="D506">
        <v>1</v>
      </c>
      <c r="E506">
        <v>3</v>
      </c>
      <c r="F506">
        <v>4</v>
      </c>
      <c r="G506">
        <v>6</v>
      </c>
      <c r="H506">
        <v>505</v>
      </c>
      <c r="I506" s="3" t="s">
        <v>34</v>
      </c>
      <c r="J506" s="3" t="s">
        <v>39</v>
      </c>
      <c r="K506" s="2" t="s">
        <v>31</v>
      </c>
      <c r="L506" s="2" t="s">
        <v>16</v>
      </c>
      <c r="M506" s="2" t="s">
        <v>19</v>
      </c>
    </row>
    <row r="507" spans="1:13" ht="15.75" customHeight="1" x14ac:dyDescent="0.3">
      <c r="A507">
        <v>506</v>
      </c>
      <c r="B507">
        <v>5</v>
      </c>
      <c r="C507">
        <v>2</v>
      </c>
      <c r="D507">
        <v>1</v>
      </c>
      <c r="E507">
        <v>3</v>
      </c>
      <c r="F507">
        <v>6</v>
      </c>
      <c r="G507">
        <v>4</v>
      </c>
      <c r="H507">
        <v>506</v>
      </c>
      <c r="I507" s="3" t="s">
        <v>34</v>
      </c>
      <c r="J507" s="3" t="s">
        <v>39</v>
      </c>
      <c r="K507" s="2" t="s">
        <v>31</v>
      </c>
      <c r="L507" s="2" t="s">
        <v>24</v>
      </c>
      <c r="M507" s="3" t="s">
        <v>23</v>
      </c>
    </row>
    <row r="508" spans="1:13" ht="15.75" customHeight="1" x14ac:dyDescent="0.3">
      <c r="A508">
        <v>507</v>
      </c>
      <c r="B508">
        <v>5</v>
      </c>
      <c r="C508">
        <v>2</v>
      </c>
      <c r="D508">
        <v>1</v>
      </c>
      <c r="E508">
        <v>4</v>
      </c>
      <c r="F508">
        <v>3</v>
      </c>
      <c r="G508">
        <v>6</v>
      </c>
      <c r="H508">
        <v>507</v>
      </c>
      <c r="I508" s="3" t="s">
        <v>34</v>
      </c>
      <c r="J508" s="3" t="s">
        <v>39</v>
      </c>
      <c r="K508" s="2" t="s">
        <v>36</v>
      </c>
      <c r="L508" s="3" t="s">
        <v>26</v>
      </c>
      <c r="M508" s="2" t="s">
        <v>24</v>
      </c>
    </row>
    <row r="509" spans="1:13" ht="15.75" customHeight="1" x14ac:dyDescent="0.3">
      <c r="A509">
        <v>508</v>
      </c>
      <c r="B509">
        <v>5</v>
      </c>
      <c r="C509">
        <v>2</v>
      </c>
      <c r="D509">
        <v>1</v>
      </c>
      <c r="E509">
        <v>4</v>
      </c>
      <c r="F509">
        <v>6</v>
      </c>
      <c r="G509">
        <v>3</v>
      </c>
      <c r="H509">
        <v>508</v>
      </c>
      <c r="I509" s="3" t="s">
        <v>34</v>
      </c>
      <c r="J509" s="3" t="s">
        <v>39</v>
      </c>
      <c r="K509" s="2" t="s">
        <v>36</v>
      </c>
      <c r="L509" s="2" t="s">
        <v>19</v>
      </c>
      <c r="M509" s="3" t="s">
        <v>28</v>
      </c>
    </row>
    <row r="510" spans="1:13" ht="15.75" customHeight="1" x14ac:dyDescent="0.3">
      <c r="A510">
        <v>509</v>
      </c>
      <c r="B510">
        <v>5</v>
      </c>
      <c r="C510">
        <v>2</v>
      </c>
      <c r="D510">
        <v>1</v>
      </c>
      <c r="E510">
        <v>6</v>
      </c>
      <c r="F510">
        <v>3</v>
      </c>
      <c r="G510">
        <v>4</v>
      </c>
      <c r="H510">
        <v>509</v>
      </c>
      <c r="I510" s="3" t="s">
        <v>34</v>
      </c>
      <c r="J510" s="3" t="s">
        <v>39</v>
      </c>
      <c r="K510" s="2" t="s">
        <v>38</v>
      </c>
      <c r="L510" s="3" t="s">
        <v>28</v>
      </c>
      <c r="M510" s="2" t="s">
        <v>16</v>
      </c>
    </row>
    <row r="511" spans="1:13" ht="15.75" customHeight="1" x14ac:dyDescent="0.3">
      <c r="A511">
        <v>510</v>
      </c>
      <c r="B511">
        <v>5</v>
      </c>
      <c r="C511">
        <v>2</v>
      </c>
      <c r="D511">
        <v>1</v>
      </c>
      <c r="E511">
        <v>6</v>
      </c>
      <c r="F511">
        <v>4</v>
      </c>
      <c r="G511">
        <v>3</v>
      </c>
      <c r="H511">
        <v>510</v>
      </c>
      <c r="I511" s="3" t="s">
        <v>34</v>
      </c>
      <c r="J511" s="3" t="s">
        <v>39</v>
      </c>
      <c r="K511" s="2" t="s">
        <v>38</v>
      </c>
      <c r="L511" s="3" t="s">
        <v>23</v>
      </c>
      <c r="M511" s="3" t="s">
        <v>26</v>
      </c>
    </row>
    <row r="512" spans="1:13" ht="15.75" customHeight="1" x14ac:dyDescent="0.3">
      <c r="A512">
        <v>511</v>
      </c>
      <c r="B512">
        <v>5</v>
      </c>
      <c r="C512">
        <v>2</v>
      </c>
      <c r="D512">
        <v>3</v>
      </c>
      <c r="E512">
        <v>1</v>
      </c>
      <c r="F512">
        <v>4</v>
      </c>
      <c r="G512">
        <v>6</v>
      </c>
      <c r="H512">
        <v>511</v>
      </c>
      <c r="I512" s="3" t="s">
        <v>34</v>
      </c>
      <c r="J512" s="2" t="s">
        <v>15</v>
      </c>
      <c r="K512" s="3" t="s">
        <v>40</v>
      </c>
      <c r="L512" s="2" t="s">
        <v>36</v>
      </c>
      <c r="M512" s="2" t="s">
        <v>19</v>
      </c>
    </row>
    <row r="513" spans="1:13" ht="15.75" customHeight="1" x14ac:dyDescent="0.3">
      <c r="A513">
        <v>512</v>
      </c>
      <c r="B513">
        <v>5</v>
      </c>
      <c r="C513">
        <v>2</v>
      </c>
      <c r="D513">
        <v>3</v>
      </c>
      <c r="E513">
        <v>1</v>
      </c>
      <c r="F513">
        <v>6</v>
      </c>
      <c r="G513">
        <v>4</v>
      </c>
      <c r="H513">
        <v>512</v>
      </c>
      <c r="I513" s="3" t="s">
        <v>34</v>
      </c>
      <c r="J513" s="2" t="s">
        <v>15</v>
      </c>
      <c r="K513" s="3" t="s">
        <v>40</v>
      </c>
      <c r="L513" s="2" t="s">
        <v>38</v>
      </c>
      <c r="M513" s="3" t="s">
        <v>23</v>
      </c>
    </row>
    <row r="514" spans="1:13" ht="15.75" customHeight="1" x14ac:dyDescent="0.3">
      <c r="A514">
        <v>513</v>
      </c>
      <c r="B514">
        <v>5</v>
      </c>
      <c r="C514">
        <v>2</v>
      </c>
      <c r="D514">
        <v>3</v>
      </c>
      <c r="E514">
        <v>4</v>
      </c>
      <c r="F514">
        <v>1</v>
      </c>
      <c r="G514">
        <v>6</v>
      </c>
      <c r="H514">
        <v>513</v>
      </c>
      <c r="I514" s="3" t="s">
        <v>34</v>
      </c>
      <c r="J514" s="2" t="s">
        <v>15</v>
      </c>
      <c r="K514" s="2" t="s">
        <v>16</v>
      </c>
      <c r="L514" s="3" t="s">
        <v>41</v>
      </c>
      <c r="M514" s="2" t="s">
        <v>38</v>
      </c>
    </row>
    <row r="515" spans="1:13" ht="15.75" customHeight="1" x14ac:dyDescent="0.3">
      <c r="A515">
        <v>514</v>
      </c>
      <c r="B515">
        <v>5</v>
      </c>
      <c r="C515">
        <v>2</v>
      </c>
      <c r="D515">
        <v>3</v>
      </c>
      <c r="E515">
        <v>4</v>
      </c>
      <c r="F515">
        <v>6</v>
      </c>
      <c r="G515">
        <v>1</v>
      </c>
      <c r="H515">
        <v>514</v>
      </c>
      <c r="I515" s="3" t="s">
        <v>34</v>
      </c>
      <c r="J515" s="2" t="s">
        <v>15</v>
      </c>
      <c r="K515" s="2" t="s">
        <v>16</v>
      </c>
      <c r="L515" s="2" t="s">
        <v>19</v>
      </c>
      <c r="M515" s="3" t="s">
        <v>43</v>
      </c>
    </row>
    <row r="516" spans="1:13" ht="15.75" customHeight="1" x14ac:dyDescent="0.3">
      <c r="A516">
        <v>515</v>
      </c>
      <c r="B516">
        <v>5</v>
      </c>
      <c r="C516">
        <v>2</v>
      </c>
      <c r="D516">
        <v>3</v>
      </c>
      <c r="E516">
        <v>6</v>
      </c>
      <c r="F516">
        <v>1</v>
      </c>
      <c r="G516">
        <v>4</v>
      </c>
      <c r="H516">
        <v>515</v>
      </c>
      <c r="I516" s="3" t="s">
        <v>34</v>
      </c>
      <c r="J516" s="2" t="s">
        <v>15</v>
      </c>
      <c r="K516" s="2" t="s">
        <v>24</v>
      </c>
      <c r="L516" s="3" t="s">
        <v>43</v>
      </c>
      <c r="M516" s="2" t="s">
        <v>36</v>
      </c>
    </row>
    <row r="517" spans="1:13" ht="15.75" customHeight="1" x14ac:dyDescent="0.3">
      <c r="A517">
        <v>516</v>
      </c>
      <c r="B517">
        <v>5</v>
      </c>
      <c r="C517">
        <v>2</v>
      </c>
      <c r="D517">
        <v>3</v>
      </c>
      <c r="E517">
        <v>6</v>
      </c>
      <c r="F517">
        <v>4</v>
      </c>
      <c r="G517">
        <v>1</v>
      </c>
      <c r="H517">
        <v>516</v>
      </c>
      <c r="I517" s="3" t="s">
        <v>34</v>
      </c>
      <c r="J517" s="2" t="s">
        <v>15</v>
      </c>
      <c r="K517" s="2" t="s">
        <v>24</v>
      </c>
      <c r="L517" s="3" t="s">
        <v>23</v>
      </c>
      <c r="M517" s="3" t="s">
        <v>41</v>
      </c>
    </row>
    <row r="518" spans="1:13" ht="15.75" customHeight="1" x14ac:dyDescent="0.3">
      <c r="A518">
        <v>517</v>
      </c>
      <c r="B518">
        <v>5</v>
      </c>
      <c r="C518">
        <v>2</v>
      </c>
      <c r="D518">
        <v>4</v>
      </c>
      <c r="E518">
        <v>1</v>
      </c>
      <c r="F518">
        <v>3</v>
      </c>
      <c r="G518">
        <v>6</v>
      </c>
      <c r="H518">
        <v>517</v>
      </c>
      <c r="I518" s="3" t="s">
        <v>34</v>
      </c>
      <c r="J518" s="2" t="s">
        <v>25</v>
      </c>
      <c r="K518" s="3" t="s">
        <v>41</v>
      </c>
      <c r="L518" s="2" t="s">
        <v>31</v>
      </c>
      <c r="M518" s="2" t="s">
        <v>24</v>
      </c>
    </row>
    <row r="519" spans="1:13" ht="15.75" customHeight="1" x14ac:dyDescent="0.3">
      <c r="A519">
        <v>518</v>
      </c>
      <c r="B519">
        <v>5</v>
      </c>
      <c r="C519">
        <v>2</v>
      </c>
      <c r="D519">
        <v>4</v>
      </c>
      <c r="E519">
        <v>1</v>
      </c>
      <c r="F519">
        <v>6</v>
      </c>
      <c r="G519">
        <v>3</v>
      </c>
      <c r="H519">
        <v>518</v>
      </c>
      <c r="I519" s="3" t="s">
        <v>34</v>
      </c>
      <c r="J519" s="2" t="s">
        <v>25</v>
      </c>
      <c r="K519" s="3" t="s">
        <v>41</v>
      </c>
      <c r="L519" s="2" t="s">
        <v>38</v>
      </c>
      <c r="M519" s="3" t="s">
        <v>28</v>
      </c>
    </row>
    <row r="520" spans="1:13" ht="15.75" customHeight="1" x14ac:dyDescent="0.3">
      <c r="A520">
        <v>519</v>
      </c>
      <c r="B520">
        <v>5</v>
      </c>
      <c r="C520">
        <v>2</v>
      </c>
      <c r="D520">
        <v>4</v>
      </c>
      <c r="E520">
        <v>3</v>
      </c>
      <c r="F520">
        <v>1</v>
      </c>
      <c r="G520">
        <v>6</v>
      </c>
      <c r="H520">
        <v>519</v>
      </c>
      <c r="I520" s="3" t="s">
        <v>34</v>
      </c>
      <c r="J520" s="2" t="s">
        <v>25</v>
      </c>
      <c r="K520" s="3" t="s">
        <v>26</v>
      </c>
      <c r="L520" s="3" t="s">
        <v>40</v>
      </c>
      <c r="M520" s="2" t="s">
        <v>38</v>
      </c>
    </row>
    <row r="521" spans="1:13" ht="15.75" customHeight="1" x14ac:dyDescent="0.3">
      <c r="A521">
        <v>520</v>
      </c>
      <c r="B521">
        <v>5</v>
      </c>
      <c r="C521">
        <v>2</v>
      </c>
      <c r="D521">
        <v>4</v>
      </c>
      <c r="E521">
        <v>3</v>
      </c>
      <c r="F521">
        <v>6</v>
      </c>
      <c r="G521">
        <v>1</v>
      </c>
      <c r="H521">
        <v>520</v>
      </c>
      <c r="I521" s="3" t="s">
        <v>34</v>
      </c>
      <c r="J521" s="2" t="s">
        <v>25</v>
      </c>
      <c r="K521" s="3" t="s">
        <v>26</v>
      </c>
      <c r="L521" s="2" t="s">
        <v>24</v>
      </c>
      <c r="M521" s="3" t="s">
        <v>43</v>
      </c>
    </row>
    <row r="522" spans="1:13" ht="15.75" customHeight="1" x14ac:dyDescent="0.3">
      <c r="A522">
        <v>521</v>
      </c>
      <c r="B522">
        <v>5</v>
      </c>
      <c r="C522">
        <v>2</v>
      </c>
      <c r="D522">
        <v>4</v>
      </c>
      <c r="E522">
        <v>6</v>
      </c>
      <c r="F522">
        <v>1</v>
      </c>
      <c r="G522">
        <v>3</v>
      </c>
      <c r="H522">
        <v>521</v>
      </c>
      <c r="I522" s="3" t="s">
        <v>34</v>
      </c>
      <c r="J522" s="2" t="s">
        <v>25</v>
      </c>
      <c r="K522" s="2" t="s">
        <v>19</v>
      </c>
      <c r="L522" s="3" t="s">
        <v>43</v>
      </c>
      <c r="M522" s="2" t="s">
        <v>31</v>
      </c>
    </row>
    <row r="523" spans="1:13" ht="15.75" customHeight="1" x14ac:dyDescent="0.3">
      <c r="A523">
        <v>522</v>
      </c>
      <c r="B523">
        <v>5</v>
      </c>
      <c r="C523">
        <v>2</v>
      </c>
      <c r="D523">
        <v>4</v>
      </c>
      <c r="E523">
        <v>6</v>
      </c>
      <c r="F523">
        <v>3</v>
      </c>
      <c r="G523">
        <v>1</v>
      </c>
      <c r="H523">
        <v>522</v>
      </c>
      <c r="I523" s="3" t="s">
        <v>34</v>
      </c>
      <c r="J523" s="2" t="s">
        <v>25</v>
      </c>
      <c r="K523" s="2" t="s">
        <v>19</v>
      </c>
      <c r="L523" s="3" t="s">
        <v>28</v>
      </c>
      <c r="M523" s="3" t="s">
        <v>40</v>
      </c>
    </row>
    <row r="524" spans="1:13" ht="15.75" customHeight="1" x14ac:dyDescent="0.3">
      <c r="A524">
        <v>523</v>
      </c>
      <c r="B524">
        <v>5</v>
      </c>
      <c r="C524">
        <v>2</v>
      </c>
      <c r="D524">
        <v>6</v>
      </c>
      <c r="E524">
        <v>1</v>
      </c>
      <c r="F524">
        <v>3</v>
      </c>
      <c r="G524">
        <v>4</v>
      </c>
      <c r="H524">
        <v>523</v>
      </c>
      <c r="I524" s="3" t="s">
        <v>34</v>
      </c>
      <c r="J524" s="2" t="s">
        <v>30</v>
      </c>
      <c r="K524" s="3" t="s">
        <v>43</v>
      </c>
      <c r="L524" s="2" t="s">
        <v>31</v>
      </c>
      <c r="M524" s="2" t="s">
        <v>16</v>
      </c>
    </row>
    <row r="525" spans="1:13" ht="15.75" customHeight="1" x14ac:dyDescent="0.3">
      <c r="A525">
        <v>524</v>
      </c>
      <c r="B525">
        <v>5</v>
      </c>
      <c r="C525">
        <v>2</v>
      </c>
      <c r="D525">
        <v>6</v>
      </c>
      <c r="E525">
        <v>1</v>
      </c>
      <c r="F525">
        <v>4</v>
      </c>
      <c r="G525">
        <v>3</v>
      </c>
      <c r="H525">
        <v>524</v>
      </c>
      <c r="I525" s="3" t="s">
        <v>34</v>
      </c>
      <c r="J525" s="2" t="s">
        <v>30</v>
      </c>
      <c r="K525" s="3" t="s">
        <v>43</v>
      </c>
      <c r="L525" s="2" t="s">
        <v>36</v>
      </c>
      <c r="M525" s="3" t="s">
        <v>26</v>
      </c>
    </row>
    <row r="526" spans="1:13" ht="15.75" customHeight="1" x14ac:dyDescent="0.3">
      <c r="A526">
        <v>525</v>
      </c>
      <c r="B526">
        <v>5</v>
      </c>
      <c r="C526">
        <v>2</v>
      </c>
      <c r="D526">
        <v>6</v>
      </c>
      <c r="E526">
        <v>3</v>
      </c>
      <c r="F526">
        <v>1</v>
      </c>
      <c r="G526">
        <v>4</v>
      </c>
      <c r="H526">
        <v>525</v>
      </c>
      <c r="I526" s="3" t="s">
        <v>34</v>
      </c>
      <c r="J526" s="2" t="s">
        <v>30</v>
      </c>
      <c r="K526" s="3" t="s">
        <v>28</v>
      </c>
      <c r="L526" s="3" t="s">
        <v>40</v>
      </c>
      <c r="M526" s="2" t="s">
        <v>36</v>
      </c>
    </row>
    <row r="527" spans="1:13" ht="15.75" customHeight="1" x14ac:dyDescent="0.3">
      <c r="A527">
        <v>526</v>
      </c>
      <c r="B527">
        <v>5</v>
      </c>
      <c r="C527">
        <v>2</v>
      </c>
      <c r="D527">
        <v>6</v>
      </c>
      <c r="E527">
        <v>3</v>
      </c>
      <c r="F527">
        <v>4</v>
      </c>
      <c r="G527">
        <v>1</v>
      </c>
      <c r="H527">
        <v>526</v>
      </c>
      <c r="I527" s="3" t="s">
        <v>34</v>
      </c>
      <c r="J527" s="2" t="s">
        <v>30</v>
      </c>
      <c r="K527" s="3" t="s">
        <v>28</v>
      </c>
      <c r="L527" s="2" t="s">
        <v>16</v>
      </c>
      <c r="M527" s="3" t="s">
        <v>41</v>
      </c>
    </row>
    <row r="528" spans="1:13" ht="15.75" customHeight="1" x14ac:dyDescent="0.3">
      <c r="A528">
        <v>527</v>
      </c>
      <c r="B528">
        <v>5</v>
      </c>
      <c r="C528">
        <v>2</v>
      </c>
      <c r="D528">
        <v>6</v>
      </c>
      <c r="E528">
        <v>4</v>
      </c>
      <c r="F528">
        <v>1</v>
      </c>
      <c r="G528">
        <v>3</v>
      </c>
      <c r="H528">
        <v>527</v>
      </c>
      <c r="I528" s="3" t="s">
        <v>34</v>
      </c>
      <c r="J528" s="2" t="s">
        <v>30</v>
      </c>
      <c r="K528" s="3" t="s">
        <v>23</v>
      </c>
      <c r="L528" s="3" t="s">
        <v>41</v>
      </c>
      <c r="M528" s="2" t="s">
        <v>31</v>
      </c>
    </row>
    <row r="529" spans="1:13" ht="15.75" customHeight="1" x14ac:dyDescent="0.3">
      <c r="A529">
        <v>528</v>
      </c>
      <c r="B529">
        <v>5</v>
      </c>
      <c r="C529">
        <v>2</v>
      </c>
      <c r="D529">
        <v>6</v>
      </c>
      <c r="E529">
        <v>4</v>
      </c>
      <c r="F529">
        <v>3</v>
      </c>
      <c r="G529">
        <v>1</v>
      </c>
      <c r="H529">
        <v>528</v>
      </c>
      <c r="I529" s="3" t="s">
        <v>34</v>
      </c>
      <c r="J529" s="2" t="s">
        <v>30</v>
      </c>
      <c r="K529" s="3" t="s">
        <v>23</v>
      </c>
      <c r="L529" s="3" t="s">
        <v>26</v>
      </c>
      <c r="M529" s="3" t="s">
        <v>40</v>
      </c>
    </row>
    <row r="530" spans="1:13" ht="15.75" customHeight="1" x14ac:dyDescent="0.3">
      <c r="A530">
        <v>529</v>
      </c>
      <c r="B530">
        <v>5</v>
      </c>
      <c r="C530">
        <v>3</v>
      </c>
      <c r="D530">
        <v>1</v>
      </c>
      <c r="E530">
        <v>2</v>
      </c>
      <c r="F530">
        <v>4</v>
      </c>
      <c r="G530">
        <v>6</v>
      </c>
      <c r="H530">
        <v>529</v>
      </c>
      <c r="I530" s="3" t="s">
        <v>27</v>
      </c>
      <c r="J530" s="3" t="s">
        <v>40</v>
      </c>
      <c r="K530" s="2" t="s">
        <v>14</v>
      </c>
      <c r="L530" s="2" t="s">
        <v>25</v>
      </c>
      <c r="M530" s="2" t="s">
        <v>19</v>
      </c>
    </row>
    <row r="531" spans="1:13" ht="15.75" customHeight="1" x14ac:dyDescent="0.3">
      <c r="A531">
        <v>530</v>
      </c>
      <c r="B531">
        <v>5</v>
      </c>
      <c r="C531">
        <v>3</v>
      </c>
      <c r="D531">
        <v>1</v>
      </c>
      <c r="E531">
        <v>2</v>
      </c>
      <c r="F531">
        <v>6</v>
      </c>
      <c r="G531">
        <v>4</v>
      </c>
      <c r="H531">
        <v>530</v>
      </c>
      <c r="I531" s="3" t="s">
        <v>27</v>
      </c>
      <c r="J531" s="3" t="s">
        <v>40</v>
      </c>
      <c r="K531" s="2" t="s">
        <v>14</v>
      </c>
      <c r="L531" s="2" t="s">
        <v>30</v>
      </c>
      <c r="M531" s="3" t="s">
        <v>23</v>
      </c>
    </row>
    <row r="532" spans="1:13" ht="15.75" customHeight="1" x14ac:dyDescent="0.3">
      <c r="A532">
        <v>531</v>
      </c>
      <c r="B532">
        <v>5</v>
      </c>
      <c r="C532">
        <v>3</v>
      </c>
      <c r="D532">
        <v>1</v>
      </c>
      <c r="E532">
        <v>4</v>
      </c>
      <c r="F532">
        <v>2</v>
      </c>
      <c r="G532">
        <v>6</v>
      </c>
      <c r="H532">
        <v>531</v>
      </c>
      <c r="I532" s="3" t="s">
        <v>27</v>
      </c>
      <c r="J532" s="3" t="s">
        <v>40</v>
      </c>
      <c r="K532" s="2" t="s">
        <v>36</v>
      </c>
      <c r="L532" s="3" t="s">
        <v>33</v>
      </c>
      <c r="M532" s="2" t="s">
        <v>30</v>
      </c>
    </row>
    <row r="533" spans="1:13" ht="15.75" customHeight="1" x14ac:dyDescent="0.3">
      <c r="A533">
        <v>532</v>
      </c>
      <c r="B533">
        <v>5</v>
      </c>
      <c r="C533">
        <v>3</v>
      </c>
      <c r="D533">
        <v>1</v>
      </c>
      <c r="E533">
        <v>4</v>
      </c>
      <c r="F533">
        <v>6</v>
      </c>
      <c r="G533">
        <v>2</v>
      </c>
      <c r="H533">
        <v>532</v>
      </c>
      <c r="I533" s="3" t="s">
        <v>27</v>
      </c>
      <c r="J533" s="3" t="s">
        <v>40</v>
      </c>
      <c r="K533" s="2" t="s">
        <v>36</v>
      </c>
      <c r="L533" s="2" t="s">
        <v>19</v>
      </c>
      <c r="M533" s="3" t="s">
        <v>35</v>
      </c>
    </row>
    <row r="534" spans="1:13" ht="15.75" customHeight="1" x14ac:dyDescent="0.3">
      <c r="A534">
        <v>533</v>
      </c>
      <c r="B534">
        <v>5</v>
      </c>
      <c r="C534">
        <v>3</v>
      </c>
      <c r="D534">
        <v>1</v>
      </c>
      <c r="E534">
        <v>6</v>
      </c>
      <c r="F534">
        <v>2</v>
      </c>
      <c r="G534">
        <v>4</v>
      </c>
      <c r="H534">
        <v>533</v>
      </c>
      <c r="I534" s="3" t="s">
        <v>27</v>
      </c>
      <c r="J534" s="3" t="s">
        <v>40</v>
      </c>
      <c r="K534" s="2" t="s">
        <v>38</v>
      </c>
      <c r="L534" s="3" t="s">
        <v>35</v>
      </c>
      <c r="M534" s="2" t="s">
        <v>25</v>
      </c>
    </row>
    <row r="535" spans="1:13" ht="15.75" customHeight="1" x14ac:dyDescent="0.3">
      <c r="A535">
        <v>534</v>
      </c>
      <c r="B535">
        <v>5</v>
      </c>
      <c r="C535">
        <v>3</v>
      </c>
      <c r="D535">
        <v>1</v>
      </c>
      <c r="E535">
        <v>6</v>
      </c>
      <c r="F535">
        <v>4</v>
      </c>
      <c r="G535">
        <v>2</v>
      </c>
      <c r="H535">
        <v>534</v>
      </c>
      <c r="I535" s="3" t="s">
        <v>27</v>
      </c>
      <c r="J535" s="3" t="s">
        <v>40</v>
      </c>
      <c r="K535" s="2" t="s">
        <v>38</v>
      </c>
      <c r="L535" s="3" t="s">
        <v>23</v>
      </c>
      <c r="M535" s="3" t="s">
        <v>33</v>
      </c>
    </row>
    <row r="536" spans="1:13" ht="15.75" customHeight="1" x14ac:dyDescent="0.3">
      <c r="A536">
        <v>535</v>
      </c>
      <c r="B536">
        <v>5</v>
      </c>
      <c r="C536">
        <v>3</v>
      </c>
      <c r="D536">
        <v>2</v>
      </c>
      <c r="E536">
        <v>1</v>
      </c>
      <c r="F536">
        <v>4</v>
      </c>
      <c r="G536">
        <v>6</v>
      </c>
      <c r="H536">
        <v>535</v>
      </c>
      <c r="I536" s="3" t="s">
        <v>27</v>
      </c>
      <c r="J536" s="3" t="s">
        <v>32</v>
      </c>
      <c r="K536" s="3" t="s">
        <v>39</v>
      </c>
      <c r="L536" s="2" t="s">
        <v>36</v>
      </c>
      <c r="M536" s="2" t="s">
        <v>19</v>
      </c>
    </row>
    <row r="537" spans="1:13" ht="15.75" customHeight="1" x14ac:dyDescent="0.3">
      <c r="A537">
        <v>536</v>
      </c>
      <c r="B537">
        <v>5</v>
      </c>
      <c r="C537">
        <v>3</v>
      </c>
      <c r="D537">
        <v>2</v>
      </c>
      <c r="E537">
        <v>1</v>
      </c>
      <c r="F537">
        <v>6</v>
      </c>
      <c r="G537">
        <v>4</v>
      </c>
      <c r="H537">
        <v>536</v>
      </c>
      <c r="I537" s="3" t="s">
        <v>27</v>
      </c>
      <c r="J537" s="3" t="s">
        <v>32</v>
      </c>
      <c r="K537" s="3" t="s">
        <v>39</v>
      </c>
      <c r="L537" s="2" t="s">
        <v>38</v>
      </c>
      <c r="M537" s="3" t="s">
        <v>23</v>
      </c>
    </row>
    <row r="538" spans="1:13" ht="15.75" customHeight="1" x14ac:dyDescent="0.3">
      <c r="A538">
        <v>537</v>
      </c>
      <c r="B538">
        <v>5</v>
      </c>
      <c r="C538">
        <v>3</v>
      </c>
      <c r="D538">
        <v>2</v>
      </c>
      <c r="E538">
        <v>4</v>
      </c>
      <c r="F538">
        <v>1</v>
      </c>
      <c r="G538">
        <v>6</v>
      </c>
      <c r="H538">
        <v>537</v>
      </c>
      <c r="I538" s="3" t="s">
        <v>27</v>
      </c>
      <c r="J538" s="3" t="s">
        <v>32</v>
      </c>
      <c r="K538" s="2" t="s">
        <v>25</v>
      </c>
      <c r="L538" s="3" t="s">
        <v>41</v>
      </c>
      <c r="M538" s="2" t="s">
        <v>38</v>
      </c>
    </row>
    <row r="539" spans="1:13" ht="15.75" customHeight="1" x14ac:dyDescent="0.3">
      <c r="A539">
        <v>538</v>
      </c>
      <c r="B539">
        <v>5</v>
      </c>
      <c r="C539">
        <v>3</v>
      </c>
      <c r="D539">
        <v>2</v>
      </c>
      <c r="E539">
        <v>4</v>
      </c>
      <c r="F539">
        <v>6</v>
      </c>
      <c r="G539">
        <v>1</v>
      </c>
      <c r="H539">
        <v>538</v>
      </c>
      <c r="I539" s="3" t="s">
        <v>27</v>
      </c>
      <c r="J539" s="3" t="s">
        <v>32</v>
      </c>
      <c r="K539" s="2" t="s">
        <v>25</v>
      </c>
      <c r="L539" s="2" t="s">
        <v>19</v>
      </c>
      <c r="M539" s="3" t="s">
        <v>43</v>
      </c>
    </row>
    <row r="540" spans="1:13" ht="15.75" customHeight="1" x14ac:dyDescent="0.3">
      <c r="A540">
        <v>539</v>
      </c>
      <c r="B540">
        <v>5</v>
      </c>
      <c r="C540">
        <v>3</v>
      </c>
      <c r="D540">
        <v>2</v>
      </c>
      <c r="E540">
        <v>6</v>
      </c>
      <c r="F540">
        <v>1</v>
      </c>
      <c r="G540">
        <v>4</v>
      </c>
      <c r="H540">
        <v>539</v>
      </c>
      <c r="I540" s="3" t="s">
        <v>27</v>
      </c>
      <c r="J540" s="3" t="s">
        <v>32</v>
      </c>
      <c r="K540" s="2" t="s">
        <v>30</v>
      </c>
      <c r="L540" s="3" t="s">
        <v>43</v>
      </c>
      <c r="M540" s="2" t="s">
        <v>36</v>
      </c>
    </row>
    <row r="541" spans="1:13" ht="15.75" customHeight="1" x14ac:dyDescent="0.3">
      <c r="A541">
        <v>540</v>
      </c>
      <c r="B541">
        <v>5</v>
      </c>
      <c r="C541">
        <v>3</v>
      </c>
      <c r="D541">
        <v>2</v>
      </c>
      <c r="E541">
        <v>6</v>
      </c>
      <c r="F541">
        <v>4</v>
      </c>
      <c r="G541">
        <v>1</v>
      </c>
      <c r="H541">
        <v>540</v>
      </c>
      <c r="I541" s="3" t="s">
        <v>27</v>
      </c>
      <c r="J541" s="3" t="s">
        <v>32</v>
      </c>
      <c r="K541" s="2" t="s">
        <v>30</v>
      </c>
      <c r="L541" s="3" t="s">
        <v>23</v>
      </c>
      <c r="M541" s="3" t="s">
        <v>41</v>
      </c>
    </row>
    <row r="542" spans="1:13" ht="15.75" customHeight="1" x14ac:dyDescent="0.3">
      <c r="A542">
        <v>541</v>
      </c>
      <c r="B542">
        <v>5</v>
      </c>
      <c r="C542">
        <v>3</v>
      </c>
      <c r="D542">
        <v>4</v>
      </c>
      <c r="E542">
        <v>1</v>
      </c>
      <c r="F542">
        <v>2</v>
      </c>
      <c r="G542">
        <v>6</v>
      </c>
      <c r="H542">
        <v>541</v>
      </c>
      <c r="I542" s="3" t="s">
        <v>27</v>
      </c>
      <c r="J542" s="2" t="s">
        <v>16</v>
      </c>
      <c r="K542" s="3" t="s">
        <v>41</v>
      </c>
      <c r="L542" s="2" t="s">
        <v>14</v>
      </c>
      <c r="M542" s="2" t="s">
        <v>30</v>
      </c>
    </row>
    <row r="543" spans="1:13" ht="15.75" customHeight="1" x14ac:dyDescent="0.3">
      <c r="A543">
        <v>542</v>
      </c>
      <c r="B543">
        <v>5</v>
      </c>
      <c r="C543">
        <v>3</v>
      </c>
      <c r="D543">
        <v>4</v>
      </c>
      <c r="E543">
        <v>1</v>
      </c>
      <c r="F543">
        <v>6</v>
      </c>
      <c r="G543">
        <v>2</v>
      </c>
      <c r="H543">
        <v>542</v>
      </c>
      <c r="I543" s="3" t="s">
        <v>27</v>
      </c>
      <c r="J543" s="2" t="s">
        <v>16</v>
      </c>
      <c r="K543" s="3" t="s">
        <v>41</v>
      </c>
      <c r="L543" s="2" t="s">
        <v>38</v>
      </c>
      <c r="M543" s="3" t="s">
        <v>35</v>
      </c>
    </row>
    <row r="544" spans="1:13" ht="15.75" customHeight="1" x14ac:dyDescent="0.3">
      <c r="A544">
        <v>543</v>
      </c>
      <c r="B544">
        <v>5</v>
      </c>
      <c r="C544">
        <v>3</v>
      </c>
      <c r="D544">
        <v>4</v>
      </c>
      <c r="E544">
        <v>2</v>
      </c>
      <c r="F544">
        <v>1</v>
      </c>
      <c r="G544">
        <v>6</v>
      </c>
      <c r="H544">
        <v>543</v>
      </c>
      <c r="I544" s="3" t="s">
        <v>27</v>
      </c>
      <c r="J544" s="2" t="s">
        <v>16</v>
      </c>
      <c r="K544" s="3" t="s">
        <v>33</v>
      </c>
      <c r="L544" s="3" t="s">
        <v>39</v>
      </c>
      <c r="M544" s="2" t="s">
        <v>38</v>
      </c>
    </row>
    <row r="545" spans="1:13" ht="15.75" customHeight="1" x14ac:dyDescent="0.3">
      <c r="A545">
        <v>544</v>
      </c>
      <c r="B545">
        <v>5</v>
      </c>
      <c r="C545">
        <v>3</v>
      </c>
      <c r="D545">
        <v>4</v>
      </c>
      <c r="E545">
        <v>2</v>
      </c>
      <c r="F545">
        <v>6</v>
      </c>
      <c r="G545">
        <v>1</v>
      </c>
      <c r="H545">
        <v>544</v>
      </c>
      <c r="I545" s="3" t="s">
        <v>27</v>
      </c>
      <c r="J545" s="2" t="s">
        <v>16</v>
      </c>
      <c r="K545" s="3" t="s">
        <v>33</v>
      </c>
      <c r="L545" s="2" t="s">
        <v>30</v>
      </c>
      <c r="M545" s="3" t="s">
        <v>43</v>
      </c>
    </row>
    <row r="546" spans="1:13" ht="15.75" customHeight="1" x14ac:dyDescent="0.3">
      <c r="A546">
        <v>545</v>
      </c>
      <c r="B546">
        <v>5</v>
      </c>
      <c r="C546">
        <v>3</v>
      </c>
      <c r="D546">
        <v>4</v>
      </c>
      <c r="E546">
        <v>6</v>
      </c>
      <c r="F546">
        <v>1</v>
      </c>
      <c r="G546">
        <v>2</v>
      </c>
      <c r="H546">
        <v>545</v>
      </c>
      <c r="I546" s="3" t="s">
        <v>27</v>
      </c>
      <c r="J546" s="2" t="s">
        <v>16</v>
      </c>
      <c r="K546" s="2" t="s">
        <v>19</v>
      </c>
      <c r="L546" s="3" t="s">
        <v>43</v>
      </c>
      <c r="M546" s="2" t="s">
        <v>14</v>
      </c>
    </row>
    <row r="547" spans="1:13" ht="15.75" customHeight="1" x14ac:dyDescent="0.3">
      <c r="A547">
        <v>546</v>
      </c>
      <c r="B547">
        <v>5</v>
      </c>
      <c r="C547">
        <v>3</v>
      </c>
      <c r="D547">
        <v>4</v>
      </c>
      <c r="E547">
        <v>6</v>
      </c>
      <c r="F547">
        <v>2</v>
      </c>
      <c r="G547">
        <v>1</v>
      </c>
      <c r="H547">
        <v>546</v>
      </c>
      <c r="I547" s="3" t="s">
        <v>27</v>
      </c>
      <c r="J547" s="2" t="s">
        <v>16</v>
      </c>
      <c r="K547" s="2" t="s">
        <v>19</v>
      </c>
      <c r="L547" s="3" t="s">
        <v>35</v>
      </c>
      <c r="M547" s="3" t="s">
        <v>39</v>
      </c>
    </row>
    <row r="548" spans="1:13" ht="15.75" customHeight="1" x14ac:dyDescent="0.3">
      <c r="A548">
        <v>547</v>
      </c>
      <c r="B548">
        <v>5</v>
      </c>
      <c r="C548">
        <v>3</v>
      </c>
      <c r="D548">
        <v>6</v>
      </c>
      <c r="E548">
        <v>1</v>
      </c>
      <c r="F548">
        <v>2</v>
      </c>
      <c r="G548">
        <v>4</v>
      </c>
      <c r="H548">
        <v>547</v>
      </c>
      <c r="I548" s="3" t="s">
        <v>27</v>
      </c>
      <c r="J548" s="2" t="s">
        <v>24</v>
      </c>
      <c r="K548" s="3" t="s">
        <v>43</v>
      </c>
      <c r="L548" s="2" t="s">
        <v>14</v>
      </c>
      <c r="M548" s="2" t="s">
        <v>25</v>
      </c>
    </row>
    <row r="549" spans="1:13" ht="15.75" customHeight="1" x14ac:dyDescent="0.3">
      <c r="A549">
        <v>548</v>
      </c>
      <c r="B549">
        <v>5</v>
      </c>
      <c r="C549">
        <v>3</v>
      </c>
      <c r="D549">
        <v>6</v>
      </c>
      <c r="E549">
        <v>1</v>
      </c>
      <c r="F549">
        <v>4</v>
      </c>
      <c r="G549">
        <v>2</v>
      </c>
      <c r="H549">
        <v>548</v>
      </c>
      <c r="I549" s="3" t="s">
        <v>27</v>
      </c>
      <c r="J549" s="2" t="s">
        <v>24</v>
      </c>
      <c r="K549" s="3" t="s">
        <v>43</v>
      </c>
      <c r="L549" s="2" t="s">
        <v>36</v>
      </c>
      <c r="M549" s="3" t="s">
        <v>33</v>
      </c>
    </row>
    <row r="550" spans="1:13" ht="15.75" customHeight="1" x14ac:dyDescent="0.3">
      <c r="A550">
        <v>549</v>
      </c>
      <c r="B550">
        <v>5</v>
      </c>
      <c r="C550">
        <v>3</v>
      </c>
      <c r="D550">
        <v>6</v>
      </c>
      <c r="E550">
        <v>2</v>
      </c>
      <c r="F550">
        <v>1</v>
      </c>
      <c r="G550">
        <v>4</v>
      </c>
      <c r="H550">
        <v>549</v>
      </c>
      <c r="I550" s="3" t="s">
        <v>27</v>
      </c>
      <c r="J550" s="2" t="s">
        <v>24</v>
      </c>
      <c r="K550" s="3" t="s">
        <v>35</v>
      </c>
      <c r="L550" s="3" t="s">
        <v>39</v>
      </c>
      <c r="M550" s="2" t="s">
        <v>36</v>
      </c>
    </row>
    <row r="551" spans="1:13" ht="15.75" customHeight="1" x14ac:dyDescent="0.3">
      <c r="A551">
        <v>550</v>
      </c>
      <c r="B551">
        <v>5</v>
      </c>
      <c r="C551">
        <v>3</v>
      </c>
      <c r="D551">
        <v>6</v>
      </c>
      <c r="E551">
        <v>2</v>
      </c>
      <c r="F551">
        <v>4</v>
      </c>
      <c r="G551">
        <v>1</v>
      </c>
      <c r="H551">
        <v>550</v>
      </c>
      <c r="I551" s="3" t="s">
        <v>27</v>
      </c>
      <c r="J551" s="2" t="s">
        <v>24</v>
      </c>
      <c r="K551" s="3" t="s">
        <v>35</v>
      </c>
      <c r="L551" s="2" t="s">
        <v>25</v>
      </c>
      <c r="M551" s="3" t="s">
        <v>41</v>
      </c>
    </row>
    <row r="552" spans="1:13" ht="15.75" customHeight="1" x14ac:dyDescent="0.3">
      <c r="A552">
        <v>551</v>
      </c>
      <c r="B552">
        <v>5</v>
      </c>
      <c r="C552">
        <v>3</v>
      </c>
      <c r="D552">
        <v>6</v>
      </c>
      <c r="E552">
        <v>4</v>
      </c>
      <c r="F552">
        <v>1</v>
      </c>
      <c r="G552">
        <v>2</v>
      </c>
      <c r="H552">
        <v>551</v>
      </c>
      <c r="I552" s="3" t="s">
        <v>27</v>
      </c>
      <c r="J552" s="2" t="s">
        <v>24</v>
      </c>
      <c r="K552" s="3" t="s">
        <v>23</v>
      </c>
      <c r="L552" s="3" t="s">
        <v>41</v>
      </c>
      <c r="M552" s="2" t="s">
        <v>14</v>
      </c>
    </row>
    <row r="553" spans="1:13" ht="15.75" customHeight="1" x14ac:dyDescent="0.3">
      <c r="A553">
        <v>552</v>
      </c>
      <c r="B553">
        <v>5</v>
      </c>
      <c r="C553">
        <v>3</v>
      </c>
      <c r="D553">
        <v>6</v>
      </c>
      <c r="E553">
        <v>4</v>
      </c>
      <c r="F553">
        <v>2</v>
      </c>
      <c r="G553">
        <v>1</v>
      </c>
      <c r="H553">
        <v>552</v>
      </c>
      <c r="I553" s="3" t="s">
        <v>27</v>
      </c>
      <c r="J553" s="2" t="s">
        <v>24</v>
      </c>
      <c r="K553" s="3" t="s">
        <v>23</v>
      </c>
      <c r="L553" s="3" t="s">
        <v>33</v>
      </c>
      <c r="M553" s="3" t="s">
        <v>39</v>
      </c>
    </row>
    <row r="554" spans="1:13" ht="15.75" customHeight="1" x14ac:dyDescent="0.3">
      <c r="A554">
        <v>553</v>
      </c>
      <c r="B554">
        <v>5</v>
      </c>
      <c r="C554">
        <v>4</v>
      </c>
      <c r="D554">
        <v>1</v>
      </c>
      <c r="E554">
        <v>2</v>
      </c>
      <c r="F554">
        <v>3</v>
      </c>
      <c r="G554">
        <v>6</v>
      </c>
      <c r="H554">
        <v>553</v>
      </c>
      <c r="I554" s="3" t="s">
        <v>22</v>
      </c>
      <c r="J554" s="3" t="s">
        <v>41</v>
      </c>
      <c r="K554" s="2" t="s">
        <v>14</v>
      </c>
      <c r="L554" s="2" t="s">
        <v>15</v>
      </c>
      <c r="M554" s="2" t="s">
        <v>24</v>
      </c>
    </row>
    <row r="555" spans="1:13" ht="15.75" customHeight="1" x14ac:dyDescent="0.3">
      <c r="A555">
        <v>554</v>
      </c>
      <c r="B555">
        <v>5</v>
      </c>
      <c r="C555">
        <v>4</v>
      </c>
      <c r="D555">
        <v>1</v>
      </c>
      <c r="E555">
        <v>2</v>
      </c>
      <c r="F555">
        <v>6</v>
      </c>
      <c r="G555">
        <v>3</v>
      </c>
      <c r="H555">
        <v>554</v>
      </c>
      <c r="I555" s="3" t="s">
        <v>22</v>
      </c>
      <c r="J555" s="3" t="s">
        <v>41</v>
      </c>
      <c r="K555" s="2" t="s">
        <v>14</v>
      </c>
      <c r="L555" s="2" t="s">
        <v>30</v>
      </c>
      <c r="M555" s="3" t="s">
        <v>28</v>
      </c>
    </row>
    <row r="556" spans="1:13" ht="15.75" customHeight="1" x14ac:dyDescent="0.3">
      <c r="A556">
        <v>555</v>
      </c>
      <c r="B556">
        <v>5</v>
      </c>
      <c r="C556">
        <v>4</v>
      </c>
      <c r="D556">
        <v>1</v>
      </c>
      <c r="E556">
        <v>3</v>
      </c>
      <c r="F556">
        <v>2</v>
      </c>
      <c r="G556">
        <v>6</v>
      </c>
      <c r="H556">
        <v>555</v>
      </c>
      <c r="I556" s="3" t="s">
        <v>22</v>
      </c>
      <c r="J556" s="3" t="s">
        <v>41</v>
      </c>
      <c r="K556" s="2" t="s">
        <v>31</v>
      </c>
      <c r="L556" s="3" t="s">
        <v>32</v>
      </c>
      <c r="M556" s="2" t="s">
        <v>30</v>
      </c>
    </row>
    <row r="557" spans="1:13" ht="15.75" customHeight="1" x14ac:dyDescent="0.3">
      <c r="A557">
        <v>556</v>
      </c>
      <c r="B557">
        <v>5</v>
      </c>
      <c r="C557">
        <v>4</v>
      </c>
      <c r="D557">
        <v>1</v>
      </c>
      <c r="E557">
        <v>3</v>
      </c>
      <c r="F557">
        <v>6</v>
      </c>
      <c r="G557">
        <v>2</v>
      </c>
      <c r="H557">
        <v>556</v>
      </c>
      <c r="I557" s="3" t="s">
        <v>22</v>
      </c>
      <c r="J557" s="3" t="s">
        <v>41</v>
      </c>
      <c r="K557" s="2" t="s">
        <v>31</v>
      </c>
      <c r="L557" s="2" t="s">
        <v>24</v>
      </c>
      <c r="M557" s="3" t="s">
        <v>35</v>
      </c>
    </row>
    <row r="558" spans="1:13" ht="15.75" customHeight="1" x14ac:dyDescent="0.3">
      <c r="A558">
        <v>557</v>
      </c>
      <c r="B558">
        <v>5</v>
      </c>
      <c r="C558">
        <v>4</v>
      </c>
      <c r="D558">
        <v>1</v>
      </c>
      <c r="E558">
        <v>6</v>
      </c>
      <c r="F558">
        <v>2</v>
      </c>
      <c r="G558">
        <v>3</v>
      </c>
      <c r="H558">
        <v>557</v>
      </c>
      <c r="I558" s="3" t="s">
        <v>22</v>
      </c>
      <c r="J558" s="3" t="s">
        <v>41</v>
      </c>
      <c r="K558" s="2" t="s">
        <v>38</v>
      </c>
      <c r="L558" s="3" t="s">
        <v>35</v>
      </c>
      <c r="M558" s="2" t="s">
        <v>15</v>
      </c>
    </row>
    <row r="559" spans="1:13" ht="15.75" customHeight="1" x14ac:dyDescent="0.3">
      <c r="A559">
        <v>558</v>
      </c>
      <c r="B559">
        <v>5</v>
      </c>
      <c r="C559">
        <v>4</v>
      </c>
      <c r="D559">
        <v>1</v>
      </c>
      <c r="E559">
        <v>6</v>
      </c>
      <c r="F559">
        <v>3</v>
      </c>
      <c r="G559">
        <v>2</v>
      </c>
      <c r="H559">
        <v>558</v>
      </c>
      <c r="I559" s="3" t="s">
        <v>22</v>
      </c>
      <c r="J559" s="3" t="s">
        <v>41</v>
      </c>
      <c r="K559" s="2" t="s">
        <v>38</v>
      </c>
      <c r="L559" s="3" t="s">
        <v>28</v>
      </c>
      <c r="M559" s="3" t="s">
        <v>32</v>
      </c>
    </row>
    <row r="560" spans="1:13" ht="15.75" customHeight="1" x14ac:dyDescent="0.3">
      <c r="A560">
        <v>559</v>
      </c>
      <c r="B560">
        <v>5</v>
      </c>
      <c r="C560">
        <v>4</v>
      </c>
      <c r="D560">
        <v>2</v>
      </c>
      <c r="E560">
        <v>1</v>
      </c>
      <c r="F560">
        <v>3</v>
      </c>
      <c r="G560">
        <v>6</v>
      </c>
      <c r="H560">
        <v>559</v>
      </c>
      <c r="I560" s="3" t="s">
        <v>22</v>
      </c>
      <c r="J560" s="3" t="s">
        <v>33</v>
      </c>
      <c r="K560" s="3" t="s">
        <v>39</v>
      </c>
      <c r="L560" s="2" t="s">
        <v>31</v>
      </c>
      <c r="M560" s="2" t="s">
        <v>24</v>
      </c>
    </row>
    <row r="561" spans="1:13" ht="15.75" customHeight="1" x14ac:dyDescent="0.3">
      <c r="A561">
        <v>560</v>
      </c>
      <c r="B561">
        <v>5</v>
      </c>
      <c r="C561">
        <v>4</v>
      </c>
      <c r="D561">
        <v>2</v>
      </c>
      <c r="E561">
        <v>1</v>
      </c>
      <c r="F561">
        <v>6</v>
      </c>
      <c r="G561">
        <v>3</v>
      </c>
      <c r="H561">
        <v>560</v>
      </c>
      <c r="I561" s="3" t="s">
        <v>22</v>
      </c>
      <c r="J561" s="3" t="s">
        <v>33</v>
      </c>
      <c r="K561" s="3" t="s">
        <v>39</v>
      </c>
      <c r="L561" s="2" t="s">
        <v>38</v>
      </c>
      <c r="M561" s="3" t="s">
        <v>28</v>
      </c>
    </row>
    <row r="562" spans="1:13" ht="15.75" customHeight="1" x14ac:dyDescent="0.3">
      <c r="A562">
        <v>561</v>
      </c>
      <c r="B562">
        <v>5</v>
      </c>
      <c r="C562">
        <v>4</v>
      </c>
      <c r="D562">
        <v>2</v>
      </c>
      <c r="E562">
        <v>3</v>
      </c>
      <c r="F562">
        <v>1</v>
      </c>
      <c r="G562">
        <v>6</v>
      </c>
      <c r="H562">
        <v>561</v>
      </c>
      <c r="I562" s="3" t="s">
        <v>22</v>
      </c>
      <c r="J562" s="3" t="s">
        <v>33</v>
      </c>
      <c r="K562" s="2" t="s">
        <v>15</v>
      </c>
      <c r="L562" s="3" t="s">
        <v>40</v>
      </c>
      <c r="M562" s="2" t="s">
        <v>38</v>
      </c>
    </row>
    <row r="563" spans="1:13" ht="15.75" customHeight="1" x14ac:dyDescent="0.3">
      <c r="A563">
        <v>562</v>
      </c>
      <c r="B563">
        <v>5</v>
      </c>
      <c r="C563">
        <v>4</v>
      </c>
      <c r="D563">
        <v>2</v>
      </c>
      <c r="E563">
        <v>3</v>
      </c>
      <c r="F563">
        <v>6</v>
      </c>
      <c r="G563">
        <v>1</v>
      </c>
      <c r="H563">
        <v>562</v>
      </c>
      <c r="I563" s="3" t="s">
        <v>22</v>
      </c>
      <c r="J563" s="3" t="s">
        <v>33</v>
      </c>
      <c r="K563" s="2" t="s">
        <v>15</v>
      </c>
      <c r="L563" s="2" t="s">
        <v>24</v>
      </c>
      <c r="M563" s="3" t="s">
        <v>43</v>
      </c>
    </row>
    <row r="564" spans="1:13" ht="15.75" customHeight="1" x14ac:dyDescent="0.3">
      <c r="A564">
        <v>563</v>
      </c>
      <c r="B564">
        <v>5</v>
      </c>
      <c r="C564">
        <v>4</v>
      </c>
      <c r="D564">
        <v>2</v>
      </c>
      <c r="E564">
        <v>6</v>
      </c>
      <c r="F564">
        <v>1</v>
      </c>
      <c r="G564">
        <v>3</v>
      </c>
      <c r="H564">
        <v>563</v>
      </c>
      <c r="I564" s="3" t="s">
        <v>22</v>
      </c>
      <c r="J564" s="3" t="s">
        <v>33</v>
      </c>
      <c r="K564" s="2" t="s">
        <v>30</v>
      </c>
      <c r="L564" s="3" t="s">
        <v>43</v>
      </c>
      <c r="M564" s="2" t="s">
        <v>31</v>
      </c>
    </row>
    <row r="565" spans="1:13" ht="15.75" customHeight="1" x14ac:dyDescent="0.3">
      <c r="A565">
        <v>564</v>
      </c>
      <c r="B565">
        <v>5</v>
      </c>
      <c r="C565">
        <v>4</v>
      </c>
      <c r="D565">
        <v>2</v>
      </c>
      <c r="E565">
        <v>6</v>
      </c>
      <c r="F565">
        <v>3</v>
      </c>
      <c r="G565">
        <v>1</v>
      </c>
      <c r="H565">
        <v>564</v>
      </c>
      <c r="I565" s="3" t="s">
        <v>22</v>
      </c>
      <c r="J565" s="3" t="s">
        <v>33</v>
      </c>
      <c r="K565" s="2" t="s">
        <v>30</v>
      </c>
      <c r="L565" s="3" t="s">
        <v>28</v>
      </c>
      <c r="M565" s="3" t="s">
        <v>40</v>
      </c>
    </row>
    <row r="566" spans="1:13" ht="15.75" customHeight="1" x14ac:dyDescent="0.3">
      <c r="A566">
        <v>565</v>
      </c>
      <c r="B566">
        <v>5</v>
      </c>
      <c r="C566">
        <v>4</v>
      </c>
      <c r="D566">
        <v>3</v>
      </c>
      <c r="E566">
        <v>1</v>
      </c>
      <c r="F566">
        <v>2</v>
      </c>
      <c r="G566">
        <v>6</v>
      </c>
      <c r="H566">
        <v>565</v>
      </c>
      <c r="I566" s="3" t="s">
        <v>22</v>
      </c>
      <c r="J566" s="3" t="s">
        <v>26</v>
      </c>
      <c r="K566" s="3" t="s">
        <v>40</v>
      </c>
      <c r="L566" s="2" t="s">
        <v>14</v>
      </c>
      <c r="M566" s="2" t="s">
        <v>30</v>
      </c>
    </row>
    <row r="567" spans="1:13" ht="15.75" customHeight="1" x14ac:dyDescent="0.3">
      <c r="A567">
        <v>566</v>
      </c>
      <c r="B567">
        <v>5</v>
      </c>
      <c r="C567">
        <v>4</v>
      </c>
      <c r="D567">
        <v>3</v>
      </c>
      <c r="E567">
        <v>1</v>
      </c>
      <c r="F567">
        <v>6</v>
      </c>
      <c r="G567">
        <v>2</v>
      </c>
      <c r="H567">
        <v>566</v>
      </c>
      <c r="I567" s="3" t="s">
        <v>22</v>
      </c>
      <c r="J567" s="3" t="s">
        <v>26</v>
      </c>
      <c r="K567" s="3" t="s">
        <v>40</v>
      </c>
      <c r="L567" s="2" t="s">
        <v>38</v>
      </c>
      <c r="M567" s="3" t="s">
        <v>35</v>
      </c>
    </row>
    <row r="568" spans="1:13" ht="15.75" customHeight="1" x14ac:dyDescent="0.3">
      <c r="A568">
        <v>567</v>
      </c>
      <c r="B568">
        <v>5</v>
      </c>
      <c r="C568">
        <v>4</v>
      </c>
      <c r="D568">
        <v>3</v>
      </c>
      <c r="E568">
        <v>2</v>
      </c>
      <c r="F568">
        <v>1</v>
      </c>
      <c r="G568">
        <v>6</v>
      </c>
      <c r="H568">
        <v>567</v>
      </c>
      <c r="I568" s="3" t="s">
        <v>22</v>
      </c>
      <c r="J568" s="3" t="s">
        <v>26</v>
      </c>
      <c r="K568" s="3" t="s">
        <v>32</v>
      </c>
      <c r="L568" s="3" t="s">
        <v>39</v>
      </c>
      <c r="M568" s="2" t="s">
        <v>38</v>
      </c>
    </row>
    <row r="569" spans="1:13" ht="15.75" customHeight="1" x14ac:dyDescent="0.3">
      <c r="A569">
        <v>568</v>
      </c>
      <c r="B569">
        <v>5</v>
      </c>
      <c r="C569">
        <v>4</v>
      </c>
      <c r="D569">
        <v>3</v>
      </c>
      <c r="E569">
        <v>2</v>
      </c>
      <c r="F569">
        <v>6</v>
      </c>
      <c r="G569">
        <v>1</v>
      </c>
      <c r="H569">
        <v>568</v>
      </c>
      <c r="I569" s="3" t="s">
        <v>22</v>
      </c>
      <c r="J569" s="3" t="s">
        <v>26</v>
      </c>
      <c r="K569" s="3" t="s">
        <v>32</v>
      </c>
      <c r="L569" s="2" t="s">
        <v>30</v>
      </c>
      <c r="M569" s="3" t="s">
        <v>43</v>
      </c>
    </row>
    <row r="570" spans="1:13" ht="15.75" customHeight="1" x14ac:dyDescent="0.3">
      <c r="A570">
        <v>569</v>
      </c>
      <c r="B570">
        <v>5</v>
      </c>
      <c r="C570">
        <v>4</v>
      </c>
      <c r="D570">
        <v>3</v>
      </c>
      <c r="E570">
        <v>6</v>
      </c>
      <c r="F570">
        <v>1</v>
      </c>
      <c r="G570">
        <v>2</v>
      </c>
      <c r="H570">
        <v>569</v>
      </c>
      <c r="I570" s="3" t="s">
        <v>22</v>
      </c>
      <c r="J570" s="3" t="s">
        <v>26</v>
      </c>
      <c r="K570" s="2" t="s">
        <v>24</v>
      </c>
      <c r="L570" s="3" t="s">
        <v>43</v>
      </c>
      <c r="M570" s="2" t="s">
        <v>14</v>
      </c>
    </row>
    <row r="571" spans="1:13" ht="15.75" customHeight="1" x14ac:dyDescent="0.3">
      <c r="A571">
        <v>570</v>
      </c>
      <c r="B571">
        <v>5</v>
      </c>
      <c r="C571">
        <v>4</v>
      </c>
      <c r="D571">
        <v>3</v>
      </c>
      <c r="E571">
        <v>6</v>
      </c>
      <c r="F571">
        <v>2</v>
      </c>
      <c r="G571">
        <v>1</v>
      </c>
      <c r="H571">
        <v>570</v>
      </c>
      <c r="I571" s="3" t="s">
        <v>22</v>
      </c>
      <c r="J571" s="3" t="s">
        <v>26</v>
      </c>
      <c r="K571" s="2" t="s">
        <v>24</v>
      </c>
      <c r="L571" s="3" t="s">
        <v>35</v>
      </c>
      <c r="M571" s="3" t="s">
        <v>39</v>
      </c>
    </row>
    <row r="572" spans="1:13" ht="15.75" customHeight="1" x14ac:dyDescent="0.3">
      <c r="A572">
        <v>571</v>
      </c>
      <c r="B572">
        <v>5</v>
      </c>
      <c r="C572">
        <v>4</v>
      </c>
      <c r="D572">
        <v>6</v>
      </c>
      <c r="E572">
        <v>1</v>
      </c>
      <c r="F572">
        <v>2</v>
      </c>
      <c r="G572">
        <v>3</v>
      </c>
      <c r="H572">
        <v>571</v>
      </c>
      <c r="I572" s="3" t="s">
        <v>22</v>
      </c>
      <c r="J572" s="2" t="s">
        <v>19</v>
      </c>
      <c r="K572" s="3" t="s">
        <v>43</v>
      </c>
      <c r="L572" s="2" t="s">
        <v>14</v>
      </c>
      <c r="M572" s="2" t="s">
        <v>15</v>
      </c>
    </row>
    <row r="573" spans="1:13" ht="15.75" customHeight="1" x14ac:dyDescent="0.3">
      <c r="A573">
        <v>572</v>
      </c>
      <c r="B573">
        <v>5</v>
      </c>
      <c r="C573">
        <v>4</v>
      </c>
      <c r="D573">
        <v>6</v>
      </c>
      <c r="E573">
        <v>1</v>
      </c>
      <c r="F573">
        <v>3</v>
      </c>
      <c r="G573">
        <v>2</v>
      </c>
      <c r="H573">
        <v>572</v>
      </c>
      <c r="I573" s="3" t="s">
        <v>22</v>
      </c>
      <c r="J573" s="2" t="s">
        <v>19</v>
      </c>
      <c r="K573" s="3" t="s">
        <v>43</v>
      </c>
      <c r="L573" s="2" t="s">
        <v>31</v>
      </c>
      <c r="M573" s="3" t="s">
        <v>32</v>
      </c>
    </row>
    <row r="574" spans="1:13" ht="15.75" customHeight="1" x14ac:dyDescent="0.3">
      <c r="A574">
        <v>573</v>
      </c>
      <c r="B574">
        <v>5</v>
      </c>
      <c r="C574">
        <v>4</v>
      </c>
      <c r="D574">
        <v>6</v>
      </c>
      <c r="E574">
        <v>2</v>
      </c>
      <c r="F574">
        <v>1</v>
      </c>
      <c r="G574">
        <v>3</v>
      </c>
      <c r="H574">
        <v>573</v>
      </c>
      <c r="I574" s="3" t="s">
        <v>22</v>
      </c>
      <c r="J574" s="2" t="s">
        <v>19</v>
      </c>
      <c r="K574" s="3" t="s">
        <v>35</v>
      </c>
      <c r="L574" s="3" t="s">
        <v>39</v>
      </c>
      <c r="M574" s="2" t="s">
        <v>31</v>
      </c>
    </row>
    <row r="575" spans="1:13" ht="15.75" customHeight="1" x14ac:dyDescent="0.3">
      <c r="A575">
        <v>574</v>
      </c>
      <c r="B575">
        <v>5</v>
      </c>
      <c r="C575">
        <v>4</v>
      </c>
      <c r="D575">
        <v>6</v>
      </c>
      <c r="E575">
        <v>2</v>
      </c>
      <c r="F575">
        <v>3</v>
      </c>
      <c r="G575">
        <v>1</v>
      </c>
      <c r="H575">
        <v>574</v>
      </c>
      <c r="I575" s="3" t="s">
        <v>22</v>
      </c>
      <c r="J575" s="2" t="s">
        <v>19</v>
      </c>
      <c r="K575" s="3" t="s">
        <v>35</v>
      </c>
      <c r="L575" s="2" t="s">
        <v>15</v>
      </c>
      <c r="M575" s="3" t="s">
        <v>40</v>
      </c>
    </row>
    <row r="576" spans="1:13" ht="15.75" customHeight="1" x14ac:dyDescent="0.3">
      <c r="A576">
        <v>575</v>
      </c>
      <c r="B576">
        <v>5</v>
      </c>
      <c r="C576">
        <v>4</v>
      </c>
      <c r="D576">
        <v>6</v>
      </c>
      <c r="E576">
        <v>3</v>
      </c>
      <c r="F576">
        <v>1</v>
      </c>
      <c r="G576">
        <v>2</v>
      </c>
      <c r="H576">
        <v>575</v>
      </c>
      <c r="I576" s="3" t="s">
        <v>22</v>
      </c>
      <c r="J576" s="2" t="s">
        <v>19</v>
      </c>
      <c r="K576" s="3" t="s">
        <v>28</v>
      </c>
      <c r="L576" s="3" t="s">
        <v>40</v>
      </c>
      <c r="M576" s="2" t="s">
        <v>14</v>
      </c>
    </row>
    <row r="577" spans="1:13" ht="15.75" customHeight="1" x14ac:dyDescent="0.3">
      <c r="A577">
        <v>576</v>
      </c>
      <c r="B577">
        <v>5</v>
      </c>
      <c r="C577">
        <v>4</v>
      </c>
      <c r="D577">
        <v>6</v>
      </c>
      <c r="E577">
        <v>3</v>
      </c>
      <c r="F577">
        <v>2</v>
      </c>
      <c r="G577">
        <v>1</v>
      </c>
      <c r="H577">
        <v>576</v>
      </c>
      <c r="I577" s="3" t="s">
        <v>22</v>
      </c>
      <c r="J577" s="2" t="s">
        <v>19</v>
      </c>
      <c r="K577" s="3" t="s">
        <v>28</v>
      </c>
      <c r="L577" s="3" t="s">
        <v>32</v>
      </c>
      <c r="M577" s="3" t="s">
        <v>39</v>
      </c>
    </row>
    <row r="578" spans="1:13" ht="15.75" customHeight="1" x14ac:dyDescent="0.3">
      <c r="A578">
        <v>577</v>
      </c>
      <c r="B578">
        <v>5</v>
      </c>
      <c r="C578">
        <v>6</v>
      </c>
      <c r="D578">
        <v>1</v>
      </c>
      <c r="E578">
        <v>2</v>
      </c>
      <c r="F578">
        <v>3</v>
      </c>
      <c r="G578">
        <v>4</v>
      </c>
      <c r="H578">
        <v>577</v>
      </c>
      <c r="I578" s="2" t="s">
        <v>18</v>
      </c>
      <c r="J578" s="3" t="s">
        <v>43</v>
      </c>
      <c r="K578" s="2" t="s">
        <v>14</v>
      </c>
      <c r="L578" s="2" t="s">
        <v>15</v>
      </c>
      <c r="M578" s="2" t="s">
        <v>16</v>
      </c>
    </row>
    <row r="579" spans="1:13" ht="15.75" customHeight="1" x14ac:dyDescent="0.3">
      <c r="A579">
        <v>578</v>
      </c>
      <c r="B579">
        <v>5</v>
      </c>
      <c r="C579">
        <v>6</v>
      </c>
      <c r="D579">
        <v>1</v>
      </c>
      <c r="E579">
        <v>2</v>
      </c>
      <c r="F579">
        <v>4</v>
      </c>
      <c r="G579">
        <v>3</v>
      </c>
      <c r="H579">
        <v>578</v>
      </c>
      <c r="I579" s="2" t="s">
        <v>18</v>
      </c>
      <c r="J579" s="3" t="s">
        <v>43</v>
      </c>
      <c r="K579" s="2" t="s">
        <v>14</v>
      </c>
      <c r="L579" s="2" t="s">
        <v>25</v>
      </c>
      <c r="M579" s="3" t="s">
        <v>26</v>
      </c>
    </row>
    <row r="580" spans="1:13" ht="15.75" customHeight="1" x14ac:dyDescent="0.3">
      <c r="A580">
        <v>579</v>
      </c>
      <c r="B580">
        <v>5</v>
      </c>
      <c r="C580">
        <v>6</v>
      </c>
      <c r="D580">
        <v>1</v>
      </c>
      <c r="E580">
        <v>3</v>
      </c>
      <c r="F580">
        <v>2</v>
      </c>
      <c r="G580">
        <v>4</v>
      </c>
      <c r="H580">
        <v>579</v>
      </c>
      <c r="I580" s="2" t="s">
        <v>18</v>
      </c>
      <c r="J580" s="3" t="s">
        <v>43</v>
      </c>
      <c r="K580" s="2" t="s">
        <v>31</v>
      </c>
      <c r="L580" s="3" t="s">
        <v>32</v>
      </c>
      <c r="M580" s="2" t="s">
        <v>25</v>
      </c>
    </row>
    <row r="581" spans="1:13" ht="15.75" customHeight="1" x14ac:dyDescent="0.3">
      <c r="A581">
        <v>580</v>
      </c>
      <c r="B581">
        <v>5</v>
      </c>
      <c r="C581">
        <v>6</v>
      </c>
      <c r="D581">
        <v>1</v>
      </c>
      <c r="E581">
        <v>3</v>
      </c>
      <c r="F581">
        <v>4</v>
      </c>
      <c r="G581">
        <v>2</v>
      </c>
      <c r="H581">
        <v>580</v>
      </c>
      <c r="I581" s="2" t="s">
        <v>18</v>
      </c>
      <c r="J581" s="3" t="s">
        <v>43</v>
      </c>
      <c r="K581" s="2" t="s">
        <v>31</v>
      </c>
      <c r="L581" s="2" t="s">
        <v>16</v>
      </c>
      <c r="M581" s="3" t="s">
        <v>33</v>
      </c>
    </row>
    <row r="582" spans="1:13" ht="15.75" customHeight="1" x14ac:dyDescent="0.3">
      <c r="A582">
        <v>581</v>
      </c>
      <c r="B582">
        <v>5</v>
      </c>
      <c r="C582">
        <v>6</v>
      </c>
      <c r="D582">
        <v>1</v>
      </c>
      <c r="E582">
        <v>4</v>
      </c>
      <c r="F582">
        <v>2</v>
      </c>
      <c r="G582">
        <v>3</v>
      </c>
      <c r="H582">
        <v>581</v>
      </c>
      <c r="I582" s="2" t="s">
        <v>18</v>
      </c>
      <c r="J582" s="3" t="s">
        <v>43</v>
      </c>
      <c r="K582" s="2" t="s">
        <v>36</v>
      </c>
      <c r="L582" s="3" t="s">
        <v>33</v>
      </c>
      <c r="M582" s="2" t="s">
        <v>15</v>
      </c>
    </row>
    <row r="583" spans="1:13" ht="15.75" customHeight="1" x14ac:dyDescent="0.3">
      <c r="A583">
        <v>582</v>
      </c>
      <c r="B583">
        <v>5</v>
      </c>
      <c r="C583">
        <v>6</v>
      </c>
      <c r="D583">
        <v>1</v>
      </c>
      <c r="E583">
        <v>4</v>
      </c>
      <c r="F583">
        <v>3</v>
      </c>
      <c r="G583">
        <v>2</v>
      </c>
      <c r="H583">
        <v>582</v>
      </c>
      <c r="I583" s="2" t="s">
        <v>18</v>
      </c>
      <c r="J583" s="3" t="s">
        <v>43</v>
      </c>
      <c r="K583" s="2" t="s">
        <v>36</v>
      </c>
      <c r="L583" s="3" t="s">
        <v>26</v>
      </c>
      <c r="M583" s="3" t="s">
        <v>32</v>
      </c>
    </row>
    <row r="584" spans="1:13" ht="15.75" customHeight="1" x14ac:dyDescent="0.3">
      <c r="A584">
        <v>583</v>
      </c>
      <c r="B584">
        <v>5</v>
      </c>
      <c r="C584">
        <v>6</v>
      </c>
      <c r="D584">
        <v>2</v>
      </c>
      <c r="E584">
        <v>1</v>
      </c>
      <c r="F584">
        <v>3</v>
      </c>
      <c r="G584">
        <v>4</v>
      </c>
      <c r="H584">
        <v>583</v>
      </c>
      <c r="I584" s="2" t="s">
        <v>18</v>
      </c>
      <c r="J584" s="3" t="s">
        <v>35</v>
      </c>
      <c r="K584" s="3" t="s">
        <v>39</v>
      </c>
      <c r="L584" s="2" t="s">
        <v>31</v>
      </c>
      <c r="M584" s="2" t="s">
        <v>16</v>
      </c>
    </row>
    <row r="585" spans="1:13" ht="15.75" customHeight="1" x14ac:dyDescent="0.3">
      <c r="A585">
        <v>584</v>
      </c>
      <c r="B585">
        <v>5</v>
      </c>
      <c r="C585">
        <v>6</v>
      </c>
      <c r="D585">
        <v>2</v>
      </c>
      <c r="E585">
        <v>1</v>
      </c>
      <c r="F585">
        <v>4</v>
      </c>
      <c r="G585">
        <v>3</v>
      </c>
      <c r="H585">
        <v>584</v>
      </c>
      <c r="I585" s="2" t="s">
        <v>18</v>
      </c>
      <c r="J585" s="3" t="s">
        <v>35</v>
      </c>
      <c r="K585" s="3" t="s">
        <v>39</v>
      </c>
      <c r="L585" s="2" t="s">
        <v>36</v>
      </c>
      <c r="M585" s="3" t="s">
        <v>26</v>
      </c>
    </row>
    <row r="586" spans="1:13" ht="15.75" customHeight="1" x14ac:dyDescent="0.3">
      <c r="A586">
        <v>585</v>
      </c>
      <c r="B586">
        <v>5</v>
      </c>
      <c r="C586">
        <v>6</v>
      </c>
      <c r="D586">
        <v>2</v>
      </c>
      <c r="E586">
        <v>3</v>
      </c>
      <c r="F586">
        <v>1</v>
      </c>
      <c r="G586">
        <v>4</v>
      </c>
      <c r="H586">
        <v>585</v>
      </c>
      <c r="I586" s="2" t="s">
        <v>18</v>
      </c>
      <c r="J586" s="3" t="s">
        <v>35</v>
      </c>
      <c r="K586" s="2" t="s">
        <v>15</v>
      </c>
      <c r="L586" s="3" t="s">
        <v>40</v>
      </c>
      <c r="M586" s="2" t="s">
        <v>36</v>
      </c>
    </row>
    <row r="587" spans="1:13" ht="15.75" customHeight="1" x14ac:dyDescent="0.3">
      <c r="A587">
        <v>586</v>
      </c>
      <c r="B587">
        <v>5</v>
      </c>
      <c r="C587">
        <v>6</v>
      </c>
      <c r="D587">
        <v>2</v>
      </c>
      <c r="E587">
        <v>3</v>
      </c>
      <c r="F587">
        <v>4</v>
      </c>
      <c r="G587">
        <v>1</v>
      </c>
      <c r="H587">
        <v>586</v>
      </c>
      <c r="I587" s="2" t="s">
        <v>18</v>
      </c>
      <c r="J587" s="3" t="s">
        <v>35</v>
      </c>
      <c r="K587" s="2" t="s">
        <v>15</v>
      </c>
      <c r="L587" s="2" t="s">
        <v>16</v>
      </c>
      <c r="M587" s="3" t="s">
        <v>41</v>
      </c>
    </row>
    <row r="588" spans="1:13" ht="15.75" customHeight="1" x14ac:dyDescent="0.3">
      <c r="A588">
        <v>587</v>
      </c>
      <c r="B588">
        <v>5</v>
      </c>
      <c r="C588">
        <v>6</v>
      </c>
      <c r="D588">
        <v>2</v>
      </c>
      <c r="E588">
        <v>4</v>
      </c>
      <c r="F588">
        <v>1</v>
      </c>
      <c r="G588">
        <v>3</v>
      </c>
      <c r="H588">
        <v>587</v>
      </c>
      <c r="I588" s="2" t="s">
        <v>18</v>
      </c>
      <c r="J588" s="3" t="s">
        <v>35</v>
      </c>
      <c r="K588" s="2" t="s">
        <v>25</v>
      </c>
      <c r="L588" s="3" t="s">
        <v>41</v>
      </c>
      <c r="M588" s="2" t="s">
        <v>31</v>
      </c>
    </row>
    <row r="589" spans="1:13" ht="15.75" customHeight="1" x14ac:dyDescent="0.3">
      <c r="A589">
        <v>588</v>
      </c>
      <c r="B589">
        <v>5</v>
      </c>
      <c r="C589">
        <v>6</v>
      </c>
      <c r="D589">
        <v>2</v>
      </c>
      <c r="E589">
        <v>4</v>
      </c>
      <c r="F589">
        <v>3</v>
      </c>
      <c r="G589">
        <v>1</v>
      </c>
      <c r="H589">
        <v>588</v>
      </c>
      <c r="I589" s="2" t="s">
        <v>18</v>
      </c>
      <c r="J589" s="3" t="s">
        <v>35</v>
      </c>
      <c r="K589" s="2" t="s">
        <v>25</v>
      </c>
      <c r="L589" s="3" t="s">
        <v>26</v>
      </c>
      <c r="M589" s="3" t="s">
        <v>40</v>
      </c>
    </row>
    <row r="590" spans="1:13" ht="15.75" customHeight="1" x14ac:dyDescent="0.3">
      <c r="A590">
        <v>589</v>
      </c>
      <c r="B590">
        <v>5</v>
      </c>
      <c r="C590">
        <v>6</v>
      </c>
      <c r="D590">
        <v>3</v>
      </c>
      <c r="E590">
        <v>1</v>
      </c>
      <c r="F590">
        <v>2</v>
      </c>
      <c r="G590">
        <v>4</v>
      </c>
      <c r="H590">
        <v>589</v>
      </c>
      <c r="I590" s="2" t="s">
        <v>18</v>
      </c>
      <c r="J590" s="3" t="s">
        <v>28</v>
      </c>
      <c r="K590" s="3" t="s">
        <v>40</v>
      </c>
      <c r="L590" s="2" t="s">
        <v>14</v>
      </c>
      <c r="M590" s="2" t="s">
        <v>25</v>
      </c>
    </row>
    <row r="591" spans="1:13" ht="15.75" customHeight="1" x14ac:dyDescent="0.3">
      <c r="A591">
        <v>590</v>
      </c>
      <c r="B591">
        <v>5</v>
      </c>
      <c r="C591">
        <v>6</v>
      </c>
      <c r="D591">
        <v>3</v>
      </c>
      <c r="E591">
        <v>1</v>
      </c>
      <c r="F591">
        <v>4</v>
      </c>
      <c r="G591">
        <v>2</v>
      </c>
      <c r="H591">
        <v>590</v>
      </c>
      <c r="I591" s="2" t="s">
        <v>18</v>
      </c>
      <c r="J591" s="3" t="s">
        <v>28</v>
      </c>
      <c r="K591" s="3" t="s">
        <v>40</v>
      </c>
      <c r="L591" s="2" t="s">
        <v>36</v>
      </c>
      <c r="M591" s="3" t="s">
        <v>33</v>
      </c>
    </row>
    <row r="592" spans="1:13" ht="15.75" customHeight="1" x14ac:dyDescent="0.3">
      <c r="A592">
        <v>591</v>
      </c>
      <c r="B592">
        <v>5</v>
      </c>
      <c r="C592">
        <v>6</v>
      </c>
      <c r="D592">
        <v>3</v>
      </c>
      <c r="E592">
        <v>2</v>
      </c>
      <c r="F592">
        <v>1</v>
      </c>
      <c r="G592">
        <v>4</v>
      </c>
      <c r="H592">
        <v>591</v>
      </c>
      <c r="I592" s="2" t="s">
        <v>18</v>
      </c>
      <c r="J592" s="3" t="s">
        <v>28</v>
      </c>
      <c r="K592" s="3" t="s">
        <v>32</v>
      </c>
      <c r="L592" s="3" t="s">
        <v>39</v>
      </c>
      <c r="M592" s="2" t="s">
        <v>36</v>
      </c>
    </row>
    <row r="593" spans="1:13" ht="15.75" customHeight="1" x14ac:dyDescent="0.3">
      <c r="A593">
        <v>592</v>
      </c>
      <c r="B593">
        <v>5</v>
      </c>
      <c r="C593">
        <v>6</v>
      </c>
      <c r="D593">
        <v>3</v>
      </c>
      <c r="E593">
        <v>2</v>
      </c>
      <c r="F593">
        <v>4</v>
      </c>
      <c r="G593">
        <v>1</v>
      </c>
      <c r="H593">
        <v>592</v>
      </c>
      <c r="I593" s="2" t="s">
        <v>18</v>
      </c>
      <c r="J593" s="3" t="s">
        <v>28</v>
      </c>
      <c r="K593" s="3" t="s">
        <v>32</v>
      </c>
      <c r="L593" s="2" t="s">
        <v>25</v>
      </c>
      <c r="M593" s="3" t="s">
        <v>41</v>
      </c>
    </row>
    <row r="594" spans="1:13" ht="15.75" customHeight="1" x14ac:dyDescent="0.3">
      <c r="A594">
        <v>593</v>
      </c>
      <c r="B594">
        <v>5</v>
      </c>
      <c r="C594">
        <v>6</v>
      </c>
      <c r="D594">
        <v>3</v>
      </c>
      <c r="E594">
        <v>4</v>
      </c>
      <c r="F594">
        <v>1</v>
      </c>
      <c r="G594">
        <v>2</v>
      </c>
      <c r="H594">
        <v>593</v>
      </c>
      <c r="I594" s="2" t="s">
        <v>18</v>
      </c>
      <c r="J594" s="3" t="s">
        <v>28</v>
      </c>
      <c r="K594" s="2" t="s">
        <v>16</v>
      </c>
      <c r="L594" s="3" t="s">
        <v>41</v>
      </c>
      <c r="M594" s="2" t="s">
        <v>14</v>
      </c>
    </row>
    <row r="595" spans="1:13" ht="15.75" customHeight="1" x14ac:dyDescent="0.3">
      <c r="A595">
        <v>594</v>
      </c>
      <c r="B595">
        <v>5</v>
      </c>
      <c r="C595">
        <v>6</v>
      </c>
      <c r="D595">
        <v>3</v>
      </c>
      <c r="E595">
        <v>4</v>
      </c>
      <c r="F595">
        <v>2</v>
      </c>
      <c r="G595">
        <v>1</v>
      </c>
      <c r="H595">
        <v>594</v>
      </c>
      <c r="I595" s="2" t="s">
        <v>18</v>
      </c>
      <c r="J595" s="3" t="s">
        <v>28</v>
      </c>
      <c r="K595" s="2" t="s">
        <v>16</v>
      </c>
      <c r="L595" s="3" t="s">
        <v>33</v>
      </c>
      <c r="M595" s="3" t="s">
        <v>39</v>
      </c>
    </row>
    <row r="596" spans="1:13" ht="15.75" customHeight="1" x14ac:dyDescent="0.3">
      <c r="A596">
        <v>595</v>
      </c>
      <c r="B596">
        <v>5</v>
      </c>
      <c r="C596">
        <v>6</v>
      </c>
      <c r="D596">
        <v>4</v>
      </c>
      <c r="E596">
        <v>1</v>
      </c>
      <c r="F596">
        <v>2</v>
      </c>
      <c r="G596">
        <v>3</v>
      </c>
      <c r="H596">
        <v>595</v>
      </c>
      <c r="I596" s="2" t="s">
        <v>18</v>
      </c>
      <c r="J596" s="3" t="s">
        <v>23</v>
      </c>
      <c r="K596" s="3" t="s">
        <v>41</v>
      </c>
      <c r="L596" s="2" t="s">
        <v>14</v>
      </c>
      <c r="M596" s="2" t="s">
        <v>15</v>
      </c>
    </row>
    <row r="597" spans="1:13" ht="15.75" customHeight="1" x14ac:dyDescent="0.3">
      <c r="A597">
        <v>596</v>
      </c>
      <c r="B597">
        <v>5</v>
      </c>
      <c r="C597">
        <v>6</v>
      </c>
      <c r="D597">
        <v>4</v>
      </c>
      <c r="E597">
        <v>1</v>
      </c>
      <c r="F597">
        <v>3</v>
      </c>
      <c r="G597">
        <v>2</v>
      </c>
      <c r="H597">
        <v>596</v>
      </c>
      <c r="I597" s="2" t="s">
        <v>18</v>
      </c>
      <c r="J597" s="3" t="s">
        <v>23</v>
      </c>
      <c r="K597" s="3" t="s">
        <v>41</v>
      </c>
      <c r="L597" s="2" t="s">
        <v>31</v>
      </c>
      <c r="M597" s="3" t="s">
        <v>32</v>
      </c>
    </row>
    <row r="598" spans="1:13" ht="15.75" customHeight="1" x14ac:dyDescent="0.3">
      <c r="A598">
        <v>597</v>
      </c>
      <c r="B598">
        <v>5</v>
      </c>
      <c r="C598">
        <v>6</v>
      </c>
      <c r="D598">
        <v>4</v>
      </c>
      <c r="E598">
        <v>2</v>
      </c>
      <c r="F598">
        <v>1</v>
      </c>
      <c r="G598">
        <v>3</v>
      </c>
      <c r="H598">
        <v>597</v>
      </c>
      <c r="I598" s="2" t="s">
        <v>18</v>
      </c>
      <c r="J598" s="3" t="s">
        <v>23</v>
      </c>
      <c r="K598" s="3" t="s">
        <v>33</v>
      </c>
      <c r="L598" s="3" t="s">
        <v>39</v>
      </c>
      <c r="M598" s="2" t="s">
        <v>31</v>
      </c>
    </row>
    <row r="599" spans="1:13" ht="15.75" customHeight="1" x14ac:dyDescent="0.3">
      <c r="A599">
        <v>598</v>
      </c>
      <c r="B599">
        <v>5</v>
      </c>
      <c r="C599">
        <v>6</v>
      </c>
      <c r="D599">
        <v>4</v>
      </c>
      <c r="E599">
        <v>2</v>
      </c>
      <c r="F599">
        <v>3</v>
      </c>
      <c r="G599">
        <v>1</v>
      </c>
      <c r="H599">
        <v>598</v>
      </c>
      <c r="I599" s="2" t="s">
        <v>18</v>
      </c>
      <c r="J599" s="3" t="s">
        <v>23</v>
      </c>
      <c r="K599" s="3" t="s">
        <v>33</v>
      </c>
      <c r="L599" s="2" t="s">
        <v>15</v>
      </c>
      <c r="M599" s="3" t="s">
        <v>40</v>
      </c>
    </row>
    <row r="600" spans="1:13" ht="15.75" customHeight="1" x14ac:dyDescent="0.3">
      <c r="A600">
        <v>599</v>
      </c>
      <c r="B600">
        <v>5</v>
      </c>
      <c r="C600">
        <v>6</v>
      </c>
      <c r="D600">
        <v>4</v>
      </c>
      <c r="E600">
        <v>3</v>
      </c>
      <c r="F600">
        <v>1</v>
      </c>
      <c r="G600">
        <v>2</v>
      </c>
      <c r="H600">
        <v>599</v>
      </c>
      <c r="I600" s="2" t="s">
        <v>18</v>
      </c>
      <c r="J600" s="3" t="s">
        <v>23</v>
      </c>
      <c r="K600" s="3" t="s">
        <v>26</v>
      </c>
      <c r="L600" s="3" t="s">
        <v>40</v>
      </c>
      <c r="M600" s="2" t="s">
        <v>14</v>
      </c>
    </row>
    <row r="601" spans="1:13" ht="15.75" customHeight="1" x14ac:dyDescent="0.3">
      <c r="A601">
        <v>600</v>
      </c>
      <c r="B601">
        <v>5</v>
      </c>
      <c r="C601">
        <v>6</v>
      </c>
      <c r="D601">
        <v>4</v>
      </c>
      <c r="E601">
        <v>3</v>
      </c>
      <c r="F601">
        <v>2</v>
      </c>
      <c r="G601">
        <v>1</v>
      </c>
      <c r="H601">
        <v>600</v>
      </c>
      <c r="I601" s="2" t="s">
        <v>18</v>
      </c>
      <c r="J601" s="3" t="s">
        <v>23</v>
      </c>
      <c r="K601" s="3" t="s">
        <v>26</v>
      </c>
      <c r="L601" s="3" t="s">
        <v>32</v>
      </c>
      <c r="M601" s="3" t="s">
        <v>39</v>
      </c>
    </row>
    <row r="602" spans="1:13" ht="15.75" customHeight="1" x14ac:dyDescent="0.3">
      <c r="A602">
        <v>601</v>
      </c>
      <c r="B602">
        <v>6</v>
      </c>
      <c r="C602">
        <v>1</v>
      </c>
      <c r="D602">
        <v>2</v>
      </c>
      <c r="E602">
        <v>3</v>
      </c>
      <c r="F602">
        <v>4</v>
      </c>
      <c r="G602">
        <v>5</v>
      </c>
      <c r="H602">
        <v>601</v>
      </c>
      <c r="I602" s="3" t="s">
        <v>43</v>
      </c>
      <c r="J602" s="2" t="s">
        <v>14</v>
      </c>
      <c r="K602" s="2" t="s">
        <v>15</v>
      </c>
      <c r="L602" s="2" t="s">
        <v>16</v>
      </c>
      <c r="M602" s="2" t="s">
        <v>17</v>
      </c>
    </row>
    <row r="603" spans="1:13" ht="15.75" customHeight="1" x14ac:dyDescent="0.3">
      <c r="A603">
        <v>602</v>
      </c>
      <c r="B603">
        <v>6</v>
      </c>
      <c r="C603">
        <v>1</v>
      </c>
      <c r="D603">
        <v>2</v>
      </c>
      <c r="E603">
        <v>3</v>
      </c>
      <c r="F603">
        <v>5</v>
      </c>
      <c r="G603">
        <v>4</v>
      </c>
      <c r="H603">
        <v>602</v>
      </c>
      <c r="I603" s="3" t="s">
        <v>43</v>
      </c>
      <c r="J603" s="2" t="s">
        <v>14</v>
      </c>
      <c r="K603" s="2" t="s">
        <v>15</v>
      </c>
      <c r="L603" s="2" t="s">
        <v>21</v>
      </c>
      <c r="M603" s="3" t="s">
        <v>22</v>
      </c>
    </row>
    <row r="604" spans="1:13" ht="15.75" customHeight="1" x14ac:dyDescent="0.3">
      <c r="A604">
        <v>603</v>
      </c>
      <c r="B604">
        <v>6</v>
      </c>
      <c r="C604">
        <v>1</v>
      </c>
      <c r="D604">
        <v>2</v>
      </c>
      <c r="E604">
        <v>4</v>
      </c>
      <c r="F604">
        <v>3</v>
      </c>
      <c r="G604">
        <v>5</v>
      </c>
      <c r="H604">
        <v>603</v>
      </c>
      <c r="I604" s="3" t="s">
        <v>43</v>
      </c>
      <c r="J604" s="2" t="s">
        <v>14</v>
      </c>
      <c r="K604" s="2" t="s">
        <v>25</v>
      </c>
      <c r="L604" s="3" t="s">
        <v>26</v>
      </c>
      <c r="M604" s="2" t="s">
        <v>21</v>
      </c>
    </row>
    <row r="605" spans="1:13" ht="15.75" customHeight="1" x14ac:dyDescent="0.3">
      <c r="A605">
        <v>604</v>
      </c>
      <c r="B605">
        <v>6</v>
      </c>
      <c r="C605">
        <v>1</v>
      </c>
      <c r="D605">
        <v>2</v>
      </c>
      <c r="E605">
        <v>4</v>
      </c>
      <c r="F605">
        <v>5</v>
      </c>
      <c r="G605">
        <v>3</v>
      </c>
      <c r="H605">
        <v>604</v>
      </c>
      <c r="I605" s="3" t="s">
        <v>43</v>
      </c>
      <c r="J605" s="2" t="s">
        <v>14</v>
      </c>
      <c r="K605" s="2" t="s">
        <v>25</v>
      </c>
      <c r="L605" s="2" t="s">
        <v>17</v>
      </c>
      <c r="M605" s="3" t="s">
        <v>27</v>
      </c>
    </row>
    <row r="606" spans="1:13" ht="15.75" customHeight="1" x14ac:dyDescent="0.3">
      <c r="A606">
        <v>605</v>
      </c>
      <c r="B606">
        <v>6</v>
      </c>
      <c r="C606">
        <v>1</v>
      </c>
      <c r="D606">
        <v>2</v>
      </c>
      <c r="E606">
        <v>5</v>
      </c>
      <c r="F606">
        <v>3</v>
      </c>
      <c r="G606">
        <v>4</v>
      </c>
      <c r="H606">
        <v>605</v>
      </c>
      <c r="I606" s="3" t="s">
        <v>43</v>
      </c>
      <c r="J606" s="2" t="s">
        <v>14</v>
      </c>
      <c r="K606" s="2" t="s">
        <v>29</v>
      </c>
      <c r="L606" s="3" t="s">
        <v>27</v>
      </c>
      <c r="M606" s="2" t="s">
        <v>16</v>
      </c>
    </row>
    <row r="607" spans="1:13" ht="15.75" customHeight="1" x14ac:dyDescent="0.3">
      <c r="A607">
        <v>606</v>
      </c>
      <c r="B607">
        <v>6</v>
      </c>
      <c r="C607">
        <v>1</v>
      </c>
      <c r="D607">
        <v>2</v>
      </c>
      <c r="E607">
        <v>5</v>
      </c>
      <c r="F607">
        <v>4</v>
      </c>
      <c r="G607">
        <v>3</v>
      </c>
      <c r="H607">
        <v>606</v>
      </c>
      <c r="I607" s="3" t="s">
        <v>43</v>
      </c>
      <c r="J607" s="2" t="s">
        <v>14</v>
      </c>
      <c r="K607" s="2" t="s">
        <v>29</v>
      </c>
      <c r="L607" s="3" t="s">
        <v>22</v>
      </c>
      <c r="M607" s="3" t="s">
        <v>26</v>
      </c>
    </row>
    <row r="608" spans="1:13" ht="15.75" customHeight="1" x14ac:dyDescent="0.3">
      <c r="A608">
        <v>607</v>
      </c>
      <c r="B608">
        <v>6</v>
      </c>
      <c r="C608">
        <v>1</v>
      </c>
      <c r="D608">
        <v>3</v>
      </c>
      <c r="E608">
        <v>2</v>
      </c>
      <c r="F608">
        <v>4</v>
      </c>
      <c r="G608">
        <v>5</v>
      </c>
      <c r="H608">
        <v>607</v>
      </c>
      <c r="I608" s="3" t="s">
        <v>43</v>
      </c>
      <c r="J608" s="2" t="s">
        <v>31</v>
      </c>
      <c r="K608" s="3" t="s">
        <v>32</v>
      </c>
      <c r="L608" s="2" t="s">
        <v>25</v>
      </c>
      <c r="M608" s="2" t="s">
        <v>17</v>
      </c>
    </row>
    <row r="609" spans="1:13" ht="15.75" customHeight="1" x14ac:dyDescent="0.3">
      <c r="A609">
        <v>608</v>
      </c>
      <c r="B609">
        <v>6</v>
      </c>
      <c r="C609">
        <v>1</v>
      </c>
      <c r="D609">
        <v>3</v>
      </c>
      <c r="E609">
        <v>2</v>
      </c>
      <c r="F609">
        <v>5</v>
      </c>
      <c r="G609">
        <v>4</v>
      </c>
      <c r="H609">
        <v>608</v>
      </c>
      <c r="I609" s="3" t="s">
        <v>43</v>
      </c>
      <c r="J609" s="2" t="s">
        <v>31</v>
      </c>
      <c r="K609" s="3" t="s">
        <v>32</v>
      </c>
      <c r="L609" s="2" t="s">
        <v>29</v>
      </c>
      <c r="M609" s="3" t="s">
        <v>22</v>
      </c>
    </row>
    <row r="610" spans="1:13" ht="15.75" customHeight="1" x14ac:dyDescent="0.3">
      <c r="A610">
        <v>609</v>
      </c>
      <c r="B610">
        <v>6</v>
      </c>
      <c r="C610">
        <v>1</v>
      </c>
      <c r="D610">
        <v>3</v>
      </c>
      <c r="E610">
        <v>4</v>
      </c>
      <c r="F610">
        <v>2</v>
      </c>
      <c r="G610">
        <v>5</v>
      </c>
      <c r="H610">
        <v>609</v>
      </c>
      <c r="I610" s="3" t="s">
        <v>43</v>
      </c>
      <c r="J610" s="2" t="s">
        <v>31</v>
      </c>
      <c r="K610" s="2" t="s">
        <v>16</v>
      </c>
      <c r="L610" s="3" t="s">
        <v>33</v>
      </c>
      <c r="M610" s="2" t="s">
        <v>29</v>
      </c>
    </row>
    <row r="611" spans="1:13" ht="15.75" customHeight="1" x14ac:dyDescent="0.3">
      <c r="A611">
        <v>610</v>
      </c>
      <c r="B611">
        <v>6</v>
      </c>
      <c r="C611">
        <v>1</v>
      </c>
      <c r="D611">
        <v>3</v>
      </c>
      <c r="E611">
        <v>4</v>
      </c>
      <c r="F611">
        <v>5</v>
      </c>
      <c r="G611">
        <v>2</v>
      </c>
      <c r="H611">
        <v>610</v>
      </c>
      <c r="I611" s="3" t="s">
        <v>43</v>
      </c>
      <c r="J611" s="2" t="s">
        <v>31</v>
      </c>
      <c r="K611" s="2" t="s">
        <v>16</v>
      </c>
      <c r="L611" s="2" t="s">
        <v>17</v>
      </c>
      <c r="M611" s="3" t="s">
        <v>34</v>
      </c>
    </row>
    <row r="612" spans="1:13" ht="15.75" customHeight="1" x14ac:dyDescent="0.3">
      <c r="A612">
        <v>611</v>
      </c>
      <c r="B612">
        <v>6</v>
      </c>
      <c r="C612">
        <v>1</v>
      </c>
      <c r="D612">
        <v>3</v>
      </c>
      <c r="E612">
        <v>5</v>
      </c>
      <c r="F612">
        <v>2</v>
      </c>
      <c r="G612">
        <v>4</v>
      </c>
      <c r="H612">
        <v>611</v>
      </c>
      <c r="I612" s="3" t="s">
        <v>43</v>
      </c>
      <c r="J612" s="2" t="s">
        <v>31</v>
      </c>
      <c r="K612" s="2" t="s">
        <v>21</v>
      </c>
      <c r="L612" s="3" t="s">
        <v>34</v>
      </c>
      <c r="M612" s="2" t="s">
        <v>25</v>
      </c>
    </row>
    <row r="613" spans="1:13" ht="15.75" customHeight="1" x14ac:dyDescent="0.3">
      <c r="A613">
        <v>612</v>
      </c>
      <c r="B613">
        <v>6</v>
      </c>
      <c r="C613">
        <v>1</v>
      </c>
      <c r="D613">
        <v>3</v>
      </c>
      <c r="E613">
        <v>5</v>
      </c>
      <c r="F613">
        <v>4</v>
      </c>
      <c r="G613">
        <v>2</v>
      </c>
      <c r="H613">
        <v>612</v>
      </c>
      <c r="I613" s="3" t="s">
        <v>43</v>
      </c>
      <c r="J613" s="2" t="s">
        <v>31</v>
      </c>
      <c r="K613" s="2" t="s">
        <v>21</v>
      </c>
      <c r="L613" s="3" t="s">
        <v>22</v>
      </c>
      <c r="M613" s="3" t="s">
        <v>33</v>
      </c>
    </row>
    <row r="614" spans="1:13" ht="15.75" customHeight="1" x14ac:dyDescent="0.3">
      <c r="A614">
        <v>613</v>
      </c>
      <c r="B614">
        <v>6</v>
      </c>
      <c r="C614">
        <v>1</v>
      </c>
      <c r="D614">
        <v>4</v>
      </c>
      <c r="E614">
        <v>2</v>
      </c>
      <c r="F614">
        <v>3</v>
      </c>
      <c r="G614">
        <v>5</v>
      </c>
      <c r="H614">
        <v>613</v>
      </c>
      <c r="I614" s="3" t="s">
        <v>43</v>
      </c>
      <c r="J614" s="2" t="s">
        <v>36</v>
      </c>
      <c r="K614" s="3" t="s">
        <v>33</v>
      </c>
      <c r="L614" s="2" t="s">
        <v>15</v>
      </c>
      <c r="M614" s="2" t="s">
        <v>21</v>
      </c>
    </row>
    <row r="615" spans="1:13" ht="15.75" customHeight="1" x14ac:dyDescent="0.3">
      <c r="A615">
        <v>614</v>
      </c>
      <c r="B615">
        <v>6</v>
      </c>
      <c r="C615">
        <v>1</v>
      </c>
      <c r="D615">
        <v>4</v>
      </c>
      <c r="E615">
        <v>2</v>
      </c>
      <c r="F615">
        <v>5</v>
      </c>
      <c r="G615">
        <v>3</v>
      </c>
      <c r="H615">
        <v>614</v>
      </c>
      <c r="I615" s="3" t="s">
        <v>43</v>
      </c>
      <c r="J615" s="2" t="s">
        <v>36</v>
      </c>
      <c r="K615" s="3" t="s">
        <v>33</v>
      </c>
      <c r="L615" s="2" t="s">
        <v>29</v>
      </c>
      <c r="M615" s="3" t="s">
        <v>27</v>
      </c>
    </row>
    <row r="616" spans="1:13" ht="15.75" customHeight="1" x14ac:dyDescent="0.3">
      <c r="A616">
        <v>615</v>
      </c>
      <c r="B616">
        <v>6</v>
      </c>
      <c r="C616">
        <v>1</v>
      </c>
      <c r="D616">
        <v>4</v>
      </c>
      <c r="E616">
        <v>3</v>
      </c>
      <c r="F616">
        <v>2</v>
      </c>
      <c r="G616">
        <v>5</v>
      </c>
      <c r="H616">
        <v>615</v>
      </c>
      <c r="I616" s="3" t="s">
        <v>43</v>
      </c>
      <c r="J616" s="2" t="s">
        <v>36</v>
      </c>
      <c r="K616" s="3" t="s">
        <v>26</v>
      </c>
      <c r="L616" s="3" t="s">
        <v>32</v>
      </c>
      <c r="M616" s="2" t="s">
        <v>29</v>
      </c>
    </row>
    <row r="617" spans="1:13" ht="15.75" customHeight="1" x14ac:dyDescent="0.3">
      <c r="A617">
        <v>616</v>
      </c>
      <c r="B617">
        <v>6</v>
      </c>
      <c r="C617">
        <v>1</v>
      </c>
      <c r="D617">
        <v>4</v>
      </c>
      <c r="E617">
        <v>3</v>
      </c>
      <c r="F617">
        <v>5</v>
      </c>
      <c r="G617">
        <v>2</v>
      </c>
      <c r="H617">
        <v>616</v>
      </c>
      <c r="I617" s="3" t="s">
        <v>43</v>
      </c>
      <c r="J617" s="2" t="s">
        <v>36</v>
      </c>
      <c r="K617" s="3" t="s">
        <v>26</v>
      </c>
      <c r="L617" s="2" t="s">
        <v>21</v>
      </c>
      <c r="M617" s="3" t="s">
        <v>34</v>
      </c>
    </row>
    <row r="618" spans="1:13" ht="15.75" customHeight="1" x14ac:dyDescent="0.3">
      <c r="A618">
        <v>617</v>
      </c>
      <c r="B618">
        <v>6</v>
      </c>
      <c r="C618">
        <v>1</v>
      </c>
      <c r="D618">
        <v>4</v>
      </c>
      <c r="E618">
        <v>5</v>
      </c>
      <c r="F618">
        <v>2</v>
      </c>
      <c r="G618">
        <v>3</v>
      </c>
      <c r="H618">
        <v>617</v>
      </c>
      <c r="I618" s="3" t="s">
        <v>43</v>
      </c>
      <c r="J618" s="2" t="s">
        <v>36</v>
      </c>
      <c r="K618" s="2" t="s">
        <v>17</v>
      </c>
      <c r="L618" s="3" t="s">
        <v>34</v>
      </c>
      <c r="M618" s="2" t="s">
        <v>15</v>
      </c>
    </row>
    <row r="619" spans="1:13" ht="15.75" customHeight="1" x14ac:dyDescent="0.3">
      <c r="A619">
        <v>618</v>
      </c>
      <c r="B619">
        <v>6</v>
      </c>
      <c r="C619">
        <v>1</v>
      </c>
      <c r="D619">
        <v>4</v>
      </c>
      <c r="E619">
        <v>5</v>
      </c>
      <c r="F619">
        <v>3</v>
      </c>
      <c r="G619">
        <v>2</v>
      </c>
      <c r="H619">
        <v>618</v>
      </c>
      <c r="I619" s="3" t="s">
        <v>43</v>
      </c>
      <c r="J619" s="2" t="s">
        <v>36</v>
      </c>
      <c r="K619" s="2" t="s">
        <v>17</v>
      </c>
      <c r="L619" s="3" t="s">
        <v>27</v>
      </c>
      <c r="M619" s="3" t="s">
        <v>32</v>
      </c>
    </row>
    <row r="620" spans="1:13" ht="15.75" customHeight="1" x14ac:dyDescent="0.3">
      <c r="A620">
        <v>619</v>
      </c>
      <c r="B620">
        <v>6</v>
      </c>
      <c r="C620">
        <v>1</v>
      </c>
      <c r="D620">
        <v>5</v>
      </c>
      <c r="E620">
        <v>2</v>
      </c>
      <c r="F620">
        <v>3</v>
      </c>
      <c r="G620">
        <v>4</v>
      </c>
      <c r="H620">
        <v>619</v>
      </c>
      <c r="I620" s="3" t="s">
        <v>43</v>
      </c>
      <c r="J620" s="2" t="s">
        <v>37</v>
      </c>
      <c r="K620" s="3" t="s">
        <v>34</v>
      </c>
      <c r="L620" s="2" t="s">
        <v>15</v>
      </c>
      <c r="M620" s="2" t="s">
        <v>16</v>
      </c>
    </row>
    <row r="621" spans="1:13" ht="15.75" customHeight="1" x14ac:dyDescent="0.3">
      <c r="A621">
        <v>620</v>
      </c>
      <c r="B621">
        <v>6</v>
      </c>
      <c r="C621">
        <v>1</v>
      </c>
      <c r="D621">
        <v>5</v>
      </c>
      <c r="E621">
        <v>2</v>
      </c>
      <c r="F621">
        <v>4</v>
      </c>
      <c r="G621">
        <v>3</v>
      </c>
      <c r="H621">
        <v>620</v>
      </c>
      <c r="I621" s="3" t="s">
        <v>43</v>
      </c>
      <c r="J621" s="2" t="s">
        <v>37</v>
      </c>
      <c r="K621" s="3" t="s">
        <v>34</v>
      </c>
      <c r="L621" s="2" t="s">
        <v>25</v>
      </c>
      <c r="M621" s="3" t="s">
        <v>26</v>
      </c>
    </row>
    <row r="622" spans="1:13" ht="15.75" customHeight="1" x14ac:dyDescent="0.3">
      <c r="A622">
        <v>621</v>
      </c>
      <c r="B622">
        <v>6</v>
      </c>
      <c r="C622">
        <v>1</v>
      </c>
      <c r="D622">
        <v>5</v>
      </c>
      <c r="E622">
        <v>3</v>
      </c>
      <c r="F622">
        <v>2</v>
      </c>
      <c r="G622">
        <v>4</v>
      </c>
      <c r="H622">
        <v>621</v>
      </c>
      <c r="I622" s="3" t="s">
        <v>43</v>
      </c>
      <c r="J622" s="2" t="s">
        <v>37</v>
      </c>
      <c r="K622" s="3" t="s">
        <v>27</v>
      </c>
      <c r="L622" s="3" t="s">
        <v>32</v>
      </c>
      <c r="M622" s="2" t="s">
        <v>25</v>
      </c>
    </row>
    <row r="623" spans="1:13" ht="15.75" customHeight="1" x14ac:dyDescent="0.3">
      <c r="A623">
        <v>622</v>
      </c>
      <c r="B623">
        <v>6</v>
      </c>
      <c r="C623">
        <v>1</v>
      </c>
      <c r="D623">
        <v>5</v>
      </c>
      <c r="E623">
        <v>3</v>
      </c>
      <c r="F623">
        <v>4</v>
      </c>
      <c r="G623">
        <v>2</v>
      </c>
      <c r="H623">
        <v>622</v>
      </c>
      <c r="I623" s="3" t="s">
        <v>43</v>
      </c>
      <c r="J623" s="2" t="s">
        <v>37</v>
      </c>
      <c r="K623" s="3" t="s">
        <v>27</v>
      </c>
      <c r="L623" s="2" t="s">
        <v>16</v>
      </c>
      <c r="M623" s="3" t="s">
        <v>33</v>
      </c>
    </row>
    <row r="624" spans="1:13" ht="15.75" customHeight="1" x14ac:dyDescent="0.3">
      <c r="A624">
        <v>623</v>
      </c>
      <c r="B624">
        <v>6</v>
      </c>
      <c r="C624">
        <v>1</v>
      </c>
      <c r="D624">
        <v>5</v>
      </c>
      <c r="E624">
        <v>4</v>
      </c>
      <c r="F624">
        <v>2</v>
      </c>
      <c r="G624">
        <v>3</v>
      </c>
      <c r="H624">
        <v>623</v>
      </c>
      <c r="I624" s="3" t="s">
        <v>43</v>
      </c>
      <c r="J624" s="2" t="s">
        <v>37</v>
      </c>
      <c r="K624" s="3" t="s">
        <v>22</v>
      </c>
      <c r="L624" s="3" t="s">
        <v>33</v>
      </c>
      <c r="M624" s="2" t="s">
        <v>15</v>
      </c>
    </row>
    <row r="625" spans="1:13" ht="15.75" customHeight="1" x14ac:dyDescent="0.3">
      <c r="A625">
        <v>624</v>
      </c>
      <c r="B625">
        <v>6</v>
      </c>
      <c r="C625">
        <v>1</v>
      </c>
      <c r="D625">
        <v>5</v>
      </c>
      <c r="E625">
        <v>4</v>
      </c>
      <c r="F625">
        <v>3</v>
      </c>
      <c r="G625">
        <v>2</v>
      </c>
      <c r="H625">
        <v>624</v>
      </c>
      <c r="I625" s="3" t="s">
        <v>43</v>
      </c>
      <c r="J625" s="2" t="s">
        <v>37</v>
      </c>
      <c r="K625" s="3" t="s">
        <v>22</v>
      </c>
      <c r="L625" s="3" t="s">
        <v>26</v>
      </c>
      <c r="M625" s="3" t="s">
        <v>32</v>
      </c>
    </row>
    <row r="626" spans="1:13" ht="15.75" customHeight="1" x14ac:dyDescent="0.3">
      <c r="A626">
        <v>625</v>
      </c>
      <c r="B626">
        <v>6</v>
      </c>
      <c r="C626">
        <v>2</v>
      </c>
      <c r="D626">
        <v>1</v>
      </c>
      <c r="E626">
        <v>3</v>
      </c>
      <c r="F626">
        <v>4</v>
      </c>
      <c r="G626">
        <v>5</v>
      </c>
      <c r="H626">
        <v>625</v>
      </c>
      <c r="I626" s="3" t="s">
        <v>35</v>
      </c>
      <c r="J626" s="3" t="s">
        <v>39</v>
      </c>
      <c r="K626" s="2" t="s">
        <v>31</v>
      </c>
      <c r="L626" s="2" t="s">
        <v>16</v>
      </c>
      <c r="M626" s="2" t="s">
        <v>17</v>
      </c>
    </row>
    <row r="627" spans="1:13" ht="15.75" customHeight="1" x14ac:dyDescent="0.3">
      <c r="A627">
        <v>626</v>
      </c>
      <c r="B627">
        <v>6</v>
      </c>
      <c r="C627">
        <v>2</v>
      </c>
      <c r="D627">
        <v>1</v>
      </c>
      <c r="E627">
        <v>3</v>
      </c>
      <c r="F627">
        <v>5</v>
      </c>
      <c r="G627">
        <v>4</v>
      </c>
      <c r="H627">
        <v>626</v>
      </c>
      <c r="I627" s="3" t="s">
        <v>35</v>
      </c>
      <c r="J627" s="3" t="s">
        <v>39</v>
      </c>
      <c r="K627" s="2" t="s">
        <v>31</v>
      </c>
      <c r="L627" s="2" t="s">
        <v>21</v>
      </c>
      <c r="M627" s="3" t="s">
        <v>22</v>
      </c>
    </row>
    <row r="628" spans="1:13" ht="15.75" customHeight="1" x14ac:dyDescent="0.3">
      <c r="A628">
        <v>627</v>
      </c>
      <c r="B628">
        <v>6</v>
      </c>
      <c r="C628">
        <v>2</v>
      </c>
      <c r="D628">
        <v>1</v>
      </c>
      <c r="E628">
        <v>4</v>
      </c>
      <c r="F628">
        <v>3</v>
      </c>
      <c r="G628">
        <v>5</v>
      </c>
      <c r="H628">
        <v>627</v>
      </c>
      <c r="I628" s="3" t="s">
        <v>35</v>
      </c>
      <c r="J628" s="3" t="s">
        <v>39</v>
      </c>
      <c r="K628" s="2" t="s">
        <v>36</v>
      </c>
      <c r="L628" s="3" t="s">
        <v>26</v>
      </c>
      <c r="M628" s="2" t="s">
        <v>21</v>
      </c>
    </row>
    <row r="629" spans="1:13" ht="15.75" customHeight="1" x14ac:dyDescent="0.3">
      <c r="A629">
        <v>628</v>
      </c>
      <c r="B629">
        <v>6</v>
      </c>
      <c r="C629">
        <v>2</v>
      </c>
      <c r="D629">
        <v>1</v>
      </c>
      <c r="E629">
        <v>4</v>
      </c>
      <c r="F629">
        <v>5</v>
      </c>
      <c r="G629">
        <v>3</v>
      </c>
      <c r="H629">
        <v>628</v>
      </c>
      <c r="I629" s="3" t="s">
        <v>35</v>
      </c>
      <c r="J629" s="3" t="s">
        <v>39</v>
      </c>
      <c r="K629" s="2" t="s">
        <v>36</v>
      </c>
      <c r="L629" s="2" t="s">
        <v>17</v>
      </c>
      <c r="M629" s="3" t="s">
        <v>27</v>
      </c>
    </row>
    <row r="630" spans="1:13" ht="15.75" customHeight="1" x14ac:dyDescent="0.3">
      <c r="A630">
        <v>629</v>
      </c>
      <c r="B630">
        <v>6</v>
      </c>
      <c r="C630">
        <v>2</v>
      </c>
      <c r="D630">
        <v>1</v>
      </c>
      <c r="E630">
        <v>5</v>
      </c>
      <c r="F630">
        <v>3</v>
      </c>
      <c r="G630">
        <v>4</v>
      </c>
      <c r="H630">
        <v>629</v>
      </c>
      <c r="I630" s="3" t="s">
        <v>35</v>
      </c>
      <c r="J630" s="3" t="s">
        <v>39</v>
      </c>
      <c r="K630" s="2" t="s">
        <v>37</v>
      </c>
      <c r="L630" s="3" t="s">
        <v>27</v>
      </c>
      <c r="M630" s="2" t="s">
        <v>16</v>
      </c>
    </row>
    <row r="631" spans="1:13" ht="15.75" customHeight="1" x14ac:dyDescent="0.3">
      <c r="A631">
        <v>630</v>
      </c>
      <c r="B631">
        <v>6</v>
      </c>
      <c r="C631">
        <v>2</v>
      </c>
      <c r="D631">
        <v>1</v>
      </c>
      <c r="E631">
        <v>5</v>
      </c>
      <c r="F631">
        <v>4</v>
      </c>
      <c r="G631">
        <v>3</v>
      </c>
      <c r="H631">
        <v>630</v>
      </c>
      <c r="I631" s="3" t="s">
        <v>35</v>
      </c>
      <c r="J631" s="3" t="s">
        <v>39</v>
      </c>
      <c r="K631" s="2" t="s">
        <v>37</v>
      </c>
      <c r="L631" s="3" t="s">
        <v>22</v>
      </c>
      <c r="M631" s="3" t="s">
        <v>26</v>
      </c>
    </row>
    <row r="632" spans="1:13" ht="15.75" customHeight="1" x14ac:dyDescent="0.3">
      <c r="A632">
        <v>631</v>
      </c>
      <c r="B632">
        <v>6</v>
      </c>
      <c r="C632">
        <v>2</v>
      </c>
      <c r="D632">
        <v>3</v>
      </c>
      <c r="E632">
        <v>1</v>
      </c>
      <c r="F632">
        <v>4</v>
      </c>
      <c r="G632">
        <v>5</v>
      </c>
      <c r="H632">
        <v>631</v>
      </c>
      <c r="I632" s="3" t="s">
        <v>35</v>
      </c>
      <c r="J632" s="2" t="s">
        <v>15</v>
      </c>
      <c r="K632" s="3" t="s">
        <v>40</v>
      </c>
      <c r="L632" s="2" t="s">
        <v>36</v>
      </c>
      <c r="M632" s="2" t="s">
        <v>17</v>
      </c>
    </row>
    <row r="633" spans="1:13" ht="15.75" customHeight="1" x14ac:dyDescent="0.3">
      <c r="A633">
        <v>632</v>
      </c>
      <c r="B633">
        <v>6</v>
      </c>
      <c r="C633">
        <v>2</v>
      </c>
      <c r="D633">
        <v>3</v>
      </c>
      <c r="E633">
        <v>1</v>
      </c>
      <c r="F633">
        <v>5</v>
      </c>
      <c r="G633">
        <v>4</v>
      </c>
      <c r="H633">
        <v>632</v>
      </c>
      <c r="I633" s="3" t="s">
        <v>35</v>
      </c>
      <c r="J633" s="2" t="s">
        <v>15</v>
      </c>
      <c r="K633" s="3" t="s">
        <v>40</v>
      </c>
      <c r="L633" s="2" t="s">
        <v>37</v>
      </c>
      <c r="M633" s="3" t="s">
        <v>22</v>
      </c>
    </row>
    <row r="634" spans="1:13" ht="15.75" customHeight="1" x14ac:dyDescent="0.3">
      <c r="A634">
        <v>633</v>
      </c>
      <c r="B634">
        <v>6</v>
      </c>
      <c r="C634">
        <v>2</v>
      </c>
      <c r="D634">
        <v>3</v>
      </c>
      <c r="E634">
        <v>4</v>
      </c>
      <c r="F634">
        <v>1</v>
      </c>
      <c r="G634">
        <v>5</v>
      </c>
      <c r="H634">
        <v>633</v>
      </c>
      <c r="I634" s="3" t="s">
        <v>35</v>
      </c>
      <c r="J634" s="2" t="s">
        <v>15</v>
      </c>
      <c r="K634" s="2" t="s">
        <v>16</v>
      </c>
      <c r="L634" s="3" t="s">
        <v>41</v>
      </c>
      <c r="M634" s="2" t="s">
        <v>37</v>
      </c>
    </row>
    <row r="635" spans="1:13" ht="15.75" customHeight="1" x14ac:dyDescent="0.3">
      <c r="A635">
        <v>634</v>
      </c>
      <c r="B635">
        <v>6</v>
      </c>
      <c r="C635">
        <v>2</v>
      </c>
      <c r="D635">
        <v>3</v>
      </c>
      <c r="E635">
        <v>4</v>
      </c>
      <c r="F635">
        <v>5</v>
      </c>
      <c r="G635">
        <v>1</v>
      </c>
      <c r="H635">
        <v>634</v>
      </c>
      <c r="I635" s="3" t="s">
        <v>35</v>
      </c>
      <c r="J635" s="2" t="s">
        <v>15</v>
      </c>
      <c r="K635" s="2" t="s">
        <v>16</v>
      </c>
      <c r="L635" s="2" t="s">
        <v>17</v>
      </c>
      <c r="M635" s="3" t="s">
        <v>42</v>
      </c>
    </row>
    <row r="636" spans="1:13" ht="15.75" customHeight="1" x14ac:dyDescent="0.3">
      <c r="A636">
        <v>635</v>
      </c>
      <c r="B636">
        <v>6</v>
      </c>
      <c r="C636">
        <v>2</v>
      </c>
      <c r="D636">
        <v>3</v>
      </c>
      <c r="E636">
        <v>5</v>
      </c>
      <c r="F636">
        <v>1</v>
      </c>
      <c r="G636">
        <v>4</v>
      </c>
      <c r="H636">
        <v>635</v>
      </c>
      <c r="I636" s="3" t="s">
        <v>35</v>
      </c>
      <c r="J636" s="2" t="s">
        <v>15</v>
      </c>
      <c r="K636" s="2" t="s">
        <v>21</v>
      </c>
      <c r="L636" s="3" t="s">
        <v>42</v>
      </c>
      <c r="M636" s="2" t="s">
        <v>36</v>
      </c>
    </row>
    <row r="637" spans="1:13" ht="15.75" customHeight="1" x14ac:dyDescent="0.3">
      <c r="A637">
        <v>636</v>
      </c>
      <c r="B637">
        <v>6</v>
      </c>
      <c r="C637">
        <v>2</v>
      </c>
      <c r="D637">
        <v>3</v>
      </c>
      <c r="E637">
        <v>5</v>
      </c>
      <c r="F637">
        <v>4</v>
      </c>
      <c r="G637">
        <v>1</v>
      </c>
      <c r="H637">
        <v>636</v>
      </c>
      <c r="I637" s="3" t="s">
        <v>35</v>
      </c>
      <c r="J637" s="2" t="s">
        <v>15</v>
      </c>
      <c r="K637" s="2" t="s">
        <v>21</v>
      </c>
      <c r="L637" s="3" t="s">
        <v>22</v>
      </c>
      <c r="M637" s="3" t="s">
        <v>41</v>
      </c>
    </row>
    <row r="638" spans="1:13" ht="15.75" customHeight="1" x14ac:dyDescent="0.3">
      <c r="A638">
        <v>637</v>
      </c>
      <c r="B638">
        <v>6</v>
      </c>
      <c r="C638">
        <v>2</v>
      </c>
      <c r="D638">
        <v>4</v>
      </c>
      <c r="E638">
        <v>1</v>
      </c>
      <c r="F638">
        <v>3</v>
      </c>
      <c r="G638">
        <v>5</v>
      </c>
      <c r="H638">
        <v>637</v>
      </c>
      <c r="I638" s="3" t="s">
        <v>35</v>
      </c>
      <c r="J638" s="2" t="s">
        <v>25</v>
      </c>
      <c r="K638" s="3" t="s">
        <v>41</v>
      </c>
      <c r="L638" s="2" t="s">
        <v>31</v>
      </c>
      <c r="M638" s="2" t="s">
        <v>21</v>
      </c>
    </row>
    <row r="639" spans="1:13" ht="15.75" customHeight="1" x14ac:dyDescent="0.3">
      <c r="A639">
        <v>638</v>
      </c>
      <c r="B639">
        <v>6</v>
      </c>
      <c r="C639">
        <v>2</v>
      </c>
      <c r="D639">
        <v>4</v>
      </c>
      <c r="E639">
        <v>1</v>
      </c>
      <c r="F639">
        <v>5</v>
      </c>
      <c r="G639">
        <v>3</v>
      </c>
      <c r="H639">
        <v>638</v>
      </c>
      <c r="I639" s="3" t="s">
        <v>35</v>
      </c>
      <c r="J639" s="2" t="s">
        <v>25</v>
      </c>
      <c r="K639" s="3" t="s">
        <v>41</v>
      </c>
      <c r="L639" s="2" t="s">
        <v>37</v>
      </c>
      <c r="M639" s="3" t="s">
        <v>27</v>
      </c>
    </row>
    <row r="640" spans="1:13" ht="15.75" customHeight="1" x14ac:dyDescent="0.3">
      <c r="A640">
        <v>639</v>
      </c>
      <c r="B640">
        <v>6</v>
      </c>
      <c r="C640">
        <v>2</v>
      </c>
      <c r="D640">
        <v>4</v>
      </c>
      <c r="E640">
        <v>3</v>
      </c>
      <c r="F640">
        <v>1</v>
      </c>
      <c r="G640">
        <v>5</v>
      </c>
      <c r="H640">
        <v>639</v>
      </c>
      <c r="I640" s="3" t="s">
        <v>35</v>
      </c>
      <c r="J640" s="2" t="s">
        <v>25</v>
      </c>
      <c r="K640" s="3" t="s">
        <v>26</v>
      </c>
      <c r="L640" s="3" t="s">
        <v>40</v>
      </c>
      <c r="M640" s="2" t="s">
        <v>37</v>
      </c>
    </row>
    <row r="641" spans="1:13" ht="15.75" customHeight="1" x14ac:dyDescent="0.3">
      <c r="A641">
        <v>640</v>
      </c>
      <c r="B641">
        <v>6</v>
      </c>
      <c r="C641">
        <v>2</v>
      </c>
      <c r="D641">
        <v>4</v>
      </c>
      <c r="E641">
        <v>3</v>
      </c>
      <c r="F641">
        <v>5</v>
      </c>
      <c r="G641">
        <v>1</v>
      </c>
      <c r="H641">
        <v>640</v>
      </c>
      <c r="I641" s="3" t="s">
        <v>35</v>
      </c>
      <c r="J641" s="2" t="s">
        <v>25</v>
      </c>
      <c r="K641" s="3" t="s">
        <v>26</v>
      </c>
      <c r="L641" s="2" t="s">
        <v>21</v>
      </c>
      <c r="M641" s="3" t="s">
        <v>42</v>
      </c>
    </row>
    <row r="642" spans="1:13" ht="15.75" customHeight="1" x14ac:dyDescent="0.3">
      <c r="A642">
        <v>641</v>
      </c>
      <c r="B642">
        <v>6</v>
      </c>
      <c r="C642">
        <v>2</v>
      </c>
      <c r="D642">
        <v>4</v>
      </c>
      <c r="E642">
        <v>5</v>
      </c>
      <c r="F642">
        <v>1</v>
      </c>
      <c r="G642">
        <v>3</v>
      </c>
      <c r="H642">
        <v>641</v>
      </c>
      <c r="I642" s="3" t="s">
        <v>35</v>
      </c>
      <c r="J642" s="2" t="s">
        <v>25</v>
      </c>
      <c r="K642" s="2" t="s">
        <v>17</v>
      </c>
      <c r="L642" s="3" t="s">
        <v>42</v>
      </c>
      <c r="M642" s="2" t="s">
        <v>31</v>
      </c>
    </row>
    <row r="643" spans="1:13" ht="15.75" customHeight="1" x14ac:dyDescent="0.3">
      <c r="A643">
        <v>642</v>
      </c>
      <c r="B643">
        <v>6</v>
      </c>
      <c r="C643">
        <v>2</v>
      </c>
      <c r="D643">
        <v>4</v>
      </c>
      <c r="E643">
        <v>5</v>
      </c>
      <c r="F643">
        <v>3</v>
      </c>
      <c r="G643">
        <v>1</v>
      </c>
      <c r="H643">
        <v>642</v>
      </c>
      <c r="I643" s="3" t="s">
        <v>35</v>
      </c>
      <c r="J643" s="2" t="s">
        <v>25</v>
      </c>
      <c r="K643" s="2" t="s">
        <v>17</v>
      </c>
      <c r="L643" s="3" t="s">
        <v>27</v>
      </c>
      <c r="M643" s="3" t="s">
        <v>40</v>
      </c>
    </row>
    <row r="644" spans="1:13" ht="15.75" customHeight="1" x14ac:dyDescent="0.3">
      <c r="A644">
        <v>643</v>
      </c>
      <c r="B644">
        <v>6</v>
      </c>
      <c r="C644">
        <v>2</v>
      </c>
      <c r="D644">
        <v>5</v>
      </c>
      <c r="E644">
        <v>1</v>
      </c>
      <c r="F644">
        <v>3</v>
      </c>
      <c r="G644">
        <v>4</v>
      </c>
      <c r="H644">
        <v>643</v>
      </c>
      <c r="I644" s="3" t="s">
        <v>35</v>
      </c>
      <c r="J644" s="2" t="s">
        <v>29</v>
      </c>
      <c r="K644" s="3" t="s">
        <v>42</v>
      </c>
      <c r="L644" s="2" t="s">
        <v>31</v>
      </c>
      <c r="M644" s="2" t="s">
        <v>16</v>
      </c>
    </row>
    <row r="645" spans="1:13" ht="15.75" customHeight="1" x14ac:dyDescent="0.3">
      <c r="A645">
        <v>644</v>
      </c>
      <c r="B645">
        <v>6</v>
      </c>
      <c r="C645">
        <v>2</v>
      </c>
      <c r="D645">
        <v>5</v>
      </c>
      <c r="E645">
        <v>1</v>
      </c>
      <c r="F645">
        <v>4</v>
      </c>
      <c r="G645">
        <v>3</v>
      </c>
      <c r="H645">
        <v>644</v>
      </c>
      <c r="I645" s="3" t="s">
        <v>35</v>
      </c>
      <c r="J645" s="2" t="s">
        <v>29</v>
      </c>
      <c r="K645" s="3" t="s">
        <v>42</v>
      </c>
      <c r="L645" s="2" t="s">
        <v>36</v>
      </c>
      <c r="M645" s="3" t="s">
        <v>26</v>
      </c>
    </row>
    <row r="646" spans="1:13" ht="15.75" customHeight="1" x14ac:dyDescent="0.3">
      <c r="A646">
        <v>645</v>
      </c>
      <c r="B646">
        <v>6</v>
      </c>
      <c r="C646">
        <v>2</v>
      </c>
      <c r="D646">
        <v>5</v>
      </c>
      <c r="E646">
        <v>3</v>
      </c>
      <c r="F646">
        <v>1</v>
      </c>
      <c r="G646">
        <v>4</v>
      </c>
      <c r="H646">
        <v>645</v>
      </c>
      <c r="I646" s="3" t="s">
        <v>35</v>
      </c>
      <c r="J646" s="2" t="s">
        <v>29</v>
      </c>
      <c r="K646" s="3" t="s">
        <v>27</v>
      </c>
      <c r="L646" s="3" t="s">
        <v>40</v>
      </c>
      <c r="M646" s="2" t="s">
        <v>36</v>
      </c>
    </row>
    <row r="647" spans="1:13" ht="15.75" customHeight="1" x14ac:dyDescent="0.3">
      <c r="A647">
        <v>646</v>
      </c>
      <c r="B647">
        <v>6</v>
      </c>
      <c r="C647">
        <v>2</v>
      </c>
      <c r="D647">
        <v>5</v>
      </c>
      <c r="E647">
        <v>3</v>
      </c>
      <c r="F647">
        <v>4</v>
      </c>
      <c r="G647">
        <v>1</v>
      </c>
      <c r="H647">
        <v>646</v>
      </c>
      <c r="I647" s="3" t="s">
        <v>35</v>
      </c>
      <c r="J647" s="2" t="s">
        <v>29</v>
      </c>
      <c r="K647" s="3" t="s">
        <v>27</v>
      </c>
      <c r="L647" s="2" t="s">
        <v>16</v>
      </c>
      <c r="M647" s="3" t="s">
        <v>41</v>
      </c>
    </row>
    <row r="648" spans="1:13" ht="15.75" customHeight="1" x14ac:dyDescent="0.3">
      <c r="A648">
        <v>647</v>
      </c>
      <c r="B648">
        <v>6</v>
      </c>
      <c r="C648">
        <v>2</v>
      </c>
      <c r="D648">
        <v>5</v>
      </c>
      <c r="E648">
        <v>4</v>
      </c>
      <c r="F648">
        <v>1</v>
      </c>
      <c r="G648">
        <v>3</v>
      </c>
      <c r="H648">
        <v>647</v>
      </c>
      <c r="I648" s="3" t="s">
        <v>35</v>
      </c>
      <c r="J648" s="2" t="s">
        <v>29</v>
      </c>
      <c r="K648" s="3" t="s">
        <v>22</v>
      </c>
      <c r="L648" s="3" t="s">
        <v>41</v>
      </c>
      <c r="M648" s="2" t="s">
        <v>31</v>
      </c>
    </row>
    <row r="649" spans="1:13" ht="15.75" customHeight="1" x14ac:dyDescent="0.3">
      <c r="A649">
        <v>648</v>
      </c>
      <c r="B649">
        <v>6</v>
      </c>
      <c r="C649">
        <v>2</v>
      </c>
      <c r="D649">
        <v>5</v>
      </c>
      <c r="E649">
        <v>4</v>
      </c>
      <c r="F649">
        <v>3</v>
      </c>
      <c r="G649">
        <v>1</v>
      </c>
      <c r="H649">
        <v>648</v>
      </c>
      <c r="I649" s="3" t="s">
        <v>35</v>
      </c>
      <c r="J649" s="2" t="s">
        <v>29</v>
      </c>
      <c r="K649" s="3" t="s">
        <v>22</v>
      </c>
      <c r="L649" s="3" t="s">
        <v>26</v>
      </c>
      <c r="M649" s="3" t="s">
        <v>40</v>
      </c>
    </row>
    <row r="650" spans="1:13" ht="15.75" customHeight="1" x14ac:dyDescent="0.3">
      <c r="A650">
        <v>649</v>
      </c>
      <c r="B650">
        <v>6</v>
      </c>
      <c r="C650">
        <v>3</v>
      </c>
      <c r="D650">
        <v>1</v>
      </c>
      <c r="E650">
        <v>2</v>
      </c>
      <c r="F650">
        <v>4</v>
      </c>
      <c r="G650">
        <v>5</v>
      </c>
      <c r="H650">
        <v>649</v>
      </c>
      <c r="I650" s="3" t="s">
        <v>28</v>
      </c>
      <c r="J650" s="3" t="s">
        <v>40</v>
      </c>
      <c r="K650" s="2" t="s">
        <v>14</v>
      </c>
      <c r="L650" s="2" t="s">
        <v>25</v>
      </c>
      <c r="M650" s="2" t="s">
        <v>17</v>
      </c>
    </row>
    <row r="651" spans="1:13" ht="15.75" customHeight="1" x14ac:dyDescent="0.3">
      <c r="A651">
        <v>650</v>
      </c>
      <c r="B651">
        <v>6</v>
      </c>
      <c r="C651">
        <v>3</v>
      </c>
      <c r="D651">
        <v>1</v>
      </c>
      <c r="E651">
        <v>2</v>
      </c>
      <c r="F651">
        <v>5</v>
      </c>
      <c r="G651">
        <v>4</v>
      </c>
      <c r="H651">
        <v>650</v>
      </c>
      <c r="I651" s="3" t="s">
        <v>28</v>
      </c>
      <c r="J651" s="3" t="s">
        <v>40</v>
      </c>
      <c r="K651" s="2" t="s">
        <v>14</v>
      </c>
      <c r="L651" s="2" t="s">
        <v>29</v>
      </c>
      <c r="M651" s="3" t="s">
        <v>22</v>
      </c>
    </row>
    <row r="652" spans="1:13" ht="15.75" customHeight="1" x14ac:dyDescent="0.3">
      <c r="A652">
        <v>651</v>
      </c>
      <c r="B652">
        <v>6</v>
      </c>
      <c r="C652">
        <v>3</v>
      </c>
      <c r="D652">
        <v>1</v>
      </c>
      <c r="E652">
        <v>4</v>
      </c>
      <c r="F652">
        <v>2</v>
      </c>
      <c r="G652">
        <v>5</v>
      </c>
      <c r="H652">
        <v>651</v>
      </c>
      <c r="I652" s="3" t="s">
        <v>28</v>
      </c>
      <c r="J652" s="3" t="s">
        <v>40</v>
      </c>
      <c r="K652" s="2" t="s">
        <v>36</v>
      </c>
      <c r="L652" s="3" t="s">
        <v>33</v>
      </c>
      <c r="M652" s="2" t="s">
        <v>29</v>
      </c>
    </row>
    <row r="653" spans="1:13" ht="15.75" customHeight="1" x14ac:dyDescent="0.3">
      <c r="A653">
        <v>652</v>
      </c>
      <c r="B653">
        <v>6</v>
      </c>
      <c r="C653">
        <v>3</v>
      </c>
      <c r="D653">
        <v>1</v>
      </c>
      <c r="E653">
        <v>4</v>
      </c>
      <c r="F653">
        <v>5</v>
      </c>
      <c r="G653">
        <v>2</v>
      </c>
      <c r="H653">
        <v>652</v>
      </c>
      <c r="I653" s="3" t="s">
        <v>28</v>
      </c>
      <c r="J653" s="3" t="s">
        <v>40</v>
      </c>
      <c r="K653" s="2" t="s">
        <v>36</v>
      </c>
      <c r="L653" s="2" t="s">
        <v>17</v>
      </c>
      <c r="M653" s="3" t="s">
        <v>34</v>
      </c>
    </row>
    <row r="654" spans="1:13" ht="15.75" customHeight="1" x14ac:dyDescent="0.3">
      <c r="A654">
        <v>653</v>
      </c>
      <c r="B654">
        <v>6</v>
      </c>
      <c r="C654">
        <v>3</v>
      </c>
      <c r="D654">
        <v>1</v>
      </c>
      <c r="E654">
        <v>5</v>
      </c>
      <c r="F654">
        <v>2</v>
      </c>
      <c r="G654">
        <v>4</v>
      </c>
      <c r="H654">
        <v>653</v>
      </c>
      <c r="I654" s="3" t="s">
        <v>28</v>
      </c>
      <c r="J654" s="3" t="s">
        <v>40</v>
      </c>
      <c r="K654" s="2" t="s">
        <v>37</v>
      </c>
      <c r="L654" s="3" t="s">
        <v>34</v>
      </c>
      <c r="M654" s="2" t="s">
        <v>25</v>
      </c>
    </row>
    <row r="655" spans="1:13" ht="15.75" customHeight="1" x14ac:dyDescent="0.3">
      <c r="A655">
        <v>654</v>
      </c>
      <c r="B655">
        <v>6</v>
      </c>
      <c r="C655">
        <v>3</v>
      </c>
      <c r="D655">
        <v>1</v>
      </c>
      <c r="E655">
        <v>5</v>
      </c>
      <c r="F655">
        <v>4</v>
      </c>
      <c r="G655">
        <v>2</v>
      </c>
      <c r="H655">
        <v>654</v>
      </c>
      <c r="I655" s="3" t="s">
        <v>28</v>
      </c>
      <c r="J655" s="3" t="s">
        <v>40</v>
      </c>
      <c r="K655" s="2" t="s">
        <v>37</v>
      </c>
      <c r="L655" s="3" t="s">
        <v>22</v>
      </c>
      <c r="M655" s="3" t="s">
        <v>33</v>
      </c>
    </row>
    <row r="656" spans="1:13" ht="15.75" customHeight="1" x14ac:dyDescent="0.3">
      <c r="A656">
        <v>655</v>
      </c>
      <c r="B656">
        <v>6</v>
      </c>
      <c r="C656">
        <v>3</v>
      </c>
      <c r="D656">
        <v>2</v>
      </c>
      <c r="E656">
        <v>1</v>
      </c>
      <c r="F656">
        <v>4</v>
      </c>
      <c r="G656">
        <v>5</v>
      </c>
      <c r="H656">
        <v>655</v>
      </c>
      <c r="I656" s="3" t="s">
        <v>28</v>
      </c>
      <c r="J656" s="3" t="s">
        <v>32</v>
      </c>
      <c r="K656" s="3" t="s">
        <v>39</v>
      </c>
      <c r="L656" s="2" t="s">
        <v>36</v>
      </c>
      <c r="M656" s="2" t="s">
        <v>17</v>
      </c>
    </row>
    <row r="657" spans="1:13" ht="15.75" customHeight="1" x14ac:dyDescent="0.3">
      <c r="A657">
        <v>656</v>
      </c>
      <c r="B657">
        <v>6</v>
      </c>
      <c r="C657">
        <v>3</v>
      </c>
      <c r="D657">
        <v>2</v>
      </c>
      <c r="E657">
        <v>1</v>
      </c>
      <c r="F657">
        <v>5</v>
      </c>
      <c r="G657">
        <v>4</v>
      </c>
      <c r="H657">
        <v>656</v>
      </c>
      <c r="I657" s="3" t="s">
        <v>28</v>
      </c>
      <c r="J657" s="3" t="s">
        <v>32</v>
      </c>
      <c r="K657" s="3" t="s">
        <v>39</v>
      </c>
      <c r="L657" s="2" t="s">
        <v>37</v>
      </c>
      <c r="M657" s="3" t="s">
        <v>22</v>
      </c>
    </row>
    <row r="658" spans="1:13" ht="15.75" customHeight="1" x14ac:dyDescent="0.3">
      <c r="A658">
        <v>657</v>
      </c>
      <c r="B658">
        <v>6</v>
      </c>
      <c r="C658">
        <v>3</v>
      </c>
      <c r="D658">
        <v>2</v>
      </c>
      <c r="E658">
        <v>4</v>
      </c>
      <c r="F658">
        <v>1</v>
      </c>
      <c r="G658">
        <v>5</v>
      </c>
      <c r="H658">
        <v>657</v>
      </c>
      <c r="I658" s="3" t="s">
        <v>28</v>
      </c>
      <c r="J658" s="3" t="s">
        <v>32</v>
      </c>
      <c r="K658" s="2" t="s">
        <v>25</v>
      </c>
      <c r="L658" s="3" t="s">
        <v>41</v>
      </c>
      <c r="M658" s="2" t="s">
        <v>37</v>
      </c>
    </row>
    <row r="659" spans="1:13" ht="15.75" customHeight="1" x14ac:dyDescent="0.3">
      <c r="A659">
        <v>658</v>
      </c>
      <c r="B659">
        <v>6</v>
      </c>
      <c r="C659">
        <v>3</v>
      </c>
      <c r="D659">
        <v>2</v>
      </c>
      <c r="E659">
        <v>4</v>
      </c>
      <c r="F659">
        <v>5</v>
      </c>
      <c r="G659">
        <v>1</v>
      </c>
      <c r="H659">
        <v>658</v>
      </c>
      <c r="I659" s="3" t="s">
        <v>28</v>
      </c>
      <c r="J659" s="3" t="s">
        <v>32</v>
      </c>
      <c r="K659" s="2" t="s">
        <v>25</v>
      </c>
      <c r="L659" s="2" t="s">
        <v>17</v>
      </c>
      <c r="M659" s="3" t="s">
        <v>42</v>
      </c>
    </row>
    <row r="660" spans="1:13" ht="15.75" customHeight="1" x14ac:dyDescent="0.3">
      <c r="A660">
        <v>659</v>
      </c>
      <c r="B660">
        <v>6</v>
      </c>
      <c r="C660">
        <v>3</v>
      </c>
      <c r="D660">
        <v>2</v>
      </c>
      <c r="E660">
        <v>5</v>
      </c>
      <c r="F660">
        <v>1</v>
      </c>
      <c r="G660">
        <v>4</v>
      </c>
      <c r="H660">
        <v>659</v>
      </c>
      <c r="I660" s="3" t="s">
        <v>28</v>
      </c>
      <c r="J660" s="3" t="s">
        <v>32</v>
      </c>
      <c r="K660" s="2" t="s">
        <v>29</v>
      </c>
      <c r="L660" s="3" t="s">
        <v>42</v>
      </c>
      <c r="M660" s="2" t="s">
        <v>36</v>
      </c>
    </row>
    <row r="661" spans="1:13" ht="15.75" customHeight="1" x14ac:dyDescent="0.3">
      <c r="A661">
        <v>660</v>
      </c>
      <c r="B661">
        <v>6</v>
      </c>
      <c r="C661">
        <v>3</v>
      </c>
      <c r="D661">
        <v>2</v>
      </c>
      <c r="E661">
        <v>5</v>
      </c>
      <c r="F661">
        <v>4</v>
      </c>
      <c r="G661">
        <v>1</v>
      </c>
      <c r="H661">
        <v>660</v>
      </c>
      <c r="I661" s="3" t="s">
        <v>28</v>
      </c>
      <c r="J661" s="3" t="s">
        <v>32</v>
      </c>
      <c r="K661" s="2" t="s">
        <v>29</v>
      </c>
      <c r="L661" s="3" t="s">
        <v>22</v>
      </c>
      <c r="M661" s="3" t="s">
        <v>41</v>
      </c>
    </row>
    <row r="662" spans="1:13" ht="15.75" customHeight="1" x14ac:dyDescent="0.3">
      <c r="A662">
        <v>661</v>
      </c>
      <c r="B662">
        <v>6</v>
      </c>
      <c r="C662">
        <v>3</v>
      </c>
      <c r="D662">
        <v>4</v>
      </c>
      <c r="E662">
        <v>1</v>
      </c>
      <c r="F662">
        <v>2</v>
      </c>
      <c r="G662">
        <v>5</v>
      </c>
      <c r="H662">
        <v>661</v>
      </c>
      <c r="I662" s="3" t="s">
        <v>28</v>
      </c>
      <c r="J662" s="2" t="s">
        <v>16</v>
      </c>
      <c r="K662" s="3" t="s">
        <v>41</v>
      </c>
      <c r="L662" s="2" t="s">
        <v>14</v>
      </c>
      <c r="M662" s="2" t="s">
        <v>29</v>
      </c>
    </row>
    <row r="663" spans="1:13" ht="15.75" customHeight="1" x14ac:dyDescent="0.3">
      <c r="A663">
        <v>662</v>
      </c>
      <c r="B663">
        <v>6</v>
      </c>
      <c r="C663">
        <v>3</v>
      </c>
      <c r="D663">
        <v>4</v>
      </c>
      <c r="E663">
        <v>1</v>
      </c>
      <c r="F663">
        <v>5</v>
      </c>
      <c r="G663">
        <v>2</v>
      </c>
      <c r="H663">
        <v>662</v>
      </c>
      <c r="I663" s="3" t="s">
        <v>28</v>
      </c>
      <c r="J663" s="2" t="s">
        <v>16</v>
      </c>
      <c r="K663" s="3" t="s">
        <v>41</v>
      </c>
      <c r="L663" s="2" t="s">
        <v>37</v>
      </c>
      <c r="M663" s="3" t="s">
        <v>34</v>
      </c>
    </row>
    <row r="664" spans="1:13" ht="15.75" customHeight="1" x14ac:dyDescent="0.3">
      <c r="A664">
        <v>663</v>
      </c>
      <c r="B664">
        <v>6</v>
      </c>
      <c r="C664">
        <v>3</v>
      </c>
      <c r="D664">
        <v>4</v>
      </c>
      <c r="E664">
        <v>2</v>
      </c>
      <c r="F664">
        <v>1</v>
      </c>
      <c r="G664">
        <v>5</v>
      </c>
      <c r="H664">
        <v>663</v>
      </c>
      <c r="I664" s="3" t="s">
        <v>28</v>
      </c>
      <c r="J664" s="2" t="s">
        <v>16</v>
      </c>
      <c r="K664" s="3" t="s">
        <v>33</v>
      </c>
      <c r="L664" s="3" t="s">
        <v>39</v>
      </c>
      <c r="M664" s="2" t="s">
        <v>37</v>
      </c>
    </row>
    <row r="665" spans="1:13" ht="15.75" customHeight="1" x14ac:dyDescent="0.3">
      <c r="A665">
        <v>664</v>
      </c>
      <c r="B665">
        <v>6</v>
      </c>
      <c r="C665">
        <v>3</v>
      </c>
      <c r="D665">
        <v>4</v>
      </c>
      <c r="E665">
        <v>2</v>
      </c>
      <c r="F665">
        <v>5</v>
      </c>
      <c r="G665">
        <v>1</v>
      </c>
      <c r="H665">
        <v>664</v>
      </c>
      <c r="I665" s="3" t="s">
        <v>28</v>
      </c>
      <c r="J665" s="2" t="s">
        <v>16</v>
      </c>
      <c r="K665" s="3" t="s">
        <v>33</v>
      </c>
      <c r="L665" s="2" t="s">
        <v>29</v>
      </c>
      <c r="M665" s="3" t="s">
        <v>42</v>
      </c>
    </row>
    <row r="666" spans="1:13" ht="15.75" customHeight="1" x14ac:dyDescent="0.3">
      <c r="A666">
        <v>665</v>
      </c>
      <c r="B666">
        <v>6</v>
      </c>
      <c r="C666">
        <v>3</v>
      </c>
      <c r="D666">
        <v>4</v>
      </c>
      <c r="E666">
        <v>5</v>
      </c>
      <c r="F666">
        <v>1</v>
      </c>
      <c r="G666">
        <v>2</v>
      </c>
      <c r="H666">
        <v>665</v>
      </c>
      <c r="I666" s="3" t="s">
        <v>28</v>
      </c>
      <c r="J666" s="2" t="s">
        <v>16</v>
      </c>
      <c r="K666" s="2" t="s">
        <v>17</v>
      </c>
      <c r="L666" s="3" t="s">
        <v>42</v>
      </c>
      <c r="M666" s="2" t="s">
        <v>14</v>
      </c>
    </row>
    <row r="667" spans="1:13" ht="15.75" customHeight="1" x14ac:dyDescent="0.3">
      <c r="A667">
        <v>666</v>
      </c>
      <c r="B667">
        <v>6</v>
      </c>
      <c r="C667">
        <v>3</v>
      </c>
      <c r="D667">
        <v>4</v>
      </c>
      <c r="E667">
        <v>5</v>
      </c>
      <c r="F667">
        <v>2</v>
      </c>
      <c r="G667">
        <v>1</v>
      </c>
      <c r="H667">
        <v>666</v>
      </c>
      <c r="I667" s="3" t="s">
        <v>28</v>
      </c>
      <c r="J667" s="2" t="s">
        <v>16</v>
      </c>
      <c r="K667" s="2" t="s">
        <v>17</v>
      </c>
      <c r="L667" s="3" t="s">
        <v>34</v>
      </c>
      <c r="M667" s="3" t="s">
        <v>39</v>
      </c>
    </row>
    <row r="668" spans="1:13" ht="15.75" customHeight="1" x14ac:dyDescent="0.3">
      <c r="A668">
        <v>667</v>
      </c>
      <c r="B668">
        <v>6</v>
      </c>
      <c r="C668">
        <v>3</v>
      </c>
      <c r="D668">
        <v>5</v>
      </c>
      <c r="E668">
        <v>1</v>
      </c>
      <c r="F668">
        <v>2</v>
      </c>
      <c r="G668">
        <v>4</v>
      </c>
      <c r="H668">
        <v>667</v>
      </c>
      <c r="I668" s="3" t="s">
        <v>28</v>
      </c>
      <c r="J668" s="2" t="s">
        <v>21</v>
      </c>
      <c r="K668" s="3" t="s">
        <v>42</v>
      </c>
      <c r="L668" s="2" t="s">
        <v>14</v>
      </c>
      <c r="M668" s="2" t="s">
        <v>25</v>
      </c>
    </row>
    <row r="669" spans="1:13" ht="15.75" customHeight="1" x14ac:dyDescent="0.3">
      <c r="A669">
        <v>668</v>
      </c>
      <c r="B669">
        <v>6</v>
      </c>
      <c r="C669">
        <v>3</v>
      </c>
      <c r="D669">
        <v>5</v>
      </c>
      <c r="E669">
        <v>1</v>
      </c>
      <c r="F669">
        <v>4</v>
      </c>
      <c r="G669">
        <v>2</v>
      </c>
      <c r="H669">
        <v>668</v>
      </c>
      <c r="I669" s="3" t="s">
        <v>28</v>
      </c>
      <c r="J669" s="2" t="s">
        <v>21</v>
      </c>
      <c r="K669" s="3" t="s">
        <v>42</v>
      </c>
      <c r="L669" s="2" t="s">
        <v>36</v>
      </c>
      <c r="M669" s="3" t="s">
        <v>33</v>
      </c>
    </row>
    <row r="670" spans="1:13" ht="15.75" customHeight="1" x14ac:dyDescent="0.3">
      <c r="A670">
        <v>669</v>
      </c>
      <c r="B670">
        <v>6</v>
      </c>
      <c r="C670">
        <v>3</v>
      </c>
      <c r="D670">
        <v>5</v>
      </c>
      <c r="E670">
        <v>2</v>
      </c>
      <c r="F670">
        <v>1</v>
      </c>
      <c r="G670">
        <v>4</v>
      </c>
      <c r="H670">
        <v>669</v>
      </c>
      <c r="I670" s="3" t="s">
        <v>28</v>
      </c>
      <c r="J670" s="2" t="s">
        <v>21</v>
      </c>
      <c r="K670" s="3" t="s">
        <v>34</v>
      </c>
      <c r="L670" s="3" t="s">
        <v>39</v>
      </c>
      <c r="M670" s="2" t="s">
        <v>36</v>
      </c>
    </row>
    <row r="671" spans="1:13" ht="15.75" customHeight="1" x14ac:dyDescent="0.3">
      <c r="A671">
        <v>670</v>
      </c>
      <c r="B671">
        <v>6</v>
      </c>
      <c r="C671">
        <v>3</v>
      </c>
      <c r="D671">
        <v>5</v>
      </c>
      <c r="E671">
        <v>2</v>
      </c>
      <c r="F671">
        <v>4</v>
      </c>
      <c r="G671">
        <v>1</v>
      </c>
      <c r="H671">
        <v>670</v>
      </c>
      <c r="I671" s="3" t="s">
        <v>28</v>
      </c>
      <c r="J671" s="2" t="s">
        <v>21</v>
      </c>
      <c r="K671" s="3" t="s">
        <v>34</v>
      </c>
      <c r="L671" s="2" t="s">
        <v>25</v>
      </c>
      <c r="M671" s="3" t="s">
        <v>41</v>
      </c>
    </row>
    <row r="672" spans="1:13" ht="15.75" customHeight="1" x14ac:dyDescent="0.3">
      <c r="A672">
        <v>671</v>
      </c>
      <c r="B672">
        <v>6</v>
      </c>
      <c r="C672">
        <v>3</v>
      </c>
      <c r="D672">
        <v>5</v>
      </c>
      <c r="E672">
        <v>4</v>
      </c>
      <c r="F672">
        <v>1</v>
      </c>
      <c r="G672">
        <v>2</v>
      </c>
      <c r="H672">
        <v>671</v>
      </c>
      <c r="I672" s="3" t="s">
        <v>28</v>
      </c>
      <c r="J672" s="2" t="s">
        <v>21</v>
      </c>
      <c r="K672" s="3" t="s">
        <v>22</v>
      </c>
      <c r="L672" s="3" t="s">
        <v>41</v>
      </c>
      <c r="M672" s="2" t="s">
        <v>14</v>
      </c>
    </row>
    <row r="673" spans="1:13" ht="15.75" customHeight="1" x14ac:dyDescent="0.3">
      <c r="A673">
        <v>672</v>
      </c>
      <c r="B673">
        <v>6</v>
      </c>
      <c r="C673">
        <v>3</v>
      </c>
      <c r="D673">
        <v>5</v>
      </c>
      <c r="E673">
        <v>4</v>
      </c>
      <c r="F673">
        <v>2</v>
      </c>
      <c r="G673">
        <v>1</v>
      </c>
      <c r="H673">
        <v>672</v>
      </c>
      <c r="I673" s="3" t="s">
        <v>28</v>
      </c>
      <c r="J673" s="2" t="s">
        <v>21</v>
      </c>
      <c r="K673" s="3" t="s">
        <v>22</v>
      </c>
      <c r="L673" s="3" t="s">
        <v>33</v>
      </c>
      <c r="M673" s="3" t="s">
        <v>39</v>
      </c>
    </row>
    <row r="674" spans="1:13" ht="15.75" customHeight="1" x14ac:dyDescent="0.3">
      <c r="A674">
        <v>673</v>
      </c>
      <c r="B674">
        <v>6</v>
      </c>
      <c r="C674">
        <v>4</v>
      </c>
      <c r="D674">
        <v>1</v>
      </c>
      <c r="E674">
        <v>2</v>
      </c>
      <c r="F674">
        <v>3</v>
      </c>
      <c r="G674">
        <v>5</v>
      </c>
      <c r="H674">
        <v>673</v>
      </c>
      <c r="I674" s="3" t="s">
        <v>23</v>
      </c>
      <c r="J674" s="3" t="s">
        <v>41</v>
      </c>
      <c r="K674" s="2" t="s">
        <v>14</v>
      </c>
      <c r="L674" s="2" t="s">
        <v>15</v>
      </c>
      <c r="M674" s="2" t="s">
        <v>21</v>
      </c>
    </row>
    <row r="675" spans="1:13" ht="15.75" customHeight="1" x14ac:dyDescent="0.3">
      <c r="A675">
        <v>674</v>
      </c>
      <c r="B675">
        <v>6</v>
      </c>
      <c r="C675">
        <v>4</v>
      </c>
      <c r="D675">
        <v>1</v>
      </c>
      <c r="E675">
        <v>2</v>
      </c>
      <c r="F675">
        <v>5</v>
      </c>
      <c r="G675">
        <v>3</v>
      </c>
      <c r="H675">
        <v>674</v>
      </c>
      <c r="I675" s="3" t="s">
        <v>23</v>
      </c>
      <c r="J675" s="3" t="s">
        <v>41</v>
      </c>
      <c r="K675" s="2" t="s">
        <v>14</v>
      </c>
      <c r="L675" s="2" t="s">
        <v>29</v>
      </c>
      <c r="M675" s="3" t="s">
        <v>27</v>
      </c>
    </row>
    <row r="676" spans="1:13" ht="15.75" customHeight="1" x14ac:dyDescent="0.3">
      <c r="A676">
        <v>675</v>
      </c>
      <c r="B676">
        <v>6</v>
      </c>
      <c r="C676">
        <v>4</v>
      </c>
      <c r="D676">
        <v>1</v>
      </c>
      <c r="E676">
        <v>3</v>
      </c>
      <c r="F676">
        <v>2</v>
      </c>
      <c r="G676">
        <v>5</v>
      </c>
      <c r="H676">
        <v>675</v>
      </c>
      <c r="I676" s="3" t="s">
        <v>23</v>
      </c>
      <c r="J676" s="3" t="s">
        <v>41</v>
      </c>
      <c r="K676" s="2" t="s">
        <v>31</v>
      </c>
      <c r="L676" s="3" t="s">
        <v>32</v>
      </c>
      <c r="M676" s="2" t="s">
        <v>29</v>
      </c>
    </row>
    <row r="677" spans="1:13" ht="15.75" customHeight="1" x14ac:dyDescent="0.3">
      <c r="A677">
        <v>676</v>
      </c>
      <c r="B677">
        <v>6</v>
      </c>
      <c r="C677">
        <v>4</v>
      </c>
      <c r="D677">
        <v>1</v>
      </c>
      <c r="E677">
        <v>3</v>
      </c>
      <c r="F677">
        <v>5</v>
      </c>
      <c r="G677">
        <v>2</v>
      </c>
      <c r="H677">
        <v>676</v>
      </c>
      <c r="I677" s="3" t="s">
        <v>23</v>
      </c>
      <c r="J677" s="3" t="s">
        <v>41</v>
      </c>
      <c r="K677" s="2" t="s">
        <v>31</v>
      </c>
      <c r="L677" s="2" t="s">
        <v>21</v>
      </c>
      <c r="M677" s="3" t="s">
        <v>34</v>
      </c>
    </row>
    <row r="678" spans="1:13" ht="15.75" customHeight="1" x14ac:dyDescent="0.3">
      <c r="A678">
        <v>677</v>
      </c>
      <c r="B678">
        <v>6</v>
      </c>
      <c r="C678">
        <v>4</v>
      </c>
      <c r="D678">
        <v>1</v>
      </c>
      <c r="E678">
        <v>5</v>
      </c>
      <c r="F678">
        <v>2</v>
      </c>
      <c r="G678">
        <v>3</v>
      </c>
      <c r="H678">
        <v>677</v>
      </c>
      <c r="I678" s="3" t="s">
        <v>23</v>
      </c>
      <c r="J678" s="3" t="s">
        <v>41</v>
      </c>
      <c r="K678" s="2" t="s">
        <v>37</v>
      </c>
      <c r="L678" s="3" t="s">
        <v>34</v>
      </c>
      <c r="M678" s="2" t="s">
        <v>15</v>
      </c>
    </row>
    <row r="679" spans="1:13" ht="15.75" customHeight="1" x14ac:dyDescent="0.3">
      <c r="A679">
        <v>678</v>
      </c>
      <c r="B679">
        <v>6</v>
      </c>
      <c r="C679">
        <v>4</v>
      </c>
      <c r="D679">
        <v>1</v>
      </c>
      <c r="E679">
        <v>5</v>
      </c>
      <c r="F679">
        <v>3</v>
      </c>
      <c r="G679">
        <v>2</v>
      </c>
      <c r="H679">
        <v>678</v>
      </c>
      <c r="I679" s="3" t="s">
        <v>23</v>
      </c>
      <c r="J679" s="3" t="s">
        <v>41</v>
      </c>
      <c r="K679" s="2" t="s">
        <v>37</v>
      </c>
      <c r="L679" s="3" t="s">
        <v>27</v>
      </c>
      <c r="M679" s="3" t="s">
        <v>32</v>
      </c>
    </row>
    <row r="680" spans="1:13" ht="15.75" customHeight="1" x14ac:dyDescent="0.3">
      <c r="A680">
        <v>679</v>
      </c>
      <c r="B680">
        <v>6</v>
      </c>
      <c r="C680">
        <v>4</v>
      </c>
      <c r="D680">
        <v>2</v>
      </c>
      <c r="E680">
        <v>1</v>
      </c>
      <c r="F680">
        <v>3</v>
      </c>
      <c r="G680">
        <v>5</v>
      </c>
      <c r="H680">
        <v>679</v>
      </c>
      <c r="I680" s="3" t="s">
        <v>23</v>
      </c>
      <c r="J680" s="3" t="s">
        <v>33</v>
      </c>
      <c r="K680" s="3" t="s">
        <v>39</v>
      </c>
      <c r="L680" s="2" t="s">
        <v>31</v>
      </c>
      <c r="M680" s="2" t="s">
        <v>21</v>
      </c>
    </row>
    <row r="681" spans="1:13" ht="15.75" customHeight="1" x14ac:dyDescent="0.3">
      <c r="A681">
        <v>680</v>
      </c>
      <c r="B681">
        <v>6</v>
      </c>
      <c r="C681">
        <v>4</v>
      </c>
      <c r="D681">
        <v>2</v>
      </c>
      <c r="E681">
        <v>1</v>
      </c>
      <c r="F681">
        <v>5</v>
      </c>
      <c r="G681">
        <v>3</v>
      </c>
      <c r="H681">
        <v>680</v>
      </c>
      <c r="I681" s="3" t="s">
        <v>23</v>
      </c>
      <c r="J681" s="3" t="s">
        <v>33</v>
      </c>
      <c r="K681" s="3" t="s">
        <v>39</v>
      </c>
      <c r="L681" s="2" t="s">
        <v>37</v>
      </c>
      <c r="M681" s="3" t="s">
        <v>27</v>
      </c>
    </row>
    <row r="682" spans="1:13" ht="15.75" customHeight="1" x14ac:dyDescent="0.3">
      <c r="A682">
        <v>681</v>
      </c>
      <c r="B682">
        <v>6</v>
      </c>
      <c r="C682">
        <v>4</v>
      </c>
      <c r="D682">
        <v>2</v>
      </c>
      <c r="E682">
        <v>3</v>
      </c>
      <c r="F682">
        <v>1</v>
      </c>
      <c r="G682">
        <v>5</v>
      </c>
      <c r="H682">
        <v>681</v>
      </c>
      <c r="I682" s="3" t="s">
        <v>23</v>
      </c>
      <c r="J682" s="3" t="s">
        <v>33</v>
      </c>
      <c r="K682" s="2" t="s">
        <v>15</v>
      </c>
      <c r="L682" s="3" t="s">
        <v>40</v>
      </c>
      <c r="M682" s="2" t="s">
        <v>37</v>
      </c>
    </row>
    <row r="683" spans="1:13" ht="15.75" customHeight="1" x14ac:dyDescent="0.3">
      <c r="A683">
        <v>682</v>
      </c>
      <c r="B683">
        <v>6</v>
      </c>
      <c r="C683">
        <v>4</v>
      </c>
      <c r="D683">
        <v>2</v>
      </c>
      <c r="E683">
        <v>3</v>
      </c>
      <c r="F683">
        <v>5</v>
      </c>
      <c r="G683">
        <v>1</v>
      </c>
      <c r="H683">
        <v>682</v>
      </c>
      <c r="I683" s="3" t="s">
        <v>23</v>
      </c>
      <c r="J683" s="3" t="s">
        <v>33</v>
      </c>
      <c r="K683" s="2" t="s">
        <v>15</v>
      </c>
      <c r="L683" s="2" t="s">
        <v>21</v>
      </c>
      <c r="M683" s="3" t="s">
        <v>42</v>
      </c>
    </row>
    <row r="684" spans="1:13" ht="15.75" customHeight="1" x14ac:dyDescent="0.3">
      <c r="A684">
        <v>683</v>
      </c>
      <c r="B684">
        <v>6</v>
      </c>
      <c r="C684">
        <v>4</v>
      </c>
      <c r="D684">
        <v>2</v>
      </c>
      <c r="E684">
        <v>5</v>
      </c>
      <c r="F684">
        <v>1</v>
      </c>
      <c r="G684">
        <v>3</v>
      </c>
      <c r="H684">
        <v>683</v>
      </c>
      <c r="I684" s="3" t="s">
        <v>23</v>
      </c>
      <c r="J684" s="3" t="s">
        <v>33</v>
      </c>
      <c r="K684" s="2" t="s">
        <v>29</v>
      </c>
      <c r="L684" s="3" t="s">
        <v>42</v>
      </c>
      <c r="M684" s="2" t="s">
        <v>31</v>
      </c>
    </row>
    <row r="685" spans="1:13" ht="15.75" customHeight="1" x14ac:dyDescent="0.3">
      <c r="A685">
        <v>684</v>
      </c>
      <c r="B685">
        <v>6</v>
      </c>
      <c r="C685">
        <v>4</v>
      </c>
      <c r="D685">
        <v>2</v>
      </c>
      <c r="E685">
        <v>5</v>
      </c>
      <c r="F685">
        <v>3</v>
      </c>
      <c r="G685">
        <v>1</v>
      </c>
      <c r="H685">
        <v>684</v>
      </c>
      <c r="I685" s="3" t="s">
        <v>23</v>
      </c>
      <c r="J685" s="3" t="s">
        <v>33</v>
      </c>
      <c r="K685" s="2" t="s">
        <v>29</v>
      </c>
      <c r="L685" s="3" t="s">
        <v>27</v>
      </c>
      <c r="M685" s="3" t="s">
        <v>40</v>
      </c>
    </row>
    <row r="686" spans="1:13" ht="15.75" customHeight="1" x14ac:dyDescent="0.3">
      <c r="A686">
        <v>685</v>
      </c>
      <c r="B686">
        <v>6</v>
      </c>
      <c r="C686">
        <v>4</v>
      </c>
      <c r="D686">
        <v>3</v>
      </c>
      <c r="E686">
        <v>1</v>
      </c>
      <c r="F686">
        <v>2</v>
      </c>
      <c r="G686">
        <v>5</v>
      </c>
      <c r="H686">
        <v>685</v>
      </c>
      <c r="I686" s="3" t="s">
        <v>23</v>
      </c>
      <c r="J686" s="3" t="s">
        <v>26</v>
      </c>
      <c r="K686" s="3" t="s">
        <v>40</v>
      </c>
      <c r="L686" s="2" t="s">
        <v>14</v>
      </c>
      <c r="M686" s="2" t="s">
        <v>29</v>
      </c>
    </row>
    <row r="687" spans="1:13" ht="15.75" customHeight="1" x14ac:dyDescent="0.3">
      <c r="A687">
        <v>686</v>
      </c>
      <c r="B687">
        <v>6</v>
      </c>
      <c r="C687">
        <v>4</v>
      </c>
      <c r="D687">
        <v>3</v>
      </c>
      <c r="E687">
        <v>1</v>
      </c>
      <c r="F687">
        <v>5</v>
      </c>
      <c r="G687">
        <v>2</v>
      </c>
      <c r="H687">
        <v>686</v>
      </c>
      <c r="I687" s="3" t="s">
        <v>23</v>
      </c>
      <c r="J687" s="3" t="s">
        <v>26</v>
      </c>
      <c r="K687" s="3" t="s">
        <v>40</v>
      </c>
      <c r="L687" s="2" t="s">
        <v>37</v>
      </c>
      <c r="M687" s="3" t="s">
        <v>34</v>
      </c>
    </row>
    <row r="688" spans="1:13" ht="15.75" customHeight="1" x14ac:dyDescent="0.3">
      <c r="A688">
        <v>687</v>
      </c>
      <c r="B688">
        <v>6</v>
      </c>
      <c r="C688">
        <v>4</v>
      </c>
      <c r="D688">
        <v>3</v>
      </c>
      <c r="E688">
        <v>2</v>
      </c>
      <c r="F688">
        <v>1</v>
      </c>
      <c r="G688">
        <v>5</v>
      </c>
      <c r="H688">
        <v>687</v>
      </c>
      <c r="I688" s="3" t="s">
        <v>23</v>
      </c>
      <c r="J688" s="3" t="s">
        <v>26</v>
      </c>
      <c r="K688" s="3" t="s">
        <v>32</v>
      </c>
      <c r="L688" s="3" t="s">
        <v>39</v>
      </c>
      <c r="M688" s="2" t="s">
        <v>37</v>
      </c>
    </row>
    <row r="689" spans="1:13" ht="15.75" customHeight="1" x14ac:dyDescent="0.3">
      <c r="A689">
        <v>688</v>
      </c>
      <c r="B689">
        <v>6</v>
      </c>
      <c r="C689">
        <v>4</v>
      </c>
      <c r="D689">
        <v>3</v>
      </c>
      <c r="E689">
        <v>2</v>
      </c>
      <c r="F689">
        <v>5</v>
      </c>
      <c r="G689">
        <v>1</v>
      </c>
      <c r="H689">
        <v>688</v>
      </c>
      <c r="I689" s="3" t="s">
        <v>23</v>
      </c>
      <c r="J689" s="3" t="s">
        <v>26</v>
      </c>
      <c r="K689" s="3" t="s">
        <v>32</v>
      </c>
      <c r="L689" s="2" t="s">
        <v>29</v>
      </c>
      <c r="M689" s="3" t="s">
        <v>42</v>
      </c>
    </row>
    <row r="690" spans="1:13" ht="15.75" customHeight="1" x14ac:dyDescent="0.3">
      <c r="A690">
        <v>689</v>
      </c>
      <c r="B690">
        <v>6</v>
      </c>
      <c r="C690">
        <v>4</v>
      </c>
      <c r="D690">
        <v>3</v>
      </c>
      <c r="E690">
        <v>5</v>
      </c>
      <c r="F690">
        <v>1</v>
      </c>
      <c r="G690">
        <v>2</v>
      </c>
      <c r="H690">
        <v>689</v>
      </c>
      <c r="I690" s="3" t="s">
        <v>23</v>
      </c>
      <c r="J690" s="3" t="s">
        <v>26</v>
      </c>
      <c r="K690" s="2" t="s">
        <v>21</v>
      </c>
      <c r="L690" s="3" t="s">
        <v>42</v>
      </c>
      <c r="M690" s="2" t="s">
        <v>14</v>
      </c>
    </row>
    <row r="691" spans="1:13" ht="15.75" customHeight="1" x14ac:dyDescent="0.3">
      <c r="A691">
        <v>690</v>
      </c>
      <c r="B691">
        <v>6</v>
      </c>
      <c r="C691">
        <v>4</v>
      </c>
      <c r="D691">
        <v>3</v>
      </c>
      <c r="E691">
        <v>5</v>
      </c>
      <c r="F691">
        <v>2</v>
      </c>
      <c r="G691">
        <v>1</v>
      </c>
      <c r="H691">
        <v>690</v>
      </c>
      <c r="I691" s="3" t="s">
        <v>23</v>
      </c>
      <c r="J691" s="3" t="s">
        <v>26</v>
      </c>
      <c r="K691" s="2" t="s">
        <v>21</v>
      </c>
      <c r="L691" s="3" t="s">
        <v>34</v>
      </c>
      <c r="M691" s="3" t="s">
        <v>39</v>
      </c>
    </row>
    <row r="692" spans="1:13" ht="15.75" customHeight="1" x14ac:dyDescent="0.3">
      <c r="A692">
        <v>691</v>
      </c>
      <c r="B692">
        <v>6</v>
      </c>
      <c r="C692">
        <v>4</v>
      </c>
      <c r="D692">
        <v>5</v>
      </c>
      <c r="E692">
        <v>1</v>
      </c>
      <c r="F692">
        <v>2</v>
      </c>
      <c r="G692">
        <v>3</v>
      </c>
      <c r="H692">
        <v>691</v>
      </c>
      <c r="I692" s="3" t="s">
        <v>23</v>
      </c>
      <c r="J692" s="2" t="s">
        <v>17</v>
      </c>
      <c r="K692" s="3" t="s">
        <v>42</v>
      </c>
      <c r="L692" s="2" t="s">
        <v>14</v>
      </c>
      <c r="M692" s="2" t="s">
        <v>15</v>
      </c>
    </row>
    <row r="693" spans="1:13" ht="15.75" customHeight="1" x14ac:dyDescent="0.3">
      <c r="A693">
        <v>692</v>
      </c>
      <c r="B693">
        <v>6</v>
      </c>
      <c r="C693">
        <v>4</v>
      </c>
      <c r="D693">
        <v>5</v>
      </c>
      <c r="E693">
        <v>1</v>
      </c>
      <c r="F693">
        <v>3</v>
      </c>
      <c r="G693">
        <v>2</v>
      </c>
      <c r="H693">
        <v>692</v>
      </c>
      <c r="I693" s="3" t="s">
        <v>23</v>
      </c>
      <c r="J693" s="2" t="s">
        <v>17</v>
      </c>
      <c r="K693" s="3" t="s">
        <v>42</v>
      </c>
      <c r="L693" s="2" t="s">
        <v>31</v>
      </c>
      <c r="M693" s="3" t="s">
        <v>32</v>
      </c>
    </row>
    <row r="694" spans="1:13" ht="15.75" customHeight="1" x14ac:dyDescent="0.3">
      <c r="A694">
        <v>693</v>
      </c>
      <c r="B694">
        <v>6</v>
      </c>
      <c r="C694">
        <v>4</v>
      </c>
      <c r="D694">
        <v>5</v>
      </c>
      <c r="E694">
        <v>2</v>
      </c>
      <c r="F694">
        <v>1</v>
      </c>
      <c r="G694">
        <v>3</v>
      </c>
      <c r="H694">
        <v>693</v>
      </c>
      <c r="I694" s="3" t="s">
        <v>23</v>
      </c>
      <c r="J694" s="2" t="s">
        <v>17</v>
      </c>
      <c r="K694" s="3" t="s">
        <v>34</v>
      </c>
      <c r="L694" s="3" t="s">
        <v>39</v>
      </c>
      <c r="M694" s="2" t="s">
        <v>31</v>
      </c>
    </row>
    <row r="695" spans="1:13" ht="15.75" customHeight="1" x14ac:dyDescent="0.3">
      <c r="A695">
        <v>694</v>
      </c>
      <c r="B695">
        <v>6</v>
      </c>
      <c r="C695">
        <v>4</v>
      </c>
      <c r="D695">
        <v>5</v>
      </c>
      <c r="E695">
        <v>2</v>
      </c>
      <c r="F695">
        <v>3</v>
      </c>
      <c r="G695">
        <v>1</v>
      </c>
      <c r="H695">
        <v>694</v>
      </c>
      <c r="I695" s="3" t="s">
        <v>23</v>
      </c>
      <c r="J695" s="2" t="s">
        <v>17</v>
      </c>
      <c r="K695" s="3" t="s">
        <v>34</v>
      </c>
      <c r="L695" s="2" t="s">
        <v>15</v>
      </c>
      <c r="M695" s="3" t="s">
        <v>40</v>
      </c>
    </row>
    <row r="696" spans="1:13" ht="15.75" customHeight="1" x14ac:dyDescent="0.3">
      <c r="A696">
        <v>695</v>
      </c>
      <c r="B696">
        <v>6</v>
      </c>
      <c r="C696">
        <v>4</v>
      </c>
      <c r="D696">
        <v>5</v>
      </c>
      <c r="E696">
        <v>3</v>
      </c>
      <c r="F696">
        <v>1</v>
      </c>
      <c r="G696">
        <v>2</v>
      </c>
      <c r="H696">
        <v>695</v>
      </c>
      <c r="I696" s="3" t="s">
        <v>23</v>
      </c>
      <c r="J696" s="2" t="s">
        <v>17</v>
      </c>
      <c r="K696" s="3" t="s">
        <v>27</v>
      </c>
      <c r="L696" s="3" t="s">
        <v>40</v>
      </c>
      <c r="M696" s="2" t="s">
        <v>14</v>
      </c>
    </row>
    <row r="697" spans="1:13" ht="15.75" customHeight="1" x14ac:dyDescent="0.3">
      <c r="A697">
        <v>696</v>
      </c>
      <c r="B697">
        <v>6</v>
      </c>
      <c r="C697">
        <v>4</v>
      </c>
      <c r="D697">
        <v>5</v>
      </c>
      <c r="E697">
        <v>3</v>
      </c>
      <c r="F697">
        <v>2</v>
      </c>
      <c r="G697">
        <v>1</v>
      </c>
      <c r="H697">
        <v>696</v>
      </c>
      <c r="I697" s="3" t="s">
        <v>23</v>
      </c>
      <c r="J697" s="2" t="s">
        <v>17</v>
      </c>
      <c r="K697" s="3" t="s">
        <v>27</v>
      </c>
      <c r="L697" s="3" t="s">
        <v>32</v>
      </c>
      <c r="M697" s="3" t="s">
        <v>39</v>
      </c>
    </row>
    <row r="698" spans="1:13" ht="15.75" customHeight="1" x14ac:dyDescent="0.3">
      <c r="A698">
        <v>697</v>
      </c>
      <c r="B698">
        <v>6</v>
      </c>
      <c r="C698">
        <v>5</v>
      </c>
      <c r="D698">
        <v>1</v>
      </c>
      <c r="E698">
        <v>2</v>
      </c>
      <c r="F698">
        <v>3</v>
      </c>
      <c r="G698">
        <v>4</v>
      </c>
      <c r="H698">
        <v>697</v>
      </c>
      <c r="I698" s="3" t="s">
        <v>20</v>
      </c>
      <c r="J698" s="3" t="s">
        <v>42</v>
      </c>
      <c r="K698" s="2" t="s">
        <v>14</v>
      </c>
      <c r="L698" s="2" t="s">
        <v>15</v>
      </c>
      <c r="M698" s="2" t="s">
        <v>16</v>
      </c>
    </row>
    <row r="699" spans="1:13" ht="15.75" customHeight="1" x14ac:dyDescent="0.3">
      <c r="A699">
        <v>698</v>
      </c>
      <c r="B699">
        <v>6</v>
      </c>
      <c r="C699">
        <v>5</v>
      </c>
      <c r="D699">
        <v>1</v>
      </c>
      <c r="E699">
        <v>2</v>
      </c>
      <c r="F699">
        <v>4</v>
      </c>
      <c r="G699">
        <v>3</v>
      </c>
      <c r="H699">
        <v>698</v>
      </c>
      <c r="I699" s="3" t="s">
        <v>20</v>
      </c>
      <c r="J699" s="3" t="s">
        <v>42</v>
      </c>
      <c r="K699" s="2" t="s">
        <v>14</v>
      </c>
      <c r="L699" s="2" t="s">
        <v>25</v>
      </c>
      <c r="M699" s="3" t="s">
        <v>26</v>
      </c>
    </row>
    <row r="700" spans="1:13" ht="15.75" customHeight="1" x14ac:dyDescent="0.3">
      <c r="A700">
        <v>699</v>
      </c>
      <c r="B700">
        <v>6</v>
      </c>
      <c r="C700">
        <v>5</v>
      </c>
      <c r="D700">
        <v>1</v>
      </c>
      <c r="E700">
        <v>3</v>
      </c>
      <c r="F700">
        <v>2</v>
      </c>
      <c r="G700">
        <v>4</v>
      </c>
      <c r="H700">
        <v>699</v>
      </c>
      <c r="I700" s="3" t="s">
        <v>20</v>
      </c>
      <c r="J700" s="3" t="s">
        <v>42</v>
      </c>
      <c r="K700" s="2" t="s">
        <v>31</v>
      </c>
      <c r="L700" s="3" t="s">
        <v>32</v>
      </c>
      <c r="M700" s="2" t="s">
        <v>25</v>
      </c>
    </row>
    <row r="701" spans="1:13" ht="15.75" customHeight="1" x14ac:dyDescent="0.3">
      <c r="A701">
        <v>700</v>
      </c>
      <c r="B701">
        <v>6</v>
      </c>
      <c r="C701">
        <v>5</v>
      </c>
      <c r="D701">
        <v>1</v>
      </c>
      <c r="E701">
        <v>3</v>
      </c>
      <c r="F701">
        <v>4</v>
      </c>
      <c r="G701">
        <v>2</v>
      </c>
      <c r="H701">
        <v>700</v>
      </c>
      <c r="I701" s="3" t="s">
        <v>20</v>
      </c>
      <c r="J701" s="3" t="s">
        <v>42</v>
      </c>
      <c r="K701" s="2" t="s">
        <v>31</v>
      </c>
      <c r="L701" s="2" t="s">
        <v>16</v>
      </c>
      <c r="M701" s="3" t="s">
        <v>33</v>
      </c>
    </row>
    <row r="702" spans="1:13" ht="15.75" customHeight="1" x14ac:dyDescent="0.3">
      <c r="A702">
        <v>701</v>
      </c>
      <c r="B702">
        <v>6</v>
      </c>
      <c r="C702">
        <v>5</v>
      </c>
      <c r="D702">
        <v>1</v>
      </c>
      <c r="E702">
        <v>4</v>
      </c>
      <c r="F702">
        <v>2</v>
      </c>
      <c r="G702">
        <v>3</v>
      </c>
      <c r="H702">
        <v>701</v>
      </c>
      <c r="I702" s="3" t="s">
        <v>20</v>
      </c>
      <c r="J702" s="3" t="s">
        <v>42</v>
      </c>
      <c r="K702" s="2" t="s">
        <v>36</v>
      </c>
      <c r="L702" s="3" t="s">
        <v>33</v>
      </c>
      <c r="M702" s="2" t="s">
        <v>15</v>
      </c>
    </row>
    <row r="703" spans="1:13" ht="15.75" customHeight="1" x14ac:dyDescent="0.3">
      <c r="A703">
        <v>702</v>
      </c>
      <c r="B703">
        <v>6</v>
      </c>
      <c r="C703">
        <v>5</v>
      </c>
      <c r="D703">
        <v>1</v>
      </c>
      <c r="E703">
        <v>4</v>
      </c>
      <c r="F703">
        <v>3</v>
      </c>
      <c r="G703">
        <v>2</v>
      </c>
      <c r="H703">
        <v>702</v>
      </c>
      <c r="I703" s="3" t="s">
        <v>20</v>
      </c>
      <c r="J703" s="3" t="s">
        <v>42</v>
      </c>
      <c r="K703" s="2" t="s">
        <v>36</v>
      </c>
      <c r="L703" s="3" t="s">
        <v>26</v>
      </c>
      <c r="M703" s="3" t="s">
        <v>32</v>
      </c>
    </row>
    <row r="704" spans="1:13" ht="15.75" customHeight="1" x14ac:dyDescent="0.3">
      <c r="A704">
        <v>703</v>
      </c>
      <c r="B704">
        <v>6</v>
      </c>
      <c r="C704">
        <v>5</v>
      </c>
      <c r="D704">
        <v>2</v>
      </c>
      <c r="E704">
        <v>1</v>
      </c>
      <c r="F704">
        <v>3</v>
      </c>
      <c r="G704">
        <v>4</v>
      </c>
      <c r="H704">
        <v>703</v>
      </c>
      <c r="I704" s="3" t="s">
        <v>20</v>
      </c>
      <c r="J704" s="3" t="s">
        <v>34</v>
      </c>
      <c r="K704" s="3" t="s">
        <v>39</v>
      </c>
      <c r="L704" s="2" t="s">
        <v>31</v>
      </c>
      <c r="M704" s="2" t="s">
        <v>16</v>
      </c>
    </row>
    <row r="705" spans="1:13" ht="15.75" customHeight="1" x14ac:dyDescent="0.3">
      <c r="A705">
        <v>704</v>
      </c>
      <c r="B705">
        <v>6</v>
      </c>
      <c r="C705">
        <v>5</v>
      </c>
      <c r="D705">
        <v>2</v>
      </c>
      <c r="E705">
        <v>1</v>
      </c>
      <c r="F705">
        <v>4</v>
      </c>
      <c r="G705">
        <v>3</v>
      </c>
      <c r="H705">
        <v>704</v>
      </c>
      <c r="I705" s="3" t="s">
        <v>20</v>
      </c>
      <c r="J705" s="3" t="s">
        <v>34</v>
      </c>
      <c r="K705" s="3" t="s">
        <v>39</v>
      </c>
      <c r="L705" s="2" t="s">
        <v>36</v>
      </c>
      <c r="M705" s="3" t="s">
        <v>26</v>
      </c>
    </row>
    <row r="706" spans="1:13" ht="15.75" customHeight="1" x14ac:dyDescent="0.3">
      <c r="A706">
        <v>705</v>
      </c>
      <c r="B706">
        <v>6</v>
      </c>
      <c r="C706">
        <v>5</v>
      </c>
      <c r="D706">
        <v>2</v>
      </c>
      <c r="E706">
        <v>3</v>
      </c>
      <c r="F706">
        <v>1</v>
      </c>
      <c r="G706">
        <v>4</v>
      </c>
      <c r="H706">
        <v>705</v>
      </c>
      <c r="I706" s="3" t="s">
        <v>20</v>
      </c>
      <c r="J706" s="3" t="s">
        <v>34</v>
      </c>
      <c r="K706" s="2" t="s">
        <v>15</v>
      </c>
      <c r="L706" s="3" t="s">
        <v>40</v>
      </c>
      <c r="M706" s="2" t="s">
        <v>36</v>
      </c>
    </row>
    <row r="707" spans="1:13" ht="15.75" customHeight="1" x14ac:dyDescent="0.3">
      <c r="A707">
        <v>706</v>
      </c>
      <c r="B707">
        <v>6</v>
      </c>
      <c r="C707">
        <v>5</v>
      </c>
      <c r="D707">
        <v>2</v>
      </c>
      <c r="E707">
        <v>3</v>
      </c>
      <c r="F707">
        <v>4</v>
      </c>
      <c r="G707">
        <v>1</v>
      </c>
      <c r="H707">
        <v>706</v>
      </c>
      <c r="I707" s="3" t="s">
        <v>20</v>
      </c>
      <c r="J707" s="3" t="s">
        <v>34</v>
      </c>
      <c r="K707" s="2" t="s">
        <v>15</v>
      </c>
      <c r="L707" s="2" t="s">
        <v>16</v>
      </c>
      <c r="M707" s="3" t="s">
        <v>41</v>
      </c>
    </row>
    <row r="708" spans="1:13" ht="15.75" customHeight="1" x14ac:dyDescent="0.3">
      <c r="A708">
        <v>707</v>
      </c>
      <c r="B708">
        <v>6</v>
      </c>
      <c r="C708">
        <v>5</v>
      </c>
      <c r="D708">
        <v>2</v>
      </c>
      <c r="E708">
        <v>4</v>
      </c>
      <c r="F708">
        <v>1</v>
      </c>
      <c r="G708">
        <v>3</v>
      </c>
      <c r="H708">
        <v>707</v>
      </c>
      <c r="I708" s="3" t="s">
        <v>20</v>
      </c>
      <c r="J708" s="3" t="s">
        <v>34</v>
      </c>
      <c r="K708" s="2" t="s">
        <v>25</v>
      </c>
      <c r="L708" s="3" t="s">
        <v>41</v>
      </c>
      <c r="M708" s="2" t="s">
        <v>31</v>
      </c>
    </row>
    <row r="709" spans="1:13" ht="15.75" customHeight="1" x14ac:dyDescent="0.3">
      <c r="A709">
        <v>708</v>
      </c>
      <c r="B709">
        <v>6</v>
      </c>
      <c r="C709">
        <v>5</v>
      </c>
      <c r="D709">
        <v>2</v>
      </c>
      <c r="E709">
        <v>4</v>
      </c>
      <c r="F709">
        <v>3</v>
      </c>
      <c r="G709">
        <v>1</v>
      </c>
      <c r="H709">
        <v>708</v>
      </c>
      <c r="I709" s="3" t="s">
        <v>20</v>
      </c>
      <c r="J709" s="3" t="s">
        <v>34</v>
      </c>
      <c r="K709" s="2" t="s">
        <v>25</v>
      </c>
      <c r="L709" s="3" t="s">
        <v>26</v>
      </c>
      <c r="M709" s="3" t="s">
        <v>40</v>
      </c>
    </row>
    <row r="710" spans="1:13" ht="15.75" customHeight="1" x14ac:dyDescent="0.3">
      <c r="A710">
        <v>709</v>
      </c>
      <c r="B710">
        <v>6</v>
      </c>
      <c r="C710">
        <v>5</v>
      </c>
      <c r="D710">
        <v>3</v>
      </c>
      <c r="E710">
        <v>1</v>
      </c>
      <c r="F710">
        <v>2</v>
      </c>
      <c r="G710">
        <v>4</v>
      </c>
      <c r="H710">
        <v>709</v>
      </c>
      <c r="I710" s="3" t="s">
        <v>20</v>
      </c>
      <c r="J710" s="3" t="s">
        <v>27</v>
      </c>
      <c r="K710" s="3" t="s">
        <v>40</v>
      </c>
      <c r="L710" s="2" t="s">
        <v>14</v>
      </c>
      <c r="M710" s="2" t="s">
        <v>25</v>
      </c>
    </row>
    <row r="711" spans="1:13" ht="15.75" customHeight="1" x14ac:dyDescent="0.3">
      <c r="A711">
        <v>710</v>
      </c>
      <c r="B711">
        <v>6</v>
      </c>
      <c r="C711">
        <v>5</v>
      </c>
      <c r="D711">
        <v>3</v>
      </c>
      <c r="E711">
        <v>1</v>
      </c>
      <c r="F711">
        <v>4</v>
      </c>
      <c r="G711">
        <v>2</v>
      </c>
      <c r="H711">
        <v>710</v>
      </c>
      <c r="I711" s="3" t="s">
        <v>20</v>
      </c>
      <c r="J711" s="3" t="s">
        <v>27</v>
      </c>
      <c r="K711" s="3" t="s">
        <v>40</v>
      </c>
      <c r="L711" s="2" t="s">
        <v>36</v>
      </c>
      <c r="M711" s="3" t="s">
        <v>33</v>
      </c>
    </row>
    <row r="712" spans="1:13" ht="15.75" customHeight="1" x14ac:dyDescent="0.3">
      <c r="A712">
        <v>711</v>
      </c>
      <c r="B712">
        <v>6</v>
      </c>
      <c r="C712">
        <v>5</v>
      </c>
      <c r="D712">
        <v>3</v>
      </c>
      <c r="E712">
        <v>2</v>
      </c>
      <c r="F712">
        <v>1</v>
      </c>
      <c r="G712">
        <v>4</v>
      </c>
      <c r="H712">
        <v>711</v>
      </c>
      <c r="I712" s="3" t="s">
        <v>20</v>
      </c>
      <c r="J712" s="3" t="s">
        <v>27</v>
      </c>
      <c r="K712" s="3" t="s">
        <v>32</v>
      </c>
      <c r="L712" s="3" t="s">
        <v>39</v>
      </c>
      <c r="M712" s="2" t="s">
        <v>36</v>
      </c>
    </row>
    <row r="713" spans="1:13" ht="15.75" customHeight="1" x14ac:dyDescent="0.3">
      <c r="A713">
        <v>712</v>
      </c>
      <c r="B713">
        <v>6</v>
      </c>
      <c r="C713">
        <v>5</v>
      </c>
      <c r="D713">
        <v>3</v>
      </c>
      <c r="E713">
        <v>2</v>
      </c>
      <c r="F713">
        <v>4</v>
      </c>
      <c r="G713">
        <v>1</v>
      </c>
      <c r="H713">
        <v>712</v>
      </c>
      <c r="I713" s="3" t="s">
        <v>20</v>
      </c>
      <c r="J713" s="3" t="s">
        <v>27</v>
      </c>
      <c r="K713" s="3" t="s">
        <v>32</v>
      </c>
      <c r="L713" s="2" t="s">
        <v>25</v>
      </c>
      <c r="M713" s="3" t="s">
        <v>41</v>
      </c>
    </row>
    <row r="714" spans="1:13" ht="15.75" customHeight="1" x14ac:dyDescent="0.3">
      <c r="A714">
        <v>713</v>
      </c>
      <c r="B714">
        <v>6</v>
      </c>
      <c r="C714">
        <v>5</v>
      </c>
      <c r="D714">
        <v>3</v>
      </c>
      <c r="E714">
        <v>4</v>
      </c>
      <c r="F714">
        <v>1</v>
      </c>
      <c r="G714">
        <v>2</v>
      </c>
      <c r="H714">
        <v>713</v>
      </c>
      <c r="I714" s="3" t="s">
        <v>20</v>
      </c>
      <c r="J714" s="3" t="s">
        <v>27</v>
      </c>
      <c r="K714" s="2" t="s">
        <v>16</v>
      </c>
      <c r="L714" s="3" t="s">
        <v>41</v>
      </c>
      <c r="M714" s="2" t="s">
        <v>14</v>
      </c>
    </row>
    <row r="715" spans="1:13" ht="15.75" customHeight="1" x14ac:dyDescent="0.3">
      <c r="A715">
        <v>714</v>
      </c>
      <c r="B715">
        <v>6</v>
      </c>
      <c r="C715">
        <v>5</v>
      </c>
      <c r="D715">
        <v>3</v>
      </c>
      <c r="E715">
        <v>4</v>
      </c>
      <c r="F715">
        <v>2</v>
      </c>
      <c r="G715">
        <v>1</v>
      </c>
      <c r="H715">
        <v>714</v>
      </c>
      <c r="I715" s="3" t="s">
        <v>20</v>
      </c>
      <c r="J715" s="3" t="s">
        <v>27</v>
      </c>
      <c r="K715" s="2" t="s">
        <v>16</v>
      </c>
      <c r="L715" s="3" t="s">
        <v>33</v>
      </c>
      <c r="M715" s="3" t="s">
        <v>39</v>
      </c>
    </row>
    <row r="716" spans="1:13" ht="15.75" customHeight="1" x14ac:dyDescent="0.3">
      <c r="A716">
        <v>715</v>
      </c>
      <c r="B716">
        <v>6</v>
      </c>
      <c r="C716">
        <v>5</v>
      </c>
      <c r="D716">
        <v>4</v>
      </c>
      <c r="E716">
        <v>1</v>
      </c>
      <c r="F716">
        <v>2</v>
      </c>
      <c r="G716">
        <v>3</v>
      </c>
      <c r="H716">
        <v>715</v>
      </c>
      <c r="I716" s="3" t="s">
        <v>20</v>
      </c>
      <c r="J716" s="3" t="s">
        <v>22</v>
      </c>
      <c r="K716" s="3" t="s">
        <v>41</v>
      </c>
      <c r="L716" s="2" t="s">
        <v>14</v>
      </c>
      <c r="M716" s="2" t="s">
        <v>15</v>
      </c>
    </row>
    <row r="717" spans="1:13" ht="15.75" customHeight="1" x14ac:dyDescent="0.3">
      <c r="A717">
        <v>716</v>
      </c>
      <c r="B717">
        <v>6</v>
      </c>
      <c r="C717">
        <v>5</v>
      </c>
      <c r="D717">
        <v>4</v>
      </c>
      <c r="E717">
        <v>1</v>
      </c>
      <c r="F717">
        <v>3</v>
      </c>
      <c r="G717">
        <v>2</v>
      </c>
      <c r="H717">
        <v>716</v>
      </c>
      <c r="I717" s="3" t="s">
        <v>20</v>
      </c>
      <c r="J717" s="3" t="s">
        <v>22</v>
      </c>
      <c r="K717" s="3" t="s">
        <v>41</v>
      </c>
      <c r="L717" s="2" t="s">
        <v>31</v>
      </c>
      <c r="M717" s="3" t="s">
        <v>32</v>
      </c>
    </row>
    <row r="718" spans="1:13" ht="15.75" customHeight="1" x14ac:dyDescent="0.3">
      <c r="A718">
        <v>717</v>
      </c>
      <c r="B718">
        <v>6</v>
      </c>
      <c r="C718">
        <v>5</v>
      </c>
      <c r="D718">
        <v>4</v>
      </c>
      <c r="E718">
        <v>2</v>
      </c>
      <c r="F718">
        <v>1</v>
      </c>
      <c r="G718">
        <v>3</v>
      </c>
      <c r="H718">
        <v>717</v>
      </c>
      <c r="I718" s="3" t="s">
        <v>20</v>
      </c>
      <c r="J718" s="3" t="s">
        <v>22</v>
      </c>
      <c r="K718" s="3" t="s">
        <v>33</v>
      </c>
      <c r="L718" s="3" t="s">
        <v>39</v>
      </c>
      <c r="M718" s="2" t="s">
        <v>31</v>
      </c>
    </row>
    <row r="719" spans="1:13" ht="15.75" customHeight="1" x14ac:dyDescent="0.3">
      <c r="A719">
        <v>718</v>
      </c>
      <c r="B719">
        <v>6</v>
      </c>
      <c r="C719">
        <v>5</v>
      </c>
      <c r="D719">
        <v>4</v>
      </c>
      <c r="E719">
        <v>2</v>
      </c>
      <c r="F719">
        <v>3</v>
      </c>
      <c r="G719">
        <v>1</v>
      </c>
      <c r="H719">
        <v>718</v>
      </c>
      <c r="I719" s="3" t="s">
        <v>20</v>
      </c>
      <c r="J719" s="3" t="s">
        <v>22</v>
      </c>
      <c r="K719" s="3" t="s">
        <v>33</v>
      </c>
      <c r="L719" s="2" t="s">
        <v>15</v>
      </c>
      <c r="M719" s="3" t="s">
        <v>40</v>
      </c>
    </row>
    <row r="720" spans="1:13" ht="15.75" customHeight="1" x14ac:dyDescent="0.3">
      <c r="A720">
        <v>719</v>
      </c>
      <c r="B720">
        <v>6</v>
      </c>
      <c r="C720">
        <v>5</v>
      </c>
      <c r="D720">
        <v>4</v>
      </c>
      <c r="E720">
        <v>3</v>
      </c>
      <c r="F720">
        <v>1</v>
      </c>
      <c r="G720">
        <v>2</v>
      </c>
      <c r="H720">
        <v>719</v>
      </c>
      <c r="I720" s="3" t="s">
        <v>20</v>
      </c>
      <c r="J720" s="3" t="s">
        <v>22</v>
      </c>
      <c r="K720" s="3" t="s">
        <v>26</v>
      </c>
      <c r="L720" s="3" t="s">
        <v>40</v>
      </c>
      <c r="M720" s="2" t="s">
        <v>14</v>
      </c>
    </row>
    <row r="721" spans="1:13" ht="15.75" customHeight="1" x14ac:dyDescent="0.3">
      <c r="A721">
        <v>720</v>
      </c>
      <c r="B721">
        <v>6</v>
      </c>
      <c r="C721">
        <v>5</v>
      </c>
      <c r="D721">
        <v>4</v>
      </c>
      <c r="E721">
        <v>3</v>
      </c>
      <c r="F721">
        <v>2</v>
      </c>
      <c r="G721">
        <v>1</v>
      </c>
      <c r="H721">
        <v>720</v>
      </c>
      <c r="I721" s="3" t="s">
        <v>20</v>
      </c>
      <c r="J721" s="3" t="s">
        <v>22</v>
      </c>
      <c r="K721" s="3" t="s">
        <v>26</v>
      </c>
      <c r="L721" s="3" t="s">
        <v>32</v>
      </c>
      <c r="M721" s="3" t="s">
        <v>39</v>
      </c>
    </row>
  </sheetData>
  <pageMargins left="0.7" right="0.7" top="0.75" bottom="0.75" header="0" footer="0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B100"/>
  <sheetViews>
    <sheetView workbookViewId="0"/>
  </sheetViews>
  <sheetFormatPr defaultColWidth="14.44140625" defaultRowHeight="15" customHeight="1" x14ac:dyDescent="0.3"/>
  <cols>
    <col min="1" max="1" width="6" customWidth="1"/>
    <col min="2" max="6" width="3.88671875" customWidth="1"/>
    <col min="7" max="7" width="3" customWidth="1"/>
    <col min="8" max="8" width="5.44140625" customWidth="1"/>
    <col min="9" max="13" width="3.88671875" customWidth="1"/>
    <col min="14" max="14" width="50.109375" customWidth="1"/>
    <col min="15" max="15" width="3.109375" customWidth="1"/>
    <col min="16" max="21" width="8.33203125" customWidth="1"/>
    <col min="22" max="22" width="8.6640625" customWidth="1"/>
    <col min="23" max="27" width="13" customWidth="1"/>
    <col min="28" max="28" width="9.33203125" customWidth="1"/>
  </cols>
  <sheetData>
    <row r="1" spans="1:28" ht="14.4" x14ac:dyDescent="0.3">
      <c r="A1" t="s">
        <v>44</v>
      </c>
      <c r="H1" t="s">
        <v>45</v>
      </c>
      <c r="P1" t="s">
        <v>46</v>
      </c>
      <c r="W1" t="s">
        <v>47</v>
      </c>
    </row>
    <row r="2" spans="1:28" ht="14.4" x14ac:dyDescent="0.3">
      <c r="A2" t="s">
        <v>48</v>
      </c>
      <c r="B2" t="s">
        <v>49</v>
      </c>
      <c r="C2" t="s">
        <v>50</v>
      </c>
      <c r="D2" t="s">
        <v>51</v>
      </c>
      <c r="E2" t="s">
        <v>52</v>
      </c>
      <c r="F2" t="s">
        <v>53</v>
      </c>
      <c r="H2" t="s">
        <v>48</v>
      </c>
      <c r="I2" t="s">
        <v>49</v>
      </c>
      <c r="J2" t="s">
        <v>50</v>
      </c>
      <c r="K2" t="s">
        <v>51</v>
      </c>
      <c r="L2" t="s">
        <v>52</v>
      </c>
      <c r="M2" t="s">
        <v>53</v>
      </c>
      <c r="O2" t="s">
        <v>54</v>
      </c>
      <c r="P2" t="str">
        <f t="shared" ref="P2:U2" si="0">H2</f>
        <v>i1</v>
      </c>
      <c r="Q2" t="str">
        <f t="shared" si="0"/>
        <v>i2</v>
      </c>
      <c r="R2" t="str">
        <f t="shared" si="0"/>
        <v>i3</v>
      </c>
      <c r="S2" t="str">
        <f t="shared" si="0"/>
        <v>i4</v>
      </c>
      <c r="T2" t="str">
        <f t="shared" si="0"/>
        <v>i5</v>
      </c>
      <c r="U2" t="str">
        <f t="shared" si="0"/>
        <v>i6</v>
      </c>
      <c r="W2" s="2" t="s">
        <v>14</v>
      </c>
      <c r="X2" s="2" t="s">
        <v>31</v>
      </c>
      <c r="Y2" s="2" t="s">
        <v>36</v>
      </c>
      <c r="Z2" s="2" t="s">
        <v>37</v>
      </c>
      <c r="AA2" s="2" t="s">
        <v>38</v>
      </c>
    </row>
    <row r="3" spans="1:28" ht="14.4" x14ac:dyDescent="0.3">
      <c r="A3">
        <v>0</v>
      </c>
      <c r="B3" s="2"/>
      <c r="C3" s="4"/>
      <c r="D3" s="5"/>
      <c r="E3" s="3"/>
      <c r="F3" s="6"/>
      <c r="H3">
        <v>0</v>
      </c>
      <c r="I3" s="2">
        <f>100-H4</f>
        <v>50</v>
      </c>
      <c r="J3" s="4">
        <f>100-H5</f>
        <v>31</v>
      </c>
      <c r="K3" s="5">
        <f>100-H6</f>
        <v>64</v>
      </c>
      <c r="L3" s="3">
        <f>100-H7</f>
        <v>76</v>
      </c>
      <c r="M3" s="6">
        <f>100-H8</f>
        <v>53</v>
      </c>
      <c r="P3" s="7">
        <v>1</v>
      </c>
      <c r="Q3" s="7">
        <f>I3/H4</f>
        <v>1</v>
      </c>
      <c r="R3" s="7">
        <f>J3/H5</f>
        <v>0.44927536231884058</v>
      </c>
      <c r="S3" s="7">
        <f>K3/H6</f>
        <v>1.7777777777777777</v>
      </c>
      <c r="T3" s="7">
        <f>L3/H7</f>
        <v>3.1666666666666665</v>
      </c>
      <c r="U3" s="7">
        <f>M3/H8</f>
        <v>1.1276595744680851</v>
      </c>
      <c r="W3" s="7">
        <f t="shared" ref="W3:AA3" si="1">$P3/Q3</f>
        <v>1</v>
      </c>
      <c r="X3" s="7">
        <f t="shared" si="1"/>
        <v>2.225806451612903</v>
      </c>
      <c r="Y3" s="7">
        <f t="shared" si="1"/>
        <v>0.5625</v>
      </c>
      <c r="Z3" s="7">
        <f t="shared" si="1"/>
        <v>0.31578947368421056</v>
      </c>
      <c r="AA3" s="7">
        <f t="shared" si="1"/>
        <v>0.8867924528301887</v>
      </c>
    </row>
    <row r="4" spans="1:28" ht="14.4" x14ac:dyDescent="0.3">
      <c r="A4" s="2">
        <v>50</v>
      </c>
      <c r="B4">
        <v>0</v>
      </c>
      <c r="C4" s="8"/>
      <c r="D4" s="9"/>
      <c r="E4" s="23"/>
      <c r="F4" s="10"/>
      <c r="H4" s="2">
        <f t="shared" ref="H4:H8" si="2">A4</f>
        <v>50</v>
      </c>
      <c r="I4">
        <v>0</v>
      </c>
      <c r="J4" s="8">
        <f>100-I5</f>
        <v>75</v>
      </c>
      <c r="K4" s="9">
        <f>100-I6</f>
        <v>46</v>
      </c>
      <c r="L4" s="23">
        <f>100-I7</f>
        <v>46</v>
      </c>
      <c r="M4" s="10">
        <f>100-I8</f>
        <v>31</v>
      </c>
      <c r="P4" s="7">
        <f>H4/I3</f>
        <v>1</v>
      </c>
      <c r="Q4" s="7">
        <v>1</v>
      </c>
      <c r="R4" s="7">
        <f>J4/I5</f>
        <v>3</v>
      </c>
      <c r="S4" s="7">
        <f>K4/I6</f>
        <v>0.85185185185185186</v>
      </c>
      <c r="T4" s="7">
        <f>L4/I7</f>
        <v>0.85185185185185186</v>
      </c>
      <c r="U4" s="7">
        <f>M4/I8</f>
        <v>0.44927536231884058</v>
      </c>
      <c r="W4" s="7">
        <f t="shared" ref="W4:AA4" si="3">$P4/Q4</f>
        <v>1</v>
      </c>
      <c r="X4" s="7">
        <f t="shared" si="3"/>
        <v>0.33333333333333331</v>
      </c>
      <c r="Y4" s="7">
        <f t="shared" si="3"/>
        <v>1.1739130434782608</v>
      </c>
      <c r="Z4" s="7">
        <f t="shared" si="3"/>
        <v>1.1739130434782608</v>
      </c>
      <c r="AA4" s="7">
        <f t="shared" si="3"/>
        <v>2.225806451612903</v>
      </c>
    </row>
    <row r="5" spans="1:28" ht="14.4" x14ac:dyDescent="0.3">
      <c r="A5" s="4">
        <v>69</v>
      </c>
      <c r="B5" s="8">
        <v>25</v>
      </c>
      <c r="C5">
        <v>0</v>
      </c>
      <c r="D5" s="11"/>
      <c r="E5" s="22"/>
      <c r="F5" s="12"/>
      <c r="H5" s="4">
        <f t="shared" si="2"/>
        <v>69</v>
      </c>
      <c r="I5" s="8">
        <f t="shared" ref="I5:I8" si="4">B5</f>
        <v>25</v>
      </c>
      <c r="J5">
        <v>0</v>
      </c>
      <c r="K5" s="11">
        <f>100-J6</f>
        <v>33</v>
      </c>
      <c r="L5" s="22">
        <f>100-J7</f>
        <v>65</v>
      </c>
      <c r="M5" s="12">
        <f>100-J8</f>
        <v>53</v>
      </c>
      <c r="P5" s="7">
        <f>H5/J3</f>
        <v>2.225806451612903</v>
      </c>
      <c r="Q5" s="7">
        <f>I5/J4</f>
        <v>0.33333333333333331</v>
      </c>
      <c r="R5" s="7">
        <v>1</v>
      </c>
      <c r="S5" s="7">
        <f>K5/J6</f>
        <v>0.4925373134328358</v>
      </c>
      <c r="T5" s="7">
        <f>L5/J7</f>
        <v>1.8571428571428572</v>
      </c>
      <c r="U5" s="7">
        <f>M5/J8</f>
        <v>1.1276595744680851</v>
      </c>
      <c r="W5" s="7">
        <f t="shared" ref="W5:AA5" si="5">$P5/Q5</f>
        <v>6.6774193548387091</v>
      </c>
      <c r="X5" s="7">
        <f t="shared" si="5"/>
        <v>2.225806451612903</v>
      </c>
      <c r="Y5" s="7">
        <f t="shared" si="5"/>
        <v>4.5190615835777121</v>
      </c>
      <c r="Z5" s="7">
        <f t="shared" si="5"/>
        <v>1.1985111662531016</v>
      </c>
      <c r="AA5" s="7">
        <f t="shared" si="5"/>
        <v>1.9738283627510651</v>
      </c>
    </row>
    <row r="6" spans="1:28" ht="14.4" x14ac:dyDescent="0.3">
      <c r="A6" s="5">
        <v>36</v>
      </c>
      <c r="B6" s="9">
        <v>54</v>
      </c>
      <c r="C6" s="11">
        <v>67</v>
      </c>
      <c r="D6">
        <v>0</v>
      </c>
      <c r="E6" s="13"/>
      <c r="F6" s="14"/>
      <c r="H6" s="5">
        <f t="shared" si="2"/>
        <v>36</v>
      </c>
      <c r="I6" s="9">
        <f t="shared" si="4"/>
        <v>54</v>
      </c>
      <c r="J6" s="11">
        <f t="shared" ref="J6:J8" si="6">C6</f>
        <v>67</v>
      </c>
      <c r="K6">
        <v>0</v>
      </c>
      <c r="L6" s="13">
        <f>100-K7</f>
        <v>22</v>
      </c>
      <c r="M6" s="14">
        <f>100-K8</f>
        <v>41</v>
      </c>
      <c r="P6" s="7">
        <f>H6/K3</f>
        <v>0.5625</v>
      </c>
      <c r="Q6" s="7">
        <f>I6/K4</f>
        <v>1.173913043478261</v>
      </c>
      <c r="R6" s="7">
        <f>J6/K5</f>
        <v>2.0303030303030303</v>
      </c>
      <c r="S6" s="7">
        <v>1</v>
      </c>
      <c r="T6" s="7">
        <f>L6/K7</f>
        <v>0.28205128205128205</v>
      </c>
      <c r="U6" s="7">
        <f>M6/K8</f>
        <v>0.69491525423728817</v>
      </c>
      <c r="W6" s="7">
        <f t="shared" ref="W6:AA6" si="7">$P6/Q6</f>
        <v>0.47916666666666663</v>
      </c>
      <c r="X6" s="7">
        <f t="shared" si="7"/>
        <v>0.27705223880597013</v>
      </c>
      <c r="Y6" s="7">
        <f t="shared" si="7"/>
        <v>0.5625</v>
      </c>
      <c r="Z6" s="7">
        <f t="shared" si="7"/>
        <v>1.9943181818181819</v>
      </c>
      <c r="AA6" s="7">
        <f t="shared" si="7"/>
        <v>0.80945121951219512</v>
      </c>
    </row>
    <row r="7" spans="1:28" ht="14.4" x14ac:dyDescent="0.3">
      <c r="A7" s="3">
        <v>24</v>
      </c>
      <c r="B7" s="23">
        <v>54</v>
      </c>
      <c r="C7" s="22">
        <v>35</v>
      </c>
      <c r="D7" s="13">
        <v>78</v>
      </c>
      <c r="E7">
        <v>0</v>
      </c>
      <c r="F7" s="15"/>
      <c r="H7" s="3">
        <f t="shared" si="2"/>
        <v>24</v>
      </c>
      <c r="I7" s="23">
        <f t="shared" si="4"/>
        <v>54</v>
      </c>
      <c r="J7" s="22">
        <f t="shared" si="6"/>
        <v>35</v>
      </c>
      <c r="K7" s="13">
        <f t="shared" ref="K7:K8" si="8">D7</f>
        <v>78</v>
      </c>
      <c r="L7">
        <v>0</v>
      </c>
      <c r="M7" s="15">
        <f>100-L8</f>
        <v>63</v>
      </c>
      <c r="P7" s="7">
        <f>H7/L3</f>
        <v>0.31578947368421051</v>
      </c>
      <c r="Q7" s="7">
        <f>I7/L4</f>
        <v>1.173913043478261</v>
      </c>
      <c r="R7" s="7">
        <f>J7/L5</f>
        <v>0.53846153846153844</v>
      </c>
      <c r="S7" s="7">
        <f>K7/L6</f>
        <v>3.5454545454545454</v>
      </c>
      <c r="T7" s="7">
        <v>1</v>
      </c>
      <c r="U7" s="7">
        <f>M7/L8</f>
        <v>1.7027027027027026</v>
      </c>
      <c r="W7" s="7">
        <f t="shared" ref="W7:AA7" si="9">$P7/Q7</f>
        <v>0.26900584795321636</v>
      </c>
      <c r="X7" s="7">
        <f t="shared" si="9"/>
        <v>0.5864661654135338</v>
      </c>
      <c r="Y7" s="7">
        <f t="shared" si="9"/>
        <v>8.9068825910931168E-2</v>
      </c>
      <c r="Z7" s="7">
        <f t="shared" si="9"/>
        <v>0.31578947368421051</v>
      </c>
      <c r="AA7" s="7">
        <f t="shared" si="9"/>
        <v>0.18546365914786966</v>
      </c>
    </row>
    <row r="8" spans="1:28" ht="14.4" x14ac:dyDescent="0.3">
      <c r="A8" s="6">
        <v>47</v>
      </c>
      <c r="B8" s="10">
        <v>69</v>
      </c>
      <c r="C8" s="12">
        <v>47</v>
      </c>
      <c r="D8" s="14">
        <v>59</v>
      </c>
      <c r="E8" s="15">
        <v>37</v>
      </c>
      <c r="F8">
        <v>0</v>
      </c>
      <c r="H8" s="6">
        <f t="shared" si="2"/>
        <v>47</v>
      </c>
      <c r="I8" s="10">
        <f t="shared" si="4"/>
        <v>69</v>
      </c>
      <c r="J8" s="12">
        <f t="shared" si="6"/>
        <v>47</v>
      </c>
      <c r="K8" s="14">
        <f t="shared" si="8"/>
        <v>59</v>
      </c>
      <c r="L8" s="15">
        <f>E8</f>
        <v>37</v>
      </c>
      <c r="M8">
        <v>0</v>
      </c>
      <c r="P8" s="7">
        <f>H8/M3</f>
        <v>0.8867924528301887</v>
      </c>
      <c r="Q8" s="7">
        <f>I8/M4</f>
        <v>2.225806451612903</v>
      </c>
      <c r="R8" s="7">
        <f>J8/M5</f>
        <v>0.8867924528301887</v>
      </c>
      <c r="S8" s="7">
        <f>K8/M6</f>
        <v>1.4390243902439024</v>
      </c>
      <c r="T8" s="7">
        <f>L8/M7</f>
        <v>0.58730158730158732</v>
      </c>
      <c r="U8" s="7">
        <v>1</v>
      </c>
      <c r="W8" s="7">
        <f t="shared" ref="W8:AA8" si="10">$P8/Q8</f>
        <v>0.39841400054689641</v>
      </c>
      <c r="X8" s="7">
        <f t="shared" si="10"/>
        <v>1</v>
      </c>
      <c r="Y8" s="7">
        <f t="shared" si="10"/>
        <v>0.61624560281419893</v>
      </c>
      <c r="Z8" s="7">
        <f t="shared" si="10"/>
        <v>1.5099439061703213</v>
      </c>
      <c r="AA8" s="7">
        <f t="shared" si="10"/>
        <v>0.8867924528301887</v>
      </c>
    </row>
    <row r="9" spans="1:28" ht="14.4" x14ac:dyDescent="0.3">
      <c r="W9" s="7">
        <f t="shared" ref="W9:AA9" si="11">AVERAGE(W3:W8)</f>
        <v>1.6373343116675814</v>
      </c>
      <c r="X9" s="7">
        <f t="shared" si="11"/>
        <v>1.1080774401297739</v>
      </c>
      <c r="Y9" s="7">
        <f t="shared" si="11"/>
        <v>1.2538815092968505</v>
      </c>
      <c r="Z9" s="7">
        <f t="shared" si="11"/>
        <v>1.0847108741813811</v>
      </c>
      <c r="AA9" s="7">
        <f t="shared" si="11"/>
        <v>1.1613557664474019</v>
      </c>
      <c r="AB9" t="s">
        <v>55</v>
      </c>
    </row>
    <row r="11" spans="1:28" ht="14.4" x14ac:dyDescent="0.3">
      <c r="O11" t="s">
        <v>56</v>
      </c>
      <c r="P11" t="str">
        <f t="shared" ref="P11:P17" si="12">Q2</f>
        <v>i2</v>
      </c>
      <c r="Q11" t="str">
        <f t="shared" ref="Q11:Q17" si="13">P2</f>
        <v>i1</v>
      </c>
      <c r="R11" t="str">
        <f t="shared" ref="R11:U11" si="14">R2</f>
        <v>i3</v>
      </c>
      <c r="S11" t="str">
        <f t="shared" si="14"/>
        <v>i4</v>
      </c>
      <c r="T11" t="str">
        <f t="shared" si="14"/>
        <v>i5</v>
      </c>
      <c r="U11" t="str">
        <f t="shared" si="14"/>
        <v>i6</v>
      </c>
      <c r="W11" s="3" t="s">
        <v>39</v>
      </c>
      <c r="X11" s="2" t="s">
        <v>15</v>
      </c>
      <c r="Y11" s="2" t="s">
        <v>25</v>
      </c>
      <c r="Z11" s="2" t="s">
        <v>29</v>
      </c>
      <c r="AA11" s="2" t="s">
        <v>30</v>
      </c>
    </row>
    <row r="12" spans="1:28" ht="14.4" x14ac:dyDescent="0.3">
      <c r="P12" s="7">
        <f t="shared" si="12"/>
        <v>1</v>
      </c>
      <c r="Q12" s="7">
        <f t="shared" si="13"/>
        <v>1</v>
      </c>
      <c r="R12" s="7">
        <f t="shared" ref="R12:U12" si="15">R3</f>
        <v>0.44927536231884058</v>
      </c>
      <c r="S12" s="7">
        <f t="shared" si="15"/>
        <v>1.7777777777777777</v>
      </c>
      <c r="T12" s="7">
        <f t="shared" si="15"/>
        <v>3.1666666666666665</v>
      </c>
      <c r="U12" s="7">
        <f t="shared" si="15"/>
        <v>1.1276595744680851</v>
      </c>
      <c r="W12" s="7">
        <f t="shared" ref="W12:AA12" si="16">$P12/Q12</f>
        <v>1</v>
      </c>
      <c r="X12" s="7">
        <f t="shared" si="16"/>
        <v>2.225806451612903</v>
      </c>
      <c r="Y12" s="7">
        <f t="shared" si="16"/>
        <v>0.5625</v>
      </c>
      <c r="Z12" s="7">
        <f t="shared" si="16"/>
        <v>0.31578947368421056</v>
      </c>
      <c r="AA12" s="7">
        <f t="shared" si="16"/>
        <v>0.8867924528301887</v>
      </c>
    </row>
    <row r="13" spans="1:28" ht="14.4" x14ac:dyDescent="0.3">
      <c r="P13" s="7">
        <f t="shared" si="12"/>
        <v>1</v>
      </c>
      <c r="Q13" s="7">
        <f t="shared" si="13"/>
        <v>1</v>
      </c>
      <c r="R13" s="7">
        <f t="shared" ref="R13:U13" si="17">R4</f>
        <v>3</v>
      </c>
      <c r="S13" s="7">
        <f t="shared" si="17"/>
        <v>0.85185185185185186</v>
      </c>
      <c r="T13" s="7">
        <f t="shared" si="17"/>
        <v>0.85185185185185186</v>
      </c>
      <c r="U13" s="7">
        <f t="shared" si="17"/>
        <v>0.44927536231884058</v>
      </c>
      <c r="W13" s="7">
        <f t="shared" ref="W13:AA13" si="18">$P13/Q13</f>
        <v>1</v>
      </c>
      <c r="X13" s="7">
        <f t="shared" si="18"/>
        <v>0.33333333333333331</v>
      </c>
      <c r="Y13" s="7">
        <f t="shared" si="18"/>
        <v>1.1739130434782608</v>
      </c>
      <c r="Z13" s="7">
        <f t="shared" si="18"/>
        <v>1.1739130434782608</v>
      </c>
      <c r="AA13" s="7">
        <f t="shared" si="18"/>
        <v>2.225806451612903</v>
      </c>
    </row>
    <row r="14" spans="1:28" ht="14.4" x14ac:dyDescent="0.3">
      <c r="P14" s="7">
        <f t="shared" si="12"/>
        <v>0.33333333333333331</v>
      </c>
      <c r="Q14" s="7">
        <f t="shared" si="13"/>
        <v>2.225806451612903</v>
      </c>
      <c r="R14" s="7">
        <f t="shared" ref="R14:U14" si="19">R5</f>
        <v>1</v>
      </c>
      <c r="S14" s="7">
        <f t="shared" si="19"/>
        <v>0.4925373134328358</v>
      </c>
      <c r="T14" s="7">
        <f t="shared" si="19"/>
        <v>1.8571428571428572</v>
      </c>
      <c r="U14" s="7">
        <f t="shared" si="19"/>
        <v>1.1276595744680851</v>
      </c>
      <c r="W14" s="7">
        <f t="shared" ref="W14:AA14" si="20">$P14/Q14</f>
        <v>0.14975845410628019</v>
      </c>
      <c r="X14" s="7">
        <f t="shared" si="20"/>
        <v>0.33333333333333331</v>
      </c>
      <c r="Y14" s="7">
        <f t="shared" si="20"/>
        <v>0.6767676767676768</v>
      </c>
      <c r="Z14" s="7">
        <f t="shared" si="20"/>
        <v>0.17948717948717946</v>
      </c>
      <c r="AA14" s="7">
        <f t="shared" si="20"/>
        <v>0.29559748427672955</v>
      </c>
    </row>
    <row r="15" spans="1:28" ht="14.4" x14ac:dyDescent="0.3">
      <c r="P15" s="7">
        <f t="shared" si="12"/>
        <v>1.173913043478261</v>
      </c>
      <c r="Q15" s="7">
        <f t="shared" si="13"/>
        <v>0.5625</v>
      </c>
      <c r="R15" s="7">
        <f t="shared" ref="R15:U15" si="21">R6</f>
        <v>2.0303030303030303</v>
      </c>
      <c r="S15" s="7">
        <f t="shared" si="21"/>
        <v>1</v>
      </c>
      <c r="T15" s="7">
        <f t="shared" si="21"/>
        <v>0.28205128205128205</v>
      </c>
      <c r="U15" s="7">
        <f t="shared" si="21"/>
        <v>0.69491525423728817</v>
      </c>
      <c r="W15" s="7">
        <f t="shared" ref="W15:AA15" si="22">$P15/Q15</f>
        <v>2.0869565217391308</v>
      </c>
      <c r="X15" s="7">
        <f t="shared" si="22"/>
        <v>0.57819597663854649</v>
      </c>
      <c r="Y15" s="7">
        <f t="shared" si="22"/>
        <v>1.173913043478261</v>
      </c>
      <c r="Z15" s="7">
        <f t="shared" si="22"/>
        <v>4.1620553359683798</v>
      </c>
      <c r="AA15" s="7">
        <f t="shared" si="22"/>
        <v>1.6892895015906682</v>
      </c>
    </row>
    <row r="16" spans="1:28" ht="14.4" x14ac:dyDescent="0.3">
      <c r="P16" s="7">
        <f t="shared" si="12"/>
        <v>1.173913043478261</v>
      </c>
      <c r="Q16" s="7">
        <f t="shared" si="13"/>
        <v>0.31578947368421051</v>
      </c>
      <c r="R16" s="7">
        <f t="shared" ref="R16:U16" si="23">R7</f>
        <v>0.53846153846153844</v>
      </c>
      <c r="S16" s="7">
        <f t="shared" si="23"/>
        <v>3.5454545454545454</v>
      </c>
      <c r="T16" s="7">
        <f t="shared" si="23"/>
        <v>1</v>
      </c>
      <c r="U16" s="7">
        <f t="shared" si="23"/>
        <v>1.7027027027027026</v>
      </c>
      <c r="W16" s="7">
        <f t="shared" ref="W16:AA16" si="24">$P16/Q16</f>
        <v>3.7173913043478266</v>
      </c>
      <c r="X16" s="7">
        <f t="shared" si="24"/>
        <v>2.1801242236024847</v>
      </c>
      <c r="Y16" s="7">
        <f t="shared" si="24"/>
        <v>0.33110367892976594</v>
      </c>
      <c r="Z16" s="7">
        <f t="shared" si="24"/>
        <v>1.173913043478261</v>
      </c>
      <c r="AA16" s="7">
        <f t="shared" si="24"/>
        <v>0.68944099378881996</v>
      </c>
    </row>
    <row r="17" spans="15:28" ht="14.4" x14ac:dyDescent="0.3">
      <c r="P17" s="7">
        <f t="shared" si="12"/>
        <v>2.225806451612903</v>
      </c>
      <c r="Q17" s="7">
        <f t="shared" si="13"/>
        <v>0.8867924528301887</v>
      </c>
      <c r="R17" s="7">
        <f t="shared" ref="R17:U17" si="25">R8</f>
        <v>0.8867924528301887</v>
      </c>
      <c r="S17" s="7">
        <f t="shared" si="25"/>
        <v>1.4390243902439024</v>
      </c>
      <c r="T17" s="7">
        <f t="shared" si="25"/>
        <v>0.58730158730158732</v>
      </c>
      <c r="U17" s="7">
        <f t="shared" si="25"/>
        <v>1</v>
      </c>
      <c r="W17" s="7">
        <f t="shared" ref="W17:AA17" si="26">$P17/Q17</f>
        <v>2.5099519560741248</v>
      </c>
      <c r="X17" s="7">
        <f t="shared" si="26"/>
        <v>2.5099519560741248</v>
      </c>
      <c r="Y17" s="7">
        <f t="shared" si="26"/>
        <v>1.5467468562055768</v>
      </c>
      <c r="Z17" s="7">
        <f t="shared" si="26"/>
        <v>3.7898866608544024</v>
      </c>
      <c r="AA17" s="7">
        <f t="shared" si="26"/>
        <v>2.225806451612903</v>
      </c>
    </row>
    <row r="18" spans="15:28" ht="14.4" x14ac:dyDescent="0.3">
      <c r="W18" s="7">
        <f t="shared" ref="W18:AA18" si="27">AVERAGE(W12:W17)</f>
        <v>1.7440097060445605</v>
      </c>
      <c r="X18" s="7">
        <f t="shared" si="27"/>
        <v>1.3601242124324544</v>
      </c>
      <c r="Y18" s="7">
        <f t="shared" si="27"/>
        <v>0.9108240498099236</v>
      </c>
      <c r="Z18" s="7">
        <f t="shared" si="27"/>
        <v>1.7991741228251155</v>
      </c>
      <c r="AA18" s="7">
        <f t="shared" si="27"/>
        <v>1.3354555559520354</v>
      </c>
      <c r="AB18" t="s">
        <v>55</v>
      </c>
    </row>
    <row r="20" spans="15:28" ht="14.4" x14ac:dyDescent="0.3">
      <c r="O20" t="s">
        <v>57</v>
      </c>
      <c r="P20" t="str">
        <f t="shared" ref="P20:P26" si="28">R2</f>
        <v>i3</v>
      </c>
      <c r="Q20" t="str">
        <f t="shared" ref="Q20:R20" si="29">P2</f>
        <v>i1</v>
      </c>
      <c r="R20" t="str">
        <f t="shared" si="29"/>
        <v>i2</v>
      </c>
      <c r="S20" t="str">
        <f t="shared" ref="S20:U20" si="30">S2</f>
        <v>i4</v>
      </c>
      <c r="T20" t="str">
        <f t="shared" si="30"/>
        <v>i5</v>
      </c>
      <c r="U20" t="str">
        <f t="shared" si="30"/>
        <v>i6</v>
      </c>
      <c r="W20" s="3" t="s">
        <v>40</v>
      </c>
      <c r="X20" s="3" t="s">
        <v>32</v>
      </c>
      <c r="Y20" s="2" t="s">
        <v>16</v>
      </c>
      <c r="Z20" s="2" t="s">
        <v>21</v>
      </c>
      <c r="AA20" s="2" t="s">
        <v>24</v>
      </c>
    </row>
    <row r="21" spans="15:28" ht="15.75" customHeight="1" x14ac:dyDescent="0.3">
      <c r="P21" s="7">
        <f t="shared" si="28"/>
        <v>0.44927536231884058</v>
      </c>
      <c r="Q21" s="7">
        <f t="shared" ref="Q21:R21" si="31">P3</f>
        <v>1</v>
      </c>
      <c r="R21" s="7">
        <f t="shared" si="31"/>
        <v>1</v>
      </c>
      <c r="S21" s="7">
        <f t="shared" ref="S21:U21" si="32">S3</f>
        <v>1.7777777777777777</v>
      </c>
      <c r="T21" s="7">
        <f t="shared" si="32"/>
        <v>3.1666666666666665</v>
      </c>
      <c r="U21" s="7">
        <f t="shared" si="32"/>
        <v>1.1276595744680851</v>
      </c>
      <c r="W21" s="7">
        <f t="shared" ref="W21:AA21" si="33">$P21/Q21</f>
        <v>0.44927536231884058</v>
      </c>
      <c r="X21" s="7">
        <f t="shared" si="33"/>
        <v>0.44927536231884058</v>
      </c>
      <c r="Y21" s="7">
        <f t="shared" si="33"/>
        <v>0.25271739130434784</v>
      </c>
      <c r="Z21" s="7">
        <f t="shared" si="33"/>
        <v>0.14187643020594967</v>
      </c>
      <c r="AA21" s="7">
        <f t="shared" si="33"/>
        <v>0.39841400054689635</v>
      </c>
    </row>
    <row r="22" spans="15:28" ht="15.75" customHeight="1" x14ac:dyDescent="0.3">
      <c r="P22" s="7">
        <f t="shared" si="28"/>
        <v>3</v>
      </c>
      <c r="Q22" s="7">
        <f t="shared" ref="Q22:R22" si="34">P4</f>
        <v>1</v>
      </c>
      <c r="R22" s="7">
        <f t="shared" si="34"/>
        <v>1</v>
      </c>
      <c r="S22" s="7">
        <f t="shared" ref="S22:U22" si="35">S4</f>
        <v>0.85185185185185186</v>
      </c>
      <c r="T22" s="7">
        <f t="shared" si="35"/>
        <v>0.85185185185185186</v>
      </c>
      <c r="U22" s="7">
        <f t="shared" si="35"/>
        <v>0.44927536231884058</v>
      </c>
      <c r="W22" s="7">
        <f t="shared" ref="W22:AA22" si="36">$P22/Q22</f>
        <v>3</v>
      </c>
      <c r="X22" s="7">
        <f t="shared" si="36"/>
        <v>3</v>
      </c>
      <c r="Y22" s="7">
        <f t="shared" si="36"/>
        <v>3.5217391304347827</v>
      </c>
      <c r="Z22" s="7">
        <f t="shared" si="36"/>
        <v>3.5217391304347827</v>
      </c>
      <c r="AA22" s="7">
        <f t="shared" si="36"/>
        <v>6.67741935483871</v>
      </c>
    </row>
    <row r="23" spans="15:28" ht="15.75" customHeight="1" x14ac:dyDescent="0.3">
      <c r="P23" s="7">
        <f t="shared" si="28"/>
        <v>1</v>
      </c>
      <c r="Q23" s="7">
        <f t="shared" ref="Q23:R23" si="37">P5</f>
        <v>2.225806451612903</v>
      </c>
      <c r="R23" s="7">
        <f t="shared" si="37"/>
        <v>0.33333333333333331</v>
      </c>
      <c r="S23" s="7">
        <f t="shared" ref="S23:U23" si="38">S5</f>
        <v>0.4925373134328358</v>
      </c>
      <c r="T23" s="7">
        <f t="shared" si="38"/>
        <v>1.8571428571428572</v>
      </c>
      <c r="U23" s="7">
        <f t="shared" si="38"/>
        <v>1.1276595744680851</v>
      </c>
      <c r="W23" s="7">
        <f t="shared" ref="W23:AA23" si="39">$P23/Q23</f>
        <v>0.44927536231884063</v>
      </c>
      <c r="X23" s="7">
        <f t="shared" si="39"/>
        <v>3</v>
      </c>
      <c r="Y23" s="7">
        <f t="shared" si="39"/>
        <v>2.0303030303030303</v>
      </c>
      <c r="Z23" s="7">
        <f t="shared" si="39"/>
        <v>0.53846153846153844</v>
      </c>
      <c r="AA23" s="7">
        <f t="shared" si="39"/>
        <v>0.8867924528301887</v>
      </c>
    </row>
    <row r="24" spans="15:28" ht="15.75" customHeight="1" x14ac:dyDescent="0.3">
      <c r="P24" s="7">
        <f t="shared" si="28"/>
        <v>2.0303030303030303</v>
      </c>
      <c r="Q24" s="7">
        <f t="shared" ref="Q24:R24" si="40">P6</f>
        <v>0.5625</v>
      </c>
      <c r="R24" s="7">
        <f t="shared" si="40"/>
        <v>1.173913043478261</v>
      </c>
      <c r="S24" s="7">
        <f t="shared" ref="S24:U24" si="41">S6</f>
        <v>1</v>
      </c>
      <c r="T24" s="7">
        <f t="shared" si="41"/>
        <v>0.28205128205128205</v>
      </c>
      <c r="U24" s="7">
        <f t="shared" si="41"/>
        <v>0.69491525423728817</v>
      </c>
      <c r="W24" s="7">
        <f t="shared" ref="W24:AA24" si="42">$P24/Q24</f>
        <v>3.6094276094276094</v>
      </c>
      <c r="X24" s="7">
        <f t="shared" si="42"/>
        <v>1.7295173961840626</v>
      </c>
      <c r="Y24" s="7">
        <f t="shared" si="42"/>
        <v>2.0303030303030303</v>
      </c>
      <c r="Z24" s="7">
        <f t="shared" si="42"/>
        <v>7.1983471074380168</v>
      </c>
      <c r="AA24" s="7">
        <f t="shared" si="42"/>
        <v>2.9216555801921653</v>
      </c>
    </row>
    <row r="25" spans="15:28" ht="15.75" customHeight="1" x14ac:dyDescent="0.3">
      <c r="P25" s="7">
        <f t="shared" si="28"/>
        <v>0.53846153846153844</v>
      </c>
      <c r="Q25" s="7">
        <f t="shared" ref="Q25:R25" si="43">P7</f>
        <v>0.31578947368421051</v>
      </c>
      <c r="R25" s="7">
        <f t="shared" si="43"/>
        <v>1.173913043478261</v>
      </c>
      <c r="S25" s="7">
        <f t="shared" ref="S25:U25" si="44">S7</f>
        <v>3.5454545454545454</v>
      </c>
      <c r="T25" s="7">
        <f t="shared" si="44"/>
        <v>1</v>
      </c>
      <c r="U25" s="7">
        <f t="shared" si="44"/>
        <v>1.7027027027027026</v>
      </c>
      <c r="W25" s="7">
        <f t="shared" ref="W25:AA25" si="45">$P25/Q25</f>
        <v>1.7051282051282051</v>
      </c>
      <c r="X25" s="7">
        <f t="shared" si="45"/>
        <v>0.45868945868945865</v>
      </c>
      <c r="Y25" s="7">
        <f t="shared" si="45"/>
        <v>0.15187376725838264</v>
      </c>
      <c r="Z25" s="7">
        <f t="shared" si="45"/>
        <v>0.53846153846153844</v>
      </c>
      <c r="AA25" s="7">
        <f t="shared" si="45"/>
        <v>0.31623931623931623</v>
      </c>
    </row>
    <row r="26" spans="15:28" ht="15.75" customHeight="1" x14ac:dyDescent="0.3">
      <c r="P26" s="7">
        <f t="shared" si="28"/>
        <v>0.8867924528301887</v>
      </c>
      <c r="Q26" s="7">
        <f t="shared" ref="Q26:R26" si="46">P8</f>
        <v>0.8867924528301887</v>
      </c>
      <c r="R26" s="7">
        <f t="shared" si="46"/>
        <v>2.225806451612903</v>
      </c>
      <c r="S26" s="7">
        <f t="shared" ref="S26:U26" si="47">S8</f>
        <v>1.4390243902439024</v>
      </c>
      <c r="T26" s="7">
        <f t="shared" si="47"/>
        <v>0.58730158730158732</v>
      </c>
      <c r="U26" s="7">
        <f t="shared" si="47"/>
        <v>1</v>
      </c>
      <c r="W26" s="7">
        <f t="shared" ref="W26:AA26" si="48">$P26/Q26</f>
        <v>1</v>
      </c>
      <c r="X26" s="7">
        <f t="shared" si="48"/>
        <v>0.39841400054689641</v>
      </c>
      <c r="Y26" s="7">
        <f t="shared" si="48"/>
        <v>0.61624560281419893</v>
      </c>
      <c r="Z26" s="7">
        <f t="shared" si="48"/>
        <v>1.5099439061703213</v>
      </c>
      <c r="AA26" s="7">
        <f t="shared" si="48"/>
        <v>0.8867924528301887</v>
      </c>
    </row>
    <row r="27" spans="15:28" ht="15.75" customHeight="1" x14ac:dyDescent="0.3">
      <c r="W27" s="7">
        <f t="shared" ref="W27:AA27" si="49">AVERAGE(W21:W26)</f>
        <v>1.7021844231989158</v>
      </c>
      <c r="X27" s="7">
        <f t="shared" si="49"/>
        <v>1.5059827029565431</v>
      </c>
      <c r="Y27" s="7">
        <f t="shared" si="49"/>
        <v>1.4338636587362954</v>
      </c>
      <c r="Z27" s="7">
        <f t="shared" si="49"/>
        <v>2.2414716085286912</v>
      </c>
      <c r="AA27" s="7">
        <f t="shared" si="49"/>
        <v>2.0145521929129111</v>
      </c>
      <c r="AB27" t="s">
        <v>55</v>
      </c>
    </row>
    <row r="28" spans="15:28" ht="15.75" customHeight="1" x14ac:dyDescent="0.3"/>
    <row r="29" spans="15:28" ht="15.75" customHeight="1" x14ac:dyDescent="0.3">
      <c r="O29" t="s">
        <v>58</v>
      </c>
      <c r="P29" t="str">
        <f t="shared" ref="P29:P35" si="50">S2</f>
        <v>i4</v>
      </c>
      <c r="Q29" t="str">
        <f t="shared" ref="Q29:S29" si="51">P2</f>
        <v>i1</v>
      </c>
      <c r="R29" t="str">
        <f t="shared" si="51"/>
        <v>i2</v>
      </c>
      <c r="S29" t="str">
        <f t="shared" si="51"/>
        <v>i3</v>
      </c>
      <c r="T29" t="str">
        <f t="shared" ref="T29:U29" si="52">T2</f>
        <v>i5</v>
      </c>
      <c r="U29" t="str">
        <f t="shared" si="52"/>
        <v>i6</v>
      </c>
      <c r="W29" s="3" t="s">
        <v>41</v>
      </c>
      <c r="X29" s="3" t="s">
        <v>33</v>
      </c>
      <c r="Y29" s="3" t="s">
        <v>26</v>
      </c>
      <c r="Z29" s="2" t="s">
        <v>17</v>
      </c>
      <c r="AA29" s="2" t="s">
        <v>19</v>
      </c>
    </row>
    <row r="30" spans="15:28" ht="15.75" customHeight="1" x14ac:dyDescent="0.3">
      <c r="P30" s="7">
        <f t="shared" si="50"/>
        <v>1.7777777777777777</v>
      </c>
      <c r="Q30" s="7">
        <f t="shared" ref="Q30:S30" si="53">P3</f>
        <v>1</v>
      </c>
      <c r="R30" s="7">
        <f t="shared" si="53"/>
        <v>1</v>
      </c>
      <c r="S30" s="7">
        <f t="shared" si="53"/>
        <v>0.44927536231884058</v>
      </c>
      <c r="T30" s="7">
        <f t="shared" ref="T30:U30" si="54">T3</f>
        <v>3.1666666666666665</v>
      </c>
      <c r="U30" s="7">
        <f t="shared" si="54"/>
        <v>1.1276595744680851</v>
      </c>
      <c r="W30" s="7">
        <f t="shared" ref="W30:AA30" si="55">$P30/Q30</f>
        <v>1.7777777777777777</v>
      </c>
      <c r="X30" s="7">
        <f t="shared" si="55"/>
        <v>1.7777777777777777</v>
      </c>
      <c r="Y30" s="7">
        <f t="shared" si="55"/>
        <v>3.9569892473118276</v>
      </c>
      <c r="Z30" s="7">
        <f t="shared" si="55"/>
        <v>0.56140350877192979</v>
      </c>
      <c r="AA30" s="7">
        <f t="shared" si="55"/>
        <v>1.5765199161425576</v>
      </c>
    </row>
    <row r="31" spans="15:28" ht="15.75" customHeight="1" x14ac:dyDescent="0.3">
      <c r="P31" s="7">
        <f t="shared" si="50"/>
        <v>0.85185185185185186</v>
      </c>
      <c r="Q31" s="7">
        <f t="shared" ref="Q31:S31" si="56">P4</f>
        <v>1</v>
      </c>
      <c r="R31" s="7">
        <f t="shared" si="56"/>
        <v>1</v>
      </c>
      <c r="S31" s="7">
        <f t="shared" si="56"/>
        <v>3</v>
      </c>
      <c r="T31" s="7">
        <f t="shared" ref="T31:U31" si="57">T4</f>
        <v>0.85185185185185186</v>
      </c>
      <c r="U31" s="7">
        <f t="shared" si="57"/>
        <v>0.44927536231884058</v>
      </c>
      <c r="W31" s="7">
        <f t="shared" ref="W31:AA31" si="58">$P31/Q31</f>
        <v>0.85185185185185186</v>
      </c>
      <c r="X31" s="7">
        <f t="shared" si="58"/>
        <v>0.85185185185185186</v>
      </c>
      <c r="Y31" s="7">
        <f t="shared" si="58"/>
        <v>0.2839506172839506</v>
      </c>
      <c r="Z31" s="7">
        <f t="shared" si="58"/>
        <v>1</v>
      </c>
      <c r="AA31" s="7">
        <f t="shared" si="58"/>
        <v>1.8960573476702509</v>
      </c>
    </row>
    <row r="32" spans="15:28" ht="15.75" customHeight="1" x14ac:dyDescent="0.3">
      <c r="P32" s="7">
        <f t="shared" si="50"/>
        <v>0.4925373134328358</v>
      </c>
      <c r="Q32" s="7">
        <f t="shared" ref="Q32:S32" si="59">P5</f>
        <v>2.225806451612903</v>
      </c>
      <c r="R32" s="7">
        <f t="shared" si="59"/>
        <v>0.33333333333333331</v>
      </c>
      <c r="S32" s="7">
        <f t="shared" si="59"/>
        <v>1</v>
      </c>
      <c r="T32" s="7">
        <f t="shared" ref="T32:U32" si="60">T5</f>
        <v>1.8571428571428572</v>
      </c>
      <c r="U32" s="7">
        <f t="shared" si="60"/>
        <v>1.1276595744680851</v>
      </c>
      <c r="W32" s="7">
        <f t="shared" ref="W32:AA32" si="61">$P32/Q32</f>
        <v>0.22128487994808566</v>
      </c>
      <c r="X32" s="7">
        <f t="shared" si="61"/>
        <v>1.4776119402985075</v>
      </c>
      <c r="Y32" s="7">
        <f t="shared" si="61"/>
        <v>0.4925373134328358</v>
      </c>
      <c r="Z32" s="7">
        <f t="shared" si="61"/>
        <v>0.2652123995407577</v>
      </c>
      <c r="AA32" s="7">
        <f t="shared" si="61"/>
        <v>0.4367783722894959</v>
      </c>
    </row>
    <row r="33" spans="15:28" ht="15.75" customHeight="1" x14ac:dyDescent="0.3">
      <c r="P33" s="7">
        <f t="shared" si="50"/>
        <v>1</v>
      </c>
      <c r="Q33" s="7">
        <f t="shared" ref="Q33:S33" si="62">P6</f>
        <v>0.5625</v>
      </c>
      <c r="R33" s="7">
        <f t="shared" si="62"/>
        <v>1.173913043478261</v>
      </c>
      <c r="S33" s="7">
        <f t="shared" si="62"/>
        <v>2.0303030303030303</v>
      </c>
      <c r="T33" s="7">
        <f t="shared" ref="T33:U33" si="63">T6</f>
        <v>0.28205128205128205</v>
      </c>
      <c r="U33" s="7">
        <f t="shared" si="63"/>
        <v>0.69491525423728817</v>
      </c>
      <c r="W33" s="7">
        <f t="shared" ref="W33:AA33" si="64">$P33/Q33</f>
        <v>1.7777777777777777</v>
      </c>
      <c r="X33" s="7">
        <f t="shared" si="64"/>
        <v>0.85185185185185175</v>
      </c>
      <c r="Y33" s="7">
        <f t="shared" si="64"/>
        <v>0.49253731343283585</v>
      </c>
      <c r="Z33" s="7">
        <f t="shared" si="64"/>
        <v>3.5454545454545454</v>
      </c>
      <c r="AA33" s="7">
        <f t="shared" si="64"/>
        <v>1.4390243902439024</v>
      </c>
    </row>
    <row r="34" spans="15:28" ht="15.75" customHeight="1" x14ac:dyDescent="0.3">
      <c r="P34" s="7">
        <f t="shared" si="50"/>
        <v>3.5454545454545454</v>
      </c>
      <c r="Q34" s="7">
        <f t="shared" ref="Q34:S34" si="65">P7</f>
        <v>0.31578947368421051</v>
      </c>
      <c r="R34" s="7">
        <f t="shared" si="65"/>
        <v>1.173913043478261</v>
      </c>
      <c r="S34" s="7">
        <f t="shared" si="65"/>
        <v>0.53846153846153844</v>
      </c>
      <c r="T34" s="7">
        <f t="shared" ref="T34:U34" si="66">T7</f>
        <v>1</v>
      </c>
      <c r="U34" s="7">
        <f t="shared" si="66"/>
        <v>1.7027027027027026</v>
      </c>
      <c r="W34" s="7">
        <f t="shared" ref="W34:AA34" si="67">$P34/Q34</f>
        <v>11.227272727272728</v>
      </c>
      <c r="X34" s="7">
        <f t="shared" si="67"/>
        <v>3.0202020202020199</v>
      </c>
      <c r="Y34" s="7">
        <f t="shared" si="67"/>
        <v>6.5844155844155843</v>
      </c>
      <c r="Z34" s="7">
        <f t="shared" si="67"/>
        <v>3.5454545454545454</v>
      </c>
      <c r="AA34" s="7">
        <f t="shared" si="67"/>
        <v>2.0822510822510822</v>
      </c>
    </row>
    <row r="35" spans="15:28" ht="15.75" customHeight="1" x14ac:dyDescent="0.3">
      <c r="P35" s="7">
        <f t="shared" si="50"/>
        <v>1.4390243902439024</v>
      </c>
      <c r="Q35" s="7">
        <f t="shared" ref="Q35:S35" si="68">P8</f>
        <v>0.8867924528301887</v>
      </c>
      <c r="R35" s="7">
        <f t="shared" si="68"/>
        <v>2.225806451612903</v>
      </c>
      <c r="S35" s="7">
        <f t="shared" si="68"/>
        <v>0.8867924528301887</v>
      </c>
      <c r="T35" s="7">
        <f t="shared" ref="T35:U35" si="69">T8</f>
        <v>0.58730158730158732</v>
      </c>
      <c r="U35" s="7">
        <f t="shared" si="69"/>
        <v>1</v>
      </c>
      <c r="W35" s="7">
        <f t="shared" ref="W35:AA35" si="70">$P35/Q35</f>
        <v>1.6227296315516346</v>
      </c>
      <c r="X35" s="7">
        <f t="shared" si="70"/>
        <v>0.64651820431247797</v>
      </c>
      <c r="Y35" s="7">
        <f t="shared" si="70"/>
        <v>1.6227296315516346</v>
      </c>
      <c r="Z35" s="7">
        <f t="shared" si="70"/>
        <v>2.4502307185234011</v>
      </c>
      <c r="AA35" s="7">
        <f t="shared" si="70"/>
        <v>1.4390243902439024</v>
      </c>
    </row>
    <row r="36" spans="15:28" ht="15.75" customHeight="1" x14ac:dyDescent="0.3">
      <c r="W36" s="7">
        <f t="shared" ref="W36:AA36" si="71">AVERAGE(W30:W35)</f>
        <v>2.9131157743633094</v>
      </c>
      <c r="X36" s="7">
        <f t="shared" si="71"/>
        <v>1.4376356077157479</v>
      </c>
      <c r="Y36" s="7">
        <f t="shared" si="71"/>
        <v>2.2388599512381115</v>
      </c>
      <c r="Z36" s="7">
        <f t="shared" si="71"/>
        <v>1.89462595295753</v>
      </c>
      <c r="AA36" s="7">
        <f t="shared" si="71"/>
        <v>1.478275916473532</v>
      </c>
      <c r="AB36" t="s">
        <v>55</v>
      </c>
    </row>
    <row r="37" spans="15:28" ht="15.75" customHeight="1" x14ac:dyDescent="0.3"/>
    <row r="38" spans="15:28" ht="15.75" customHeight="1" x14ac:dyDescent="0.3">
      <c r="O38" t="s">
        <v>59</v>
      </c>
      <c r="P38" t="str">
        <f t="shared" ref="P38:P44" si="72">T2</f>
        <v>i5</v>
      </c>
      <c r="Q38" t="str">
        <f t="shared" ref="Q38:T38" si="73">P2</f>
        <v>i1</v>
      </c>
      <c r="R38" t="str">
        <f t="shared" si="73"/>
        <v>i2</v>
      </c>
      <c r="S38" t="str">
        <f t="shared" si="73"/>
        <v>i3</v>
      </c>
      <c r="T38" t="str">
        <f t="shared" si="73"/>
        <v>i4</v>
      </c>
      <c r="U38" t="str">
        <f t="shared" ref="U38:U44" si="74">U2</f>
        <v>i6</v>
      </c>
      <c r="W38" s="3" t="s">
        <v>42</v>
      </c>
      <c r="X38" s="3" t="s">
        <v>34</v>
      </c>
      <c r="Y38" s="3" t="s">
        <v>27</v>
      </c>
      <c r="Z38" s="3" t="s">
        <v>22</v>
      </c>
      <c r="AA38" s="2" t="s">
        <v>18</v>
      </c>
    </row>
    <row r="39" spans="15:28" ht="15.75" customHeight="1" x14ac:dyDescent="0.3">
      <c r="P39" s="7">
        <f t="shared" si="72"/>
        <v>3.1666666666666665</v>
      </c>
      <c r="Q39" s="7">
        <f t="shared" ref="Q39:T39" si="75">P3</f>
        <v>1</v>
      </c>
      <c r="R39" s="7">
        <f t="shared" si="75"/>
        <v>1</v>
      </c>
      <c r="S39" s="7">
        <f t="shared" si="75"/>
        <v>0.44927536231884058</v>
      </c>
      <c r="T39" s="7">
        <f t="shared" si="75"/>
        <v>1.7777777777777777</v>
      </c>
      <c r="U39" s="7">
        <f t="shared" si="74"/>
        <v>1.1276595744680851</v>
      </c>
      <c r="W39" s="7">
        <f t="shared" ref="W39:AA39" si="76">$P39/Q39</f>
        <v>3.1666666666666665</v>
      </c>
      <c r="X39" s="7">
        <f t="shared" si="76"/>
        <v>3.1666666666666665</v>
      </c>
      <c r="Y39" s="7">
        <f t="shared" si="76"/>
        <v>7.0483870967741931</v>
      </c>
      <c r="Z39" s="7">
        <f t="shared" si="76"/>
        <v>1.78125</v>
      </c>
      <c r="AA39" s="7">
        <f t="shared" si="76"/>
        <v>2.808176100628931</v>
      </c>
    </row>
    <row r="40" spans="15:28" ht="15.75" customHeight="1" x14ac:dyDescent="0.3">
      <c r="P40" s="7">
        <f t="shared" si="72"/>
        <v>0.85185185185185186</v>
      </c>
      <c r="Q40" s="7">
        <f t="shared" ref="Q40:T40" si="77">P4</f>
        <v>1</v>
      </c>
      <c r="R40" s="7">
        <f t="shared" si="77"/>
        <v>1</v>
      </c>
      <c r="S40" s="7">
        <f t="shared" si="77"/>
        <v>3</v>
      </c>
      <c r="T40" s="7">
        <f t="shared" si="77"/>
        <v>0.85185185185185186</v>
      </c>
      <c r="U40" s="7">
        <f t="shared" si="74"/>
        <v>0.44927536231884058</v>
      </c>
      <c r="W40" s="7">
        <f t="shared" ref="W40:AA40" si="78">$P40/Q40</f>
        <v>0.85185185185185186</v>
      </c>
      <c r="X40" s="7">
        <f t="shared" si="78"/>
        <v>0.85185185185185186</v>
      </c>
      <c r="Y40" s="7">
        <f t="shared" si="78"/>
        <v>0.2839506172839506</v>
      </c>
      <c r="Z40" s="7">
        <f t="shared" si="78"/>
        <v>1</v>
      </c>
      <c r="AA40" s="7">
        <f t="shared" si="78"/>
        <v>1.8960573476702509</v>
      </c>
    </row>
    <row r="41" spans="15:28" ht="15.75" customHeight="1" x14ac:dyDescent="0.3">
      <c r="P41" s="7">
        <f t="shared" si="72"/>
        <v>1.8571428571428572</v>
      </c>
      <c r="Q41" s="7">
        <f t="shared" ref="Q41:T41" si="79">P5</f>
        <v>2.225806451612903</v>
      </c>
      <c r="R41" s="7">
        <f t="shared" si="79"/>
        <v>0.33333333333333331</v>
      </c>
      <c r="S41" s="7">
        <f t="shared" si="79"/>
        <v>1</v>
      </c>
      <c r="T41" s="7">
        <f t="shared" si="79"/>
        <v>0.4925373134328358</v>
      </c>
      <c r="U41" s="7">
        <f t="shared" si="74"/>
        <v>1.1276595744680851</v>
      </c>
      <c r="W41" s="7">
        <f t="shared" ref="W41:AA41" si="80">$P41/Q41</f>
        <v>0.83436853002070399</v>
      </c>
      <c r="X41" s="7">
        <f t="shared" si="80"/>
        <v>5.5714285714285721</v>
      </c>
      <c r="Y41" s="7">
        <f t="shared" si="80"/>
        <v>1.8571428571428572</v>
      </c>
      <c r="Z41" s="7">
        <f t="shared" si="80"/>
        <v>3.7705627705627709</v>
      </c>
      <c r="AA41" s="7">
        <f t="shared" si="80"/>
        <v>1.6469002695417791</v>
      </c>
    </row>
    <row r="42" spans="15:28" ht="15.75" customHeight="1" x14ac:dyDescent="0.3">
      <c r="P42" s="7">
        <f t="shared" si="72"/>
        <v>0.28205128205128205</v>
      </c>
      <c r="Q42" s="7">
        <f t="shared" ref="Q42:T42" si="81">P6</f>
        <v>0.5625</v>
      </c>
      <c r="R42" s="7">
        <f t="shared" si="81"/>
        <v>1.173913043478261</v>
      </c>
      <c r="S42" s="7">
        <f t="shared" si="81"/>
        <v>2.0303030303030303</v>
      </c>
      <c r="T42" s="7">
        <f t="shared" si="81"/>
        <v>1</v>
      </c>
      <c r="U42" s="7">
        <f t="shared" si="74"/>
        <v>0.69491525423728817</v>
      </c>
      <c r="W42" s="7">
        <f t="shared" ref="W42:AA42" si="82">$P42/Q42</f>
        <v>0.50142450142450146</v>
      </c>
      <c r="X42" s="7">
        <f t="shared" si="82"/>
        <v>0.24026590693257358</v>
      </c>
      <c r="Y42" s="7">
        <f t="shared" si="82"/>
        <v>0.13892078071182548</v>
      </c>
      <c r="Z42" s="7">
        <f t="shared" si="82"/>
        <v>0.28205128205128205</v>
      </c>
      <c r="AA42" s="7">
        <f t="shared" si="82"/>
        <v>0.40587867417135709</v>
      </c>
    </row>
    <row r="43" spans="15:28" ht="15.75" customHeight="1" x14ac:dyDescent="0.3">
      <c r="P43" s="7">
        <f t="shared" si="72"/>
        <v>1</v>
      </c>
      <c r="Q43" s="7">
        <f t="shared" ref="Q43:T43" si="83">P7</f>
        <v>0.31578947368421051</v>
      </c>
      <c r="R43" s="7">
        <f t="shared" si="83"/>
        <v>1.173913043478261</v>
      </c>
      <c r="S43" s="7">
        <f t="shared" si="83"/>
        <v>0.53846153846153844</v>
      </c>
      <c r="T43" s="7">
        <f t="shared" si="83"/>
        <v>3.5454545454545454</v>
      </c>
      <c r="U43" s="7">
        <f t="shared" si="74"/>
        <v>1.7027027027027026</v>
      </c>
      <c r="W43" s="7">
        <f t="shared" ref="W43:AA43" si="84">$P43/Q43</f>
        <v>3.166666666666667</v>
      </c>
      <c r="X43" s="7">
        <f t="shared" si="84"/>
        <v>0.85185185185185175</v>
      </c>
      <c r="Y43" s="7">
        <f t="shared" si="84"/>
        <v>1.8571428571428572</v>
      </c>
      <c r="Z43" s="7">
        <f t="shared" si="84"/>
        <v>0.28205128205128205</v>
      </c>
      <c r="AA43" s="7">
        <f t="shared" si="84"/>
        <v>0.58730158730158732</v>
      </c>
    </row>
    <row r="44" spans="15:28" ht="15.75" customHeight="1" x14ac:dyDescent="0.3">
      <c r="P44" s="7">
        <f t="shared" si="72"/>
        <v>0.58730158730158732</v>
      </c>
      <c r="Q44" s="7">
        <f t="shared" ref="Q44:T44" si="85">P8</f>
        <v>0.8867924528301887</v>
      </c>
      <c r="R44" s="7">
        <f t="shared" si="85"/>
        <v>2.225806451612903</v>
      </c>
      <c r="S44" s="7">
        <f t="shared" si="85"/>
        <v>0.8867924528301887</v>
      </c>
      <c r="T44" s="7">
        <f t="shared" si="85"/>
        <v>1.4390243902439024</v>
      </c>
      <c r="U44" s="7">
        <f t="shared" si="74"/>
        <v>1</v>
      </c>
      <c r="W44" s="7">
        <f t="shared" ref="W44:AA44" si="86">$P44/Q44</f>
        <v>0.66227625802093892</v>
      </c>
      <c r="X44" s="7">
        <f t="shared" si="86"/>
        <v>0.26386013342535086</v>
      </c>
      <c r="Y44" s="7">
        <f t="shared" si="86"/>
        <v>0.66227625802093892</v>
      </c>
      <c r="Z44" s="7">
        <f t="shared" si="86"/>
        <v>0.40812483185364545</v>
      </c>
      <c r="AA44" s="7">
        <f t="shared" si="86"/>
        <v>0.58730158730158732</v>
      </c>
    </row>
    <row r="45" spans="15:28" ht="15.75" customHeight="1" x14ac:dyDescent="0.3">
      <c r="W45" s="7">
        <f t="shared" ref="W45:AA45" si="87">AVERAGE(W39:W44)</f>
        <v>1.530542412441888</v>
      </c>
      <c r="X45" s="7">
        <f t="shared" si="87"/>
        <v>1.8243208303594776</v>
      </c>
      <c r="Y45" s="7">
        <f t="shared" si="87"/>
        <v>1.9746367445127702</v>
      </c>
      <c r="Z45" s="7">
        <f t="shared" si="87"/>
        <v>1.25400669441983</v>
      </c>
      <c r="AA45" s="7">
        <f t="shared" si="87"/>
        <v>1.3219359277692486</v>
      </c>
      <c r="AB45" t="s">
        <v>55</v>
      </c>
    </row>
    <row r="46" spans="15:28" ht="15.75" customHeight="1" x14ac:dyDescent="0.3"/>
    <row r="47" spans="15:28" ht="15.75" customHeight="1" x14ac:dyDescent="0.3">
      <c r="O47" t="s">
        <v>60</v>
      </c>
      <c r="P47" t="str">
        <f t="shared" ref="P47:P53" si="88">U2</f>
        <v>i6</v>
      </c>
      <c r="Q47" t="str">
        <f t="shared" ref="Q47:U47" si="89">P2</f>
        <v>i1</v>
      </c>
      <c r="R47" t="str">
        <f t="shared" si="89"/>
        <v>i2</v>
      </c>
      <c r="S47" t="str">
        <f t="shared" si="89"/>
        <v>i3</v>
      </c>
      <c r="T47" t="str">
        <f t="shared" si="89"/>
        <v>i4</v>
      </c>
      <c r="U47" t="str">
        <f t="shared" si="89"/>
        <v>i5</v>
      </c>
      <c r="W47" s="3" t="s">
        <v>43</v>
      </c>
      <c r="X47" s="3" t="s">
        <v>35</v>
      </c>
      <c r="Y47" s="3" t="s">
        <v>28</v>
      </c>
      <c r="Z47" s="3" t="s">
        <v>23</v>
      </c>
      <c r="AA47" s="3" t="s">
        <v>20</v>
      </c>
    </row>
    <row r="48" spans="15:28" ht="15.75" customHeight="1" x14ac:dyDescent="0.3">
      <c r="P48" s="7">
        <f t="shared" si="88"/>
        <v>1.1276595744680851</v>
      </c>
      <c r="Q48" s="7">
        <f t="shared" ref="Q48:U48" si="90">P3</f>
        <v>1</v>
      </c>
      <c r="R48" s="7">
        <f t="shared" si="90"/>
        <v>1</v>
      </c>
      <c r="S48" s="7">
        <f t="shared" si="90"/>
        <v>0.44927536231884058</v>
      </c>
      <c r="T48" s="7">
        <f t="shared" si="90"/>
        <v>1.7777777777777777</v>
      </c>
      <c r="U48" s="7">
        <f t="shared" si="90"/>
        <v>3.1666666666666665</v>
      </c>
      <c r="W48" s="7">
        <f t="shared" ref="W48:AA48" si="91">$P48/Q48</f>
        <v>1.1276595744680851</v>
      </c>
      <c r="X48" s="7">
        <f t="shared" si="91"/>
        <v>1.1276595744680851</v>
      </c>
      <c r="Y48" s="7">
        <f t="shared" si="91"/>
        <v>2.5099519560741248</v>
      </c>
      <c r="Z48" s="7">
        <f t="shared" si="91"/>
        <v>0.63430851063829785</v>
      </c>
      <c r="AA48" s="7">
        <f t="shared" si="91"/>
        <v>0.3561030235162374</v>
      </c>
    </row>
    <row r="49" spans="16:28" ht="15.75" customHeight="1" x14ac:dyDescent="0.3">
      <c r="P49" s="7">
        <f t="shared" si="88"/>
        <v>0.44927536231884058</v>
      </c>
      <c r="Q49" s="7">
        <f t="shared" ref="Q49:U49" si="92">P4</f>
        <v>1</v>
      </c>
      <c r="R49" s="7">
        <f t="shared" si="92"/>
        <v>1</v>
      </c>
      <c r="S49" s="7">
        <f t="shared" si="92"/>
        <v>3</v>
      </c>
      <c r="T49" s="7">
        <f t="shared" si="92"/>
        <v>0.85185185185185186</v>
      </c>
      <c r="U49" s="7">
        <f t="shared" si="92"/>
        <v>0.85185185185185186</v>
      </c>
      <c r="W49" s="7">
        <f t="shared" ref="W49:AA49" si="93">$P49/Q49</f>
        <v>0.44927536231884058</v>
      </c>
      <c r="X49" s="7">
        <f t="shared" si="93"/>
        <v>0.44927536231884058</v>
      </c>
      <c r="Y49" s="7">
        <f t="shared" si="93"/>
        <v>0.14975845410628019</v>
      </c>
      <c r="Z49" s="7">
        <f t="shared" si="93"/>
        <v>0.52741020793950855</v>
      </c>
      <c r="AA49" s="7">
        <f t="shared" si="93"/>
        <v>0.52741020793950855</v>
      </c>
    </row>
    <row r="50" spans="16:28" ht="15.75" customHeight="1" x14ac:dyDescent="0.3">
      <c r="P50" s="7">
        <f t="shared" si="88"/>
        <v>1.1276595744680851</v>
      </c>
      <c r="Q50" s="7">
        <f t="shared" ref="Q50:U50" si="94">P5</f>
        <v>2.225806451612903</v>
      </c>
      <c r="R50" s="7">
        <f t="shared" si="94"/>
        <v>0.33333333333333331</v>
      </c>
      <c r="S50" s="7">
        <f t="shared" si="94"/>
        <v>1</v>
      </c>
      <c r="T50" s="7">
        <f t="shared" si="94"/>
        <v>0.4925373134328358</v>
      </c>
      <c r="U50" s="7">
        <f t="shared" si="94"/>
        <v>1.8571428571428572</v>
      </c>
      <c r="W50" s="7">
        <f t="shared" ref="W50:AA50" si="95">$P50/Q50</f>
        <v>0.50662966389145858</v>
      </c>
      <c r="X50" s="7">
        <f t="shared" si="95"/>
        <v>3.3829787234042552</v>
      </c>
      <c r="Y50" s="7">
        <f t="shared" si="95"/>
        <v>1.1276595744680851</v>
      </c>
      <c r="Z50" s="7">
        <f t="shared" si="95"/>
        <v>2.2894906511927791</v>
      </c>
      <c r="AA50" s="7">
        <f t="shared" si="95"/>
        <v>0.60720130932896887</v>
      </c>
    </row>
    <row r="51" spans="16:28" ht="15.75" customHeight="1" x14ac:dyDescent="0.3">
      <c r="P51" s="7">
        <f t="shared" si="88"/>
        <v>0.69491525423728817</v>
      </c>
      <c r="Q51" s="7">
        <f t="shared" ref="Q51:U51" si="96">P6</f>
        <v>0.5625</v>
      </c>
      <c r="R51" s="7">
        <f t="shared" si="96"/>
        <v>1.173913043478261</v>
      </c>
      <c r="S51" s="7">
        <f t="shared" si="96"/>
        <v>2.0303030303030303</v>
      </c>
      <c r="T51" s="7">
        <f t="shared" si="96"/>
        <v>1</v>
      </c>
      <c r="U51" s="7">
        <f t="shared" si="96"/>
        <v>0.28205128205128205</v>
      </c>
      <c r="W51" s="7">
        <f t="shared" ref="W51:AA51" si="97">$P51/Q51</f>
        <v>1.2354048964218456</v>
      </c>
      <c r="X51" s="7">
        <f t="shared" si="97"/>
        <v>0.5919648462021343</v>
      </c>
      <c r="Y51" s="7">
        <f t="shared" si="97"/>
        <v>0.34227169238553001</v>
      </c>
      <c r="Z51" s="7">
        <f t="shared" si="97"/>
        <v>0.69491525423728817</v>
      </c>
      <c r="AA51" s="7">
        <f t="shared" si="97"/>
        <v>2.4637904468412946</v>
      </c>
    </row>
    <row r="52" spans="16:28" ht="15.75" customHeight="1" x14ac:dyDescent="0.3">
      <c r="P52" s="7">
        <f t="shared" si="88"/>
        <v>1.7027027027027026</v>
      </c>
      <c r="Q52" s="7">
        <f t="shared" ref="Q52:U52" si="98">P7</f>
        <v>0.31578947368421051</v>
      </c>
      <c r="R52" s="7">
        <f t="shared" si="98"/>
        <v>1.173913043478261</v>
      </c>
      <c r="S52" s="7">
        <f t="shared" si="98"/>
        <v>0.53846153846153844</v>
      </c>
      <c r="T52" s="7">
        <f t="shared" si="98"/>
        <v>3.5454545454545454</v>
      </c>
      <c r="U52" s="7">
        <f t="shared" si="98"/>
        <v>1</v>
      </c>
      <c r="W52" s="7">
        <f t="shared" ref="W52:AA52" si="99">$P52/Q52</f>
        <v>5.3918918918918921</v>
      </c>
      <c r="X52" s="7">
        <f t="shared" si="99"/>
        <v>1.4504504504504503</v>
      </c>
      <c r="Y52" s="7">
        <f t="shared" si="99"/>
        <v>3.1621621621621623</v>
      </c>
      <c r="Z52" s="7">
        <f t="shared" si="99"/>
        <v>0.48024948024948022</v>
      </c>
      <c r="AA52" s="7">
        <f t="shared" si="99"/>
        <v>1.7027027027027026</v>
      </c>
    </row>
    <row r="53" spans="16:28" ht="15.75" customHeight="1" x14ac:dyDescent="0.3">
      <c r="P53" s="7">
        <f t="shared" si="88"/>
        <v>1</v>
      </c>
      <c r="Q53" s="7">
        <f t="shared" ref="Q53:U53" si="100">P8</f>
        <v>0.8867924528301887</v>
      </c>
      <c r="R53" s="7">
        <f t="shared" si="100"/>
        <v>2.225806451612903</v>
      </c>
      <c r="S53" s="7">
        <f t="shared" si="100"/>
        <v>0.8867924528301887</v>
      </c>
      <c r="T53" s="7">
        <f t="shared" si="100"/>
        <v>1.4390243902439024</v>
      </c>
      <c r="U53" s="7">
        <f t="shared" si="100"/>
        <v>0.58730158730158732</v>
      </c>
      <c r="W53" s="7">
        <f t="shared" ref="W53:AA53" si="101">$P53/Q53</f>
        <v>1.1276595744680851</v>
      </c>
      <c r="X53" s="7">
        <f t="shared" si="101"/>
        <v>0.44927536231884063</v>
      </c>
      <c r="Y53" s="7">
        <f t="shared" si="101"/>
        <v>1.1276595744680851</v>
      </c>
      <c r="Z53" s="7">
        <f t="shared" si="101"/>
        <v>0.69491525423728817</v>
      </c>
      <c r="AA53" s="7">
        <f t="shared" si="101"/>
        <v>1.7027027027027026</v>
      </c>
    </row>
    <row r="54" spans="16:28" ht="15.75" customHeight="1" x14ac:dyDescent="0.3">
      <c r="W54" s="7">
        <f t="shared" ref="W54:AA54" si="102">AVERAGE(W48:W53)</f>
        <v>1.6397534939100344</v>
      </c>
      <c r="X54" s="7">
        <f t="shared" si="102"/>
        <v>1.2419340531937677</v>
      </c>
      <c r="Y54" s="7">
        <f t="shared" si="102"/>
        <v>1.4032439022773779</v>
      </c>
      <c r="Z54" s="7">
        <f t="shared" si="102"/>
        <v>0.88688155974910687</v>
      </c>
      <c r="AA54" s="7">
        <f t="shared" si="102"/>
        <v>1.2266517321719024</v>
      </c>
      <c r="AB54" t="s">
        <v>55</v>
      </c>
    </row>
    <row r="55" spans="16:28" ht="15.75" customHeight="1" x14ac:dyDescent="0.3"/>
    <row r="56" spans="16:28" ht="15.75" customHeight="1" x14ac:dyDescent="0.3"/>
    <row r="57" spans="16:28" ht="15.75" customHeight="1" x14ac:dyDescent="0.3"/>
    <row r="58" spans="16:28" ht="15.75" customHeight="1" x14ac:dyDescent="0.3"/>
    <row r="59" spans="16:28" ht="15.75" customHeight="1" x14ac:dyDescent="0.3"/>
    <row r="60" spans="16:28" ht="15.75" customHeight="1" x14ac:dyDescent="0.3"/>
    <row r="61" spans="16:28" ht="15.75" customHeight="1" x14ac:dyDescent="0.3"/>
    <row r="62" spans="16:28" ht="15.75" customHeight="1" x14ac:dyDescent="0.3"/>
    <row r="63" spans="16:28" ht="15.75" customHeight="1" x14ac:dyDescent="0.3"/>
    <row r="64" spans="16:28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</sheetData>
  <pageMargins left="0.7" right="0.7" top="0.75" bottom="0.75" header="0" footer="0"/>
  <pageSetup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00"/>
  <sheetViews>
    <sheetView workbookViewId="0"/>
  </sheetViews>
  <sheetFormatPr defaultColWidth="14.44140625" defaultRowHeight="15" customHeight="1" x14ac:dyDescent="0.3"/>
  <cols>
    <col min="1" max="1" width="11.5546875" customWidth="1"/>
    <col min="2" max="2" width="8.33203125" customWidth="1"/>
    <col min="3" max="11" width="8.6640625" customWidth="1"/>
  </cols>
  <sheetData>
    <row r="1" spans="1:2" ht="14.4" x14ac:dyDescent="0.3">
      <c r="A1" t="str">
        <f>'Input and Orientations'!W2</f>
        <v>p1 - i1:i2</v>
      </c>
      <c r="B1" s="7">
        <f>'Input and Orientations'!W9</f>
        <v>1.6373343116675814</v>
      </c>
    </row>
    <row r="2" spans="1:2" ht="14.4" x14ac:dyDescent="0.3">
      <c r="A2" t="str">
        <f>'Input and Orientations'!X2</f>
        <v>p8 - i1:i3</v>
      </c>
      <c r="B2" s="7">
        <f>'Input and Orientations'!X9</f>
        <v>1.1080774401297739</v>
      </c>
    </row>
    <row r="3" spans="1:2" ht="14.4" x14ac:dyDescent="0.3">
      <c r="A3" t="str">
        <f>'Input and Orientations'!Y2</f>
        <v>p9 - i1:i4</v>
      </c>
      <c r="B3" s="7">
        <f>'Input and Orientations'!Y9</f>
        <v>1.2538815092968505</v>
      </c>
    </row>
    <row r="4" spans="1:2" ht="14.4" x14ac:dyDescent="0.3">
      <c r="A4" t="str">
        <f>'Input and Orientations'!Z2</f>
        <v>p10 - i1:i5</v>
      </c>
      <c r="B4" s="7">
        <f>'Input and Orientations'!Z9</f>
        <v>1.0847108741813811</v>
      </c>
    </row>
    <row r="5" spans="1:2" ht="14.4" x14ac:dyDescent="0.3">
      <c r="A5" t="str">
        <f>'Input and Orientations'!AA2</f>
        <v>p11 - i1:i6</v>
      </c>
      <c r="B5" s="7">
        <f>'Input and Orientations'!AA9</f>
        <v>1.1613557664474019</v>
      </c>
    </row>
    <row r="6" spans="1:2" ht="14.4" x14ac:dyDescent="0.3">
      <c r="A6" t="str">
        <f>'Input and Orientations'!W11</f>
        <v>p11 - i2:i1</v>
      </c>
      <c r="B6" s="7">
        <f>'Input and Orientations'!W18</f>
        <v>1.7440097060445605</v>
      </c>
    </row>
    <row r="7" spans="1:2" ht="14.4" x14ac:dyDescent="0.3">
      <c r="A7" t="str">
        <f>'Input and Orientations'!X11</f>
        <v>p2 - i2:i3</v>
      </c>
      <c r="B7" s="7">
        <f>'Input and Orientations'!X18</f>
        <v>1.3601242124324544</v>
      </c>
    </row>
    <row r="8" spans="1:2" ht="14.4" x14ac:dyDescent="0.3">
      <c r="A8" t="str">
        <f>'Input and Orientations'!Y11</f>
        <v>p5 - i2:i4</v>
      </c>
      <c r="B8" s="7">
        <f>'Input and Orientations'!Y18</f>
        <v>0.9108240498099236</v>
      </c>
    </row>
    <row r="9" spans="1:2" ht="14.4" x14ac:dyDescent="0.3">
      <c r="A9" t="str">
        <f>'Input and Orientations'!Z11</f>
        <v>p7 - i2:i5</v>
      </c>
      <c r="B9" s="7">
        <f>'Input and Orientations'!Z18</f>
        <v>1.7991741228251155</v>
      </c>
    </row>
    <row r="10" spans="1:2" ht="14.4" x14ac:dyDescent="0.3">
      <c r="A10" t="str">
        <f>'Input and Orientations'!AA11</f>
        <v>p12 - i2:i6</v>
      </c>
      <c r="B10" s="7">
        <f>'Input and Orientations'!AA18</f>
        <v>1.3354555559520354</v>
      </c>
    </row>
    <row r="11" spans="1:2" ht="14.4" x14ac:dyDescent="0.3">
      <c r="A11" t="str">
        <f>'Input and Orientations'!W20</f>
        <v>p81 - i3:i1</v>
      </c>
      <c r="B11" s="7">
        <f>'Input and Orientations'!W27</f>
        <v>1.7021844231989158</v>
      </c>
    </row>
    <row r="12" spans="1:2" ht="14.4" x14ac:dyDescent="0.3">
      <c r="A12" t="str">
        <f>'Input and Orientations'!X20</f>
        <v>p21 - i3:i2</v>
      </c>
      <c r="B12" s="7">
        <f>'Input and Orientations'!X27</f>
        <v>1.5059827029565431</v>
      </c>
    </row>
    <row r="13" spans="1:2" ht="14.4" x14ac:dyDescent="0.3">
      <c r="A13" t="str">
        <f>'Input and Orientations'!Y20</f>
        <v>p3 - i3:i4</v>
      </c>
      <c r="B13" s="7">
        <f>'Input and Orientations'!Y27</f>
        <v>1.4338636587362954</v>
      </c>
    </row>
    <row r="14" spans="1:2" ht="14.4" x14ac:dyDescent="0.3">
      <c r="A14" t="str">
        <f>'Input and Orientations'!Z20</f>
        <v>p6 - i3:i5</v>
      </c>
      <c r="B14" s="7">
        <f>'Input and Orientations'!Z27</f>
        <v>2.2414716085286912</v>
      </c>
    </row>
    <row r="15" spans="1:2" ht="14.4" x14ac:dyDescent="0.3">
      <c r="A15" t="str">
        <f>'Input and Orientations'!AA20</f>
        <v>p13 - i3:i6</v>
      </c>
      <c r="B15" s="7">
        <f>'Input and Orientations'!AA27</f>
        <v>2.0145521929129111</v>
      </c>
    </row>
    <row r="16" spans="1:2" ht="14.4" x14ac:dyDescent="0.3">
      <c r="A16" t="str">
        <f>'Input and Orientations'!W29</f>
        <v>p91 - i4:i1</v>
      </c>
      <c r="B16" s="7">
        <f>'Input and Orientations'!W36</f>
        <v>2.9131157743633094</v>
      </c>
    </row>
    <row r="17" spans="1:2" ht="14.4" x14ac:dyDescent="0.3">
      <c r="A17" t="str">
        <f>'Input and Orientations'!X29</f>
        <v>p51 - i4:i2</v>
      </c>
      <c r="B17" s="7">
        <f>'Input and Orientations'!X36</f>
        <v>1.4376356077157479</v>
      </c>
    </row>
    <row r="18" spans="1:2" ht="14.4" x14ac:dyDescent="0.3">
      <c r="A18" t="str">
        <f>'Input and Orientations'!Y29</f>
        <v>p31 - i4:i3</v>
      </c>
      <c r="B18" s="7">
        <f>'Input and Orientations'!Y36</f>
        <v>2.2388599512381115</v>
      </c>
    </row>
    <row r="19" spans="1:2" ht="14.4" x14ac:dyDescent="0.3">
      <c r="A19" t="str">
        <f>'Input and Orientations'!Z29</f>
        <v>p4 - i4:i5</v>
      </c>
      <c r="B19" s="7">
        <f>'Input and Orientations'!Z36</f>
        <v>1.89462595295753</v>
      </c>
    </row>
    <row r="20" spans="1:2" ht="14.4" x14ac:dyDescent="0.3">
      <c r="A20" t="str">
        <f>'Input and Orientations'!AA29</f>
        <v>p14 - i4:i6</v>
      </c>
      <c r="B20" s="7">
        <f>'Input and Orientations'!AA36</f>
        <v>1.478275916473532</v>
      </c>
    </row>
    <row r="21" spans="1:2" ht="15.75" customHeight="1" x14ac:dyDescent="0.3">
      <c r="A21" t="str">
        <f>'Input and Orientations'!W38</f>
        <v>p101 - i5:i1</v>
      </c>
      <c r="B21" s="7">
        <f>'Input and Orientations'!W45</f>
        <v>1.530542412441888</v>
      </c>
    </row>
    <row r="22" spans="1:2" ht="15.75" customHeight="1" x14ac:dyDescent="0.3">
      <c r="A22" t="str">
        <f>'Input and Orientations'!X38</f>
        <v>p71 - i5:i2</v>
      </c>
      <c r="B22" s="7">
        <f>'Input and Orientations'!X45</f>
        <v>1.8243208303594776</v>
      </c>
    </row>
    <row r="23" spans="1:2" ht="15.75" customHeight="1" x14ac:dyDescent="0.3">
      <c r="A23" t="str">
        <f>'Input and Orientations'!Y38</f>
        <v>p61 - i5:i3</v>
      </c>
      <c r="B23" s="7">
        <f>'Input and Orientations'!Y45</f>
        <v>1.9746367445127702</v>
      </c>
    </row>
    <row r="24" spans="1:2" ht="15.75" customHeight="1" x14ac:dyDescent="0.3">
      <c r="A24" t="str">
        <f>'Input and Orientations'!Z38</f>
        <v>p41 - i5:i4</v>
      </c>
      <c r="B24" s="7">
        <f>'Input and Orientations'!Z45</f>
        <v>1.25400669441983</v>
      </c>
    </row>
    <row r="25" spans="1:2" ht="15.75" customHeight="1" x14ac:dyDescent="0.3">
      <c r="A25" t="str">
        <f>'Input and Orientations'!AA38</f>
        <v>p15 - i5:i6</v>
      </c>
      <c r="B25" s="7">
        <f>'Input and Orientations'!AA45</f>
        <v>1.3219359277692486</v>
      </c>
    </row>
    <row r="26" spans="1:2" ht="15.75" customHeight="1" x14ac:dyDescent="0.3">
      <c r="A26" t="str">
        <f>'Input and Orientations'!W47</f>
        <v>p111 - i6:i1</v>
      </c>
      <c r="B26" s="7">
        <f>'Input and Orientations'!W54</f>
        <v>1.6397534939100344</v>
      </c>
    </row>
    <row r="27" spans="1:2" ht="15.75" customHeight="1" x14ac:dyDescent="0.3">
      <c r="A27" t="str">
        <f>'Input and Orientations'!X47</f>
        <v>p121 - i6:i2</v>
      </c>
      <c r="B27" s="7">
        <f>'Input and Orientations'!X54</f>
        <v>1.2419340531937677</v>
      </c>
    </row>
    <row r="28" spans="1:2" ht="15.75" customHeight="1" x14ac:dyDescent="0.3">
      <c r="A28" t="str">
        <f>'Input and Orientations'!Y47</f>
        <v>p131 - i6:i3</v>
      </c>
      <c r="B28" s="7">
        <f>'Input and Orientations'!Y54</f>
        <v>1.4032439022773779</v>
      </c>
    </row>
    <row r="29" spans="1:2" ht="15.75" customHeight="1" x14ac:dyDescent="0.3">
      <c r="A29" t="str">
        <f>'Input and Orientations'!Z47</f>
        <v>p141 - i6:i4</v>
      </c>
      <c r="B29" s="7">
        <f>'Input and Orientations'!Z54</f>
        <v>0.88688155974910687</v>
      </c>
    </row>
    <row r="30" spans="1:2" ht="15.75" customHeight="1" x14ac:dyDescent="0.3">
      <c r="A30" t="str">
        <f>'Input and Orientations'!AA47</f>
        <v>p151 - i6:i5</v>
      </c>
      <c r="B30" s="7">
        <f>'Input and Orientations'!AA54</f>
        <v>1.2266517321719024</v>
      </c>
    </row>
    <row r="31" spans="1:2" ht="15.75" customHeight="1" x14ac:dyDescent="0.3"/>
    <row r="32" spans="1:2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</sheetData>
  <pageMargins left="0.7" right="0.7" top="0.75" bottom="0.75" header="0" footer="0"/>
  <pageSetup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C000"/>
    <pageSetUpPr fitToPage="1"/>
  </sheetPr>
  <dimension ref="A1:Y736"/>
  <sheetViews>
    <sheetView topLeftCell="A713" workbookViewId="0">
      <pane xSplit="1" topLeftCell="R1" activePane="topRight" state="frozen"/>
      <selection pane="topRight" activeCell="R731" sqref="R731"/>
    </sheetView>
  </sheetViews>
  <sheetFormatPr defaultColWidth="14.44140625" defaultRowHeight="15" customHeight="1" x14ac:dyDescent="0.3"/>
  <cols>
    <col min="1" max="1" width="5" customWidth="1"/>
    <col min="2" max="6" width="12.88671875" customWidth="1"/>
    <col min="7" max="11" width="8" customWidth="1"/>
    <col min="12" max="16" width="12.109375" customWidth="1"/>
    <col min="17" max="17" width="15.5546875" customWidth="1"/>
    <col min="18" max="18" width="18.33203125" customWidth="1"/>
    <col min="19" max="24" width="14.33203125" customWidth="1"/>
    <col min="25" max="25" width="14.6640625" customWidth="1"/>
  </cols>
  <sheetData>
    <row r="1" spans="1:24" ht="14.4" x14ac:dyDescent="0.3">
      <c r="B1" t="s">
        <v>46</v>
      </c>
      <c r="C1" t="str">
        <f>'Input and Orientations'!P2</f>
        <v>i1</v>
      </c>
      <c r="D1" t="str">
        <f>'Input and Orientations'!Q2</f>
        <v>i2</v>
      </c>
      <c r="E1" t="str">
        <f>'Input and Orientations'!R2</f>
        <v>i3</v>
      </c>
      <c r="F1" t="str">
        <f>'Input and Orientations'!S2</f>
        <v>i4</v>
      </c>
      <c r="G1" t="str">
        <f>'Input and Orientations'!T2</f>
        <v>i5</v>
      </c>
      <c r="H1" t="str">
        <f>'Input and Orientations'!U2</f>
        <v>i6</v>
      </c>
      <c r="I1" t="s">
        <v>61</v>
      </c>
    </row>
    <row r="2" spans="1:24" ht="14.4" x14ac:dyDescent="0.3">
      <c r="B2" t="s">
        <v>48</v>
      </c>
      <c r="C2" s="7">
        <f>'Input and Orientations'!P3</f>
        <v>1</v>
      </c>
      <c r="D2" s="7">
        <f>'Input and Orientations'!Q3</f>
        <v>1</v>
      </c>
      <c r="E2" s="7">
        <f>'Input and Orientations'!R3</f>
        <v>0.44927536231884058</v>
      </c>
      <c r="F2" s="7">
        <f>'Input and Orientations'!S3</f>
        <v>1.7777777777777777</v>
      </c>
      <c r="G2" s="7">
        <f>'Input and Orientations'!T3</f>
        <v>3.1666666666666665</v>
      </c>
      <c r="H2" s="7">
        <f>'Input and Orientations'!U3</f>
        <v>1.1276595744680851</v>
      </c>
      <c r="I2" s="7">
        <f t="shared" ref="I2:I7" si="0">SUM(C2:H2)</f>
        <v>8.5213793812313696</v>
      </c>
    </row>
    <row r="3" spans="1:24" ht="14.4" x14ac:dyDescent="0.3">
      <c r="B3" t="s">
        <v>49</v>
      </c>
      <c r="C3" s="7">
        <f>'Input and Orientations'!P4</f>
        <v>1</v>
      </c>
      <c r="D3" s="7">
        <f>'Input and Orientations'!Q4</f>
        <v>1</v>
      </c>
      <c r="E3" s="7">
        <f>'Input and Orientations'!R4</f>
        <v>3</v>
      </c>
      <c r="F3" s="7">
        <f>'Input and Orientations'!S4</f>
        <v>0.85185185185185186</v>
      </c>
      <c r="G3" s="7">
        <f>'Input and Orientations'!T4</f>
        <v>0.85185185185185186</v>
      </c>
      <c r="H3" s="7">
        <f>'Input and Orientations'!U4</f>
        <v>0.44927536231884058</v>
      </c>
      <c r="I3" s="7">
        <f t="shared" si="0"/>
        <v>7.152979066022545</v>
      </c>
    </row>
    <row r="4" spans="1:24" ht="14.4" x14ac:dyDescent="0.3">
      <c r="B4" t="s">
        <v>50</v>
      </c>
      <c r="C4" s="7">
        <f>'Input and Orientations'!P5</f>
        <v>2.225806451612903</v>
      </c>
      <c r="D4" s="7">
        <f>'Input and Orientations'!Q5</f>
        <v>0.33333333333333331</v>
      </c>
      <c r="E4" s="7">
        <f>'Input and Orientations'!R5</f>
        <v>1</v>
      </c>
      <c r="F4" s="7">
        <f>'Input and Orientations'!S5</f>
        <v>0.4925373134328358</v>
      </c>
      <c r="G4" s="7">
        <f>'Input and Orientations'!T5</f>
        <v>1.8571428571428572</v>
      </c>
      <c r="H4" s="7">
        <f>'Input and Orientations'!U5</f>
        <v>1.1276595744680851</v>
      </c>
      <c r="I4" s="7">
        <f t="shared" si="0"/>
        <v>7.0364795299900145</v>
      </c>
    </row>
    <row r="5" spans="1:24" ht="14.4" x14ac:dyDescent="0.3">
      <c r="B5" t="s">
        <v>51</v>
      </c>
      <c r="C5" s="7">
        <f>'Input and Orientations'!P6</f>
        <v>0.5625</v>
      </c>
      <c r="D5" s="7">
        <f>'Input and Orientations'!Q6</f>
        <v>1.173913043478261</v>
      </c>
      <c r="E5" s="7">
        <f>'Input and Orientations'!R6</f>
        <v>2.0303030303030303</v>
      </c>
      <c r="F5" s="7">
        <f>'Input and Orientations'!S6</f>
        <v>1</v>
      </c>
      <c r="G5" s="7">
        <f>'Input and Orientations'!T6</f>
        <v>0.28205128205128205</v>
      </c>
      <c r="H5" s="7">
        <f>'Input and Orientations'!U6</f>
        <v>0.69491525423728817</v>
      </c>
      <c r="I5" s="7">
        <f t="shared" si="0"/>
        <v>5.743682610069861</v>
      </c>
    </row>
    <row r="6" spans="1:24" ht="14.4" x14ac:dyDescent="0.3">
      <c r="B6" t="s">
        <v>52</v>
      </c>
      <c r="C6" s="7">
        <f>'Input and Orientations'!P7</f>
        <v>0.31578947368421051</v>
      </c>
      <c r="D6" s="7">
        <f>'Input and Orientations'!Q7</f>
        <v>1.173913043478261</v>
      </c>
      <c r="E6" s="7">
        <f>'Input and Orientations'!R7</f>
        <v>0.53846153846153844</v>
      </c>
      <c r="F6" s="7">
        <f>'Input and Orientations'!S7</f>
        <v>3.5454545454545454</v>
      </c>
      <c r="G6" s="7">
        <f>'Input and Orientations'!T7</f>
        <v>1</v>
      </c>
      <c r="H6" s="7">
        <f>'Input and Orientations'!U7</f>
        <v>1.7027027027027026</v>
      </c>
      <c r="I6" s="7">
        <f t="shared" si="0"/>
        <v>8.2763213037812591</v>
      </c>
    </row>
    <row r="7" spans="1:24" ht="14.4" x14ac:dyDescent="0.3">
      <c r="B7" t="s">
        <v>53</v>
      </c>
      <c r="C7" s="7">
        <f>'Input and Orientations'!P8</f>
        <v>0.8867924528301887</v>
      </c>
      <c r="D7" s="7">
        <f>'Input and Orientations'!Q8</f>
        <v>2.225806451612903</v>
      </c>
      <c r="E7" s="7">
        <f>'Input and Orientations'!R8</f>
        <v>0.8867924528301887</v>
      </c>
      <c r="F7" s="7">
        <f>'Input and Orientations'!S8</f>
        <v>1.4390243902439024</v>
      </c>
      <c r="G7" s="7">
        <f>'Input and Orientations'!T8</f>
        <v>0.58730158730158732</v>
      </c>
      <c r="H7" s="7">
        <f>'Input and Orientations'!U8</f>
        <v>1</v>
      </c>
      <c r="I7" s="7">
        <f t="shared" si="0"/>
        <v>7.0257173348187703</v>
      </c>
    </row>
    <row r="9" spans="1:24" ht="14.4" x14ac:dyDescent="0.3">
      <c r="B9" t="s">
        <v>62</v>
      </c>
      <c r="G9" t="s">
        <v>63</v>
      </c>
      <c r="L9" t="s">
        <v>64</v>
      </c>
      <c r="Q9" t="s">
        <v>65</v>
      </c>
      <c r="R9" t="s">
        <v>66</v>
      </c>
      <c r="S9" t="s">
        <v>67</v>
      </c>
    </row>
    <row r="10" spans="1:24" ht="14.4" x14ac:dyDescent="0.3">
      <c r="A10">
        <v>1</v>
      </c>
      <c r="B10" t="str">
        <f>Permutations!I2</f>
        <v>p1 - i1:i2</v>
      </c>
      <c r="C10" t="str">
        <f>Permutations!J2</f>
        <v>p2 - i2:i3</v>
      </c>
      <c r="D10" t="str">
        <f>Permutations!K2</f>
        <v>p3 - i3:i4</v>
      </c>
      <c r="E10" t="str">
        <f>Permutations!L2</f>
        <v>p4 - i4:i5</v>
      </c>
      <c r="F10" t="str">
        <f>Permutations!M2</f>
        <v>p15 - i5:i6</v>
      </c>
      <c r="G10" s="7">
        <f>VLOOKUP(B10,Vlookup!$A$1:$B$30,2,0)</f>
        <v>1.6373343116675814</v>
      </c>
      <c r="H10" s="7">
        <f>VLOOKUP(C10,Vlookup!$A$1:$B$30,2,0)</f>
        <v>1.3601242124324544</v>
      </c>
      <c r="I10" s="7">
        <f>VLOOKUP(D10,Vlookup!$A$1:$B$30,2,0)</f>
        <v>1.4338636587362954</v>
      </c>
      <c r="J10" s="7">
        <f>VLOOKUP(E10,Vlookup!$A$1:$B$30,2,0)</f>
        <v>1.89462595295753</v>
      </c>
      <c r="K10" s="7">
        <f>VLOOKUP(F10,Vlookup!$A$1:$B$30,2,0)</f>
        <v>1.3219359277692486</v>
      </c>
      <c r="L10" s="7">
        <f t="shared" ref="L10:L264" si="1">G10*H10*I10*J10*K10</f>
        <v>7.9975631967866176</v>
      </c>
      <c r="M10" s="7">
        <f t="shared" ref="M10:M264" si="2">H10*I10*J10*K10</f>
        <v>4.8845022911914135</v>
      </c>
      <c r="N10" s="7">
        <f t="shared" ref="N10:N264" si="3">I10*J10*K10</f>
        <v>3.5912178068324656</v>
      </c>
      <c r="O10" s="7">
        <f t="shared" ref="O10:O264" si="4">J10*K10</f>
        <v>2.5045741168986093</v>
      </c>
      <c r="P10" s="7">
        <f t="shared" ref="P10:P264" si="5">K10</f>
        <v>1.3219359277692486</v>
      </c>
      <c r="Q10">
        <v>1</v>
      </c>
      <c r="R10" s="7">
        <f t="shared" ref="R10:R264" si="6">SUM(L10:Q10)</f>
        <v>21.299793339478356</v>
      </c>
      <c r="S10" s="7">
        <f>VLOOKUP($A10,Rotations!$A$1:$X$1441,18,0)</f>
        <v>0.37547609356206468</v>
      </c>
      <c r="T10" s="7">
        <f>VLOOKUP($A10,Rotations!$A$1:$X$1441,19,0)</f>
        <v>0.22932158135723196</v>
      </c>
      <c r="U10" s="7">
        <f>VLOOKUP($A10,Rotations!$A$1:$X$1441,20,0)</f>
        <v>0.16860341082165714</v>
      </c>
      <c r="V10" s="7">
        <f>VLOOKUP($A10,Rotations!$A$1:$X$1441,21,0)</f>
        <v>0.11758678016168714</v>
      </c>
      <c r="W10" s="7">
        <f>VLOOKUP($A10,Rotations!$A$1:$X$1441,22,0)</f>
        <v>6.2063321775009464E-2</v>
      </c>
      <c r="X10" s="7">
        <f>VLOOKUP($A10,Rotations!$A$1:$X$1441,23,0)</f>
        <v>4.6948812322349535E-2</v>
      </c>
    </row>
    <row r="11" spans="1:24" ht="14.4" x14ac:dyDescent="0.3">
      <c r="A11">
        <v>2</v>
      </c>
      <c r="B11" t="str">
        <f>Permutations!I3</f>
        <v>p1 - i1:i2</v>
      </c>
      <c r="C11" t="str">
        <f>Permutations!J3</f>
        <v>p2 - i2:i3</v>
      </c>
      <c r="D11" t="str">
        <f>Permutations!K3</f>
        <v>p3 - i3:i4</v>
      </c>
      <c r="E11" t="str">
        <f>Permutations!L3</f>
        <v>p14 - i4:i6</v>
      </c>
      <c r="F11" t="str">
        <f>Permutations!M3</f>
        <v>p151 - i6:i5</v>
      </c>
      <c r="G11" s="7">
        <f>VLOOKUP(B11,Vlookup!$A$1:$B$30,2,0)</f>
        <v>1.6373343116675814</v>
      </c>
      <c r="H11" s="7">
        <f>VLOOKUP(C11,Vlookup!$A$1:$B$30,2,0)</f>
        <v>1.3601242124324544</v>
      </c>
      <c r="I11" s="7">
        <f>VLOOKUP(D11,Vlookup!$A$1:$B$30,2,0)</f>
        <v>1.4338636587362954</v>
      </c>
      <c r="J11" s="7">
        <f>VLOOKUP(E11,Vlookup!$A$1:$B$30,2,0)</f>
        <v>1.478275916473532</v>
      </c>
      <c r="K11" s="7">
        <f>VLOOKUP(F11,Vlookup!$A$1:$B$30,2,0)</f>
        <v>1.2266517321719024</v>
      </c>
      <c r="L11" s="7">
        <f t="shared" si="1"/>
        <v>5.7902934007986664</v>
      </c>
      <c r="M11" s="7">
        <f t="shared" si="2"/>
        <v>3.536414866247692</v>
      </c>
      <c r="N11" s="7">
        <f t="shared" si="3"/>
        <v>2.6000675775950977</v>
      </c>
      <c r="O11" s="7">
        <f t="shared" si="4"/>
        <v>1.8133297135702644</v>
      </c>
      <c r="P11" s="7">
        <f t="shared" si="5"/>
        <v>1.2266517321719024</v>
      </c>
      <c r="Q11">
        <v>1</v>
      </c>
      <c r="R11" s="7">
        <f t="shared" si="6"/>
        <v>15.966757290383622</v>
      </c>
      <c r="S11" s="7">
        <f>VLOOKUP($A11,Rotations!$A$1:$X$1441,18,0)</f>
        <v>0.3626467976867172</v>
      </c>
      <c r="T11" s="7">
        <f>VLOOKUP($A11,Rotations!$A$1:$X$1441,19,0)</f>
        <v>0.22148610403050256</v>
      </c>
      <c r="U11" s="7">
        <f>VLOOKUP($A11,Rotations!$A$1:$X$1441,20,0)</f>
        <v>0.16284255658855998</v>
      </c>
      <c r="V11" s="7">
        <f>VLOOKUP($A11,Rotations!$A$1:$X$1441,21,0)</f>
        <v>0.11356906606593109</v>
      </c>
      <c r="W11" s="7">
        <f>VLOOKUP($A11,Rotations!$A$1:$X$1441,22,0)</f>
        <v>6.2630124690520275E-2</v>
      </c>
      <c r="X11" s="7">
        <f>VLOOKUP($A11,Rotations!$A$1:$X$1441,23,0)</f>
        <v>7.6825350937768933E-2</v>
      </c>
    </row>
    <row r="12" spans="1:24" ht="14.4" x14ac:dyDescent="0.3">
      <c r="A12">
        <v>3</v>
      </c>
      <c r="B12" t="str">
        <f>Permutations!I4</f>
        <v>p1 - i1:i2</v>
      </c>
      <c r="C12" t="str">
        <f>Permutations!J4</f>
        <v>p2 - i2:i3</v>
      </c>
      <c r="D12" t="str">
        <f>Permutations!K4</f>
        <v>p6 - i3:i5</v>
      </c>
      <c r="E12" t="str">
        <f>Permutations!L4</f>
        <v>p41 - i5:i4</v>
      </c>
      <c r="F12" t="str">
        <f>Permutations!M4</f>
        <v>p14 - i4:i6</v>
      </c>
      <c r="G12" s="7">
        <f>VLOOKUP(B12,Vlookup!$A$1:$B$30,2,0)</f>
        <v>1.6373343116675814</v>
      </c>
      <c r="H12" s="7">
        <f>VLOOKUP(C12,Vlookup!$A$1:$B$30,2,0)</f>
        <v>1.3601242124324544</v>
      </c>
      <c r="I12" s="7">
        <f>VLOOKUP(D12,Vlookup!$A$1:$B$30,2,0)</f>
        <v>2.2414716085286912</v>
      </c>
      <c r="J12" s="7">
        <f>VLOOKUP(E12,Vlookup!$A$1:$B$30,2,0)</f>
        <v>1.25400669441983</v>
      </c>
      <c r="K12" s="7">
        <f>VLOOKUP(F12,Vlookup!$A$1:$B$30,2,0)</f>
        <v>1.478275916473532</v>
      </c>
      <c r="L12" s="7">
        <f t="shared" si="1"/>
        <v>9.2534681303763584</v>
      </c>
      <c r="M12" s="7">
        <f t="shared" si="2"/>
        <v>5.6515447483366721</v>
      </c>
      <c r="N12" s="7">
        <f t="shared" si="3"/>
        <v>4.1551681064697865</v>
      </c>
      <c r="O12" s="7">
        <f t="shared" si="4"/>
        <v>1.8537678954574186</v>
      </c>
      <c r="P12" s="7">
        <f t="shared" si="5"/>
        <v>1.478275916473532</v>
      </c>
      <c r="Q12">
        <v>1</v>
      </c>
      <c r="R12" s="7">
        <f t="shared" si="6"/>
        <v>23.392224797113769</v>
      </c>
      <c r="S12" s="7">
        <f>VLOOKUP($A12,Rotations!$A$1:$X$1441,18,0)</f>
        <v>0.395578796400678</v>
      </c>
      <c r="T12" s="7">
        <f>VLOOKUP($A12,Rotations!$A$1:$X$1441,19,0)</f>
        <v>0.2415992834095021</v>
      </c>
      <c r="U12" s="7">
        <f>VLOOKUP($A12,Rotations!$A$1:$X$1441,20,0)</f>
        <v>0.17763030846824235</v>
      </c>
      <c r="V12" s="7">
        <f>VLOOKUP($A12,Rotations!$A$1:$X$1441,21,0)</f>
        <v>6.3195182557237051E-2</v>
      </c>
      <c r="W12" s="7">
        <f>VLOOKUP($A12,Rotations!$A$1:$X$1441,22,0)</f>
        <v>7.9247181981858525E-2</v>
      </c>
      <c r="X12" s="7">
        <f>VLOOKUP($A12,Rotations!$A$1:$X$1441,23,0)</f>
        <v>4.2749247182481943E-2</v>
      </c>
    </row>
    <row r="13" spans="1:24" ht="14.4" x14ac:dyDescent="0.3">
      <c r="A13">
        <v>4</v>
      </c>
      <c r="B13" t="str">
        <f>Permutations!I5</f>
        <v>p1 - i1:i2</v>
      </c>
      <c r="C13" t="str">
        <f>Permutations!J5</f>
        <v>p2 - i2:i3</v>
      </c>
      <c r="D13" t="str">
        <f>Permutations!K5</f>
        <v>p6 - i3:i5</v>
      </c>
      <c r="E13" t="str">
        <f>Permutations!L5</f>
        <v>p15 - i5:i6</v>
      </c>
      <c r="F13" t="str">
        <f>Permutations!M5</f>
        <v>p141 - i6:i4</v>
      </c>
      <c r="G13" s="7">
        <f>VLOOKUP(B13,Vlookup!$A$1:$B$30,2,0)</f>
        <v>1.6373343116675814</v>
      </c>
      <c r="H13" s="7">
        <f>VLOOKUP(C13,Vlookup!$A$1:$B$30,2,0)</f>
        <v>1.3601242124324544</v>
      </c>
      <c r="I13" s="7">
        <f>VLOOKUP(D13,Vlookup!$A$1:$B$30,2,0)</f>
        <v>2.2414716085286912</v>
      </c>
      <c r="J13" s="7">
        <f>VLOOKUP(E13,Vlookup!$A$1:$B$30,2,0)</f>
        <v>1.3219359277692486</v>
      </c>
      <c r="K13" s="7">
        <f>VLOOKUP(F13,Vlookup!$A$1:$B$30,2,0)</f>
        <v>0.88688155974910687</v>
      </c>
      <c r="L13" s="7">
        <f t="shared" si="1"/>
        <v>5.8522815028043169</v>
      </c>
      <c r="M13" s="7">
        <f t="shared" si="2"/>
        <v>3.574274026447247</v>
      </c>
      <c r="N13" s="7">
        <f t="shared" si="3"/>
        <v>2.6279026531370935</v>
      </c>
      <c r="O13" s="7">
        <f t="shared" si="4"/>
        <v>1.172400597508374</v>
      </c>
      <c r="P13" s="7">
        <f t="shared" si="5"/>
        <v>0.88688155974910687</v>
      </c>
      <c r="Q13">
        <v>1</v>
      </c>
      <c r="R13" s="7">
        <f t="shared" si="6"/>
        <v>15.113740339646139</v>
      </c>
      <c r="S13" s="7">
        <f>VLOOKUP($A13,Rotations!$A$1:$X$1441,18,0)</f>
        <v>0.38721596185245416</v>
      </c>
      <c r="T13" s="7">
        <f>VLOOKUP($A13,Rotations!$A$1:$X$1441,19,0)</f>
        <v>0.23649169207117213</v>
      </c>
      <c r="U13" s="7">
        <f>VLOOKUP($A13,Rotations!$A$1:$X$1441,20,0)</f>
        <v>0.17387506957782106</v>
      </c>
      <c r="V13" s="7">
        <f>VLOOKUP($A13,Rotations!$A$1:$X$1441,21,0)</f>
        <v>6.6164958344349406E-2</v>
      </c>
      <c r="W13" s="7">
        <f>VLOOKUP($A13,Rotations!$A$1:$X$1441,22,0)</f>
        <v>7.7571836697031923E-2</v>
      </c>
      <c r="X13" s="7">
        <f>VLOOKUP($A13,Rotations!$A$1:$X$1441,23,0)</f>
        <v>5.8680481457171287E-2</v>
      </c>
    </row>
    <row r="14" spans="1:24" ht="14.4" x14ac:dyDescent="0.3">
      <c r="A14">
        <v>5</v>
      </c>
      <c r="B14" t="str">
        <f>Permutations!I6</f>
        <v>p1 - i1:i2</v>
      </c>
      <c r="C14" t="str">
        <f>Permutations!J6</f>
        <v>p2 - i2:i3</v>
      </c>
      <c r="D14" t="str">
        <f>Permutations!K6</f>
        <v>p13 - i3:i6</v>
      </c>
      <c r="E14" t="str">
        <f>Permutations!L6</f>
        <v>p141 - i6:i4</v>
      </c>
      <c r="F14" t="str">
        <f>Permutations!M6</f>
        <v>p4 - i4:i5</v>
      </c>
      <c r="G14" s="7">
        <f>VLOOKUP(B14,Vlookup!$A$1:$B$30,2,0)</f>
        <v>1.6373343116675814</v>
      </c>
      <c r="H14" s="7">
        <f>VLOOKUP(C14,Vlookup!$A$1:$B$30,2,0)</f>
        <v>1.3601242124324544</v>
      </c>
      <c r="I14" s="7">
        <f>VLOOKUP(D14,Vlookup!$A$1:$B$30,2,0)</f>
        <v>2.0145521929129111</v>
      </c>
      <c r="J14" s="7">
        <f>VLOOKUP(E14,Vlookup!$A$1:$B$30,2,0)</f>
        <v>0.88688155974910687</v>
      </c>
      <c r="K14" s="7">
        <f>VLOOKUP(F14,Vlookup!$A$1:$B$30,2,0)</f>
        <v>1.89462595295753</v>
      </c>
      <c r="L14" s="7">
        <f t="shared" si="1"/>
        <v>7.5384761540037619</v>
      </c>
      <c r="M14" s="7">
        <f t="shared" si="2"/>
        <v>4.6041154211970463</v>
      </c>
      <c r="N14" s="7">
        <f t="shared" si="3"/>
        <v>3.3850698187064974</v>
      </c>
      <c r="O14" s="7">
        <f t="shared" si="4"/>
        <v>1.6803088203001122</v>
      </c>
      <c r="P14" s="7">
        <f t="shared" si="5"/>
        <v>1.89462595295753</v>
      </c>
      <c r="Q14">
        <v>1</v>
      </c>
      <c r="R14" s="7">
        <f t="shared" si="6"/>
        <v>20.102596167164947</v>
      </c>
      <c r="S14" s="7">
        <f>VLOOKUP($A14,Rotations!$A$1:$X$1441,18,0)</f>
        <v>0.3750001289045895</v>
      </c>
      <c r="T14" s="7">
        <f>VLOOKUP($A14,Rotations!$A$1:$X$1441,19,0)</f>
        <v>0.22903088650396747</v>
      </c>
      <c r="U14" s="7">
        <f>VLOOKUP($A14,Rotations!$A$1:$X$1441,20,0)</f>
        <v>0.16838968412625138</v>
      </c>
      <c r="V14" s="7">
        <f>VLOOKUP($A14,Rotations!$A$1:$X$1441,21,0)</f>
        <v>9.4247824370673194E-2</v>
      </c>
      <c r="W14" s="7">
        <f>VLOOKUP($A14,Rotations!$A$1:$X$1441,22,0)</f>
        <v>4.9744818613695965E-2</v>
      </c>
      <c r="X14" s="7">
        <f>VLOOKUP($A14,Rotations!$A$1:$X$1441,23,0)</f>
        <v>8.3586657480822529E-2</v>
      </c>
    </row>
    <row r="15" spans="1:24" ht="14.4" x14ac:dyDescent="0.3">
      <c r="A15">
        <v>6</v>
      </c>
      <c r="B15" t="str">
        <f>Permutations!I7</f>
        <v>p1 - i1:i2</v>
      </c>
      <c r="C15" t="str">
        <f>Permutations!J7</f>
        <v>p2 - i2:i3</v>
      </c>
      <c r="D15" t="str">
        <f>Permutations!K7</f>
        <v>p13 - i3:i6</v>
      </c>
      <c r="E15" t="str">
        <f>Permutations!L7</f>
        <v>p151 - i6:i5</v>
      </c>
      <c r="F15" t="str">
        <f>Permutations!M7</f>
        <v>p41 - i5:i4</v>
      </c>
      <c r="G15" s="7">
        <f>VLOOKUP(B15,Vlookup!$A$1:$B$30,2,0)</f>
        <v>1.6373343116675814</v>
      </c>
      <c r="H15" s="7">
        <f>VLOOKUP(C15,Vlookup!$A$1:$B$30,2,0)</f>
        <v>1.3601242124324544</v>
      </c>
      <c r="I15" s="7">
        <f>VLOOKUP(D15,Vlookup!$A$1:$B$30,2,0)</f>
        <v>2.0145521929129111</v>
      </c>
      <c r="J15" s="7">
        <f>VLOOKUP(E15,Vlookup!$A$1:$B$30,2,0)</f>
        <v>1.2266517321719024</v>
      </c>
      <c r="K15" s="7">
        <f>VLOOKUP(F15,Vlookup!$A$1:$B$30,2,0)</f>
        <v>1.25400669441983</v>
      </c>
      <c r="L15" s="7">
        <f t="shared" si="1"/>
        <v>6.9010566054355289</v>
      </c>
      <c r="M15" s="7">
        <f t="shared" si="2"/>
        <v>4.2148121835955337</v>
      </c>
      <c r="N15" s="7">
        <f t="shared" si="3"/>
        <v>3.098843579924027</v>
      </c>
      <c r="O15" s="7">
        <f t="shared" si="4"/>
        <v>1.5382294838652459</v>
      </c>
      <c r="P15" s="7">
        <f t="shared" si="5"/>
        <v>1.25400669441983</v>
      </c>
      <c r="Q15">
        <v>1</v>
      </c>
      <c r="R15" s="7">
        <f t="shared" si="6"/>
        <v>18.006948547240164</v>
      </c>
      <c r="S15" s="7">
        <f>VLOOKUP($A15,Rotations!$A$1:$X$1441,18,0)</f>
        <v>0.38324408976518232</v>
      </c>
      <c r="T15" s="7">
        <f>VLOOKUP($A15,Rotations!$A$1:$X$1441,19,0)</f>
        <v>0.23406587587776037</v>
      </c>
      <c r="U15" s="7">
        <f>VLOOKUP($A15,Rotations!$A$1:$X$1441,20,0)</f>
        <v>0.17209154409445857</v>
      </c>
      <c r="V15" s="7">
        <f>VLOOKUP($A15,Rotations!$A$1:$X$1441,21,0)</f>
        <v>5.5534117697763126E-2</v>
      </c>
      <c r="W15" s="7">
        <f>VLOOKUP($A15,Rotations!$A$1:$X$1441,22,0)</f>
        <v>6.9640155361693726E-2</v>
      </c>
      <c r="X15" s="7">
        <f>VLOOKUP($A15,Rotations!$A$1:$X$1441,23,0)</f>
        <v>8.5424217203142E-2</v>
      </c>
    </row>
    <row r="16" spans="1:24" ht="14.4" x14ac:dyDescent="0.3">
      <c r="A16">
        <v>7</v>
      </c>
      <c r="B16" t="str">
        <f>Permutations!I8</f>
        <v>p1 - i1:i2</v>
      </c>
      <c r="C16" t="str">
        <f>Permutations!J8</f>
        <v>p5 - i2:i4</v>
      </c>
      <c r="D16" t="str">
        <f>Permutations!K8</f>
        <v>p31 - i4:i3</v>
      </c>
      <c r="E16" t="str">
        <f>Permutations!L8</f>
        <v>p6 - i3:i5</v>
      </c>
      <c r="F16" t="str">
        <f>Permutations!M8</f>
        <v>p15 - i5:i6</v>
      </c>
      <c r="G16" s="7">
        <f>VLOOKUP(B16,Vlookup!$A$1:$B$30,2,0)</f>
        <v>1.6373343116675814</v>
      </c>
      <c r="H16" s="7">
        <f>VLOOKUP(C16,Vlookup!$A$1:$B$30,2,0)</f>
        <v>0.9108240498099236</v>
      </c>
      <c r="I16" s="7">
        <f>VLOOKUP(D16,Vlookup!$A$1:$B$30,2,0)</f>
        <v>2.2388599512381115</v>
      </c>
      <c r="J16" s="7">
        <f>VLOOKUP(E16,Vlookup!$A$1:$B$30,2,0)</f>
        <v>2.2414716085286912</v>
      </c>
      <c r="K16" s="7">
        <f>VLOOKUP(F16,Vlookup!$A$1:$B$30,2,0)</f>
        <v>1.3219359277692486</v>
      </c>
      <c r="L16" s="7">
        <f t="shared" si="1"/>
        <v>9.8933284698593535</v>
      </c>
      <c r="M16" s="7">
        <f t="shared" si="2"/>
        <v>6.0423386961110355</v>
      </c>
      <c r="N16" s="7">
        <f t="shared" si="3"/>
        <v>6.633925287076015</v>
      </c>
      <c r="O16" s="7">
        <f t="shared" si="4"/>
        <v>2.9630818503888054</v>
      </c>
      <c r="P16" s="7">
        <f t="shared" si="5"/>
        <v>1.3219359277692486</v>
      </c>
      <c r="Q16">
        <v>1</v>
      </c>
      <c r="R16" s="7">
        <f t="shared" si="6"/>
        <v>27.854610231204457</v>
      </c>
      <c r="S16" s="7">
        <f>VLOOKUP($A16,Rotations!$A$1:$X$1441,18,0)</f>
        <v>0.35517741543467141</v>
      </c>
      <c r="T16" s="7">
        <f>VLOOKUP($A16,Rotations!$A$1:$X$1441,19,0)</f>
        <v>0.21692418762844629</v>
      </c>
      <c r="U16" s="7">
        <f>VLOOKUP($A16,Rotations!$A$1:$X$1441,20,0)</f>
        <v>0.10637671199826655</v>
      </c>
      <c r="V16" s="7">
        <f>VLOOKUP($A16,Rotations!$A$1:$X$1441,21,0)</f>
        <v>0.23816256023730972</v>
      </c>
      <c r="W16" s="7">
        <f>VLOOKUP($A16,Rotations!$A$1:$X$1441,22,0)</f>
        <v>4.7458424899743674E-2</v>
      </c>
      <c r="X16" s="7">
        <f>VLOOKUP($A16,Rotations!$A$1:$X$1441,23,0)</f>
        <v>3.5900699801562408E-2</v>
      </c>
    </row>
    <row r="17" spans="1:24" ht="14.4" x14ac:dyDescent="0.3">
      <c r="A17">
        <v>8</v>
      </c>
      <c r="B17" t="str">
        <f>Permutations!I9</f>
        <v>p1 - i1:i2</v>
      </c>
      <c r="C17" t="str">
        <f>Permutations!J9</f>
        <v>p5 - i2:i4</v>
      </c>
      <c r="D17" t="str">
        <f>Permutations!K9</f>
        <v>p31 - i4:i3</v>
      </c>
      <c r="E17" t="str">
        <f>Permutations!L9</f>
        <v>p13 - i3:i6</v>
      </c>
      <c r="F17" t="str">
        <f>Permutations!M9</f>
        <v>p151 - i6:i5</v>
      </c>
      <c r="G17" s="7">
        <f>VLOOKUP(B17,Vlookup!$A$1:$B$30,2,0)</f>
        <v>1.6373343116675814</v>
      </c>
      <c r="H17" s="7">
        <f>VLOOKUP(C17,Vlookup!$A$1:$B$30,2,0)</f>
        <v>0.9108240498099236</v>
      </c>
      <c r="I17" s="7">
        <f>VLOOKUP(D17,Vlookup!$A$1:$B$30,2,0)</f>
        <v>2.2388599512381115</v>
      </c>
      <c r="J17" s="7">
        <f>VLOOKUP(E17,Vlookup!$A$1:$B$30,2,0)</f>
        <v>2.0145521929129111</v>
      </c>
      <c r="K17" s="7">
        <f>VLOOKUP(F17,Vlookup!$A$1:$B$30,2,0)</f>
        <v>1.2266517321719024</v>
      </c>
      <c r="L17" s="7">
        <f t="shared" si="1"/>
        <v>8.2508478781960655</v>
      </c>
      <c r="M17" s="7">
        <f t="shared" si="2"/>
        <v>5.0391956116724854</v>
      </c>
      <c r="N17" s="7">
        <f t="shared" si="3"/>
        <v>5.5325675828653136</v>
      </c>
      <c r="O17" s="7">
        <f t="shared" si="4"/>
        <v>2.471153936987327</v>
      </c>
      <c r="P17" s="7">
        <f t="shared" si="5"/>
        <v>1.2266517321719024</v>
      </c>
      <c r="Q17">
        <v>1</v>
      </c>
      <c r="R17" s="7">
        <f t="shared" si="6"/>
        <v>23.520416741893094</v>
      </c>
      <c r="S17" s="7">
        <f>VLOOKUP($A17,Rotations!$A$1:$X$1441,18,0)</f>
        <v>0.35079513976043508</v>
      </c>
      <c r="T17" s="7">
        <f>VLOOKUP($A17,Rotations!$A$1:$X$1441,19,0)</f>
        <v>0.21424771792827063</v>
      </c>
      <c r="U17" s="7">
        <f>VLOOKUP($A17,Rotations!$A$1:$X$1441,20,0)</f>
        <v>0.10506420715691922</v>
      </c>
      <c r="V17" s="7">
        <f>VLOOKUP($A17,Rotations!$A$1:$X$1441,21,0)</f>
        <v>0.23522404571221098</v>
      </c>
      <c r="W17" s="7">
        <f>VLOOKUP($A17,Rotations!$A$1:$X$1441,22,0)</f>
        <v>4.25162534734711E-2</v>
      </c>
      <c r="X17" s="7">
        <f>VLOOKUP($A17,Rotations!$A$1:$X$1441,23,0)</f>
        <v>5.2152635968692983E-2</v>
      </c>
    </row>
    <row r="18" spans="1:24" ht="14.4" x14ac:dyDescent="0.3">
      <c r="A18">
        <v>9</v>
      </c>
      <c r="B18" t="str">
        <f>Permutations!I10</f>
        <v>p1 - i1:i2</v>
      </c>
      <c r="C18" t="str">
        <f>Permutations!J10</f>
        <v>p5 - i2:i4</v>
      </c>
      <c r="D18" t="str">
        <f>Permutations!K10</f>
        <v>p4 - i4:i5</v>
      </c>
      <c r="E18" t="str">
        <f>Permutations!L10</f>
        <v>p61 - i5:i3</v>
      </c>
      <c r="F18" t="str">
        <f>Permutations!M10</f>
        <v>p13 - i3:i6</v>
      </c>
      <c r="G18" s="7">
        <f>VLOOKUP(B18,Vlookup!$A$1:$B$30,2,0)</f>
        <v>1.6373343116675814</v>
      </c>
      <c r="H18" s="7">
        <f>VLOOKUP(C18,Vlookup!$A$1:$B$30,2,0)</f>
        <v>0.9108240498099236</v>
      </c>
      <c r="I18" s="7">
        <f>VLOOKUP(D18,Vlookup!$A$1:$B$30,2,0)</f>
        <v>1.89462595295753</v>
      </c>
      <c r="J18" s="7">
        <f>VLOOKUP(E18,Vlookup!$A$1:$B$30,2,0)</f>
        <v>1.9746367445127702</v>
      </c>
      <c r="K18" s="7">
        <f>VLOOKUP(F18,Vlookup!$A$1:$B$30,2,0)</f>
        <v>2.0145521929129111</v>
      </c>
      <c r="L18" s="7">
        <f t="shared" si="1"/>
        <v>11.23986440735983</v>
      </c>
      <c r="M18" s="7">
        <f t="shared" si="2"/>
        <v>6.8647339320168079</v>
      </c>
      <c r="N18" s="7">
        <f t="shared" si="3"/>
        <v>7.5368386830029177</v>
      </c>
      <c r="O18" s="7">
        <f t="shared" si="4"/>
        <v>3.9780087838646128</v>
      </c>
      <c r="P18" s="7">
        <f t="shared" si="5"/>
        <v>2.0145521929129111</v>
      </c>
      <c r="Q18">
        <v>1</v>
      </c>
      <c r="R18" s="7">
        <f t="shared" si="6"/>
        <v>32.633997999157081</v>
      </c>
      <c r="S18" s="7">
        <f>VLOOKUP($A18,Rotations!$A$1:$X$1441,18,0)</f>
        <v>0.34442192487877671</v>
      </c>
      <c r="T18" s="7">
        <f>VLOOKUP($A18,Rotations!$A$1:$X$1441,19,0)</f>
        <v>0.21035528445500673</v>
      </c>
      <c r="U18" s="7">
        <f>VLOOKUP($A18,Rotations!$A$1:$X$1441,20,0)</f>
        <v>6.1731700570826345E-2</v>
      </c>
      <c r="V18" s="7">
        <f>VLOOKUP($A18,Rotations!$A$1:$X$1441,21,0)</f>
        <v>0.23095051618246684</v>
      </c>
      <c r="W18" s="7">
        <f>VLOOKUP($A18,Rotations!$A$1:$X$1441,22,0)</f>
        <v>0.12189768424841366</v>
      </c>
      <c r="X18" s="7">
        <f>VLOOKUP($A18,Rotations!$A$1:$X$1441,23,0)</f>
        <v>3.0642889664509676E-2</v>
      </c>
    </row>
    <row r="19" spans="1:24" ht="14.4" x14ac:dyDescent="0.3">
      <c r="A19">
        <v>10</v>
      </c>
      <c r="B19" t="str">
        <f>Permutations!I11</f>
        <v>p1 - i1:i2</v>
      </c>
      <c r="C19" t="str">
        <f>Permutations!J11</f>
        <v>p5 - i2:i4</v>
      </c>
      <c r="D19" t="str">
        <f>Permutations!K11</f>
        <v>p4 - i4:i5</v>
      </c>
      <c r="E19" t="str">
        <f>Permutations!L11</f>
        <v>p15 - i5:i6</v>
      </c>
      <c r="F19" t="str">
        <f>Permutations!M11</f>
        <v>p131 - i6:i3</v>
      </c>
      <c r="G19" s="7">
        <f>VLOOKUP(B19,Vlookup!$A$1:$B$30,2,0)</f>
        <v>1.6373343116675814</v>
      </c>
      <c r="H19" s="7">
        <f>VLOOKUP(C19,Vlookup!$A$1:$B$30,2,0)</f>
        <v>0.9108240498099236</v>
      </c>
      <c r="I19" s="7">
        <f>VLOOKUP(D19,Vlookup!$A$1:$B$30,2,0)</f>
        <v>1.89462595295753</v>
      </c>
      <c r="J19" s="7">
        <f>VLOOKUP(E19,Vlookup!$A$1:$B$30,2,0)</f>
        <v>1.3219359277692486</v>
      </c>
      <c r="K19" s="7">
        <f>VLOOKUP(F19,Vlookup!$A$1:$B$30,2,0)</f>
        <v>1.4032439022773779</v>
      </c>
      <c r="L19" s="7">
        <f t="shared" si="1"/>
        <v>5.2412986205219356</v>
      </c>
      <c r="M19" s="7">
        <f t="shared" si="2"/>
        <v>3.2011169516039835</v>
      </c>
      <c r="N19" s="7">
        <f t="shared" si="3"/>
        <v>3.5145283573397221</v>
      </c>
      <c r="O19" s="7">
        <f t="shared" si="4"/>
        <v>1.8549985298435865</v>
      </c>
      <c r="P19" s="7">
        <f t="shared" si="5"/>
        <v>1.4032439022773779</v>
      </c>
      <c r="Q19">
        <v>1</v>
      </c>
      <c r="R19" s="7">
        <f t="shared" si="6"/>
        <v>16.215186361586603</v>
      </c>
      <c r="S19" s="7">
        <f>VLOOKUP($A19,Rotations!$A$1:$X$1441,18,0)</f>
        <v>0.32323394277715173</v>
      </c>
      <c r="T19" s="7">
        <f>VLOOKUP($A19,Rotations!$A$1:$X$1441,19,0)</f>
        <v>0.19741474937268402</v>
      </c>
      <c r="U19" s="7">
        <f>VLOOKUP($A19,Rotations!$A$1:$X$1441,20,0)</f>
        <v>6.167058322369804E-2</v>
      </c>
      <c r="V19" s="7">
        <f>VLOOKUP($A19,Rotations!$A$1:$X$1441,21,0)</f>
        <v>0.21674301355336609</v>
      </c>
      <c r="W19" s="7">
        <f>VLOOKUP($A19,Rotations!$A$1:$X$1441,22,0)</f>
        <v>0.1143988412145564</v>
      </c>
      <c r="X19" s="7">
        <f>VLOOKUP($A19,Rotations!$A$1:$X$1441,23,0)</f>
        <v>8.6538869858543838E-2</v>
      </c>
    </row>
    <row r="20" spans="1:24" ht="14.4" x14ac:dyDescent="0.3">
      <c r="A20">
        <v>11</v>
      </c>
      <c r="B20" t="str">
        <f>Permutations!I12</f>
        <v>p1 - i1:i2</v>
      </c>
      <c r="C20" t="str">
        <f>Permutations!J12</f>
        <v>p5 - i2:i4</v>
      </c>
      <c r="D20" t="str">
        <f>Permutations!K12</f>
        <v>p14 - i4:i6</v>
      </c>
      <c r="E20" t="str">
        <f>Permutations!L12</f>
        <v>p131 - i6:i3</v>
      </c>
      <c r="F20" t="str">
        <f>Permutations!M12</f>
        <v>p6 - i3:i5</v>
      </c>
      <c r="G20" s="7">
        <f>VLOOKUP(B20,Vlookup!$A$1:$B$30,2,0)</f>
        <v>1.6373343116675814</v>
      </c>
      <c r="H20" s="7">
        <f>VLOOKUP(C20,Vlookup!$A$1:$B$30,2,0)</f>
        <v>0.9108240498099236</v>
      </c>
      <c r="I20" s="7">
        <f>VLOOKUP(D20,Vlookup!$A$1:$B$30,2,0)</f>
        <v>1.478275916473532</v>
      </c>
      <c r="J20" s="7">
        <f>VLOOKUP(E20,Vlookup!$A$1:$B$30,2,0)</f>
        <v>1.4032439022773779</v>
      </c>
      <c r="K20" s="7">
        <f>VLOOKUP(F20,Vlookup!$A$1:$B$30,2,0)</f>
        <v>2.2414716085286912</v>
      </c>
      <c r="L20" s="7">
        <f t="shared" si="1"/>
        <v>6.9341584264995459</v>
      </c>
      <c r="M20" s="7">
        <f t="shared" si="2"/>
        <v>4.2350290817745648</v>
      </c>
      <c r="N20" s="7">
        <f t="shared" si="3"/>
        <v>4.649667608862937</v>
      </c>
      <c r="O20" s="7">
        <f t="shared" si="4"/>
        <v>3.1453313667957521</v>
      </c>
      <c r="P20" s="7">
        <f t="shared" si="5"/>
        <v>2.2414716085286912</v>
      </c>
      <c r="Q20">
        <v>1</v>
      </c>
      <c r="R20" s="7">
        <f t="shared" si="6"/>
        <v>22.205658092461491</v>
      </c>
      <c r="S20" s="7">
        <f>VLOOKUP($A20,Rotations!$A$1:$X$1441,18,0)</f>
        <v>0.31226989074706124</v>
      </c>
      <c r="T20" s="7">
        <f>VLOOKUP($A20,Rotations!$A$1:$X$1441,19,0)</f>
        <v>0.19071846752482863</v>
      </c>
      <c r="U20" s="7">
        <f>VLOOKUP($A20,Rotations!$A$1:$X$1441,20,0)</f>
        <v>0.10094146272069457</v>
      </c>
      <c r="V20" s="7">
        <f>VLOOKUP($A20,Rotations!$A$1:$X$1441,21,0)</f>
        <v>0.20939111957422391</v>
      </c>
      <c r="W20" s="7">
        <f>VLOOKUP($A20,Rotations!$A$1:$X$1441,22,0)</f>
        <v>4.5033567383417739E-2</v>
      </c>
      <c r="X20" s="7">
        <f>VLOOKUP($A20,Rotations!$A$1:$X$1441,23,0)</f>
        <v>0.14164549204977392</v>
      </c>
    </row>
    <row r="21" spans="1:24" ht="15.75" customHeight="1" x14ac:dyDescent="0.3">
      <c r="A21">
        <v>12</v>
      </c>
      <c r="B21" t="str">
        <f>Permutations!I13</f>
        <v>p1 - i1:i2</v>
      </c>
      <c r="C21" t="str">
        <f>Permutations!J13</f>
        <v>p5 - i2:i4</v>
      </c>
      <c r="D21" t="str">
        <f>Permutations!K13</f>
        <v>p14 - i4:i6</v>
      </c>
      <c r="E21" t="str">
        <f>Permutations!L13</f>
        <v>p151 - i6:i5</v>
      </c>
      <c r="F21" t="str">
        <f>Permutations!M13</f>
        <v>p61 - i5:i3</v>
      </c>
      <c r="G21" s="7">
        <f>VLOOKUP(B21,Vlookup!$A$1:$B$30,2,0)</f>
        <v>1.6373343116675814</v>
      </c>
      <c r="H21" s="7">
        <f>VLOOKUP(C21,Vlookup!$A$1:$B$30,2,0)</f>
        <v>0.9108240498099236</v>
      </c>
      <c r="I21" s="7">
        <f>VLOOKUP(D21,Vlookup!$A$1:$B$30,2,0)</f>
        <v>1.478275916473532</v>
      </c>
      <c r="J21" s="7">
        <f>VLOOKUP(E21,Vlookup!$A$1:$B$30,2,0)</f>
        <v>1.2266517321719024</v>
      </c>
      <c r="K21" s="7">
        <f>VLOOKUP(F21,Vlookup!$A$1:$B$30,2,0)</f>
        <v>1.9746367445127702</v>
      </c>
      <c r="L21" s="7">
        <f t="shared" si="1"/>
        <v>5.339933449819604</v>
      </c>
      <c r="M21" s="7">
        <f t="shared" si="2"/>
        <v>3.2613580572809378</v>
      </c>
      <c r="N21" s="7">
        <f t="shared" si="3"/>
        <v>3.580667482332661</v>
      </c>
      <c r="O21" s="7">
        <f t="shared" si="4"/>
        <v>2.4221915830668759</v>
      </c>
      <c r="P21" s="7">
        <f t="shared" si="5"/>
        <v>1.9746367445127702</v>
      </c>
      <c r="Q21">
        <v>1</v>
      </c>
      <c r="R21" s="7">
        <f t="shared" si="6"/>
        <v>17.57878731701285</v>
      </c>
      <c r="S21" s="7">
        <f>VLOOKUP($A21,Rotations!$A$1:$X$1441,18,0)</f>
        <v>0.30377143505522625</v>
      </c>
      <c r="T21" s="7">
        <f>VLOOKUP($A21,Rotations!$A$1:$X$1441,19,0)</f>
        <v>0.18552804573297141</v>
      </c>
      <c r="U21" s="7">
        <f>VLOOKUP($A21,Rotations!$A$1:$X$1441,20,0)</f>
        <v>5.6886745482846494E-2</v>
      </c>
      <c r="V21" s="7">
        <f>VLOOKUP($A21,Rotations!$A$1:$X$1441,21,0)</f>
        <v>0.20369251972616284</v>
      </c>
      <c r="W21" s="7">
        <f>VLOOKUP($A21,Rotations!$A$1:$X$1441,22,0)</f>
        <v>0.11233065790617454</v>
      </c>
      <c r="X21" s="7">
        <f>VLOOKUP($A21,Rotations!$A$1:$X$1441,23,0)</f>
        <v>0.1377905960966184</v>
      </c>
    </row>
    <row r="22" spans="1:24" ht="15.75" customHeight="1" x14ac:dyDescent="0.3">
      <c r="A22">
        <v>13</v>
      </c>
      <c r="B22" t="str">
        <f>Permutations!I14</f>
        <v>p1 - i1:i2</v>
      </c>
      <c r="C22" t="str">
        <f>Permutations!J14</f>
        <v>p7 - i2:i5</v>
      </c>
      <c r="D22" t="str">
        <f>Permutations!K14</f>
        <v>p61 - i5:i3</v>
      </c>
      <c r="E22" t="str">
        <f>Permutations!L14</f>
        <v>p3 - i3:i4</v>
      </c>
      <c r="F22" t="str">
        <f>Permutations!M14</f>
        <v>p14 - i4:i6</v>
      </c>
      <c r="G22" s="7">
        <f>VLOOKUP(B22,Vlookup!$A$1:$B$30,2,0)</f>
        <v>1.6373343116675814</v>
      </c>
      <c r="H22" s="7">
        <f>VLOOKUP(C22,Vlookup!$A$1:$B$30,2,0)</f>
        <v>1.7991741228251155</v>
      </c>
      <c r="I22" s="7">
        <f>VLOOKUP(D22,Vlookup!$A$1:$B$30,2,0)</f>
        <v>1.9746367445127702</v>
      </c>
      <c r="J22" s="7">
        <f>VLOOKUP(E22,Vlookup!$A$1:$B$30,2,0)</f>
        <v>1.4338636587362954</v>
      </c>
      <c r="K22" s="7">
        <f>VLOOKUP(F22,Vlookup!$A$1:$B$30,2,0)</f>
        <v>1.478275916473532</v>
      </c>
      <c r="L22" s="7">
        <f t="shared" si="1"/>
        <v>12.32994480583146</v>
      </c>
      <c r="M22" s="7">
        <f t="shared" si="2"/>
        <v>7.5304992498897425</v>
      </c>
      <c r="N22" s="7">
        <f t="shared" si="3"/>
        <v>4.1855311024955908</v>
      </c>
      <c r="O22" s="7">
        <f t="shared" si="4"/>
        <v>2.1196461142164886</v>
      </c>
      <c r="P22" s="7">
        <f t="shared" si="5"/>
        <v>1.478275916473532</v>
      </c>
      <c r="Q22">
        <v>1</v>
      </c>
      <c r="R22" s="7">
        <f t="shared" si="6"/>
        <v>28.643897188906816</v>
      </c>
      <c r="S22" s="7">
        <f>VLOOKUP($A22,Rotations!$A$1:$X$1441,18,0)</f>
        <v>0.43045625825687539</v>
      </c>
      <c r="T22" s="7">
        <f>VLOOKUP($A22,Rotations!$A$1:$X$1441,19,0)</f>
        <v>0.26290065210840613</v>
      </c>
      <c r="U22" s="7">
        <f>VLOOKUP($A22,Rotations!$A$1:$X$1441,20,0)</f>
        <v>7.399992048000309E-2</v>
      </c>
      <c r="V22" s="7">
        <f>VLOOKUP($A22,Rotations!$A$1:$X$1441,21,0)</f>
        <v>5.1608756543297378E-2</v>
      </c>
      <c r="W22" s="7">
        <f>VLOOKUP($A22,Rotations!$A$1:$X$1441,22,0)</f>
        <v>0.14612296207083719</v>
      </c>
      <c r="X22" s="7">
        <f>VLOOKUP($A22,Rotations!$A$1:$X$1441,23,0)</f>
        <v>3.4911450540580737E-2</v>
      </c>
    </row>
    <row r="23" spans="1:24" ht="15.75" customHeight="1" x14ac:dyDescent="0.3">
      <c r="A23">
        <v>14</v>
      </c>
      <c r="B23" t="str">
        <f>Permutations!I15</f>
        <v>p1 - i1:i2</v>
      </c>
      <c r="C23" t="str">
        <f>Permutations!J15</f>
        <v>p7 - i2:i5</v>
      </c>
      <c r="D23" t="str">
        <f>Permutations!K15</f>
        <v>p61 - i5:i3</v>
      </c>
      <c r="E23" t="str">
        <f>Permutations!L15</f>
        <v>p13 - i3:i6</v>
      </c>
      <c r="F23" t="str">
        <f>Permutations!M15</f>
        <v>p141 - i6:i4</v>
      </c>
      <c r="G23" s="7">
        <f>VLOOKUP(B23,Vlookup!$A$1:$B$30,2,0)</f>
        <v>1.6373343116675814</v>
      </c>
      <c r="H23" s="7">
        <f>VLOOKUP(C23,Vlookup!$A$1:$B$30,2,0)</f>
        <v>1.7991741228251155</v>
      </c>
      <c r="I23" s="7">
        <f>VLOOKUP(D23,Vlookup!$A$1:$B$30,2,0)</f>
        <v>1.9746367445127702</v>
      </c>
      <c r="J23" s="7">
        <f>VLOOKUP(E23,Vlookup!$A$1:$B$30,2,0)</f>
        <v>2.0145521929129111</v>
      </c>
      <c r="K23" s="7">
        <f>VLOOKUP(F23,Vlookup!$A$1:$B$30,2,0)</f>
        <v>0.88688155974910687</v>
      </c>
      <c r="L23" s="7">
        <f t="shared" si="1"/>
        <v>10.393023799648274</v>
      </c>
      <c r="M23" s="7">
        <f t="shared" si="2"/>
        <v>6.3475270295064279</v>
      </c>
      <c r="N23" s="7">
        <f t="shared" si="3"/>
        <v>3.5280226349294956</v>
      </c>
      <c r="O23" s="7">
        <f t="shared" si="4"/>
        <v>1.7866691910465862</v>
      </c>
      <c r="P23" s="7">
        <f t="shared" si="5"/>
        <v>0.88688155974910687</v>
      </c>
      <c r="Q23">
        <v>1</v>
      </c>
      <c r="R23" s="7">
        <f t="shared" si="6"/>
        <v>23.94212421487989</v>
      </c>
      <c r="S23" s="7">
        <f>VLOOKUP($A23,Rotations!$A$1:$X$1441,18,0)</f>
        <v>0.43408946116773844</v>
      </c>
      <c r="T23" s="7">
        <f>VLOOKUP($A23,Rotations!$A$1:$X$1441,19,0)</f>
        <v>0.26511962650170684</v>
      </c>
      <c r="U23" s="7">
        <f>VLOOKUP($A23,Rotations!$A$1:$X$1441,20,0)</f>
        <v>7.4624505954913628E-2</v>
      </c>
      <c r="V23" s="7">
        <f>VLOOKUP($A23,Rotations!$A$1:$X$1441,21,0)</f>
        <v>4.1767388349714843E-2</v>
      </c>
      <c r="W23" s="7">
        <f>VLOOKUP($A23,Rotations!$A$1:$X$1441,22,0)</f>
        <v>0.14735629149968449</v>
      </c>
      <c r="X23" s="7">
        <f>VLOOKUP($A23,Rotations!$A$1:$X$1441,23,0)</f>
        <v>3.7042726526241777E-2</v>
      </c>
    </row>
    <row r="24" spans="1:24" ht="15.75" customHeight="1" x14ac:dyDescent="0.3">
      <c r="A24">
        <v>15</v>
      </c>
      <c r="B24" t="str">
        <f>Permutations!I16</f>
        <v>p1 - i1:i2</v>
      </c>
      <c r="C24" t="str">
        <f>Permutations!J16</f>
        <v>p7 - i2:i5</v>
      </c>
      <c r="D24" t="str">
        <f>Permutations!K16</f>
        <v>p41 - i5:i4</v>
      </c>
      <c r="E24" t="str">
        <f>Permutations!L16</f>
        <v>p31 - i4:i3</v>
      </c>
      <c r="F24" t="str">
        <f>Permutations!M16</f>
        <v>p13 - i3:i6</v>
      </c>
      <c r="G24" s="7">
        <f>VLOOKUP(B24,Vlookup!$A$1:$B$30,2,0)</f>
        <v>1.6373343116675814</v>
      </c>
      <c r="H24" s="7">
        <f>VLOOKUP(C24,Vlookup!$A$1:$B$30,2,0)</f>
        <v>1.7991741228251155</v>
      </c>
      <c r="I24" s="7">
        <f>VLOOKUP(D24,Vlookup!$A$1:$B$30,2,0)</f>
        <v>1.25400669441983</v>
      </c>
      <c r="J24" s="7">
        <f>VLOOKUP(E24,Vlookup!$A$1:$B$30,2,0)</f>
        <v>2.2388599512381115</v>
      </c>
      <c r="K24" s="7">
        <f>VLOOKUP(F24,Vlookup!$A$1:$B$30,2,0)</f>
        <v>2.0145521929129111</v>
      </c>
      <c r="L24" s="7">
        <f t="shared" si="1"/>
        <v>16.661567820804372</v>
      </c>
      <c r="M24" s="7">
        <f t="shared" si="2"/>
        <v>10.176032898153222</v>
      </c>
      <c r="N24" s="7">
        <f t="shared" si="3"/>
        <v>5.6559466752303669</v>
      </c>
      <c r="O24" s="7">
        <f t="shared" si="4"/>
        <v>4.5103002243916306</v>
      </c>
      <c r="P24" s="7">
        <f t="shared" si="5"/>
        <v>2.0145521929129111</v>
      </c>
      <c r="Q24">
        <v>1</v>
      </c>
      <c r="R24" s="7">
        <f t="shared" si="6"/>
        <v>40.0183998114925</v>
      </c>
      <c r="S24" s="7">
        <f>VLOOKUP($A24,Rotations!$A$1:$X$1441,18,0)</f>
        <v>0.41634767755055252</v>
      </c>
      <c r="T24" s="7">
        <f>VLOOKUP($A24,Rotations!$A$1:$X$1441,19,0)</f>
        <v>0.25428385307977419</v>
      </c>
      <c r="U24" s="7">
        <f>VLOOKUP($A24,Rotations!$A$1:$X$1441,20,0)</f>
        <v>5.0340648361816086E-2</v>
      </c>
      <c r="V24" s="7">
        <f>VLOOKUP($A24,Rotations!$A$1:$X$1441,21,0)</f>
        <v>0.11270566153663047</v>
      </c>
      <c r="W24" s="7">
        <f>VLOOKUP($A24,Rotations!$A$1:$X$1441,22,0)</f>
        <v>0.14133365406595017</v>
      </c>
      <c r="X24" s="7">
        <f>VLOOKUP($A24,Rotations!$A$1:$X$1441,23,0)</f>
        <v>2.4988505405276591E-2</v>
      </c>
    </row>
    <row r="25" spans="1:24" ht="15.75" customHeight="1" x14ac:dyDescent="0.3">
      <c r="A25">
        <v>16</v>
      </c>
      <c r="B25" t="str">
        <f>Permutations!I17</f>
        <v>p1 - i1:i2</v>
      </c>
      <c r="C25" t="str">
        <f>Permutations!J17</f>
        <v>p7 - i2:i5</v>
      </c>
      <c r="D25" t="str">
        <f>Permutations!K17</f>
        <v>p41 - i5:i4</v>
      </c>
      <c r="E25" t="str">
        <f>Permutations!L17</f>
        <v>p14 - i4:i6</v>
      </c>
      <c r="F25" t="str">
        <f>Permutations!M17</f>
        <v>p131 - i6:i3</v>
      </c>
      <c r="G25" s="7">
        <f>VLOOKUP(B25,Vlookup!$A$1:$B$30,2,0)</f>
        <v>1.6373343116675814</v>
      </c>
      <c r="H25" s="7">
        <f>VLOOKUP(C25,Vlookup!$A$1:$B$30,2,0)</f>
        <v>1.7991741228251155</v>
      </c>
      <c r="I25" s="7">
        <f>VLOOKUP(D25,Vlookup!$A$1:$B$30,2,0)</f>
        <v>1.25400669441983</v>
      </c>
      <c r="J25" s="7">
        <f>VLOOKUP(E25,Vlookup!$A$1:$B$30,2,0)</f>
        <v>1.478275916473532</v>
      </c>
      <c r="K25" s="7">
        <f>VLOOKUP(F25,Vlookup!$A$1:$B$30,2,0)</f>
        <v>1.4032439022773779</v>
      </c>
      <c r="L25" s="7">
        <f t="shared" si="1"/>
        <v>7.6630044762793705</v>
      </c>
      <c r="M25" s="7">
        <f t="shared" si="2"/>
        <v>4.6801709471749886</v>
      </c>
      <c r="N25" s="7">
        <f t="shared" si="3"/>
        <v>2.6012884955381903</v>
      </c>
      <c r="O25" s="7">
        <f t="shared" si="4"/>
        <v>2.0743816656749861</v>
      </c>
      <c r="P25" s="7">
        <f t="shared" si="5"/>
        <v>1.4032439022773779</v>
      </c>
      <c r="Q25">
        <v>1</v>
      </c>
      <c r="R25" s="7">
        <f t="shared" si="6"/>
        <v>19.422089486944913</v>
      </c>
      <c r="S25" s="7">
        <f>VLOOKUP($A25,Rotations!$A$1:$X$1441,18,0)</f>
        <v>0.39455098183077925</v>
      </c>
      <c r="T25" s="7">
        <f>VLOOKUP($A25,Rotations!$A$1:$X$1441,19,0)</f>
        <v>0.24097154687300218</v>
      </c>
      <c r="U25" s="7">
        <f>VLOOKUP($A25,Rotations!$A$1:$X$1441,20,0)</f>
        <v>5.1487766065138219E-2</v>
      </c>
      <c r="V25" s="7">
        <f>VLOOKUP($A25,Rotations!$A$1:$X$1441,21,0)</f>
        <v>0.10680527793208544</v>
      </c>
      <c r="W25" s="7">
        <f>VLOOKUP($A25,Rotations!$A$1:$X$1441,22,0)</f>
        <v>0.13393453352620568</v>
      </c>
      <c r="X25" s="7">
        <f>VLOOKUP($A25,Rotations!$A$1:$X$1441,23,0)</f>
        <v>7.2249893772789314E-2</v>
      </c>
    </row>
    <row r="26" spans="1:24" ht="15.75" customHeight="1" x14ac:dyDescent="0.3">
      <c r="A26">
        <v>17</v>
      </c>
      <c r="B26" t="str">
        <f>Permutations!I18</f>
        <v>p1 - i1:i2</v>
      </c>
      <c r="C26" t="str">
        <f>Permutations!J18</f>
        <v>p7 - i2:i5</v>
      </c>
      <c r="D26" t="str">
        <f>Permutations!K18</f>
        <v>p15 - i5:i6</v>
      </c>
      <c r="E26" t="str">
        <f>Permutations!L18</f>
        <v>p131 - i6:i3</v>
      </c>
      <c r="F26" t="str">
        <f>Permutations!M18</f>
        <v>p3 - i3:i4</v>
      </c>
      <c r="G26" s="7">
        <f>VLOOKUP(B26,Vlookup!$A$1:$B$30,2,0)</f>
        <v>1.6373343116675814</v>
      </c>
      <c r="H26" s="7">
        <f>VLOOKUP(C26,Vlookup!$A$1:$B$30,2,0)</f>
        <v>1.7991741228251155</v>
      </c>
      <c r="I26" s="7">
        <f>VLOOKUP(D26,Vlookup!$A$1:$B$30,2,0)</f>
        <v>1.3219359277692486</v>
      </c>
      <c r="J26" s="7">
        <f>VLOOKUP(E26,Vlookup!$A$1:$B$30,2,0)</f>
        <v>1.4032439022773779</v>
      </c>
      <c r="K26" s="7">
        <f>VLOOKUP(F26,Vlookup!$A$1:$B$30,2,0)</f>
        <v>1.4338636587362954</v>
      </c>
      <c r="L26" s="7">
        <f t="shared" si="1"/>
        <v>7.8354146895832679</v>
      </c>
      <c r="M26" s="7">
        <f t="shared" si="2"/>
        <v>4.785470281633021</v>
      </c>
      <c r="N26" s="7">
        <f t="shared" si="3"/>
        <v>2.6598149789519741</v>
      </c>
      <c r="O26" s="7">
        <f t="shared" si="4"/>
        <v>2.0120604358188379</v>
      </c>
      <c r="P26" s="7">
        <f t="shared" si="5"/>
        <v>1.4338636587362954</v>
      </c>
      <c r="Q26">
        <v>1</v>
      </c>
      <c r="R26" s="7">
        <f t="shared" si="6"/>
        <v>19.726624044723398</v>
      </c>
      <c r="S26" s="7">
        <f>VLOOKUP($A26,Rotations!$A$1:$X$1441,18,0)</f>
        <v>0.39719998068697082</v>
      </c>
      <c r="T26" s="7">
        <f>VLOOKUP($A26,Rotations!$A$1:$X$1441,19,0)</f>
        <v>0.24258941980054965</v>
      </c>
      <c r="U26" s="7">
        <f>VLOOKUP($A26,Rotations!$A$1:$X$1441,20,0)</f>
        <v>7.2686723054360344E-2</v>
      </c>
      <c r="V26" s="7">
        <f>VLOOKUP($A26,Rotations!$A$1:$X$1441,21,0)</f>
        <v>5.0692911150577044E-2</v>
      </c>
      <c r="W26" s="7">
        <f>VLOOKUP($A26,Rotations!$A$1:$X$1441,22,0)</f>
        <v>0.13483376440498637</v>
      </c>
      <c r="X26" s="7">
        <f>VLOOKUP($A26,Rotations!$A$1:$X$1441,23,0)</f>
        <v>0.10199720090255568</v>
      </c>
    </row>
    <row r="27" spans="1:24" ht="15.75" customHeight="1" x14ac:dyDescent="0.3">
      <c r="A27">
        <v>18</v>
      </c>
      <c r="B27" t="str">
        <f>Permutations!I19</f>
        <v>p1 - i1:i2</v>
      </c>
      <c r="C27" t="str">
        <f>Permutations!J19</f>
        <v>p7 - i2:i5</v>
      </c>
      <c r="D27" t="str">
        <f>Permutations!K19</f>
        <v>p15 - i5:i6</v>
      </c>
      <c r="E27" t="str">
        <f>Permutations!L19</f>
        <v>p141 - i6:i4</v>
      </c>
      <c r="F27" t="str">
        <f>Permutations!M19</f>
        <v>p31 - i4:i3</v>
      </c>
      <c r="G27" s="7">
        <f>VLOOKUP(B27,Vlookup!$A$1:$B$30,2,0)</f>
        <v>1.6373343116675814</v>
      </c>
      <c r="H27" s="7">
        <f>VLOOKUP(C27,Vlookup!$A$1:$B$30,2,0)</f>
        <v>1.7991741228251155</v>
      </c>
      <c r="I27" s="7">
        <f>VLOOKUP(D27,Vlookup!$A$1:$B$30,2,0)</f>
        <v>1.3219359277692486</v>
      </c>
      <c r="J27" s="7">
        <f>VLOOKUP(E27,Vlookup!$A$1:$B$30,2,0)</f>
        <v>0.88688155974910687</v>
      </c>
      <c r="K27" s="7">
        <f>VLOOKUP(F27,Vlookup!$A$1:$B$30,2,0)</f>
        <v>2.2388599512381115</v>
      </c>
      <c r="L27" s="7">
        <f t="shared" si="1"/>
        <v>7.7323858578754949</v>
      </c>
      <c r="M27" s="7">
        <f t="shared" si="2"/>
        <v>4.7225455441657891</v>
      </c>
      <c r="N27" s="7">
        <f t="shared" si="3"/>
        <v>2.6248407445691311</v>
      </c>
      <c r="O27" s="7">
        <f t="shared" si="4"/>
        <v>1.9856036056138657</v>
      </c>
      <c r="P27" s="7">
        <f t="shared" si="5"/>
        <v>2.2388599512381115</v>
      </c>
      <c r="Q27">
        <v>1</v>
      </c>
      <c r="R27" s="7">
        <f t="shared" si="6"/>
        <v>20.304235703462393</v>
      </c>
      <c r="S27" s="7">
        <f>VLOOKUP($A27,Rotations!$A$1:$X$1441,18,0)</f>
        <v>0.38082624585356467</v>
      </c>
      <c r="T27" s="7">
        <f>VLOOKUP($A27,Rotations!$A$1:$X$1441,19,0)</f>
        <v>0.23258918056001851</v>
      </c>
      <c r="U27" s="7">
        <f>VLOOKUP($A27,Rotations!$A$1:$X$1441,20,0)</f>
        <v>4.9250807299753438E-2</v>
      </c>
      <c r="V27" s="7">
        <f>VLOOKUP($A27,Rotations!$A$1:$X$1441,21,0)</f>
        <v>0.11026566002956362</v>
      </c>
      <c r="W27" s="7">
        <f>VLOOKUP($A27,Rotations!$A$1:$X$1441,22,0)</f>
        <v>0.1292755257033156</v>
      </c>
      <c r="X27" s="7">
        <f>VLOOKUP($A27,Rotations!$A$1:$X$1441,23,0)</f>
        <v>9.779258055378412E-2</v>
      </c>
    </row>
    <row r="28" spans="1:24" ht="15.75" customHeight="1" x14ac:dyDescent="0.3">
      <c r="A28">
        <v>19</v>
      </c>
      <c r="B28" t="str">
        <f>Permutations!I20</f>
        <v>p1 - i1:i2</v>
      </c>
      <c r="C28" t="str">
        <f>Permutations!J20</f>
        <v>p12 - i2:i6</v>
      </c>
      <c r="D28" t="str">
        <f>Permutations!K20</f>
        <v>p131 - i6:i3</v>
      </c>
      <c r="E28" t="str">
        <f>Permutations!L20</f>
        <v>p3 - i3:i4</v>
      </c>
      <c r="F28" t="str">
        <f>Permutations!M20</f>
        <v>p4 - i4:i5</v>
      </c>
      <c r="G28" s="7">
        <f>VLOOKUP(B28,Vlookup!$A$1:$B$30,2,0)</f>
        <v>1.6373343116675814</v>
      </c>
      <c r="H28" s="7">
        <f>VLOOKUP(C28,Vlookup!$A$1:$B$30,2,0)</f>
        <v>1.3354555559520354</v>
      </c>
      <c r="I28" s="7">
        <f>VLOOKUP(D28,Vlookup!$A$1:$B$30,2,0)</f>
        <v>1.4032439022773779</v>
      </c>
      <c r="J28" s="7">
        <f>VLOOKUP(E28,Vlookup!$A$1:$B$30,2,0)</f>
        <v>1.4338636587362954</v>
      </c>
      <c r="K28" s="7">
        <f>VLOOKUP(F28,Vlookup!$A$1:$B$30,2,0)</f>
        <v>1.89462595295753</v>
      </c>
      <c r="L28" s="7">
        <f t="shared" si="1"/>
        <v>8.3354932779441668</v>
      </c>
      <c r="M28" s="7">
        <f t="shared" si="2"/>
        <v>5.0908926897492845</v>
      </c>
      <c r="N28" s="7">
        <f t="shared" si="3"/>
        <v>3.8121019206214086</v>
      </c>
      <c r="O28" s="7">
        <f t="shared" si="4"/>
        <v>2.7166353008444242</v>
      </c>
      <c r="P28" s="7">
        <f t="shared" si="5"/>
        <v>1.89462595295753</v>
      </c>
      <c r="Q28">
        <v>1</v>
      </c>
      <c r="R28" s="7">
        <f t="shared" si="6"/>
        <v>22.849749142116814</v>
      </c>
      <c r="S28" s="7">
        <f>VLOOKUP($A28,Rotations!$A$1:$X$1441,18,0)</f>
        <v>0.3647958332540347</v>
      </c>
      <c r="T28" s="7">
        <f>VLOOKUP($A28,Rotations!$A$1:$X$1441,19,0)</f>
        <v>0.22279862496895936</v>
      </c>
      <c r="U28" s="7">
        <f>VLOOKUP($A28,Rotations!$A$1:$X$1441,20,0)</f>
        <v>0.11889125276378214</v>
      </c>
      <c r="V28" s="7">
        <f>VLOOKUP($A28,Rotations!$A$1:$X$1441,21,0)</f>
        <v>8.2916706926350559E-2</v>
      </c>
      <c r="W28" s="7">
        <f>VLOOKUP($A28,Rotations!$A$1:$X$1441,22,0)</f>
        <v>4.3764156611977557E-2</v>
      </c>
      <c r="X28" s="7">
        <f>VLOOKUP($A28,Rotations!$A$1:$X$1441,23,0)</f>
        <v>0.16683342547489577</v>
      </c>
    </row>
    <row r="29" spans="1:24" ht="15.75" customHeight="1" x14ac:dyDescent="0.3">
      <c r="A29">
        <v>20</v>
      </c>
      <c r="B29" t="str">
        <f>Permutations!I21</f>
        <v>p1 - i1:i2</v>
      </c>
      <c r="C29" t="str">
        <f>Permutations!J21</f>
        <v>p12 - i2:i6</v>
      </c>
      <c r="D29" t="str">
        <f>Permutations!K21</f>
        <v>p131 - i6:i3</v>
      </c>
      <c r="E29" t="str">
        <f>Permutations!L21</f>
        <v>p6 - i3:i5</v>
      </c>
      <c r="F29" t="str">
        <f>Permutations!M21</f>
        <v>p41 - i5:i4</v>
      </c>
      <c r="G29" s="7">
        <f>VLOOKUP(B29,Vlookup!$A$1:$B$30,2,0)</f>
        <v>1.6373343116675814</v>
      </c>
      <c r="H29" s="7">
        <f>VLOOKUP(C29,Vlookup!$A$1:$B$30,2,0)</f>
        <v>1.3354555559520354</v>
      </c>
      <c r="I29" s="7">
        <f>VLOOKUP(D29,Vlookup!$A$1:$B$30,2,0)</f>
        <v>1.4032439022773779</v>
      </c>
      <c r="J29" s="7">
        <f>VLOOKUP(E29,Vlookup!$A$1:$B$30,2,0)</f>
        <v>2.2414716085286912</v>
      </c>
      <c r="K29" s="7">
        <f>VLOOKUP(F29,Vlookup!$A$1:$B$30,2,0)</f>
        <v>1.25400669441983</v>
      </c>
      <c r="L29" s="7">
        <f t="shared" si="1"/>
        <v>8.6244828530433448</v>
      </c>
      <c r="M29" s="7">
        <f t="shared" si="2"/>
        <v>5.2673927319458276</v>
      </c>
      <c r="N29" s="7">
        <f t="shared" si="3"/>
        <v>3.9442665901305469</v>
      </c>
      <c r="O29" s="7">
        <f t="shared" si="4"/>
        <v>2.8108204024469634</v>
      </c>
      <c r="P29" s="7">
        <f t="shared" si="5"/>
        <v>1.25400669441983</v>
      </c>
      <c r="Q29">
        <v>1</v>
      </c>
      <c r="R29" s="7">
        <f t="shared" si="6"/>
        <v>22.900969271986511</v>
      </c>
      <c r="S29" s="7">
        <f>VLOOKUP($A29,Rotations!$A$1:$X$1441,18,0)</f>
        <v>0.3765990317096839</v>
      </c>
      <c r="T29" s="7">
        <f>VLOOKUP($A29,Rotations!$A$1:$X$1441,19,0)</f>
        <v>0.23000741450664874</v>
      </c>
      <c r="U29" s="7">
        <f>VLOOKUP($A29,Rotations!$A$1:$X$1441,20,0)</f>
        <v>0.12273805396897695</v>
      </c>
      <c r="V29" s="7">
        <f>VLOOKUP($A29,Rotations!$A$1:$X$1441,21,0)</f>
        <v>4.3666274039468045E-2</v>
      </c>
      <c r="W29" s="7">
        <f>VLOOKUP($A29,Rotations!$A$1:$X$1441,22,0)</f>
        <v>5.475779996586376E-2</v>
      </c>
      <c r="X29" s="7">
        <f>VLOOKUP($A29,Rotations!$A$1:$X$1441,23,0)</f>
        <v>0.17223142580935866</v>
      </c>
    </row>
    <row r="30" spans="1:24" ht="15.75" customHeight="1" x14ac:dyDescent="0.3">
      <c r="A30">
        <v>21</v>
      </c>
      <c r="B30" t="str">
        <f>Permutations!I22</f>
        <v>p1 - i1:i2</v>
      </c>
      <c r="C30" t="str">
        <f>Permutations!J22</f>
        <v>p12 - i2:i6</v>
      </c>
      <c r="D30" t="str">
        <f>Permutations!K22</f>
        <v>p141 - i6:i4</v>
      </c>
      <c r="E30" t="str">
        <f>Permutations!L22</f>
        <v>p31 - i4:i3</v>
      </c>
      <c r="F30" t="str">
        <f>Permutations!M22</f>
        <v>p6 - i3:i5</v>
      </c>
      <c r="G30" s="7">
        <f>VLOOKUP(B30,Vlookup!$A$1:$B$30,2,0)</f>
        <v>1.6373343116675814</v>
      </c>
      <c r="H30" s="7">
        <f>VLOOKUP(C30,Vlookup!$A$1:$B$30,2,0)</f>
        <v>1.3354555559520354</v>
      </c>
      <c r="I30" s="7">
        <f>VLOOKUP(D30,Vlookup!$A$1:$B$30,2,0)</f>
        <v>0.88688155974910687</v>
      </c>
      <c r="J30" s="7">
        <f>VLOOKUP(E30,Vlookup!$A$1:$B$30,2,0)</f>
        <v>2.2388599512381115</v>
      </c>
      <c r="K30" s="7">
        <f>VLOOKUP(F30,Vlookup!$A$1:$B$30,2,0)</f>
        <v>2.2414716085286912</v>
      </c>
      <c r="L30" s="7">
        <f t="shared" si="1"/>
        <v>9.7317870508658704</v>
      </c>
      <c r="M30" s="7">
        <f t="shared" si="2"/>
        <v>5.9436774649609001</v>
      </c>
      <c r="N30" s="7">
        <f t="shared" si="3"/>
        <v>4.4506741077756802</v>
      </c>
      <c r="O30" s="7">
        <f t="shared" si="4"/>
        <v>5.0183410161721573</v>
      </c>
      <c r="P30" s="7">
        <f t="shared" si="5"/>
        <v>2.2414716085286912</v>
      </c>
      <c r="Q30">
        <v>1</v>
      </c>
      <c r="R30" s="7">
        <f t="shared" si="6"/>
        <v>28.3859512483033</v>
      </c>
      <c r="S30" s="7">
        <f>VLOOKUP($A30,Rotations!$A$1:$X$1441,18,0)</f>
        <v>0.34283815137065604</v>
      </c>
      <c r="T30" s="7">
        <f>VLOOKUP($A30,Rotations!$A$1:$X$1441,19,0)</f>
        <v>0.20938799665261063</v>
      </c>
      <c r="U30" s="7">
        <f>VLOOKUP($A30,Rotations!$A$1:$X$1441,20,0)</f>
        <v>7.8964118162595298E-2</v>
      </c>
      <c r="V30" s="7">
        <f>VLOOKUP($A30,Rotations!$A$1:$X$1441,21,0)</f>
        <v>0.1767896017390686</v>
      </c>
      <c r="W30" s="7">
        <f>VLOOKUP($A30,Rotations!$A$1:$X$1441,22,0)</f>
        <v>3.5228694337300831E-2</v>
      </c>
      <c r="X30" s="7">
        <f>VLOOKUP($A30,Rotations!$A$1:$X$1441,23,0)</f>
        <v>0.15679143773776855</v>
      </c>
    </row>
    <row r="31" spans="1:24" ht="15.75" customHeight="1" x14ac:dyDescent="0.3">
      <c r="A31">
        <v>22</v>
      </c>
      <c r="B31" t="str">
        <f>Permutations!I23</f>
        <v>p1 - i1:i2</v>
      </c>
      <c r="C31" t="str">
        <f>Permutations!J23</f>
        <v>p12 - i2:i6</v>
      </c>
      <c r="D31" t="str">
        <f>Permutations!K23</f>
        <v>p141 - i6:i4</v>
      </c>
      <c r="E31" t="str">
        <f>Permutations!L23</f>
        <v>p4 - i4:i5</v>
      </c>
      <c r="F31" t="str">
        <f>Permutations!M23</f>
        <v>p61 - i5:i3</v>
      </c>
      <c r="G31" s="7">
        <f>VLOOKUP(B31,Vlookup!$A$1:$B$30,2,0)</f>
        <v>1.6373343116675814</v>
      </c>
      <c r="H31" s="7">
        <f>VLOOKUP(C31,Vlookup!$A$1:$B$30,2,0)</f>
        <v>1.3354555559520354</v>
      </c>
      <c r="I31" s="7">
        <f>VLOOKUP(D31,Vlookup!$A$1:$B$30,2,0)</f>
        <v>0.88688155974910687</v>
      </c>
      <c r="J31" s="7">
        <f>VLOOKUP(E31,Vlookup!$A$1:$B$30,2,0)</f>
        <v>1.89462595295753</v>
      </c>
      <c r="K31" s="7">
        <f>VLOOKUP(F31,Vlookup!$A$1:$B$30,2,0)</f>
        <v>1.9746367445127702</v>
      </c>
      <c r="L31" s="7">
        <f t="shared" si="1"/>
        <v>7.2550953324178682</v>
      </c>
      <c r="M31" s="7">
        <f t="shared" si="2"/>
        <v>4.4310409185945341</v>
      </c>
      <c r="N31" s="7">
        <f t="shared" si="3"/>
        <v>3.3179995386935071</v>
      </c>
      <c r="O31" s="7">
        <f t="shared" si="4"/>
        <v>3.741198023817462</v>
      </c>
      <c r="P31" s="7">
        <f t="shared" si="5"/>
        <v>1.9746367445127702</v>
      </c>
      <c r="Q31">
        <v>1</v>
      </c>
      <c r="R31" s="7">
        <f t="shared" si="6"/>
        <v>21.719970558036142</v>
      </c>
      <c r="S31" s="7">
        <f>VLOOKUP($A31,Rotations!$A$1:$X$1441,18,0)</f>
        <v>0.33402878300558125</v>
      </c>
      <c r="T31" s="7">
        <f>VLOOKUP($A31,Rotations!$A$1:$X$1441,19,0)</f>
        <v>0.20400768531222063</v>
      </c>
      <c r="U31" s="7">
        <f>VLOOKUP($A31,Rotations!$A$1:$X$1441,20,0)</f>
        <v>4.6040578062846928E-2</v>
      </c>
      <c r="V31" s="7">
        <f>VLOOKUP($A31,Rotations!$A$1:$X$1441,21,0)</f>
        <v>0.17224691966413652</v>
      </c>
      <c r="W31" s="7">
        <f>VLOOKUP($A31,Rotations!$A$1:$X$1441,22,0)</f>
        <v>9.0913417181506126E-2</v>
      </c>
      <c r="X31" s="7">
        <f>VLOOKUP($A31,Rotations!$A$1:$X$1441,23,0)</f>
        <v>0.1527626167737085</v>
      </c>
    </row>
    <row r="32" spans="1:24" ht="15.75" customHeight="1" x14ac:dyDescent="0.3">
      <c r="A32">
        <v>23</v>
      </c>
      <c r="B32" t="str">
        <f>Permutations!I24</f>
        <v>p1 - i1:i2</v>
      </c>
      <c r="C32" t="str">
        <f>Permutations!J24</f>
        <v>p12 - i2:i6</v>
      </c>
      <c r="D32" t="str">
        <f>Permutations!K24</f>
        <v>p151 - i6:i5</v>
      </c>
      <c r="E32" t="str">
        <f>Permutations!L24</f>
        <v>p61 - i5:i3</v>
      </c>
      <c r="F32" t="str">
        <f>Permutations!M24</f>
        <v>p3 - i3:i4</v>
      </c>
      <c r="G32" s="7">
        <f>VLOOKUP(B32,Vlookup!$A$1:$B$30,2,0)</f>
        <v>1.6373343116675814</v>
      </c>
      <c r="H32" s="7">
        <f>VLOOKUP(C32,Vlookup!$A$1:$B$30,2,0)</f>
        <v>1.3354555559520354</v>
      </c>
      <c r="I32" s="7">
        <f>VLOOKUP(D32,Vlookup!$A$1:$B$30,2,0)</f>
        <v>1.2266517321719024</v>
      </c>
      <c r="J32" s="7">
        <f>VLOOKUP(E32,Vlookup!$A$1:$B$30,2,0)</f>
        <v>1.9746367445127702</v>
      </c>
      <c r="K32" s="7">
        <f>VLOOKUP(F32,Vlookup!$A$1:$B$30,2,0)</f>
        <v>1.4338636587362954</v>
      </c>
      <c r="L32" s="7">
        <f t="shared" si="1"/>
        <v>7.5942195851579424</v>
      </c>
      <c r="M32" s="7">
        <f t="shared" si="2"/>
        <v>4.6381606560381865</v>
      </c>
      <c r="N32" s="7">
        <f t="shared" si="3"/>
        <v>3.4730924854565299</v>
      </c>
      <c r="O32" s="7">
        <f t="shared" si="4"/>
        <v>2.8313598671622078</v>
      </c>
      <c r="P32" s="7">
        <f t="shared" si="5"/>
        <v>1.4338636587362954</v>
      </c>
      <c r="Q32">
        <v>1</v>
      </c>
      <c r="R32" s="7">
        <f t="shared" si="6"/>
        <v>20.970696252551161</v>
      </c>
      <c r="S32" s="7">
        <f>VLOOKUP($A32,Rotations!$A$1:$X$1441,18,0)</f>
        <v>0.36213483299268512</v>
      </c>
      <c r="T32" s="7">
        <f>VLOOKUP($A32,Rotations!$A$1:$X$1441,19,0)</f>
        <v>0.22117342219736447</v>
      </c>
      <c r="U32" s="7">
        <f>VLOOKUP($A32,Rotations!$A$1:$X$1441,20,0)</f>
        <v>6.8374632938658905E-2</v>
      </c>
      <c r="V32" s="7">
        <f>VLOOKUP($A32,Rotations!$A$1:$X$1441,21,0)</f>
        <v>4.7685588878735793E-2</v>
      </c>
      <c r="W32" s="7">
        <f>VLOOKUP($A32,Rotations!$A$1:$X$1441,22,0)</f>
        <v>0.13501506259324902</v>
      </c>
      <c r="X32" s="7">
        <f>VLOOKUP($A32,Rotations!$A$1:$X$1441,23,0)</f>
        <v>0.16561646039930675</v>
      </c>
    </row>
    <row r="33" spans="1:24" ht="15.75" customHeight="1" x14ac:dyDescent="0.3">
      <c r="A33">
        <v>24</v>
      </c>
      <c r="B33" t="str">
        <f>Permutations!I25</f>
        <v>p1 - i1:i2</v>
      </c>
      <c r="C33" t="str">
        <f>Permutations!J25</f>
        <v>p12 - i2:i6</v>
      </c>
      <c r="D33" t="str">
        <f>Permutations!K25</f>
        <v>p151 - i6:i5</v>
      </c>
      <c r="E33" t="str">
        <f>Permutations!L25</f>
        <v>p41 - i5:i4</v>
      </c>
      <c r="F33" t="str">
        <f>Permutations!M25</f>
        <v>p31 - i4:i3</v>
      </c>
      <c r="G33" s="7">
        <f>VLOOKUP(B33,Vlookup!$A$1:$B$30,2,0)</f>
        <v>1.6373343116675814</v>
      </c>
      <c r="H33" s="7">
        <f>VLOOKUP(C33,Vlookup!$A$1:$B$30,2,0)</f>
        <v>1.3354555559520354</v>
      </c>
      <c r="I33" s="7">
        <f>VLOOKUP(D33,Vlookup!$A$1:$B$30,2,0)</f>
        <v>1.2266517321719024</v>
      </c>
      <c r="J33" s="7">
        <f>VLOOKUP(E33,Vlookup!$A$1:$B$30,2,0)</f>
        <v>1.25400669441983</v>
      </c>
      <c r="K33" s="7">
        <f>VLOOKUP(F33,Vlookup!$A$1:$B$30,2,0)</f>
        <v>2.2388599512381115</v>
      </c>
      <c r="L33" s="7">
        <f t="shared" si="1"/>
        <v>7.5303447850103051</v>
      </c>
      <c r="M33" s="7">
        <f t="shared" si="2"/>
        <v>4.5991491971733316</v>
      </c>
      <c r="N33" s="7">
        <f t="shared" si="3"/>
        <v>3.4438803872395698</v>
      </c>
      <c r="O33" s="7">
        <f t="shared" si="4"/>
        <v>2.8075453667210462</v>
      </c>
      <c r="P33" s="7">
        <f t="shared" si="5"/>
        <v>2.2388599512381115</v>
      </c>
      <c r="Q33">
        <v>1</v>
      </c>
      <c r="R33" s="7">
        <f t="shared" si="6"/>
        <v>21.619779687382366</v>
      </c>
      <c r="S33" s="7">
        <f>VLOOKUP($A33,Rotations!$A$1:$X$1441,18,0)</f>
        <v>0.34830811848675453</v>
      </c>
      <c r="T33" s="7">
        <f>VLOOKUP($A33,Rotations!$A$1:$X$1441,19,0)</f>
        <v>0.21272877261822726</v>
      </c>
      <c r="U33" s="7">
        <f>VLOOKUP($A33,Rotations!$A$1:$X$1441,20,0)</f>
        <v>4.6253940348134785E-2</v>
      </c>
      <c r="V33" s="7">
        <f>VLOOKUP($A33,Rotations!$A$1:$X$1441,21,0)</f>
        <v>0.10355609463239555</v>
      </c>
      <c r="W33" s="7">
        <f>VLOOKUP($A33,Rotations!$A$1:$X$1441,22,0)</f>
        <v>0.12986003591699746</v>
      </c>
      <c r="X33" s="7">
        <f>VLOOKUP($A33,Rotations!$A$1:$X$1441,23,0)</f>
        <v>0.15929303799749037</v>
      </c>
    </row>
    <row r="34" spans="1:24" ht="15.75" customHeight="1" x14ac:dyDescent="0.3">
      <c r="A34">
        <v>25</v>
      </c>
      <c r="B34" t="str">
        <f>Permutations!I26</f>
        <v>p8 - i1:i3</v>
      </c>
      <c r="C34" t="str">
        <f>Permutations!J26</f>
        <v>p21 - i3:i2</v>
      </c>
      <c r="D34" t="str">
        <f>Permutations!K26</f>
        <v>p5 - i2:i4</v>
      </c>
      <c r="E34" t="str">
        <f>Permutations!L26</f>
        <v>p4 - i4:i5</v>
      </c>
      <c r="F34" t="str">
        <f>Permutations!M26</f>
        <v>p15 - i5:i6</v>
      </c>
      <c r="G34" s="7">
        <f>VLOOKUP(B34,Vlookup!$A$1:$B$30,2,0)</f>
        <v>1.1080774401297739</v>
      </c>
      <c r="H34" s="7">
        <f>VLOOKUP(C34,Vlookup!$A$1:$B$30,2,0)</f>
        <v>1.5059827029565431</v>
      </c>
      <c r="I34" s="7">
        <f>VLOOKUP(D34,Vlookup!$A$1:$B$30,2,0)</f>
        <v>0.9108240498099236</v>
      </c>
      <c r="J34" s="7">
        <f>VLOOKUP(E34,Vlookup!$A$1:$B$30,2,0)</f>
        <v>1.89462595295753</v>
      </c>
      <c r="K34" s="7">
        <f>VLOOKUP(F34,Vlookup!$A$1:$B$30,2,0)</f>
        <v>1.3219359277692486</v>
      </c>
      <c r="L34" s="7">
        <f t="shared" si="1"/>
        <v>3.8067860947313945</v>
      </c>
      <c r="M34" s="7">
        <f t="shared" si="2"/>
        <v>3.4354874098741308</v>
      </c>
      <c r="N34" s="7">
        <f t="shared" si="3"/>
        <v>2.281226340202704</v>
      </c>
      <c r="O34" s="7">
        <f t="shared" si="4"/>
        <v>2.5045741168986093</v>
      </c>
      <c r="P34" s="7">
        <f t="shared" si="5"/>
        <v>1.3219359277692486</v>
      </c>
      <c r="Q34">
        <v>1</v>
      </c>
      <c r="R34" s="7">
        <f t="shared" si="6"/>
        <v>14.350009889476087</v>
      </c>
      <c r="S34" s="7">
        <f>VLOOKUP($A34,Rotations!$A$1:$X$1441,18,0)</f>
        <v>0.26528107813522761</v>
      </c>
      <c r="T34" s="7">
        <f>VLOOKUP($A34,Rotations!$A$1:$X$1441,19,0)</f>
        <v>0.15897036711282647</v>
      </c>
      <c r="U34" s="7">
        <f>VLOOKUP($A34,Rotations!$A$1:$X$1441,20,0)</f>
        <v>0.23940662315456837</v>
      </c>
      <c r="V34" s="7">
        <f>VLOOKUP($A34,Rotations!$A$1:$X$1441,21,0)</f>
        <v>0.17453466138273513</v>
      </c>
      <c r="W34" s="7">
        <f>VLOOKUP($A34,Rotations!$A$1:$X$1441,22,0)</f>
        <v>9.2120907090016774E-2</v>
      </c>
      <c r="X34" s="7">
        <f>VLOOKUP($A34,Rotations!$A$1:$X$1441,23,0)</f>
        <v>6.9686363124625658E-2</v>
      </c>
    </row>
    <row r="35" spans="1:24" ht="15.75" customHeight="1" x14ac:dyDescent="0.3">
      <c r="A35">
        <v>26</v>
      </c>
      <c r="B35" t="str">
        <f>Permutations!I27</f>
        <v>p8 - i1:i3</v>
      </c>
      <c r="C35" t="str">
        <f>Permutations!J27</f>
        <v>p21 - i3:i2</v>
      </c>
      <c r="D35" t="str">
        <f>Permutations!K27</f>
        <v>p5 - i2:i4</v>
      </c>
      <c r="E35" t="str">
        <f>Permutations!L27</f>
        <v>p14 - i4:i6</v>
      </c>
      <c r="F35" t="str">
        <f>Permutations!M27</f>
        <v>p151 - i6:i5</v>
      </c>
      <c r="G35" s="7">
        <f>VLOOKUP(B35,Vlookup!$A$1:$B$30,2,0)</f>
        <v>1.1080774401297739</v>
      </c>
      <c r="H35" s="7">
        <f>VLOOKUP(C35,Vlookup!$A$1:$B$30,2,0)</f>
        <v>1.5059827029565431</v>
      </c>
      <c r="I35" s="7">
        <f>VLOOKUP(D35,Vlookup!$A$1:$B$30,2,0)</f>
        <v>0.9108240498099236</v>
      </c>
      <c r="J35" s="7">
        <f>VLOOKUP(E35,Vlookup!$A$1:$B$30,2,0)</f>
        <v>1.478275916473532</v>
      </c>
      <c r="K35" s="7">
        <f>VLOOKUP(F35,Vlookup!$A$1:$B$30,2,0)</f>
        <v>1.2266517321719024</v>
      </c>
      <c r="L35" s="7">
        <f t="shared" si="1"/>
        <v>2.7561405718471663</v>
      </c>
      <c r="M35" s="7">
        <f t="shared" si="2"/>
        <v>2.4873176476947112</v>
      </c>
      <c r="N35" s="7">
        <f t="shared" si="3"/>
        <v>1.6516243133547373</v>
      </c>
      <c r="O35" s="7">
        <f t="shared" si="4"/>
        <v>1.8133297135702644</v>
      </c>
      <c r="P35" s="7">
        <f t="shared" si="5"/>
        <v>1.2266517321719024</v>
      </c>
      <c r="Q35">
        <v>1</v>
      </c>
      <c r="R35" s="7">
        <f t="shared" si="6"/>
        <v>10.93506397863878</v>
      </c>
      <c r="S35" s="7">
        <f>VLOOKUP($A35,Rotations!$A$1:$X$1441,18,0)</f>
        <v>0.25204613134693854</v>
      </c>
      <c r="T35" s="7">
        <f>VLOOKUP($A35,Rotations!$A$1:$X$1441,19,0)</f>
        <v>0.15103929127265472</v>
      </c>
      <c r="U35" s="7">
        <f>VLOOKUP($A35,Rotations!$A$1:$X$1441,20,0)</f>
        <v>0.22746256012343311</v>
      </c>
      <c r="V35" s="7">
        <f>VLOOKUP($A35,Rotations!$A$1:$X$1441,21,0)</f>
        <v>0.16582707857151391</v>
      </c>
      <c r="W35" s="7">
        <f>VLOOKUP($A35,Rotations!$A$1:$X$1441,22,0)</f>
        <v>9.1448939114893241E-2</v>
      </c>
      <c r="X35" s="7">
        <f>VLOOKUP($A35,Rotations!$A$1:$X$1441,23,0)</f>
        <v>0.11217599957056662</v>
      </c>
    </row>
    <row r="36" spans="1:24" ht="15.75" customHeight="1" x14ac:dyDescent="0.3">
      <c r="A36">
        <v>27</v>
      </c>
      <c r="B36" t="str">
        <f>Permutations!I28</f>
        <v>p8 - i1:i3</v>
      </c>
      <c r="C36" t="str">
        <f>Permutations!J28</f>
        <v>p21 - i3:i2</v>
      </c>
      <c r="D36" t="str">
        <f>Permutations!K28</f>
        <v>p7 - i2:i5</v>
      </c>
      <c r="E36" t="str">
        <f>Permutations!L28</f>
        <v>p41 - i5:i4</v>
      </c>
      <c r="F36" t="str">
        <f>Permutations!M28</f>
        <v>p14 - i4:i6</v>
      </c>
      <c r="G36" s="7">
        <f>VLOOKUP(B36,Vlookup!$A$1:$B$30,2,0)</f>
        <v>1.1080774401297739</v>
      </c>
      <c r="H36" s="7">
        <f>VLOOKUP(C36,Vlookup!$A$1:$B$30,2,0)</f>
        <v>1.5059827029565431</v>
      </c>
      <c r="I36" s="7">
        <f>VLOOKUP(D36,Vlookup!$A$1:$B$30,2,0)</f>
        <v>1.7991741228251155</v>
      </c>
      <c r="J36" s="7">
        <f>VLOOKUP(E36,Vlookup!$A$1:$B$30,2,0)</f>
        <v>1.25400669441983</v>
      </c>
      <c r="K36" s="7">
        <f>VLOOKUP(F36,Vlookup!$A$1:$B$30,2,0)</f>
        <v>1.478275916473532</v>
      </c>
      <c r="L36" s="7">
        <f t="shared" si="1"/>
        <v>5.5656853379706526</v>
      </c>
      <c r="M36" s="7">
        <f t="shared" si="2"/>
        <v>5.0228306582244109</v>
      </c>
      <c r="N36" s="7">
        <f t="shared" si="3"/>
        <v>3.3352512272309616</v>
      </c>
      <c r="O36" s="7">
        <f t="shared" si="4"/>
        <v>1.8537678954574186</v>
      </c>
      <c r="P36" s="7">
        <f t="shared" si="5"/>
        <v>1.478275916473532</v>
      </c>
      <c r="Q36">
        <v>1</v>
      </c>
      <c r="R36" s="7">
        <f t="shared" si="6"/>
        <v>18.255811035356977</v>
      </c>
      <c r="S36" s="7">
        <f>VLOOKUP($A36,Rotations!$A$1:$X$1441,18,0)</f>
        <v>0.30487198444327129</v>
      </c>
      <c r="T36" s="7">
        <f>VLOOKUP($A36,Rotations!$A$1:$X$1441,19,0)</f>
        <v>0.18269531935729436</v>
      </c>
      <c r="U36" s="7">
        <f>VLOOKUP($A36,Rotations!$A$1:$X$1441,20,0)</f>
        <v>0.275135990863207</v>
      </c>
      <c r="V36" s="7">
        <f>VLOOKUP($A36,Rotations!$A$1:$X$1441,21,0)</f>
        <v>8.0975636393829792E-2</v>
      </c>
      <c r="W36" s="7">
        <f>VLOOKUP($A36,Rotations!$A$1:$X$1441,22,0)</f>
        <v>0.10154399012276859</v>
      </c>
      <c r="X36" s="7">
        <f>VLOOKUP($A36,Rotations!$A$1:$X$1441,23,0)</f>
        <v>5.4777078819628885E-2</v>
      </c>
    </row>
    <row r="37" spans="1:24" ht="15.75" customHeight="1" x14ac:dyDescent="0.3">
      <c r="A37">
        <v>28</v>
      </c>
      <c r="B37" t="str">
        <f>Permutations!I29</f>
        <v>p8 - i1:i3</v>
      </c>
      <c r="C37" t="str">
        <f>Permutations!J29</f>
        <v>p21 - i3:i2</v>
      </c>
      <c r="D37" t="str">
        <f>Permutations!K29</f>
        <v>p7 - i2:i5</v>
      </c>
      <c r="E37" t="str">
        <f>Permutations!L29</f>
        <v>p15 - i5:i6</v>
      </c>
      <c r="F37" t="str">
        <f>Permutations!M29</f>
        <v>p141 - i6:i4</v>
      </c>
      <c r="G37" s="7">
        <f>VLOOKUP(B37,Vlookup!$A$1:$B$30,2,0)</f>
        <v>1.1080774401297739</v>
      </c>
      <c r="H37" s="7">
        <f>VLOOKUP(C37,Vlookup!$A$1:$B$30,2,0)</f>
        <v>1.5059827029565431</v>
      </c>
      <c r="I37" s="7">
        <f>VLOOKUP(D37,Vlookup!$A$1:$B$30,2,0)</f>
        <v>1.7991741228251155</v>
      </c>
      <c r="J37" s="7">
        <f>VLOOKUP(E37,Vlookup!$A$1:$B$30,2,0)</f>
        <v>1.3219359277692486</v>
      </c>
      <c r="K37" s="7">
        <f>VLOOKUP(F37,Vlookup!$A$1:$B$30,2,0)</f>
        <v>0.88688155974910687</v>
      </c>
      <c r="L37" s="7">
        <f t="shared" si="1"/>
        <v>3.5199729328413514</v>
      </c>
      <c r="M37" s="7">
        <f t="shared" si="2"/>
        <v>3.1766488562650506</v>
      </c>
      <c r="N37" s="7">
        <f t="shared" si="3"/>
        <v>2.1093528166217701</v>
      </c>
      <c r="O37" s="7">
        <f t="shared" si="4"/>
        <v>1.172400597508374</v>
      </c>
      <c r="P37" s="7">
        <f t="shared" si="5"/>
        <v>0.88688155974910687</v>
      </c>
      <c r="Q37">
        <v>1</v>
      </c>
      <c r="R37" s="7">
        <f t="shared" si="6"/>
        <v>11.865256762985652</v>
      </c>
      <c r="S37" s="7">
        <f>VLOOKUP($A37,Rotations!$A$1:$X$1441,18,0)</f>
        <v>0.29666217960171826</v>
      </c>
      <c r="T37" s="7">
        <f>VLOOKUP($A37,Rotations!$A$1:$X$1441,19,0)</f>
        <v>0.17777557272945133</v>
      </c>
      <c r="U37" s="7">
        <f>VLOOKUP($A37,Rotations!$A$1:$X$1441,20,0)</f>
        <v>0.2677269375387466</v>
      </c>
      <c r="V37" s="7">
        <f>VLOOKUP($A37,Rotations!$A$1:$X$1441,21,0)</f>
        <v>8.4279676367354922E-2</v>
      </c>
      <c r="W37" s="7">
        <f>VLOOKUP($A37,Rotations!$A$1:$X$1441,22,0)</f>
        <v>9.8809542930899302E-2</v>
      </c>
      <c r="X37" s="7">
        <f>VLOOKUP($A37,Rotations!$A$1:$X$1441,23,0)</f>
        <v>7.4746090831829676E-2</v>
      </c>
    </row>
    <row r="38" spans="1:24" ht="15.75" customHeight="1" x14ac:dyDescent="0.3">
      <c r="A38">
        <v>29</v>
      </c>
      <c r="B38" t="str">
        <f>Permutations!I30</f>
        <v>p8 - i1:i3</v>
      </c>
      <c r="C38" t="str">
        <f>Permutations!J30</f>
        <v>p21 - i3:i2</v>
      </c>
      <c r="D38" t="str">
        <f>Permutations!K30</f>
        <v>p12 - i2:i6</v>
      </c>
      <c r="E38" t="str">
        <f>Permutations!L30</f>
        <v>p141 - i6:i4</v>
      </c>
      <c r="F38" t="str">
        <f>Permutations!M30</f>
        <v>p4 - i4:i5</v>
      </c>
      <c r="G38" s="7">
        <f>VLOOKUP(B38,Vlookup!$A$1:$B$30,2,0)</f>
        <v>1.1080774401297739</v>
      </c>
      <c r="H38" s="7">
        <f>VLOOKUP(C38,Vlookup!$A$1:$B$30,2,0)</f>
        <v>1.5059827029565431</v>
      </c>
      <c r="I38" s="7">
        <f>VLOOKUP(D38,Vlookup!$A$1:$B$30,2,0)</f>
        <v>1.3354555559520354</v>
      </c>
      <c r="J38" s="7">
        <f>VLOOKUP(E38,Vlookup!$A$1:$B$30,2,0)</f>
        <v>0.88688155974910687</v>
      </c>
      <c r="K38" s="7">
        <f>VLOOKUP(F38,Vlookup!$A$1:$B$30,2,0)</f>
        <v>1.89462595295753</v>
      </c>
      <c r="L38" s="7">
        <f t="shared" si="1"/>
        <v>3.7446276786410908</v>
      </c>
      <c r="M38" s="7">
        <f t="shared" si="2"/>
        <v>3.3793916769955477</v>
      </c>
      <c r="N38" s="7">
        <f t="shared" si="3"/>
        <v>2.2439777497849951</v>
      </c>
      <c r="O38" s="7">
        <f t="shared" si="4"/>
        <v>1.6803088203001122</v>
      </c>
      <c r="P38" s="7">
        <f t="shared" si="5"/>
        <v>1.89462595295753</v>
      </c>
      <c r="Q38">
        <v>1</v>
      </c>
      <c r="R38" s="7">
        <f t="shared" si="6"/>
        <v>13.942931878679275</v>
      </c>
      <c r="S38" s="7">
        <f>VLOOKUP($A38,Rotations!$A$1:$X$1441,18,0)</f>
        <v>0.26856816853327375</v>
      </c>
      <c r="T38" s="7">
        <f>VLOOKUP($A38,Rotations!$A$1:$X$1441,19,0)</f>
        <v>0.16094016447260681</v>
      </c>
      <c r="U38" s="7">
        <f>VLOOKUP($A38,Rotations!$A$1:$X$1441,20,0)</f>
        <v>0.24237310390672695</v>
      </c>
      <c r="V38" s="7">
        <f>VLOOKUP($A38,Rotations!$A$1:$X$1441,21,0)</f>
        <v>0.13588432974091214</v>
      </c>
      <c r="W38" s="7">
        <f>VLOOKUP($A38,Rotations!$A$1:$X$1441,22,0)</f>
        <v>7.1720927040398313E-2</v>
      </c>
      <c r="X38" s="7">
        <f>VLOOKUP($A38,Rotations!$A$1:$X$1441,23,0)</f>
        <v>0.1205133063060821</v>
      </c>
    </row>
    <row r="39" spans="1:24" ht="15.75" customHeight="1" x14ac:dyDescent="0.3">
      <c r="A39">
        <v>30</v>
      </c>
      <c r="B39" t="str">
        <f>Permutations!I31</f>
        <v>p8 - i1:i3</v>
      </c>
      <c r="C39" t="str">
        <f>Permutations!J31</f>
        <v>p21 - i3:i2</v>
      </c>
      <c r="D39" t="str">
        <f>Permutations!K31</f>
        <v>p12 - i2:i6</v>
      </c>
      <c r="E39" t="str">
        <f>Permutations!L31</f>
        <v>p151 - i6:i5</v>
      </c>
      <c r="F39" t="str">
        <f>Permutations!M31</f>
        <v>p41 - i5:i4</v>
      </c>
      <c r="G39" s="7">
        <f>VLOOKUP(B39,Vlookup!$A$1:$B$30,2,0)</f>
        <v>1.1080774401297739</v>
      </c>
      <c r="H39" s="7">
        <f>VLOOKUP(C39,Vlookup!$A$1:$B$30,2,0)</f>
        <v>1.5059827029565431</v>
      </c>
      <c r="I39" s="7">
        <f>VLOOKUP(D39,Vlookup!$A$1:$B$30,2,0)</f>
        <v>1.3354555559520354</v>
      </c>
      <c r="J39" s="7">
        <f>VLOOKUP(E39,Vlookup!$A$1:$B$30,2,0)</f>
        <v>1.2266517321719024</v>
      </c>
      <c r="K39" s="7">
        <f>VLOOKUP(F39,Vlookup!$A$1:$B$30,2,0)</f>
        <v>1.25400669441983</v>
      </c>
      <c r="L39" s="7">
        <f t="shared" si="1"/>
        <v>3.427998848660935</v>
      </c>
      <c r="M39" s="7">
        <f t="shared" si="2"/>
        <v>3.0936455562703822</v>
      </c>
      <c r="N39" s="7">
        <f t="shared" si="3"/>
        <v>2.0542371105570747</v>
      </c>
      <c r="O39" s="7">
        <f t="shared" si="4"/>
        <v>1.5382294838652459</v>
      </c>
      <c r="P39" s="7">
        <f t="shared" si="5"/>
        <v>1.25400669441983</v>
      </c>
      <c r="Q39">
        <v>1</v>
      </c>
      <c r="R39" s="7">
        <f t="shared" si="6"/>
        <v>12.368117693773469</v>
      </c>
      <c r="S39" s="7">
        <f>VLOOKUP($A39,Rotations!$A$1:$X$1441,18,0)</f>
        <v>0.27716415169518527</v>
      </c>
      <c r="T39" s="7">
        <f>VLOOKUP($A39,Rotations!$A$1:$X$1441,19,0)</f>
        <v>0.16609132945033725</v>
      </c>
      <c r="U39" s="7">
        <f>VLOOKUP($A39,Rotations!$A$1:$X$1441,20,0)</f>
        <v>0.2501306692632646</v>
      </c>
      <c r="V39" s="7">
        <f>VLOOKUP($A39,Rotations!$A$1:$X$1441,21,0)</f>
        <v>8.0853046903283751E-2</v>
      </c>
      <c r="W39" s="7">
        <f>VLOOKUP($A39,Rotations!$A$1:$X$1441,22,0)</f>
        <v>0.10139026208095835</v>
      </c>
      <c r="X39" s="7">
        <f>VLOOKUP($A39,Rotations!$A$1:$X$1441,23,0)</f>
        <v>0.1243705406069707</v>
      </c>
    </row>
    <row r="40" spans="1:24" ht="15.75" customHeight="1" x14ac:dyDescent="0.3">
      <c r="A40">
        <v>31</v>
      </c>
      <c r="B40" t="str">
        <f>Permutations!I32</f>
        <v>p8 - i1:i3</v>
      </c>
      <c r="C40" t="str">
        <f>Permutations!J32</f>
        <v>p3 - i3:i4</v>
      </c>
      <c r="D40" t="str">
        <f>Permutations!K32</f>
        <v>p51 - i4:i2</v>
      </c>
      <c r="E40" t="str">
        <f>Permutations!L32</f>
        <v>p7 - i2:i5</v>
      </c>
      <c r="F40" t="str">
        <f>Permutations!M32</f>
        <v>p15 - i5:i6</v>
      </c>
      <c r="G40" s="7">
        <f>VLOOKUP(B40,Vlookup!$A$1:$B$30,2,0)</f>
        <v>1.1080774401297739</v>
      </c>
      <c r="H40" s="7">
        <f>VLOOKUP(C40,Vlookup!$A$1:$B$30,2,0)</f>
        <v>1.4338636587362954</v>
      </c>
      <c r="I40" s="7">
        <f>VLOOKUP(D40,Vlookup!$A$1:$B$30,2,0)</f>
        <v>1.4376356077157479</v>
      </c>
      <c r="J40" s="7">
        <f>VLOOKUP(E40,Vlookup!$A$1:$B$30,2,0)</f>
        <v>1.7991741228251155</v>
      </c>
      <c r="K40" s="7">
        <f>VLOOKUP(F40,Vlookup!$A$1:$B$30,2,0)</f>
        <v>1.3219359277692486</v>
      </c>
      <c r="L40" s="7">
        <f t="shared" si="1"/>
        <v>5.4326333300536138</v>
      </c>
      <c r="M40" s="7">
        <f t="shared" si="2"/>
        <v>4.9027560108230013</v>
      </c>
      <c r="N40" s="7">
        <f t="shared" si="3"/>
        <v>3.4192623412632823</v>
      </c>
      <c r="O40" s="7">
        <f t="shared" si="4"/>
        <v>2.3783929132752433</v>
      </c>
      <c r="P40" s="7">
        <f t="shared" si="5"/>
        <v>1.3219359277692486</v>
      </c>
      <c r="Q40">
        <v>1</v>
      </c>
      <c r="R40" s="7">
        <f t="shared" si="6"/>
        <v>18.454980523184389</v>
      </c>
      <c r="S40" s="7">
        <f>VLOOKUP($A40,Rotations!$A$1:$X$1441,18,0)</f>
        <v>0.29437220609519332</v>
      </c>
      <c r="T40" s="7">
        <f>VLOOKUP($A40,Rotations!$A$1:$X$1441,19,0)</f>
        <v>0.12887539546776253</v>
      </c>
      <c r="U40" s="7">
        <f>VLOOKUP($A40,Rotations!$A$1:$X$1441,20,0)</f>
        <v>0.26566031888594133</v>
      </c>
      <c r="V40" s="7">
        <f>VLOOKUP($A40,Rotations!$A$1:$X$1441,21,0)</f>
        <v>0.18527585748290412</v>
      </c>
      <c r="W40" s="7">
        <f>VLOOKUP($A40,Rotations!$A$1:$X$1441,22,0)</f>
        <v>7.1630307390925921E-2</v>
      </c>
      <c r="X40" s="7">
        <f>VLOOKUP($A40,Rotations!$A$1:$X$1441,23,0)</f>
        <v>5.4185914677272767E-2</v>
      </c>
    </row>
    <row r="41" spans="1:24" ht="15.75" customHeight="1" x14ac:dyDescent="0.3">
      <c r="A41">
        <v>32</v>
      </c>
      <c r="B41" t="str">
        <f>Permutations!I33</f>
        <v>p8 - i1:i3</v>
      </c>
      <c r="C41" t="str">
        <f>Permutations!J33</f>
        <v>p3 - i3:i4</v>
      </c>
      <c r="D41" t="str">
        <f>Permutations!K33</f>
        <v>p51 - i4:i2</v>
      </c>
      <c r="E41" t="str">
        <f>Permutations!L33</f>
        <v>p12 - i2:i6</v>
      </c>
      <c r="F41" t="str">
        <f>Permutations!M33</f>
        <v>p151 - i6:i5</v>
      </c>
      <c r="G41" s="7">
        <f>VLOOKUP(B41,Vlookup!$A$1:$B$30,2,0)</f>
        <v>1.1080774401297739</v>
      </c>
      <c r="H41" s="7">
        <f>VLOOKUP(C41,Vlookup!$A$1:$B$30,2,0)</f>
        <v>1.4338636587362954</v>
      </c>
      <c r="I41" s="7">
        <f>VLOOKUP(D41,Vlookup!$A$1:$B$30,2,0)</f>
        <v>1.4376356077157479</v>
      </c>
      <c r="J41" s="7">
        <f>VLOOKUP(E41,Vlookup!$A$1:$B$30,2,0)</f>
        <v>1.3354555559520354</v>
      </c>
      <c r="K41" s="7">
        <f>VLOOKUP(F41,Vlookup!$A$1:$B$30,2,0)</f>
        <v>1.2266517321719024</v>
      </c>
      <c r="L41" s="7">
        <f t="shared" si="1"/>
        <v>3.7417736068296192</v>
      </c>
      <c r="M41" s="7">
        <f t="shared" si="2"/>
        <v>3.3768159799295212</v>
      </c>
      <c r="N41" s="7">
        <f t="shared" si="3"/>
        <v>2.3550467712569025</v>
      </c>
      <c r="O41" s="7">
        <f t="shared" si="4"/>
        <v>1.6381388709471552</v>
      </c>
      <c r="P41" s="7">
        <f t="shared" si="5"/>
        <v>1.2266517321719024</v>
      </c>
      <c r="Q41">
        <v>1</v>
      </c>
      <c r="R41" s="7">
        <f t="shared" si="6"/>
        <v>13.338426961135102</v>
      </c>
      <c r="S41" s="7">
        <f>VLOOKUP($A41,Rotations!$A$1:$X$1441,18,0)</f>
        <v>0.28052585344075637</v>
      </c>
      <c r="T41" s="7">
        <f>VLOOKUP($A41,Rotations!$A$1:$X$1441,19,0)</f>
        <v>0.12281349785250459</v>
      </c>
      <c r="U41" s="7">
        <f>VLOOKUP($A41,Rotations!$A$1:$X$1441,20,0)</f>
        <v>0.25316448407062792</v>
      </c>
      <c r="V41" s="7">
        <f>VLOOKUP($A41,Rotations!$A$1:$X$1441,21,0)</f>
        <v>0.17656105762088214</v>
      </c>
      <c r="W41" s="7">
        <f>VLOOKUP($A41,Rotations!$A$1:$X$1441,22,0)</f>
        <v>7.4971359285000719E-2</v>
      </c>
      <c r="X41" s="7">
        <f>VLOOKUP($A41,Rotations!$A$1:$X$1441,23,0)</f>
        <v>9.1963747730228168E-2</v>
      </c>
    </row>
    <row r="42" spans="1:24" ht="15.75" customHeight="1" x14ac:dyDescent="0.3">
      <c r="A42">
        <v>33</v>
      </c>
      <c r="B42" t="str">
        <f>Permutations!I34</f>
        <v>p8 - i1:i3</v>
      </c>
      <c r="C42" t="str">
        <f>Permutations!J34</f>
        <v>p3 - i3:i4</v>
      </c>
      <c r="D42" t="str">
        <f>Permutations!K34</f>
        <v>p4 - i4:i5</v>
      </c>
      <c r="E42" t="str">
        <f>Permutations!L34</f>
        <v>p71 - i5:i2</v>
      </c>
      <c r="F42" t="str">
        <f>Permutations!M34</f>
        <v>p12 - i2:i6</v>
      </c>
      <c r="G42" s="7">
        <f>VLOOKUP(B42,Vlookup!$A$1:$B$30,2,0)</f>
        <v>1.1080774401297739</v>
      </c>
      <c r="H42" s="7">
        <f>VLOOKUP(C42,Vlookup!$A$1:$B$30,2,0)</f>
        <v>1.4338636587362954</v>
      </c>
      <c r="I42" s="7">
        <f>VLOOKUP(D42,Vlookup!$A$1:$B$30,2,0)</f>
        <v>1.89462595295753</v>
      </c>
      <c r="J42" s="7">
        <f>VLOOKUP(E42,Vlookup!$A$1:$B$30,2,0)</f>
        <v>1.8243208303594776</v>
      </c>
      <c r="K42" s="7">
        <f>VLOOKUP(F42,Vlookup!$A$1:$B$30,2,0)</f>
        <v>1.3354555559520354</v>
      </c>
      <c r="L42" s="7">
        <f t="shared" si="1"/>
        <v>7.3338514509135013</v>
      </c>
      <c r="M42" s="7">
        <f t="shared" si="2"/>
        <v>6.6185369228838269</v>
      </c>
      <c r="N42" s="7">
        <f t="shared" si="3"/>
        <v>4.6158760510862864</v>
      </c>
      <c r="O42" s="7">
        <f t="shared" si="4"/>
        <v>2.436299388742595</v>
      </c>
      <c r="P42" s="7">
        <f t="shared" si="5"/>
        <v>1.3354555559520354</v>
      </c>
      <c r="Q42">
        <v>1</v>
      </c>
      <c r="R42" s="7">
        <f t="shared" si="6"/>
        <v>23.340019369578243</v>
      </c>
      <c r="S42" s="7">
        <f>VLOOKUP($A42,Rotations!$A$1:$X$1441,18,0)</f>
        <v>0.31421788194711447</v>
      </c>
      <c r="T42" s="7">
        <f>VLOOKUP($A42,Rotations!$A$1:$X$1441,19,0)</f>
        <v>5.7217414210576432E-2</v>
      </c>
      <c r="U42" s="7">
        <f>VLOOKUP($A42,Rotations!$A$1:$X$1441,20,0)</f>
        <v>0.28357032691714618</v>
      </c>
      <c r="V42" s="7">
        <f>VLOOKUP($A42,Rotations!$A$1:$X$1441,21,0)</f>
        <v>0.19776659042120134</v>
      </c>
      <c r="W42" s="7">
        <f>VLOOKUP($A42,Rotations!$A$1:$X$1441,22,0)</f>
        <v>0.10438292060366097</v>
      </c>
      <c r="X42" s="7">
        <f>VLOOKUP($A42,Rotations!$A$1:$X$1441,23,0)</f>
        <v>4.284486590030067E-2</v>
      </c>
    </row>
    <row r="43" spans="1:24" ht="15.75" customHeight="1" x14ac:dyDescent="0.3">
      <c r="A43">
        <v>34</v>
      </c>
      <c r="B43" t="str">
        <f>Permutations!I35</f>
        <v>p8 - i1:i3</v>
      </c>
      <c r="C43" t="str">
        <f>Permutations!J35</f>
        <v>p3 - i3:i4</v>
      </c>
      <c r="D43" t="str">
        <f>Permutations!K35</f>
        <v>p4 - i4:i5</v>
      </c>
      <c r="E43" t="str">
        <f>Permutations!L35</f>
        <v>p15 - i5:i6</v>
      </c>
      <c r="F43" t="str">
        <f>Permutations!M35</f>
        <v>p121 - i6:i2</v>
      </c>
      <c r="G43" s="7">
        <f>VLOOKUP(B43,Vlookup!$A$1:$B$30,2,0)</f>
        <v>1.1080774401297739</v>
      </c>
      <c r="H43" s="7">
        <f>VLOOKUP(C43,Vlookup!$A$1:$B$30,2,0)</f>
        <v>1.4338636587362954</v>
      </c>
      <c r="I43" s="7">
        <f>VLOOKUP(D43,Vlookup!$A$1:$B$30,2,0)</f>
        <v>1.89462595295753</v>
      </c>
      <c r="J43" s="7">
        <f>VLOOKUP(E43,Vlookup!$A$1:$B$30,2,0)</f>
        <v>1.3219359277692486</v>
      </c>
      <c r="K43" s="7">
        <f>VLOOKUP(F43,Vlookup!$A$1:$B$30,2,0)</f>
        <v>1.2419340531937677</v>
      </c>
      <c r="L43" s="7">
        <f t="shared" si="1"/>
        <v>4.9420870882002941</v>
      </c>
      <c r="M43" s="7">
        <f t="shared" si="2"/>
        <v>4.460055686741077</v>
      </c>
      <c r="N43" s="7">
        <f t="shared" si="3"/>
        <v>3.1105158845240912</v>
      </c>
      <c r="O43" s="7">
        <f t="shared" si="4"/>
        <v>1.6417572448369266</v>
      </c>
      <c r="P43" s="7">
        <f t="shared" si="5"/>
        <v>1.2419340531937677</v>
      </c>
      <c r="Q43">
        <v>1</v>
      </c>
      <c r="R43" s="7">
        <f t="shared" si="6"/>
        <v>16.396349957496156</v>
      </c>
      <c r="S43" s="7">
        <f>VLOOKUP($A43,Rotations!$A$1:$X$1441,18,0)</f>
        <v>0.30141385741409166</v>
      </c>
      <c r="T43" s="7">
        <f>VLOOKUP($A43,Rotations!$A$1:$X$1441,19,0)</f>
        <v>6.0989183726394884E-2</v>
      </c>
      <c r="U43" s="7">
        <f>VLOOKUP($A43,Rotations!$A$1:$X$1441,20,0)</f>
        <v>0.27201515570860385</v>
      </c>
      <c r="V43" s="7">
        <f>VLOOKUP($A43,Rotations!$A$1:$X$1441,21,0)</f>
        <v>0.1897078247651095</v>
      </c>
      <c r="W43" s="7">
        <f>VLOOKUP($A43,Rotations!$A$1:$X$1441,22,0)</f>
        <v>0.10012943423949919</v>
      </c>
      <c r="X43" s="7">
        <f>VLOOKUP($A43,Rotations!$A$1:$X$1441,23,0)</f>
        <v>7.5744544146300982E-2</v>
      </c>
    </row>
    <row r="44" spans="1:24" ht="15.75" customHeight="1" x14ac:dyDescent="0.3">
      <c r="A44">
        <v>35</v>
      </c>
      <c r="B44" t="str">
        <f>Permutations!I36</f>
        <v>p8 - i1:i3</v>
      </c>
      <c r="C44" t="str">
        <f>Permutations!J36</f>
        <v>p3 - i3:i4</v>
      </c>
      <c r="D44" t="str">
        <f>Permutations!K36</f>
        <v>p14 - i4:i6</v>
      </c>
      <c r="E44" t="str">
        <f>Permutations!L36</f>
        <v>p121 - i6:i2</v>
      </c>
      <c r="F44" t="str">
        <f>Permutations!M36</f>
        <v>p7 - i2:i5</v>
      </c>
      <c r="G44" s="7">
        <f>VLOOKUP(B44,Vlookup!$A$1:$B$30,2,0)</f>
        <v>1.1080774401297739</v>
      </c>
      <c r="H44" s="7">
        <f>VLOOKUP(C44,Vlookup!$A$1:$B$30,2,0)</f>
        <v>1.4338636587362954</v>
      </c>
      <c r="I44" s="7">
        <f>VLOOKUP(D44,Vlookup!$A$1:$B$30,2,0)</f>
        <v>1.478275916473532</v>
      </c>
      <c r="J44" s="7">
        <f>VLOOKUP(E44,Vlookup!$A$1:$B$30,2,0)</f>
        <v>1.2419340531937677</v>
      </c>
      <c r="K44" s="7">
        <f>VLOOKUP(F44,Vlookup!$A$1:$B$30,2,0)</f>
        <v>1.7991741228251155</v>
      </c>
      <c r="L44" s="7">
        <f t="shared" si="1"/>
        <v>5.2481374854495062</v>
      </c>
      <c r="M44" s="7">
        <f t="shared" si="2"/>
        <v>4.7362551527399237</v>
      </c>
      <c r="N44" s="7">
        <f t="shared" si="3"/>
        <v>3.3031419158179371</v>
      </c>
      <c r="O44" s="7">
        <f t="shared" si="4"/>
        <v>2.2344556107615374</v>
      </c>
      <c r="P44" s="7">
        <f t="shared" si="5"/>
        <v>1.7991741228251155</v>
      </c>
      <c r="Q44">
        <v>1</v>
      </c>
      <c r="R44" s="7">
        <f t="shared" si="6"/>
        <v>18.321164287594019</v>
      </c>
      <c r="S44" s="7">
        <f>VLOOKUP($A44,Rotations!$A$1:$X$1441,18,0)</f>
        <v>0.28645218191745742</v>
      </c>
      <c r="T44" s="7">
        <f>VLOOKUP($A44,Rotations!$A$1:$X$1441,19,0)</f>
        <v>9.8201953466647701E-2</v>
      </c>
      <c r="U44" s="7">
        <f>VLOOKUP($A44,Rotations!$A$1:$X$1441,20,0)</f>
        <v>0.25851278217875207</v>
      </c>
      <c r="V44" s="7">
        <f>VLOOKUP($A44,Rotations!$A$1:$X$1441,21,0)</f>
        <v>0.18029104831807138</v>
      </c>
      <c r="W44" s="7">
        <f>VLOOKUP($A44,Rotations!$A$1:$X$1441,22,0)</f>
        <v>5.4581684018691942E-2</v>
      </c>
      <c r="X44" s="7">
        <f>VLOOKUP($A44,Rotations!$A$1:$X$1441,23,0)</f>
        <v>0.12196035010037955</v>
      </c>
    </row>
    <row r="45" spans="1:24" ht="15.75" customHeight="1" x14ac:dyDescent="0.3">
      <c r="A45">
        <v>36</v>
      </c>
      <c r="B45" t="str">
        <f>Permutations!I37</f>
        <v>p8 - i1:i3</v>
      </c>
      <c r="C45" t="str">
        <f>Permutations!J37</f>
        <v>p3 - i3:i4</v>
      </c>
      <c r="D45" t="str">
        <f>Permutations!K37</f>
        <v>p14 - i4:i6</v>
      </c>
      <c r="E45" t="str">
        <f>Permutations!L37</f>
        <v>p151 - i6:i5</v>
      </c>
      <c r="F45" t="str">
        <f>Permutations!M37</f>
        <v>p71 - i5:i2</v>
      </c>
      <c r="G45" s="7">
        <f>VLOOKUP(B45,Vlookup!$A$1:$B$30,2,0)</f>
        <v>1.1080774401297739</v>
      </c>
      <c r="H45" s="7">
        <f>VLOOKUP(C45,Vlookup!$A$1:$B$30,2,0)</f>
        <v>1.4338636587362954</v>
      </c>
      <c r="I45" s="7">
        <f>VLOOKUP(D45,Vlookup!$A$1:$B$30,2,0)</f>
        <v>1.478275916473532</v>
      </c>
      <c r="J45" s="7">
        <f>VLOOKUP(E45,Vlookup!$A$1:$B$30,2,0)</f>
        <v>1.2266517321719024</v>
      </c>
      <c r="K45" s="7">
        <f>VLOOKUP(F45,Vlookup!$A$1:$B$30,2,0)</f>
        <v>1.8243208303594776</v>
      </c>
      <c r="L45" s="7">
        <f t="shared" si="1"/>
        <v>5.2560073721170255</v>
      </c>
      <c r="M45" s="7">
        <f t="shared" si="2"/>
        <v>4.7433574421490441</v>
      </c>
      <c r="N45" s="7">
        <f t="shared" si="3"/>
        <v>3.3080951687760183</v>
      </c>
      <c r="O45" s="7">
        <f t="shared" si="4"/>
        <v>2.2378063065977365</v>
      </c>
      <c r="P45" s="7">
        <f t="shared" si="5"/>
        <v>1.8243208303594776</v>
      </c>
      <c r="Q45">
        <v>1</v>
      </c>
      <c r="R45" s="7">
        <f t="shared" si="6"/>
        <v>18.369587119999302</v>
      </c>
      <c r="S45" s="7">
        <f>VLOOKUP($A45,Rotations!$A$1:$X$1441,18,0)</f>
        <v>0.28612550395292852</v>
      </c>
      <c r="T45" s="7">
        <f>VLOOKUP($A45,Rotations!$A$1:$X$1441,19,0)</f>
        <v>5.4437804914585254E-2</v>
      </c>
      <c r="U45" s="7">
        <f>VLOOKUP($A45,Rotations!$A$1:$X$1441,20,0)</f>
        <v>0.25821796707585576</v>
      </c>
      <c r="V45" s="7">
        <f>VLOOKUP($A45,Rotations!$A$1:$X$1441,21,0)</f>
        <v>0.18008543943671088</v>
      </c>
      <c r="W45" s="7">
        <f>VLOOKUP($A45,Rotations!$A$1:$X$1441,22,0)</f>
        <v>9.9312021464723427E-2</v>
      </c>
      <c r="X45" s="7">
        <f>VLOOKUP($A45,Rotations!$A$1:$X$1441,23,0)</f>
        <v>0.12182126315519613</v>
      </c>
    </row>
    <row r="46" spans="1:24" ht="15.75" customHeight="1" x14ac:dyDescent="0.3">
      <c r="A46">
        <v>37</v>
      </c>
      <c r="B46" t="str">
        <f>Permutations!I38</f>
        <v>p8 - i1:i3</v>
      </c>
      <c r="C46" t="str">
        <f>Permutations!J38</f>
        <v>p6 - i3:i5</v>
      </c>
      <c r="D46" t="str">
        <f>Permutations!K38</f>
        <v>p71 - i5:i2</v>
      </c>
      <c r="E46" t="str">
        <f>Permutations!L38</f>
        <v>p5 - i2:i4</v>
      </c>
      <c r="F46" t="str">
        <f>Permutations!M38</f>
        <v>p14 - i4:i6</v>
      </c>
      <c r="G46" s="7">
        <f>VLOOKUP(B46,Vlookup!$A$1:$B$30,2,0)</f>
        <v>1.1080774401297739</v>
      </c>
      <c r="H46" s="7">
        <f>VLOOKUP(C46,Vlookup!$A$1:$B$30,2,0)</f>
        <v>2.2414716085286912</v>
      </c>
      <c r="I46" s="7">
        <f>VLOOKUP(D46,Vlookup!$A$1:$B$30,2,0)</f>
        <v>1.8243208303594776</v>
      </c>
      <c r="J46" s="7">
        <f>VLOOKUP(E46,Vlookup!$A$1:$B$30,2,0)</f>
        <v>0.9108240498099236</v>
      </c>
      <c r="K46" s="7">
        <f>VLOOKUP(F46,Vlookup!$A$1:$B$30,2,0)</f>
        <v>1.478275916473532</v>
      </c>
      <c r="L46" s="7">
        <f t="shared" si="1"/>
        <v>6.1009092253254407</v>
      </c>
      <c r="M46" s="7">
        <f t="shared" si="2"/>
        <v>5.5058509490193437</v>
      </c>
      <c r="N46" s="7">
        <f t="shared" si="3"/>
        <v>2.456355426528646</v>
      </c>
      <c r="O46" s="7">
        <f t="shared" si="4"/>
        <v>1.3464492569788988</v>
      </c>
      <c r="P46" s="7">
        <f t="shared" si="5"/>
        <v>1.478275916473532</v>
      </c>
      <c r="Q46">
        <v>1</v>
      </c>
      <c r="R46" s="7">
        <f t="shared" si="6"/>
        <v>17.887840774325863</v>
      </c>
      <c r="S46" s="7">
        <f>VLOOKUP($A46,Rotations!$A$1:$X$1441,18,0)</f>
        <v>0.34106459814210666</v>
      </c>
      <c r="T46" s="7">
        <f>VLOOKUP($A46,Rotations!$A$1:$X$1441,19,0)</f>
        <v>7.527175996062288E-2</v>
      </c>
      <c r="U46" s="7">
        <f>VLOOKUP($A46,Rotations!$A$1:$X$1441,20,0)</f>
        <v>0.30779852182728534</v>
      </c>
      <c r="V46" s="7">
        <f>VLOOKUP($A46,Rotations!$A$1:$X$1441,21,0)</f>
        <v>8.2641383894431694E-2</v>
      </c>
      <c r="W46" s="7">
        <f>VLOOKUP($A46,Rotations!$A$1:$X$1441,22,0)</f>
        <v>0.13731983963398278</v>
      </c>
      <c r="X46" s="7">
        <f>VLOOKUP($A46,Rotations!$A$1:$X$1441,23,0)</f>
        <v>5.5903896541570533E-2</v>
      </c>
    </row>
    <row r="47" spans="1:24" ht="15.75" customHeight="1" x14ac:dyDescent="0.3">
      <c r="A47">
        <v>38</v>
      </c>
      <c r="B47" t="str">
        <f>Permutations!I39</f>
        <v>p8 - i1:i3</v>
      </c>
      <c r="C47" t="str">
        <f>Permutations!J39</f>
        <v>p6 - i3:i5</v>
      </c>
      <c r="D47" t="str">
        <f>Permutations!K39</f>
        <v>p71 - i5:i2</v>
      </c>
      <c r="E47" t="str">
        <f>Permutations!L39</f>
        <v>p12 - i2:i6</v>
      </c>
      <c r="F47" t="str">
        <f>Permutations!M39</f>
        <v>p141 - i6:i4</v>
      </c>
      <c r="G47" s="7">
        <f>VLOOKUP(B47,Vlookup!$A$1:$B$30,2,0)</f>
        <v>1.1080774401297739</v>
      </c>
      <c r="H47" s="7">
        <f>VLOOKUP(C47,Vlookup!$A$1:$B$30,2,0)</f>
        <v>2.2414716085286912</v>
      </c>
      <c r="I47" s="7">
        <f>VLOOKUP(D47,Vlookup!$A$1:$B$30,2,0)</f>
        <v>1.8243208303594776</v>
      </c>
      <c r="J47" s="7">
        <f>VLOOKUP(E47,Vlookup!$A$1:$B$30,2,0)</f>
        <v>1.3354555559520354</v>
      </c>
      <c r="K47" s="7">
        <f>VLOOKUP(F47,Vlookup!$A$1:$B$30,2,0)</f>
        <v>0.88688155974910687</v>
      </c>
      <c r="L47" s="7">
        <f t="shared" si="1"/>
        <v>5.3666050688715581</v>
      </c>
      <c r="M47" s="7">
        <f t="shared" si="2"/>
        <v>4.843167882059797</v>
      </c>
      <c r="N47" s="7">
        <f t="shared" si="3"/>
        <v>2.1607090019038284</v>
      </c>
      <c r="O47" s="7">
        <f t="shared" si="4"/>
        <v>1.1843909064383518</v>
      </c>
      <c r="P47" s="7">
        <f t="shared" si="5"/>
        <v>0.88688155974910687</v>
      </c>
      <c r="Q47">
        <v>1</v>
      </c>
      <c r="R47" s="7">
        <f t="shared" si="6"/>
        <v>15.441754419022644</v>
      </c>
      <c r="S47" s="7">
        <f>VLOOKUP($A47,Rotations!$A$1:$X$1441,18,0)</f>
        <v>0.34753855832990427</v>
      </c>
      <c r="T47" s="7">
        <f>VLOOKUP($A47,Rotations!$A$1:$X$1441,19,0)</f>
        <v>7.6700540255924848E-2</v>
      </c>
      <c r="U47" s="7">
        <f>VLOOKUP($A47,Rotations!$A$1:$X$1441,20,0)</f>
        <v>0.31364103784046166</v>
      </c>
      <c r="V47" s="7">
        <f>VLOOKUP($A47,Rotations!$A$1:$X$1441,21,0)</f>
        <v>6.4759480876609682E-2</v>
      </c>
      <c r="W47" s="7">
        <f>VLOOKUP($A47,Rotations!$A$1:$X$1441,22,0)</f>
        <v>0.13992639328870937</v>
      </c>
      <c r="X47" s="7">
        <f>VLOOKUP($A47,Rotations!$A$1:$X$1441,23,0)</f>
        <v>5.7433989408390056E-2</v>
      </c>
    </row>
    <row r="48" spans="1:24" ht="15.75" customHeight="1" x14ac:dyDescent="0.3">
      <c r="A48">
        <v>39</v>
      </c>
      <c r="B48" t="str">
        <f>Permutations!I40</f>
        <v>p8 - i1:i3</v>
      </c>
      <c r="C48" t="str">
        <f>Permutations!J40</f>
        <v>p6 - i3:i5</v>
      </c>
      <c r="D48" t="str">
        <f>Permutations!K40</f>
        <v>p41 - i5:i4</v>
      </c>
      <c r="E48" t="str">
        <f>Permutations!L40</f>
        <v>p51 - i4:i2</v>
      </c>
      <c r="F48" t="str">
        <f>Permutations!M40</f>
        <v>p12 - i2:i6</v>
      </c>
      <c r="G48" s="7">
        <f>VLOOKUP(B48,Vlookup!$A$1:$B$30,2,0)</f>
        <v>1.1080774401297739</v>
      </c>
      <c r="H48" s="7">
        <f>VLOOKUP(C48,Vlookup!$A$1:$B$30,2,0)</f>
        <v>2.2414716085286912</v>
      </c>
      <c r="I48" s="7">
        <f>VLOOKUP(D48,Vlookup!$A$1:$B$30,2,0)</f>
        <v>1.25400669441983</v>
      </c>
      <c r="J48" s="7">
        <f>VLOOKUP(E48,Vlookup!$A$1:$B$30,2,0)</f>
        <v>1.4376356077157479</v>
      </c>
      <c r="K48" s="7">
        <f>VLOOKUP(F48,Vlookup!$A$1:$B$30,2,0)</f>
        <v>1.3354555559520354</v>
      </c>
      <c r="L48" s="7">
        <f t="shared" si="1"/>
        <v>5.9797285604051531</v>
      </c>
      <c r="M48" s="7">
        <f t="shared" si="2"/>
        <v>5.3964897613156255</v>
      </c>
      <c r="N48" s="7">
        <f t="shared" si="3"/>
        <v>2.4075655211434501</v>
      </c>
      <c r="O48" s="7">
        <f t="shared" si="4"/>
        <v>1.9198984597584763</v>
      </c>
      <c r="P48" s="7">
        <f t="shared" si="5"/>
        <v>1.3354555559520354</v>
      </c>
      <c r="Q48">
        <v>1</v>
      </c>
      <c r="R48" s="7">
        <f t="shared" si="6"/>
        <v>18.03913785857474</v>
      </c>
      <c r="S48" s="7">
        <f>VLOOKUP($A48,Rotations!$A$1:$X$1441,18,0)</f>
        <v>0.33148638295719568</v>
      </c>
      <c r="T48" s="7">
        <f>VLOOKUP($A48,Rotations!$A$1:$X$1441,19,0)</f>
        <v>7.4031007824314543E-2</v>
      </c>
      <c r="U48" s="7">
        <f>VLOOKUP($A48,Rotations!$A$1:$X$1441,20,0)</f>
        <v>0.29915452742939447</v>
      </c>
      <c r="V48" s="7">
        <f>VLOOKUP($A48,Rotations!$A$1:$X$1441,21,0)</f>
        <v>0.10642961292331773</v>
      </c>
      <c r="W48" s="7">
        <f>VLOOKUP($A48,Rotations!$A$1:$X$1441,22,0)</f>
        <v>0.13346344709035171</v>
      </c>
      <c r="X48" s="7">
        <f>VLOOKUP($A48,Rotations!$A$1:$X$1441,23,0)</f>
        <v>5.543502177542587E-2</v>
      </c>
    </row>
    <row r="49" spans="1:24" ht="15.75" customHeight="1" x14ac:dyDescent="0.3">
      <c r="A49">
        <v>40</v>
      </c>
      <c r="B49" t="str">
        <f>Permutations!I41</f>
        <v>p8 - i1:i3</v>
      </c>
      <c r="C49" t="str">
        <f>Permutations!J41</f>
        <v>p6 - i3:i5</v>
      </c>
      <c r="D49" t="str">
        <f>Permutations!K41</f>
        <v>p41 - i5:i4</v>
      </c>
      <c r="E49" t="str">
        <f>Permutations!L41</f>
        <v>p14 - i4:i6</v>
      </c>
      <c r="F49" t="str">
        <f>Permutations!M41</f>
        <v>p121 - i6:i2</v>
      </c>
      <c r="G49" s="7">
        <f>VLOOKUP(B49,Vlookup!$A$1:$B$30,2,0)</f>
        <v>1.1080774401297739</v>
      </c>
      <c r="H49" s="7">
        <f>VLOOKUP(C49,Vlookup!$A$1:$B$30,2,0)</f>
        <v>2.2414716085286912</v>
      </c>
      <c r="I49" s="7">
        <f>VLOOKUP(D49,Vlookup!$A$1:$B$30,2,0)</f>
        <v>1.25400669441983</v>
      </c>
      <c r="J49" s="7">
        <f>VLOOKUP(E49,Vlookup!$A$1:$B$30,2,0)</f>
        <v>1.478275916473532</v>
      </c>
      <c r="K49" s="7">
        <f>VLOOKUP(F49,Vlookup!$A$1:$B$30,2,0)</f>
        <v>1.2419340531937677</v>
      </c>
      <c r="L49" s="7">
        <f t="shared" si="1"/>
        <v>5.7181724286443387</v>
      </c>
      <c r="M49" s="7">
        <f t="shared" si="2"/>
        <v>5.1604447681694952</v>
      </c>
      <c r="N49" s="7">
        <f t="shared" si="3"/>
        <v>2.3022574760859125</v>
      </c>
      <c r="O49" s="7">
        <f t="shared" si="4"/>
        <v>1.8359212006847052</v>
      </c>
      <c r="P49" s="7">
        <f t="shared" si="5"/>
        <v>1.2419340531937677</v>
      </c>
      <c r="Q49">
        <v>1</v>
      </c>
      <c r="R49" s="7">
        <f t="shared" si="6"/>
        <v>17.258729926778219</v>
      </c>
      <c r="S49" s="7">
        <f>VLOOKUP($A49,Rotations!$A$1:$X$1441,18,0)</f>
        <v>0.33132058111484575</v>
      </c>
      <c r="T49" s="7">
        <f>VLOOKUP($A49,Rotations!$A$1:$X$1441,19,0)</f>
        <v>5.7941691204543663E-2</v>
      </c>
      <c r="U49" s="7">
        <f>VLOOKUP($A49,Rotations!$A$1:$X$1441,20,0)</f>
        <v>0.29900489723537976</v>
      </c>
      <c r="V49" s="7">
        <f>VLOOKUP($A49,Rotations!$A$1:$X$1441,21,0)</f>
        <v>0.10637637928594822</v>
      </c>
      <c r="W49" s="7">
        <f>VLOOKUP($A49,Rotations!$A$1:$X$1441,22,0)</f>
        <v>0.13339669175272201</v>
      </c>
      <c r="X49" s="7">
        <f>VLOOKUP($A49,Rotations!$A$1:$X$1441,23,0)</f>
        <v>7.1959759406560589E-2</v>
      </c>
    </row>
    <row r="50" spans="1:24" ht="15.75" customHeight="1" x14ac:dyDescent="0.3">
      <c r="A50">
        <v>41</v>
      </c>
      <c r="B50" t="str">
        <f>Permutations!I42</f>
        <v>p8 - i1:i3</v>
      </c>
      <c r="C50" t="str">
        <f>Permutations!J42</f>
        <v>p6 - i3:i5</v>
      </c>
      <c r="D50" t="str">
        <f>Permutations!K42</f>
        <v>p15 - i5:i6</v>
      </c>
      <c r="E50" t="str">
        <f>Permutations!L42</f>
        <v>p121 - i6:i2</v>
      </c>
      <c r="F50" t="str">
        <f>Permutations!M42</f>
        <v>p5 - i2:i4</v>
      </c>
      <c r="G50" s="7">
        <f>VLOOKUP(B50,Vlookup!$A$1:$B$30,2,0)</f>
        <v>1.1080774401297739</v>
      </c>
      <c r="H50" s="7">
        <f>VLOOKUP(C50,Vlookup!$A$1:$B$30,2,0)</f>
        <v>2.2414716085286912</v>
      </c>
      <c r="I50" s="7">
        <f>VLOOKUP(D50,Vlookup!$A$1:$B$30,2,0)</f>
        <v>1.3219359277692486</v>
      </c>
      <c r="J50" s="7">
        <f>VLOOKUP(E50,Vlookup!$A$1:$B$30,2,0)</f>
        <v>1.2419340531937677</v>
      </c>
      <c r="K50" s="7">
        <f>VLOOKUP(F50,Vlookup!$A$1:$B$30,2,0)</f>
        <v>0.9108240498099236</v>
      </c>
      <c r="L50" s="7">
        <f t="shared" si="1"/>
        <v>3.7140417900854681</v>
      </c>
      <c r="M50" s="7">
        <f t="shared" si="2"/>
        <v>3.351789013636532</v>
      </c>
      <c r="N50" s="7">
        <f t="shared" si="3"/>
        <v>1.4953519825471517</v>
      </c>
      <c r="O50" s="7">
        <f t="shared" si="4"/>
        <v>1.1311834039268005</v>
      </c>
      <c r="P50" s="7">
        <f t="shared" si="5"/>
        <v>0.9108240498099236</v>
      </c>
      <c r="Q50">
        <v>1</v>
      </c>
      <c r="R50" s="7">
        <f t="shared" si="6"/>
        <v>11.603190240005874</v>
      </c>
      <c r="S50" s="7">
        <f>VLOOKUP($A50,Rotations!$A$1:$X$1441,18,0)</f>
        <v>0.32008798556797496</v>
      </c>
      <c r="T50" s="7">
        <f>VLOOKUP($A50,Rotations!$A$1:$X$1441,19,0)</f>
        <v>7.8497726139967389E-2</v>
      </c>
      <c r="U50" s="7">
        <f>VLOOKUP($A50,Rotations!$A$1:$X$1441,20,0)</f>
        <v>0.28886788411691466</v>
      </c>
      <c r="V50" s="7">
        <f>VLOOKUP($A50,Rotations!$A$1:$X$1441,21,0)</f>
        <v>8.6183194390122633E-2</v>
      </c>
      <c r="W50" s="7">
        <f>VLOOKUP($A50,Rotations!$A$1:$X$1441,22,0)</f>
        <v>0.12887421059351645</v>
      </c>
      <c r="X50" s="7">
        <f>VLOOKUP($A50,Rotations!$A$1:$X$1441,23,0)</f>
        <v>9.7488999191504055E-2</v>
      </c>
    </row>
    <row r="51" spans="1:24" ht="15.75" customHeight="1" x14ac:dyDescent="0.3">
      <c r="A51">
        <v>42</v>
      </c>
      <c r="B51" t="str">
        <f>Permutations!I43</f>
        <v>p8 - i1:i3</v>
      </c>
      <c r="C51" t="str">
        <f>Permutations!J43</f>
        <v>p6 - i3:i5</v>
      </c>
      <c r="D51" t="str">
        <f>Permutations!K43</f>
        <v>p15 - i5:i6</v>
      </c>
      <c r="E51" t="str">
        <f>Permutations!L43</f>
        <v>p141 - i6:i4</v>
      </c>
      <c r="F51" t="str">
        <f>Permutations!M43</f>
        <v>p51 - i4:i2</v>
      </c>
      <c r="G51" s="7">
        <f>VLOOKUP(B51,Vlookup!$A$1:$B$30,2,0)</f>
        <v>1.1080774401297739</v>
      </c>
      <c r="H51" s="7">
        <f>VLOOKUP(C51,Vlookup!$A$1:$B$30,2,0)</f>
        <v>2.2414716085286912</v>
      </c>
      <c r="I51" s="7">
        <f>VLOOKUP(D51,Vlookup!$A$1:$B$30,2,0)</f>
        <v>1.3219359277692486</v>
      </c>
      <c r="J51" s="7">
        <f>VLOOKUP(E51,Vlookup!$A$1:$B$30,2,0)</f>
        <v>0.88688155974910687</v>
      </c>
      <c r="K51" s="7">
        <f>VLOOKUP(F51,Vlookup!$A$1:$B$30,2,0)</f>
        <v>1.4376356077157479</v>
      </c>
      <c r="L51" s="7">
        <f t="shared" si="1"/>
        <v>4.1862793681691599</v>
      </c>
      <c r="M51" s="7">
        <f t="shared" si="2"/>
        <v>3.7779664277605716</v>
      </c>
      <c r="N51" s="7">
        <f t="shared" si="3"/>
        <v>1.6854848454852573</v>
      </c>
      <c r="O51" s="7">
        <f t="shared" si="4"/>
        <v>1.2750125101217977</v>
      </c>
      <c r="P51" s="7">
        <f t="shared" si="5"/>
        <v>1.4376356077157479</v>
      </c>
      <c r="Q51">
        <v>1</v>
      </c>
      <c r="R51" s="7">
        <f t="shared" si="6"/>
        <v>13.362378759252534</v>
      </c>
      <c r="S51" s="7">
        <f>VLOOKUP($A51,Rotations!$A$1:$X$1441,18,0)</f>
        <v>0.31328848280628535</v>
      </c>
      <c r="T51" s="7">
        <f>VLOOKUP($A51,Rotations!$A$1:$X$1441,19,0)</f>
        <v>7.4836974614835572E-2</v>
      </c>
      <c r="U51" s="7">
        <f>VLOOKUP($A51,Rotations!$A$1:$X$1441,20,0)</f>
        <v>0.28273157765001894</v>
      </c>
      <c r="V51" s="7">
        <f>VLOOKUP($A51,Rotations!$A$1:$X$1441,21,0)</f>
        <v>0.10758829948000714</v>
      </c>
      <c r="W51" s="7">
        <f>VLOOKUP($A51,Rotations!$A$1:$X$1441,22,0)</f>
        <v>0.12613658659527027</v>
      </c>
      <c r="X51" s="7">
        <f>VLOOKUP($A51,Rotations!$A$1:$X$1441,23,0)</f>
        <v>9.5418078853582763E-2</v>
      </c>
    </row>
    <row r="52" spans="1:24" ht="15.75" customHeight="1" x14ac:dyDescent="0.3">
      <c r="A52">
        <v>43</v>
      </c>
      <c r="B52" t="str">
        <f>Permutations!I44</f>
        <v>p8 - i1:i3</v>
      </c>
      <c r="C52" t="str">
        <f>Permutations!J44</f>
        <v>p13 - i3:i6</v>
      </c>
      <c r="D52" t="str">
        <f>Permutations!K44</f>
        <v>p121 - i6:i2</v>
      </c>
      <c r="E52" t="str">
        <f>Permutations!L44</f>
        <v>p5 - i2:i4</v>
      </c>
      <c r="F52" t="str">
        <f>Permutations!M44</f>
        <v>p4 - i4:i5</v>
      </c>
      <c r="G52" s="7">
        <f>VLOOKUP(B52,Vlookup!$A$1:$B$30,2,0)</f>
        <v>1.1080774401297739</v>
      </c>
      <c r="H52" s="7">
        <f>VLOOKUP(C52,Vlookup!$A$1:$B$30,2,0)</f>
        <v>2.0145521929129111</v>
      </c>
      <c r="I52" s="7">
        <f>VLOOKUP(D52,Vlookup!$A$1:$B$30,2,0)</f>
        <v>1.2419340531937677</v>
      </c>
      <c r="J52" s="7">
        <f>VLOOKUP(E52,Vlookup!$A$1:$B$30,2,0)</f>
        <v>0.9108240498099236</v>
      </c>
      <c r="K52" s="7">
        <f>VLOOKUP(F52,Vlookup!$A$1:$B$30,2,0)</f>
        <v>1.89462595295753</v>
      </c>
      <c r="L52" s="7">
        <f t="shared" si="1"/>
        <v>4.7841539160610216</v>
      </c>
      <c r="M52" s="7">
        <f t="shared" si="2"/>
        <v>4.3175266843269711</v>
      </c>
      <c r="N52" s="7">
        <f t="shared" si="3"/>
        <v>2.1431694346345571</v>
      </c>
      <c r="O52" s="7">
        <f t="shared" si="4"/>
        <v>1.7256708833477632</v>
      </c>
      <c r="P52" s="7">
        <f t="shared" si="5"/>
        <v>1.89462595295753</v>
      </c>
      <c r="Q52">
        <v>1</v>
      </c>
      <c r="R52" s="7">
        <f t="shared" si="6"/>
        <v>15.865146871327845</v>
      </c>
      <c r="S52" s="7">
        <f>VLOOKUP($A52,Rotations!$A$1:$X$1441,18,0)</f>
        <v>0.30155118984162349</v>
      </c>
      <c r="T52" s="7">
        <f>VLOOKUP($A52,Rotations!$A$1:$X$1441,19,0)</f>
        <v>0.10877118865293757</v>
      </c>
      <c r="U52" s="7">
        <f>VLOOKUP($A52,Rotations!$A$1:$X$1441,20,0)</f>
        <v>0.27213909328061658</v>
      </c>
      <c r="V52" s="7">
        <f>VLOOKUP($A52,Rotations!$A$1:$X$1441,21,0)</f>
        <v>0.11942063747178899</v>
      </c>
      <c r="W52" s="7">
        <f>VLOOKUP($A52,Rotations!$A$1:$X$1441,22,0)</f>
        <v>6.3031247558586537E-2</v>
      </c>
      <c r="X52" s="7">
        <f>VLOOKUP($A52,Rotations!$A$1:$X$1441,23,0)</f>
        <v>0.13508664319444671</v>
      </c>
    </row>
    <row r="53" spans="1:24" ht="15.75" customHeight="1" x14ac:dyDescent="0.3">
      <c r="A53">
        <v>44</v>
      </c>
      <c r="B53" t="str">
        <f>Permutations!I45</f>
        <v>p8 - i1:i3</v>
      </c>
      <c r="C53" t="str">
        <f>Permutations!J45</f>
        <v>p13 - i3:i6</v>
      </c>
      <c r="D53" t="str">
        <f>Permutations!K45</f>
        <v>p121 - i6:i2</v>
      </c>
      <c r="E53" t="str">
        <f>Permutations!L45</f>
        <v>p7 - i2:i5</v>
      </c>
      <c r="F53" t="str">
        <f>Permutations!M45</f>
        <v>p41 - i5:i4</v>
      </c>
      <c r="G53" s="7">
        <f>VLOOKUP(B53,Vlookup!$A$1:$B$30,2,0)</f>
        <v>1.1080774401297739</v>
      </c>
      <c r="H53" s="7">
        <f>VLOOKUP(C53,Vlookup!$A$1:$B$30,2,0)</f>
        <v>2.0145521929129111</v>
      </c>
      <c r="I53" s="7">
        <f>VLOOKUP(D53,Vlookup!$A$1:$B$30,2,0)</f>
        <v>1.2419340531937677</v>
      </c>
      <c r="J53" s="7">
        <f>VLOOKUP(E53,Vlookup!$A$1:$B$30,2,0)</f>
        <v>1.7991741228251155</v>
      </c>
      <c r="K53" s="7">
        <f>VLOOKUP(F53,Vlookup!$A$1:$B$30,2,0)</f>
        <v>1.25400669441983</v>
      </c>
      <c r="L53" s="7">
        <f t="shared" si="1"/>
        <v>6.2548978701493008</v>
      </c>
      <c r="M53" s="7">
        <f t="shared" si="2"/>
        <v>5.6448201575304608</v>
      </c>
      <c r="N53" s="7">
        <f t="shared" si="3"/>
        <v>2.8020222942789181</v>
      </c>
      <c r="O53" s="7">
        <f t="shared" si="4"/>
        <v>2.2561763944496205</v>
      </c>
      <c r="P53" s="7">
        <f t="shared" si="5"/>
        <v>1.25400669441983</v>
      </c>
      <c r="Q53">
        <v>1</v>
      </c>
      <c r="R53" s="7">
        <f t="shared" si="6"/>
        <v>19.211923410828128</v>
      </c>
      <c r="S53" s="7">
        <f>VLOOKUP($A53,Rotations!$A$1:$X$1441,18,0)</f>
        <v>0.32557374586575472</v>
      </c>
      <c r="T53" s="7">
        <f>VLOOKUP($A53,Rotations!$A$1:$X$1441,19,0)</f>
        <v>0.11743625800517223</v>
      </c>
      <c r="U53" s="7">
        <f>VLOOKUP($A53,Rotations!$A$1:$X$1441,20,0)</f>
        <v>0.29381858530359101</v>
      </c>
      <c r="V53" s="7">
        <f>VLOOKUP($A53,Rotations!$A$1:$X$1441,21,0)</f>
        <v>5.2051009085138503E-2</v>
      </c>
      <c r="W53" s="7">
        <f>VLOOKUP($A53,Rotations!$A$1:$X$1441,22,0)</f>
        <v>6.5272313844071075E-2</v>
      </c>
      <c r="X53" s="7">
        <f>VLOOKUP($A53,Rotations!$A$1:$X$1441,23,0)</f>
        <v>0.1458480878962726</v>
      </c>
    </row>
    <row r="54" spans="1:24" ht="15.75" customHeight="1" x14ac:dyDescent="0.3">
      <c r="A54">
        <v>45</v>
      </c>
      <c r="B54" t="str">
        <f>Permutations!I46</f>
        <v>p8 - i1:i3</v>
      </c>
      <c r="C54" t="str">
        <f>Permutations!J46</f>
        <v>p13 - i3:i6</v>
      </c>
      <c r="D54" t="str">
        <f>Permutations!K46</f>
        <v>p141 - i6:i4</v>
      </c>
      <c r="E54" t="str">
        <f>Permutations!L46</f>
        <v>p51 - i4:i2</v>
      </c>
      <c r="F54" t="str">
        <f>Permutations!M46</f>
        <v>p7 - i2:i5</v>
      </c>
      <c r="G54" s="7">
        <f>VLOOKUP(B54,Vlookup!$A$1:$B$30,2,0)</f>
        <v>1.1080774401297739</v>
      </c>
      <c r="H54" s="7">
        <f>VLOOKUP(C54,Vlookup!$A$1:$B$30,2,0)</f>
        <v>2.0145521929129111</v>
      </c>
      <c r="I54" s="7">
        <f>VLOOKUP(D54,Vlookup!$A$1:$B$30,2,0)</f>
        <v>0.88688155974910687</v>
      </c>
      <c r="J54" s="7">
        <f>VLOOKUP(E54,Vlookup!$A$1:$B$30,2,0)</f>
        <v>1.4376356077157479</v>
      </c>
      <c r="K54" s="7">
        <f>VLOOKUP(F54,Vlookup!$A$1:$B$30,2,0)</f>
        <v>1.7991741228251155</v>
      </c>
      <c r="L54" s="7">
        <f t="shared" si="1"/>
        <v>5.1207818937286111</v>
      </c>
      <c r="M54" s="7">
        <f t="shared" si="2"/>
        <v>4.6213213158900546</v>
      </c>
      <c r="N54" s="7">
        <f t="shared" si="3"/>
        <v>2.2939695144894339</v>
      </c>
      <c r="O54" s="7">
        <f t="shared" si="4"/>
        <v>2.5865567834541325</v>
      </c>
      <c r="P54" s="7">
        <f t="shared" si="5"/>
        <v>1.7991741228251155</v>
      </c>
      <c r="Q54">
        <v>1</v>
      </c>
      <c r="R54" s="7">
        <f t="shared" si="6"/>
        <v>17.421803630387345</v>
      </c>
      <c r="S54" s="7">
        <f>VLOOKUP($A54,Rotations!$A$1:$X$1441,18,0)</f>
        <v>0.29392949216789899</v>
      </c>
      <c r="T54" s="7">
        <f>VLOOKUP($A54,Rotations!$A$1:$X$1441,19,0)</f>
        <v>0.10327140409773485</v>
      </c>
      <c r="U54" s="7">
        <f>VLOOKUP($A54,Rotations!$A$1:$X$1441,20,0)</f>
        <v>0.26526078550383175</v>
      </c>
      <c r="V54" s="7">
        <f>VLOOKUP($A54,Rotations!$A$1:$X$1441,21,0)</f>
        <v>0.14846664778970561</v>
      </c>
      <c r="W54" s="7">
        <f>VLOOKUP($A54,Rotations!$A$1:$X$1441,22,0)</f>
        <v>5.7399338278373575E-2</v>
      </c>
      <c r="X54" s="7">
        <f>VLOOKUP($A54,Rotations!$A$1:$X$1441,23,0)</f>
        <v>0.13167233216245541</v>
      </c>
    </row>
    <row r="55" spans="1:24" ht="15.75" customHeight="1" x14ac:dyDescent="0.3">
      <c r="A55">
        <v>46</v>
      </c>
      <c r="B55" t="str">
        <f>Permutations!I47</f>
        <v>p8 - i1:i3</v>
      </c>
      <c r="C55" t="str">
        <f>Permutations!J47</f>
        <v>p13 - i3:i6</v>
      </c>
      <c r="D55" t="str">
        <f>Permutations!K47</f>
        <v>p141 - i6:i4</v>
      </c>
      <c r="E55" t="str">
        <f>Permutations!L47</f>
        <v>p4 - i4:i5</v>
      </c>
      <c r="F55" t="str">
        <f>Permutations!M47</f>
        <v>p71 - i5:i2</v>
      </c>
      <c r="G55" s="7">
        <f>VLOOKUP(B55,Vlookup!$A$1:$B$30,2,0)</f>
        <v>1.1080774401297739</v>
      </c>
      <c r="H55" s="7">
        <f>VLOOKUP(C55,Vlookup!$A$1:$B$30,2,0)</f>
        <v>2.0145521929129111</v>
      </c>
      <c r="I55" s="7">
        <f>VLOOKUP(D55,Vlookup!$A$1:$B$30,2,0)</f>
        <v>0.88688155974910687</v>
      </c>
      <c r="J55" s="7">
        <f>VLOOKUP(E55,Vlookup!$A$1:$B$30,2,0)</f>
        <v>1.89462595295753</v>
      </c>
      <c r="K55" s="7">
        <f>VLOOKUP(F55,Vlookup!$A$1:$B$30,2,0)</f>
        <v>1.8243208303594776</v>
      </c>
      <c r="L55" s="7">
        <f t="shared" si="1"/>
        <v>6.8428805757074418</v>
      </c>
      <c r="M55" s="7">
        <f t="shared" si="2"/>
        <v>6.1754533824874436</v>
      </c>
      <c r="N55" s="7">
        <f t="shared" si="3"/>
        <v>3.0654223823102549</v>
      </c>
      <c r="O55" s="7">
        <f t="shared" si="4"/>
        <v>3.4564055917200975</v>
      </c>
      <c r="P55" s="7">
        <f t="shared" si="5"/>
        <v>1.8243208303594776</v>
      </c>
      <c r="Q55">
        <v>1</v>
      </c>
      <c r="R55" s="7">
        <f t="shared" si="6"/>
        <v>22.364482762584718</v>
      </c>
      <c r="S55" s="7">
        <f>VLOOKUP($A55,Rotations!$A$1:$X$1441,18,0)</f>
        <v>0.30597088465445882</v>
      </c>
      <c r="T55" s="7">
        <f>VLOOKUP($A55,Rotations!$A$1:$X$1441,19,0)</f>
        <v>4.4713754868186704E-2</v>
      </c>
      <c r="U55" s="7">
        <f>VLOOKUP($A55,Rotations!$A$1:$X$1441,20,0)</f>
        <v>0.27612770874445797</v>
      </c>
      <c r="V55" s="7">
        <f>VLOOKUP($A55,Rotations!$A$1:$X$1441,21,0)</f>
        <v>0.15454887235320225</v>
      </c>
      <c r="W55" s="7">
        <f>VLOOKUP($A55,Rotations!$A$1:$X$1441,22,0)</f>
        <v>8.1572234409620498E-2</v>
      </c>
      <c r="X55" s="7">
        <f>VLOOKUP($A55,Rotations!$A$1:$X$1441,23,0)</f>
        <v>0.13706654497007364</v>
      </c>
    </row>
    <row r="56" spans="1:24" ht="15.75" customHeight="1" x14ac:dyDescent="0.3">
      <c r="A56">
        <v>47</v>
      </c>
      <c r="B56" t="str">
        <f>Permutations!I48</f>
        <v>p8 - i1:i3</v>
      </c>
      <c r="C56" t="str">
        <f>Permutations!J48</f>
        <v>p13 - i3:i6</v>
      </c>
      <c r="D56" t="str">
        <f>Permutations!K48</f>
        <v>p151 - i6:i5</v>
      </c>
      <c r="E56" t="str">
        <f>Permutations!L48</f>
        <v>p71 - i5:i2</v>
      </c>
      <c r="F56" t="str">
        <f>Permutations!M48</f>
        <v>p5 - i2:i4</v>
      </c>
      <c r="G56" s="7">
        <f>VLOOKUP(B56,Vlookup!$A$1:$B$30,2,0)</f>
        <v>1.1080774401297739</v>
      </c>
      <c r="H56" s="7">
        <f>VLOOKUP(C56,Vlookup!$A$1:$B$30,2,0)</f>
        <v>2.0145521929129111</v>
      </c>
      <c r="I56" s="7">
        <f>VLOOKUP(D56,Vlookup!$A$1:$B$30,2,0)</f>
        <v>1.2266517321719024</v>
      </c>
      <c r="J56" s="7">
        <f>VLOOKUP(E56,Vlookup!$A$1:$B$30,2,0)</f>
        <v>1.8243208303594776</v>
      </c>
      <c r="K56" s="7">
        <f>VLOOKUP(F56,Vlookup!$A$1:$B$30,2,0)</f>
        <v>0.9108240498099236</v>
      </c>
      <c r="L56" s="7">
        <f t="shared" si="1"/>
        <v>4.549939473005165</v>
      </c>
      <c r="M56" s="7">
        <f t="shared" si="2"/>
        <v>4.1061565809626925</v>
      </c>
      <c r="N56" s="7">
        <f t="shared" si="3"/>
        <v>2.0382478028655377</v>
      </c>
      <c r="O56" s="7">
        <f t="shared" si="4"/>
        <v>1.6616352868606219</v>
      </c>
      <c r="P56" s="7">
        <f t="shared" si="5"/>
        <v>0.9108240498099236</v>
      </c>
      <c r="Q56">
        <v>1</v>
      </c>
      <c r="R56" s="7">
        <f t="shared" si="6"/>
        <v>14.266803193503941</v>
      </c>
      <c r="S56" s="7">
        <f>VLOOKUP($A56,Rotations!$A$1:$X$1441,18,0)</f>
        <v>0.3189179391692229</v>
      </c>
      <c r="T56" s="7">
        <f>VLOOKUP($A56,Rotations!$A$1:$X$1441,19,0)</f>
        <v>6.3842196282951902E-2</v>
      </c>
      <c r="U56" s="7">
        <f>VLOOKUP($A56,Rotations!$A$1:$X$1441,20,0)</f>
        <v>0.28781195936258069</v>
      </c>
      <c r="V56" s="7">
        <f>VLOOKUP($A56,Rotations!$A$1:$X$1441,21,0)</f>
        <v>7.0092787181316618E-2</v>
      </c>
      <c r="W56" s="7">
        <f>VLOOKUP($A56,Rotations!$A$1:$X$1441,22,0)</f>
        <v>0.11646864853488756</v>
      </c>
      <c r="X56" s="7">
        <f>VLOOKUP($A56,Rotations!$A$1:$X$1441,23,0)</f>
        <v>0.14286646946904033</v>
      </c>
    </row>
    <row r="57" spans="1:24" ht="15.75" customHeight="1" x14ac:dyDescent="0.3">
      <c r="A57">
        <v>48</v>
      </c>
      <c r="B57" t="str">
        <f>Permutations!I49</f>
        <v>p8 - i1:i3</v>
      </c>
      <c r="C57" t="str">
        <f>Permutations!J49</f>
        <v>p13 - i3:i6</v>
      </c>
      <c r="D57" t="str">
        <f>Permutations!K49</f>
        <v>p151 - i6:i5</v>
      </c>
      <c r="E57" t="str">
        <f>Permutations!L49</f>
        <v>p41 - i5:i4</v>
      </c>
      <c r="F57" t="str">
        <f>Permutations!M49</f>
        <v>p51 - i4:i2</v>
      </c>
      <c r="G57" s="7">
        <f>VLOOKUP(B57,Vlookup!$A$1:$B$30,2,0)</f>
        <v>1.1080774401297739</v>
      </c>
      <c r="H57" s="7">
        <f>VLOOKUP(C57,Vlookup!$A$1:$B$30,2,0)</f>
        <v>2.0145521929129111</v>
      </c>
      <c r="I57" s="7">
        <f>VLOOKUP(D57,Vlookup!$A$1:$B$30,2,0)</f>
        <v>1.2266517321719024</v>
      </c>
      <c r="J57" s="7">
        <f>VLOOKUP(E57,Vlookup!$A$1:$B$30,2,0)</f>
        <v>1.25400669441983</v>
      </c>
      <c r="K57" s="7">
        <f>VLOOKUP(F57,Vlookup!$A$1:$B$30,2,0)</f>
        <v>1.4376356077157479</v>
      </c>
      <c r="L57" s="7">
        <f t="shared" si="1"/>
        <v>4.9364937199379035</v>
      </c>
      <c r="M57" s="7">
        <f t="shared" si="2"/>
        <v>4.4550078732401222</v>
      </c>
      <c r="N57" s="7">
        <f t="shared" si="3"/>
        <v>2.2114134788428941</v>
      </c>
      <c r="O57" s="7">
        <f t="shared" si="4"/>
        <v>1.8028046762118686</v>
      </c>
      <c r="P57" s="7">
        <f t="shared" si="5"/>
        <v>1.4376356077157479</v>
      </c>
      <c r="Q57">
        <v>1</v>
      </c>
      <c r="R57" s="7">
        <f t="shared" si="6"/>
        <v>15.843355355948537</v>
      </c>
      <c r="S57" s="7">
        <f>VLOOKUP($A57,Rotations!$A$1:$X$1441,18,0)</f>
        <v>0.31158132914594067</v>
      </c>
      <c r="T57" s="7">
        <f>VLOOKUP($A57,Rotations!$A$1:$X$1441,19,0)</f>
        <v>6.311794298197955E-2</v>
      </c>
      <c r="U57" s="7">
        <f>VLOOKUP($A57,Rotations!$A$1:$X$1441,20,0)</f>
        <v>0.28119093292743996</v>
      </c>
      <c r="V57" s="7">
        <f>VLOOKUP($A57,Rotations!$A$1:$X$1441,21,0)</f>
        <v>9.0740602316666086E-2</v>
      </c>
      <c r="W57" s="7">
        <f>VLOOKUP($A57,Rotations!$A$1:$X$1441,22,0)</f>
        <v>0.11378932276078682</v>
      </c>
      <c r="X57" s="7">
        <f>VLOOKUP($A57,Rotations!$A$1:$X$1441,23,0)</f>
        <v>0.13957986986718682</v>
      </c>
    </row>
    <row r="58" spans="1:24" ht="15.75" customHeight="1" x14ac:dyDescent="0.3">
      <c r="A58">
        <v>49</v>
      </c>
      <c r="B58" t="str">
        <f>Permutations!I50</f>
        <v>p9 - i1:i4</v>
      </c>
      <c r="C58" t="str">
        <f>Permutations!J50</f>
        <v>p51 - i4:i2</v>
      </c>
      <c r="D58" t="str">
        <f>Permutations!K50</f>
        <v>p2 - i2:i3</v>
      </c>
      <c r="E58" t="str">
        <f>Permutations!L50</f>
        <v>p6 - i3:i5</v>
      </c>
      <c r="F58" t="str">
        <f>Permutations!M50</f>
        <v>p15 - i5:i6</v>
      </c>
      <c r="G58" s="7">
        <f>VLOOKUP(B58,Vlookup!$A$1:$B$30,2,0)</f>
        <v>1.2538815092968505</v>
      </c>
      <c r="H58" s="7">
        <f>VLOOKUP(C58,Vlookup!$A$1:$B$30,2,0)</f>
        <v>1.4376356077157479</v>
      </c>
      <c r="I58" s="7">
        <f>VLOOKUP(D58,Vlookup!$A$1:$B$30,2,0)</f>
        <v>1.3601242124324544</v>
      </c>
      <c r="J58" s="7">
        <f>VLOOKUP(E58,Vlookup!$A$1:$B$30,2,0)</f>
        <v>2.2414716085286912</v>
      </c>
      <c r="K58" s="7">
        <f>VLOOKUP(F58,Vlookup!$A$1:$B$30,2,0)</f>
        <v>1.3219359277692486</v>
      </c>
      <c r="L58" s="7">
        <f t="shared" si="1"/>
        <v>7.2648648445884998</v>
      </c>
      <c r="M58" s="7">
        <f t="shared" si="2"/>
        <v>5.793900612397163</v>
      </c>
      <c r="N58" s="7">
        <f t="shared" si="3"/>
        <v>4.0301593681329742</v>
      </c>
      <c r="O58" s="7">
        <f t="shared" si="4"/>
        <v>2.9630818503888054</v>
      </c>
      <c r="P58" s="7">
        <f t="shared" si="5"/>
        <v>1.3219359277692486</v>
      </c>
      <c r="Q58">
        <v>1</v>
      </c>
      <c r="R58" s="7">
        <f t="shared" si="6"/>
        <v>22.373942603276692</v>
      </c>
      <c r="S58" s="7">
        <f>VLOOKUP($A58,Rotations!$A$1:$X$1441,18,0)</f>
        <v>0.32470204171903755</v>
      </c>
      <c r="T58" s="7">
        <f>VLOOKUP($A58,Rotations!$A$1:$X$1441,19,0)</f>
        <v>0.1801273668925365</v>
      </c>
      <c r="U58" s="7">
        <f>VLOOKUP($A58,Rotations!$A$1:$X$1441,20,0)</f>
        <v>0.13243449770693783</v>
      </c>
      <c r="V58" s="7">
        <f>VLOOKUP($A58,Rotations!$A$1:$X$1441,21,0)</f>
        <v>0.25895751656878924</v>
      </c>
      <c r="W58" s="7">
        <f>VLOOKUP($A58,Rotations!$A$1:$X$1441,22,0)</f>
        <v>5.9083727495378907E-2</v>
      </c>
      <c r="X58" s="7">
        <f>VLOOKUP($A58,Rotations!$A$1:$X$1441,23,0)</f>
        <v>4.4694849617319961E-2</v>
      </c>
    </row>
    <row r="59" spans="1:24" ht="15.75" customHeight="1" x14ac:dyDescent="0.3">
      <c r="A59">
        <v>50</v>
      </c>
      <c r="B59" t="str">
        <f>Permutations!I51</f>
        <v>p9 - i1:i4</v>
      </c>
      <c r="C59" t="str">
        <f>Permutations!J51</f>
        <v>p51 - i4:i2</v>
      </c>
      <c r="D59" t="str">
        <f>Permutations!K51</f>
        <v>p2 - i2:i3</v>
      </c>
      <c r="E59" t="str">
        <f>Permutations!L51</f>
        <v>p13 - i3:i6</v>
      </c>
      <c r="F59" t="str">
        <f>Permutations!M51</f>
        <v>p151 - i6:i5</v>
      </c>
      <c r="G59" s="7">
        <f>VLOOKUP(B59,Vlookup!$A$1:$B$30,2,0)</f>
        <v>1.2538815092968505</v>
      </c>
      <c r="H59" s="7">
        <f>VLOOKUP(C59,Vlookup!$A$1:$B$30,2,0)</f>
        <v>1.4376356077157479</v>
      </c>
      <c r="I59" s="7">
        <f>VLOOKUP(D59,Vlookup!$A$1:$B$30,2,0)</f>
        <v>1.3601242124324544</v>
      </c>
      <c r="J59" s="7">
        <f>VLOOKUP(E59,Vlookup!$A$1:$B$30,2,0)</f>
        <v>2.0145521929129111</v>
      </c>
      <c r="K59" s="7">
        <f>VLOOKUP(F59,Vlookup!$A$1:$B$30,2,0)</f>
        <v>1.2266517321719024</v>
      </c>
      <c r="L59" s="7">
        <f t="shared" si="1"/>
        <v>6.0587591800847553</v>
      </c>
      <c r="M59" s="7">
        <f t="shared" si="2"/>
        <v>4.8320029724996703</v>
      </c>
      <c r="N59" s="7">
        <f t="shared" si="3"/>
        <v>3.3610763023442467</v>
      </c>
      <c r="O59" s="7">
        <f t="shared" si="4"/>
        <v>2.471153936987327</v>
      </c>
      <c r="P59" s="7">
        <f t="shared" si="5"/>
        <v>1.2266517321719024</v>
      </c>
      <c r="Q59">
        <v>1</v>
      </c>
      <c r="R59" s="7">
        <f t="shared" si="6"/>
        <v>18.9496441240879</v>
      </c>
      <c r="S59" s="7">
        <f>VLOOKUP($A59,Rotations!$A$1:$X$1441,18,0)</f>
        <v>0.31972944401542319</v>
      </c>
      <c r="T59" s="7">
        <f>VLOOKUP($A59,Rotations!$A$1:$X$1441,19,0)</f>
        <v>0.17736883502059039</v>
      </c>
      <c r="U59" s="7">
        <f>VLOOKUP($A59,Rotations!$A$1:$X$1441,20,0)</f>
        <v>0.13040635068423853</v>
      </c>
      <c r="V59" s="7">
        <f>VLOOKUP($A59,Rotations!$A$1:$X$1441,21,0)</f>
        <v>0.2549917529246607</v>
      </c>
      <c r="W59" s="7">
        <f>VLOOKUP($A59,Rotations!$A$1:$X$1441,22,0)</f>
        <v>5.2771439582279374E-2</v>
      </c>
      <c r="X59" s="7">
        <f>VLOOKUP($A59,Rotations!$A$1:$X$1441,23,0)</f>
        <v>6.4732177772807889E-2</v>
      </c>
    </row>
    <row r="60" spans="1:24" ht="15.75" customHeight="1" x14ac:dyDescent="0.3">
      <c r="A60">
        <v>51</v>
      </c>
      <c r="B60" t="str">
        <f>Permutations!I52</f>
        <v>p9 - i1:i4</v>
      </c>
      <c r="C60" t="str">
        <f>Permutations!J52</f>
        <v>p51 - i4:i2</v>
      </c>
      <c r="D60" t="str">
        <f>Permutations!K52</f>
        <v>p7 - i2:i5</v>
      </c>
      <c r="E60" t="str">
        <f>Permutations!L52</f>
        <v>p61 - i5:i3</v>
      </c>
      <c r="F60" t="str">
        <f>Permutations!M52</f>
        <v>p13 - i3:i6</v>
      </c>
      <c r="G60" s="7">
        <f>VLOOKUP(B60,Vlookup!$A$1:$B$30,2,0)</f>
        <v>1.2538815092968505</v>
      </c>
      <c r="H60" s="7">
        <f>VLOOKUP(C60,Vlookup!$A$1:$B$30,2,0)</f>
        <v>1.4376356077157479</v>
      </c>
      <c r="I60" s="7">
        <f>VLOOKUP(D60,Vlookup!$A$1:$B$30,2,0)</f>
        <v>1.7991741228251155</v>
      </c>
      <c r="J60" s="7">
        <f>VLOOKUP(E60,Vlookup!$A$1:$B$30,2,0)</f>
        <v>1.9746367445127702</v>
      </c>
      <c r="K60" s="7">
        <f>VLOOKUP(F60,Vlookup!$A$1:$B$30,2,0)</f>
        <v>2.0145521929129111</v>
      </c>
      <c r="L60" s="7">
        <f t="shared" si="1"/>
        <v>12.901620196303973</v>
      </c>
      <c r="M60" s="7">
        <f t="shared" si="2"/>
        <v>10.28934560454514</v>
      </c>
      <c r="N60" s="7">
        <f t="shared" si="3"/>
        <v>7.1571304643002192</v>
      </c>
      <c r="O60" s="7">
        <f t="shared" si="4"/>
        <v>3.9780087838646128</v>
      </c>
      <c r="P60" s="7">
        <f t="shared" si="5"/>
        <v>2.0145521929129111</v>
      </c>
      <c r="Q60">
        <v>1</v>
      </c>
      <c r="R60" s="7">
        <f t="shared" si="6"/>
        <v>37.340657241926856</v>
      </c>
      <c r="S60" s="7">
        <f>VLOOKUP($A60,Rotations!$A$1:$X$1441,18,0)</f>
        <v>0.3455113313275528</v>
      </c>
      <c r="T60" s="7">
        <f>VLOOKUP($A60,Rotations!$A$1:$X$1441,19,0)</f>
        <v>0.19167125039952554</v>
      </c>
      <c r="U60" s="7">
        <f>VLOOKUP($A60,Rotations!$A$1:$X$1441,20,0)</f>
        <v>5.3950635626491612E-2</v>
      </c>
      <c r="V60" s="7">
        <f>VLOOKUP($A60,Rotations!$A$1:$X$1441,21,0)</f>
        <v>0.27555341454975923</v>
      </c>
      <c r="W60" s="7">
        <f>VLOOKUP($A60,Rotations!$A$1:$X$1441,22,0)</f>
        <v>0.10653290749789007</v>
      </c>
      <c r="X60" s="7">
        <f>VLOOKUP($A60,Rotations!$A$1:$X$1441,23,0)</f>
        <v>2.678046059878077E-2</v>
      </c>
    </row>
    <row r="61" spans="1:24" ht="15.75" customHeight="1" x14ac:dyDescent="0.3">
      <c r="A61">
        <v>52</v>
      </c>
      <c r="B61" t="str">
        <f>Permutations!I53</f>
        <v>p9 - i1:i4</v>
      </c>
      <c r="C61" t="str">
        <f>Permutations!J53</f>
        <v>p51 - i4:i2</v>
      </c>
      <c r="D61" t="str">
        <f>Permutations!K53</f>
        <v>p7 - i2:i5</v>
      </c>
      <c r="E61" t="str">
        <f>Permutations!L53</f>
        <v>p15 - i5:i6</v>
      </c>
      <c r="F61" t="str">
        <f>Permutations!M53</f>
        <v>p131 - i6:i3</v>
      </c>
      <c r="G61" s="7">
        <f>VLOOKUP(B61,Vlookup!$A$1:$B$30,2,0)</f>
        <v>1.2538815092968505</v>
      </c>
      <c r="H61" s="7">
        <f>VLOOKUP(C61,Vlookup!$A$1:$B$30,2,0)</f>
        <v>1.4376356077157479</v>
      </c>
      <c r="I61" s="7">
        <f>VLOOKUP(D61,Vlookup!$A$1:$B$30,2,0)</f>
        <v>1.7991741228251155</v>
      </c>
      <c r="J61" s="7">
        <f>VLOOKUP(E61,Vlookup!$A$1:$B$30,2,0)</f>
        <v>1.3219359277692486</v>
      </c>
      <c r="K61" s="7">
        <f>VLOOKUP(F61,Vlookup!$A$1:$B$30,2,0)</f>
        <v>1.4032439022773779</v>
      </c>
      <c r="L61" s="7">
        <f t="shared" si="1"/>
        <v>6.0161974990648259</v>
      </c>
      <c r="M61" s="7">
        <f t="shared" si="2"/>
        <v>4.7980590306643718</v>
      </c>
      <c r="N61" s="7">
        <f t="shared" si="3"/>
        <v>3.3374653527732137</v>
      </c>
      <c r="O61" s="7">
        <f t="shared" si="4"/>
        <v>1.8549985298435865</v>
      </c>
      <c r="P61" s="7">
        <f t="shared" si="5"/>
        <v>1.4032439022773779</v>
      </c>
      <c r="Q61">
        <v>1</v>
      </c>
      <c r="R61" s="7">
        <f t="shared" si="6"/>
        <v>18.409964314623377</v>
      </c>
      <c r="S61" s="7">
        <f>VLOOKUP($A61,Rotations!$A$1:$X$1441,18,0)</f>
        <v>0.32679028575226776</v>
      </c>
      <c r="T61" s="7">
        <f>VLOOKUP($A61,Rotations!$A$1:$X$1441,19,0)</f>
        <v>0.18128581325506443</v>
      </c>
      <c r="U61" s="7">
        <f>VLOOKUP($A61,Rotations!$A$1:$X$1441,20,0)</f>
        <v>5.4318410558008602E-2</v>
      </c>
      <c r="V61" s="7">
        <f>VLOOKUP($A61,Rotations!$A$1:$X$1441,21,0)</f>
        <v>0.26062294030918814</v>
      </c>
      <c r="W61" s="7">
        <f>VLOOKUP($A61,Rotations!$A$1:$X$1441,22,0)</f>
        <v>0.1007605717285463</v>
      </c>
      <c r="X61" s="7">
        <f>VLOOKUP($A61,Rotations!$A$1:$X$1441,23,0)</f>
        <v>7.6221978396924711E-2</v>
      </c>
    </row>
    <row r="62" spans="1:24" ht="15.75" customHeight="1" x14ac:dyDescent="0.3">
      <c r="A62">
        <v>53</v>
      </c>
      <c r="B62" t="str">
        <f>Permutations!I54</f>
        <v>p9 - i1:i4</v>
      </c>
      <c r="C62" t="str">
        <f>Permutations!J54</f>
        <v>p51 - i4:i2</v>
      </c>
      <c r="D62" t="str">
        <f>Permutations!K54</f>
        <v>p12 - i2:i6</v>
      </c>
      <c r="E62" t="str">
        <f>Permutations!L54</f>
        <v>p131 - i6:i3</v>
      </c>
      <c r="F62" t="str">
        <f>Permutations!M54</f>
        <v>p6 - i3:i5</v>
      </c>
      <c r="G62" s="7">
        <f>VLOOKUP(B62,Vlookup!$A$1:$B$30,2,0)</f>
        <v>1.2538815092968505</v>
      </c>
      <c r="H62" s="7">
        <f>VLOOKUP(C62,Vlookup!$A$1:$B$30,2,0)</f>
        <v>1.4376356077157479</v>
      </c>
      <c r="I62" s="7">
        <f>VLOOKUP(D62,Vlookup!$A$1:$B$30,2,0)</f>
        <v>1.3354555559520354</v>
      </c>
      <c r="J62" s="7">
        <f>VLOOKUP(E62,Vlookup!$A$1:$B$30,2,0)</f>
        <v>1.4032439022773779</v>
      </c>
      <c r="K62" s="7">
        <f>VLOOKUP(F62,Vlookup!$A$1:$B$30,2,0)</f>
        <v>2.2414716085286912</v>
      </c>
      <c r="L62" s="7">
        <f t="shared" si="1"/>
        <v>7.5718353937573815</v>
      </c>
      <c r="M62" s="7">
        <f t="shared" si="2"/>
        <v>6.0387168465411865</v>
      </c>
      <c r="N62" s="7">
        <f t="shared" si="3"/>
        <v>4.2004502490975959</v>
      </c>
      <c r="O62" s="7">
        <f t="shared" si="4"/>
        <v>3.1453313667957521</v>
      </c>
      <c r="P62" s="7">
        <f t="shared" si="5"/>
        <v>2.2414716085286912</v>
      </c>
      <c r="Q62">
        <v>1</v>
      </c>
      <c r="R62" s="7">
        <f t="shared" si="6"/>
        <v>24.197805464720606</v>
      </c>
      <c r="S62" s="7">
        <f>VLOOKUP($A62,Rotations!$A$1:$X$1441,18,0)</f>
        <v>0.31291413615159452</v>
      </c>
      <c r="T62" s="7">
        <f>VLOOKUP($A62,Rotations!$A$1:$X$1441,19,0)</f>
        <v>0.17358806587736553</v>
      </c>
      <c r="U62" s="7">
        <f>VLOOKUP($A62,Rotations!$A$1:$X$1441,20,0)</f>
        <v>9.2631193840973042E-2</v>
      </c>
      <c r="V62" s="7">
        <f>VLOOKUP($A62,Rotations!$A$1:$X$1441,21,0)</f>
        <v>0.24955638457980764</v>
      </c>
      <c r="W62" s="7">
        <f>VLOOKUP($A62,Rotations!$A$1:$X$1441,22,0)</f>
        <v>4.1326061632240098E-2</v>
      </c>
      <c r="X62" s="7">
        <f>VLOOKUP($A62,Rotations!$A$1:$X$1441,23,0)</f>
        <v>0.12998415791801923</v>
      </c>
    </row>
    <row r="63" spans="1:24" ht="15.75" customHeight="1" x14ac:dyDescent="0.3">
      <c r="A63">
        <v>54</v>
      </c>
      <c r="B63" t="str">
        <f>Permutations!I55</f>
        <v>p9 - i1:i4</v>
      </c>
      <c r="C63" t="str">
        <f>Permutations!J55</f>
        <v>p51 - i4:i2</v>
      </c>
      <c r="D63" t="str">
        <f>Permutations!K55</f>
        <v>p12 - i2:i6</v>
      </c>
      <c r="E63" t="str">
        <f>Permutations!L55</f>
        <v>p151 - i6:i5</v>
      </c>
      <c r="F63" t="str">
        <f>Permutations!M55</f>
        <v>p61 - i5:i3</v>
      </c>
      <c r="G63" s="7">
        <f>VLOOKUP(B63,Vlookup!$A$1:$B$30,2,0)</f>
        <v>1.2538815092968505</v>
      </c>
      <c r="H63" s="7">
        <f>VLOOKUP(C63,Vlookup!$A$1:$B$30,2,0)</f>
        <v>1.4376356077157479</v>
      </c>
      <c r="I63" s="7">
        <f>VLOOKUP(D63,Vlookup!$A$1:$B$30,2,0)</f>
        <v>1.3354555559520354</v>
      </c>
      <c r="J63" s="7">
        <f>VLOOKUP(E63,Vlookup!$A$1:$B$30,2,0)</f>
        <v>1.2266517321719024</v>
      </c>
      <c r="K63" s="7">
        <f>VLOOKUP(F63,Vlookup!$A$1:$B$30,2,0)</f>
        <v>1.9746367445127702</v>
      </c>
      <c r="L63" s="7">
        <f t="shared" si="1"/>
        <v>5.8310027848706358</v>
      </c>
      <c r="M63" s="7">
        <f t="shared" si="2"/>
        <v>4.6503618895700409</v>
      </c>
      <c r="N63" s="7">
        <f t="shared" si="3"/>
        <v>3.2347292071869154</v>
      </c>
      <c r="O63" s="7">
        <f t="shared" si="4"/>
        <v>2.4221915830668759</v>
      </c>
      <c r="P63" s="7">
        <f t="shared" si="5"/>
        <v>1.9746367445127702</v>
      </c>
      <c r="Q63">
        <v>1</v>
      </c>
      <c r="R63" s="7">
        <f t="shared" si="6"/>
        <v>19.112922209207241</v>
      </c>
      <c r="S63" s="7">
        <f>VLOOKUP($A63,Rotations!$A$1:$X$1441,18,0)</f>
        <v>0.30508169923182521</v>
      </c>
      <c r="T63" s="7">
        <f>VLOOKUP($A63,Rotations!$A$1:$X$1441,19,0)</f>
        <v>0.16924304780713512</v>
      </c>
      <c r="U63" s="7">
        <f>VLOOKUP($A63,Rotations!$A$1:$X$1441,20,0)</f>
        <v>5.2320623139368576E-2</v>
      </c>
      <c r="V63" s="7">
        <f>VLOOKUP($A63,Rotations!$A$1:$X$1441,21,0)</f>
        <v>0.24330983188587607</v>
      </c>
      <c r="W63" s="7">
        <f>VLOOKUP($A63,Rotations!$A$1:$X$1441,22,0)</f>
        <v>0.10331422494680229</v>
      </c>
      <c r="X63" s="7">
        <f>VLOOKUP($A63,Rotations!$A$1:$X$1441,23,0)</f>
        <v>0.1267305729889926</v>
      </c>
    </row>
    <row r="64" spans="1:24" ht="15.75" customHeight="1" x14ac:dyDescent="0.3">
      <c r="A64">
        <v>55</v>
      </c>
      <c r="B64" t="str">
        <f>Permutations!I56</f>
        <v>p9 - i1:i4</v>
      </c>
      <c r="C64" t="str">
        <f>Permutations!J56</f>
        <v>p31 - i4:i3</v>
      </c>
      <c r="D64" t="str">
        <f>Permutations!K56</f>
        <v>p21 - i3:i2</v>
      </c>
      <c r="E64" t="str">
        <f>Permutations!L56</f>
        <v>p7 - i2:i5</v>
      </c>
      <c r="F64" t="str">
        <f>Permutations!M56</f>
        <v>p15 - i5:i6</v>
      </c>
      <c r="G64" s="7">
        <f>VLOOKUP(B64,Vlookup!$A$1:$B$30,2,0)</f>
        <v>1.2538815092968505</v>
      </c>
      <c r="H64" s="7">
        <f>VLOOKUP(C64,Vlookup!$A$1:$B$30,2,0)</f>
        <v>2.2388599512381115</v>
      </c>
      <c r="I64" s="7">
        <f>VLOOKUP(D64,Vlookup!$A$1:$B$30,2,0)</f>
        <v>1.5059827029565431</v>
      </c>
      <c r="J64" s="7">
        <f>VLOOKUP(E64,Vlookup!$A$1:$B$30,2,0)</f>
        <v>1.7991741228251155</v>
      </c>
      <c r="K64" s="7">
        <f>VLOOKUP(F64,Vlookup!$A$1:$B$30,2,0)</f>
        <v>1.3219359277692486</v>
      </c>
      <c r="L64" s="7">
        <f t="shared" si="1"/>
        <v>10.055114298501753</v>
      </c>
      <c r="M64" s="7">
        <f t="shared" si="2"/>
        <v>8.0191901897815221</v>
      </c>
      <c r="N64" s="7">
        <f t="shared" si="3"/>
        <v>3.5818185882269375</v>
      </c>
      <c r="O64" s="7">
        <f t="shared" si="4"/>
        <v>2.3783929132752433</v>
      </c>
      <c r="P64" s="7">
        <f t="shared" si="5"/>
        <v>1.3219359277692486</v>
      </c>
      <c r="Q64">
        <v>1</v>
      </c>
      <c r="R64" s="7">
        <f t="shared" si="6"/>
        <v>26.356451917554704</v>
      </c>
      <c r="S64" s="7">
        <f>VLOOKUP($A64,Rotations!$A$1:$X$1441,18,0)</f>
        <v>0.38150485239648468</v>
      </c>
      <c r="T64" s="7">
        <f>VLOOKUP($A64,Rotations!$A$1:$X$1441,19,0)</f>
        <v>9.0239495085114835E-2</v>
      </c>
      <c r="U64" s="7">
        <f>VLOOKUP($A64,Rotations!$A$1:$X$1441,20,0)</f>
        <v>0.13589911872171492</v>
      </c>
      <c r="V64" s="7">
        <f>VLOOKUP($A64,Rotations!$A$1:$X$1441,21,0)</f>
        <v>0.30425909431460096</v>
      </c>
      <c r="W64" s="7">
        <f>VLOOKUP($A64,Rotations!$A$1:$X$1441,22,0)</f>
        <v>5.0156065463757421E-2</v>
      </c>
      <c r="X64" s="7">
        <f>VLOOKUP($A64,Rotations!$A$1:$X$1441,23,0)</f>
        <v>3.7941374018327194E-2</v>
      </c>
    </row>
    <row r="65" spans="1:24" ht="15.75" customHeight="1" x14ac:dyDescent="0.3">
      <c r="A65">
        <v>56</v>
      </c>
      <c r="B65" t="str">
        <f>Permutations!I57</f>
        <v>p9 - i1:i4</v>
      </c>
      <c r="C65" t="str">
        <f>Permutations!J57</f>
        <v>p31 - i4:i3</v>
      </c>
      <c r="D65" t="str">
        <f>Permutations!K57</f>
        <v>p21 - i3:i2</v>
      </c>
      <c r="E65" t="str">
        <f>Permutations!L57</f>
        <v>p12 - i2:i6</v>
      </c>
      <c r="F65" t="str">
        <f>Permutations!M57</f>
        <v>p151 - i6:i5</v>
      </c>
      <c r="G65" s="7">
        <f>VLOOKUP(B65,Vlookup!$A$1:$B$30,2,0)</f>
        <v>1.2538815092968505</v>
      </c>
      <c r="H65" s="7">
        <f>VLOOKUP(C65,Vlookup!$A$1:$B$30,2,0)</f>
        <v>2.2388599512381115</v>
      </c>
      <c r="I65" s="7">
        <f>VLOOKUP(D65,Vlookup!$A$1:$B$30,2,0)</f>
        <v>1.5059827029565431</v>
      </c>
      <c r="J65" s="7">
        <f>VLOOKUP(E65,Vlookup!$A$1:$B$30,2,0)</f>
        <v>1.3354555559520354</v>
      </c>
      <c r="K65" s="7">
        <f>VLOOKUP(F65,Vlookup!$A$1:$B$30,2,0)</f>
        <v>1.2266517321719024</v>
      </c>
      <c r="L65" s="7">
        <f t="shared" si="1"/>
        <v>6.925547705870601</v>
      </c>
      <c r="M65" s="7">
        <f t="shared" si="2"/>
        <v>5.5232872121659238</v>
      </c>
      <c r="N65" s="7">
        <f t="shared" si="3"/>
        <v>2.4670088046871763</v>
      </c>
      <c r="O65" s="7">
        <f t="shared" si="4"/>
        <v>1.6381388709471552</v>
      </c>
      <c r="P65" s="7">
        <f t="shared" si="5"/>
        <v>1.2266517321719024</v>
      </c>
      <c r="Q65">
        <v>1</v>
      </c>
      <c r="R65" s="7">
        <f t="shared" si="6"/>
        <v>18.780634325842758</v>
      </c>
      <c r="S65" s="7">
        <f>VLOOKUP($A65,Rotations!$A$1:$X$1441,18,0)</f>
        <v>0.36876005281359553</v>
      </c>
      <c r="T65" s="7">
        <f>VLOOKUP($A65,Rotations!$A$1:$X$1441,19,0)</f>
        <v>8.7224895737042452E-2</v>
      </c>
      <c r="U65" s="7">
        <f>VLOOKUP($A65,Rotations!$A$1:$X$1441,20,0)</f>
        <v>0.13135918424717383</v>
      </c>
      <c r="V65" s="7">
        <f>VLOOKUP($A65,Rotations!$A$1:$X$1441,21,0)</f>
        <v>0.29409481683830574</v>
      </c>
      <c r="W65" s="7">
        <f>VLOOKUP($A65,Rotations!$A$1:$X$1441,22,0)</f>
        <v>5.3246337831303586E-2</v>
      </c>
      <c r="X65" s="7">
        <f>VLOOKUP($A65,Rotations!$A$1:$X$1441,23,0)</f>
        <v>6.5314712532578839E-2</v>
      </c>
    </row>
    <row r="66" spans="1:24" ht="15.75" customHeight="1" x14ac:dyDescent="0.3">
      <c r="A66">
        <v>57</v>
      </c>
      <c r="B66" t="str">
        <f>Permutations!I58</f>
        <v>p9 - i1:i4</v>
      </c>
      <c r="C66" t="str">
        <f>Permutations!J58</f>
        <v>p31 - i4:i3</v>
      </c>
      <c r="D66" t="str">
        <f>Permutations!K58</f>
        <v>p6 - i3:i5</v>
      </c>
      <c r="E66" t="str">
        <f>Permutations!L58</f>
        <v>p71 - i5:i2</v>
      </c>
      <c r="F66" t="str">
        <f>Permutations!M58</f>
        <v>p12 - i2:i6</v>
      </c>
      <c r="G66" s="7">
        <f>VLOOKUP(B66,Vlookup!$A$1:$B$30,2,0)</f>
        <v>1.2538815092968505</v>
      </c>
      <c r="H66" s="7">
        <f>VLOOKUP(C66,Vlookup!$A$1:$B$30,2,0)</f>
        <v>2.2388599512381115</v>
      </c>
      <c r="I66" s="7">
        <f>VLOOKUP(D66,Vlookup!$A$1:$B$30,2,0)</f>
        <v>2.2414716085286912</v>
      </c>
      <c r="J66" s="7">
        <f>VLOOKUP(E66,Vlookup!$A$1:$B$30,2,0)</f>
        <v>1.8243208303594776</v>
      </c>
      <c r="K66" s="7">
        <f>VLOOKUP(F66,Vlookup!$A$1:$B$30,2,0)</f>
        <v>1.3354555559520354</v>
      </c>
      <c r="L66" s="7">
        <f t="shared" si="1"/>
        <v>15.330182473552137</v>
      </c>
      <c r="M66" s="7">
        <f t="shared" si="2"/>
        <v>12.22618115020212</v>
      </c>
      <c r="N66" s="7">
        <f t="shared" si="3"/>
        <v>5.460895909742332</v>
      </c>
      <c r="O66" s="7">
        <f t="shared" si="4"/>
        <v>2.436299388742595</v>
      </c>
      <c r="P66" s="7">
        <f t="shared" si="5"/>
        <v>1.3354555559520354</v>
      </c>
      <c r="Q66">
        <v>1</v>
      </c>
      <c r="R66" s="7">
        <f t="shared" si="6"/>
        <v>37.789014478191227</v>
      </c>
      <c r="S66" s="7">
        <f>VLOOKUP($A66,Rotations!$A$1:$X$1441,18,0)</f>
        <v>0.40567828204145101</v>
      </c>
      <c r="T66" s="7">
        <f>VLOOKUP($A66,Rotations!$A$1:$X$1441,19,0)</f>
        <v>3.533978259006338E-2</v>
      </c>
      <c r="U66" s="7">
        <f>VLOOKUP($A66,Rotations!$A$1:$X$1441,20,0)</f>
        <v>0.14451014362636846</v>
      </c>
      <c r="V66" s="7">
        <f>VLOOKUP($A66,Rotations!$A$1:$X$1441,21,0)</f>
        <v>0.32353797311274379</v>
      </c>
      <c r="W66" s="7">
        <f>VLOOKUP($A66,Rotations!$A$1:$X$1441,22,0)</f>
        <v>6.4471101519427837E-2</v>
      </c>
      <c r="X66" s="7">
        <f>VLOOKUP($A66,Rotations!$A$1:$X$1441,23,0)</f>
        <v>2.6462717109945258E-2</v>
      </c>
    </row>
    <row r="67" spans="1:24" ht="15.75" customHeight="1" x14ac:dyDescent="0.3">
      <c r="A67">
        <v>58</v>
      </c>
      <c r="B67" t="str">
        <f>Permutations!I59</f>
        <v>p9 - i1:i4</v>
      </c>
      <c r="C67" t="str">
        <f>Permutations!J59</f>
        <v>p31 - i4:i3</v>
      </c>
      <c r="D67" t="str">
        <f>Permutations!K59</f>
        <v>p6 - i3:i5</v>
      </c>
      <c r="E67" t="str">
        <f>Permutations!L59</f>
        <v>p15 - i5:i6</v>
      </c>
      <c r="F67" t="str">
        <f>Permutations!M59</f>
        <v>p121 - i6:i2</v>
      </c>
      <c r="G67" s="7">
        <f>VLOOKUP(B67,Vlookup!$A$1:$B$30,2,0)</f>
        <v>1.2538815092968505</v>
      </c>
      <c r="H67" s="7">
        <f>VLOOKUP(C67,Vlookup!$A$1:$B$30,2,0)</f>
        <v>2.2388599512381115</v>
      </c>
      <c r="I67" s="7">
        <f>VLOOKUP(D67,Vlookup!$A$1:$B$30,2,0)</f>
        <v>2.2414716085286912</v>
      </c>
      <c r="J67" s="7">
        <f>VLOOKUP(E67,Vlookup!$A$1:$B$30,2,0)</f>
        <v>1.3219359277692486</v>
      </c>
      <c r="K67" s="7">
        <f>VLOOKUP(F67,Vlookup!$A$1:$B$30,2,0)</f>
        <v>1.2419340531937677</v>
      </c>
      <c r="L67" s="7">
        <f t="shared" si="1"/>
        <v>10.330601508551069</v>
      </c>
      <c r="M67" s="7">
        <f t="shared" si="2"/>
        <v>8.2388977203629441</v>
      </c>
      <c r="N67" s="7">
        <f t="shared" si="3"/>
        <v>3.6799522523982584</v>
      </c>
      <c r="O67" s="7">
        <f t="shared" si="4"/>
        <v>1.6417572448369266</v>
      </c>
      <c r="P67" s="7">
        <f t="shared" si="5"/>
        <v>1.2419340531937677</v>
      </c>
      <c r="Q67">
        <v>1</v>
      </c>
      <c r="R67" s="7">
        <f t="shared" si="6"/>
        <v>26.133142779342965</v>
      </c>
      <c r="S67" s="7">
        <f>VLOOKUP($A67,Rotations!$A$1:$X$1441,18,0)</f>
        <v>0.39530651157337759</v>
      </c>
      <c r="T67" s="7">
        <f>VLOOKUP($A67,Rotations!$A$1:$X$1441,19,0)</f>
        <v>3.8265585140048811E-2</v>
      </c>
      <c r="U67" s="7">
        <f>VLOOKUP($A67,Rotations!$A$1:$X$1441,20,0)</f>
        <v>0.14081552622545995</v>
      </c>
      <c r="V67" s="7">
        <f>VLOOKUP($A67,Rotations!$A$1:$X$1441,21,0)</f>
        <v>0.31526624217870231</v>
      </c>
      <c r="W67" s="7">
        <f>VLOOKUP($A67,Rotations!$A$1:$X$1441,22,0)</f>
        <v>6.2822801631599381E-2</v>
      </c>
      <c r="X67" s="7">
        <f>VLOOKUP($A67,Rotations!$A$1:$X$1441,23,0)</f>
        <v>4.7523333250812025E-2</v>
      </c>
    </row>
    <row r="68" spans="1:24" ht="15.75" customHeight="1" x14ac:dyDescent="0.3">
      <c r="A68">
        <v>59</v>
      </c>
      <c r="B68" t="str">
        <f>Permutations!I60</f>
        <v>p9 - i1:i4</v>
      </c>
      <c r="C68" t="str">
        <f>Permutations!J60</f>
        <v>p31 - i4:i3</v>
      </c>
      <c r="D68" t="str">
        <f>Permutations!K60</f>
        <v>p13 - i3:i6</v>
      </c>
      <c r="E68" t="str">
        <f>Permutations!L60</f>
        <v>p121 - i6:i2</v>
      </c>
      <c r="F68" t="str">
        <f>Permutations!M60</f>
        <v>p7 - i2:i5</v>
      </c>
      <c r="G68" s="7">
        <f>VLOOKUP(B68,Vlookup!$A$1:$B$30,2,0)</f>
        <v>1.2538815092968505</v>
      </c>
      <c r="H68" s="7">
        <f>VLOOKUP(C68,Vlookup!$A$1:$B$30,2,0)</f>
        <v>2.2388599512381115</v>
      </c>
      <c r="I68" s="7">
        <f>VLOOKUP(D68,Vlookup!$A$1:$B$30,2,0)</f>
        <v>2.0145521929129111</v>
      </c>
      <c r="J68" s="7">
        <f>VLOOKUP(E68,Vlookup!$A$1:$B$30,2,0)</f>
        <v>1.2419340531937677</v>
      </c>
      <c r="K68" s="7">
        <f>VLOOKUP(F68,Vlookup!$A$1:$B$30,2,0)</f>
        <v>1.7991741228251155</v>
      </c>
      <c r="L68" s="7">
        <f t="shared" si="1"/>
        <v>12.636700158749688</v>
      </c>
      <c r="M68" s="7">
        <f t="shared" si="2"/>
        <v>10.0780656426109</v>
      </c>
      <c r="N68" s="7">
        <f t="shared" si="3"/>
        <v>4.5014274506262133</v>
      </c>
      <c r="O68" s="7">
        <f t="shared" si="4"/>
        <v>2.2344556107615374</v>
      </c>
      <c r="P68" s="7">
        <f t="shared" si="5"/>
        <v>1.7991741228251155</v>
      </c>
      <c r="Q68">
        <v>1</v>
      </c>
      <c r="R68" s="7">
        <f t="shared" si="6"/>
        <v>32.249822985573452</v>
      </c>
      <c r="S68" s="7">
        <f>VLOOKUP($A68,Rotations!$A$1:$X$1441,18,0)</f>
        <v>0.3918378145642088</v>
      </c>
      <c r="T68" s="7">
        <f>VLOOKUP($A68,Rotations!$A$1:$X$1441,19,0)</f>
        <v>5.5788651107634084E-2</v>
      </c>
      <c r="U68" s="7">
        <f>VLOOKUP($A68,Rotations!$A$1:$X$1441,20,0)</f>
        <v>0.13957991188478366</v>
      </c>
      <c r="V68" s="7">
        <f>VLOOKUP($A68,Rotations!$A$1:$X$1441,21,0)</f>
        <v>0.31249987471618662</v>
      </c>
      <c r="W68" s="7">
        <f>VLOOKUP($A68,Rotations!$A$1:$X$1441,22,0)</f>
        <v>3.1007922134869928E-2</v>
      </c>
      <c r="X68" s="7">
        <f>VLOOKUP($A68,Rotations!$A$1:$X$1441,23,0)</f>
        <v>6.9285825592316982E-2</v>
      </c>
    </row>
    <row r="69" spans="1:24" ht="15.75" customHeight="1" x14ac:dyDescent="0.3">
      <c r="A69">
        <v>60</v>
      </c>
      <c r="B69" t="str">
        <f>Permutations!I61</f>
        <v>p9 - i1:i4</v>
      </c>
      <c r="C69" t="str">
        <f>Permutations!J61</f>
        <v>p31 - i4:i3</v>
      </c>
      <c r="D69" t="str">
        <f>Permutations!K61</f>
        <v>p13 - i3:i6</v>
      </c>
      <c r="E69" t="str">
        <f>Permutations!L61</f>
        <v>p151 - i6:i5</v>
      </c>
      <c r="F69" t="str">
        <f>Permutations!M61</f>
        <v>p71 - i5:i2</v>
      </c>
      <c r="G69" s="7">
        <f>VLOOKUP(B69,Vlookup!$A$1:$B$30,2,0)</f>
        <v>1.2538815092968505</v>
      </c>
      <c r="H69" s="7">
        <f>VLOOKUP(C69,Vlookup!$A$1:$B$30,2,0)</f>
        <v>2.2388599512381115</v>
      </c>
      <c r="I69" s="7">
        <f>VLOOKUP(D69,Vlookup!$A$1:$B$30,2,0)</f>
        <v>2.0145521929129111</v>
      </c>
      <c r="J69" s="7">
        <f>VLOOKUP(E69,Vlookup!$A$1:$B$30,2,0)</f>
        <v>1.2266517321719024</v>
      </c>
      <c r="K69" s="7">
        <f>VLOOKUP(F69,Vlookup!$A$1:$B$30,2,0)</f>
        <v>1.8243208303594776</v>
      </c>
      <c r="L69" s="7">
        <f t="shared" si="1"/>
        <v>12.655649623845926</v>
      </c>
      <c r="M69" s="7">
        <f t="shared" si="2"/>
        <v>10.093178286792776</v>
      </c>
      <c r="N69" s="7">
        <f t="shared" si="3"/>
        <v>4.5081776022708127</v>
      </c>
      <c r="O69" s="7">
        <f t="shared" si="4"/>
        <v>2.2378063065977365</v>
      </c>
      <c r="P69" s="7">
        <f t="shared" si="5"/>
        <v>1.8243208303594776</v>
      </c>
      <c r="Q69">
        <v>1</v>
      </c>
      <c r="R69" s="7">
        <f t="shared" si="6"/>
        <v>32.319132649866731</v>
      </c>
      <c r="S69" s="7">
        <f>VLOOKUP($A69,Rotations!$A$1:$X$1441,18,0)</f>
        <v>0.39158382624163995</v>
      </c>
      <c r="T69" s="7">
        <f>VLOOKUP($A69,Rotations!$A$1:$X$1441,19,0)</f>
        <v>3.0941424413632075E-2</v>
      </c>
      <c r="U69" s="7">
        <f>VLOOKUP($A69,Rotations!$A$1:$X$1441,20,0)</f>
        <v>0.13948943652389142</v>
      </c>
      <c r="V69" s="7">
        <f>VLOOKUP($A69,Rotations!$A$1:$X$1441,21,0)</f>
        <v>0.31229731305411118</v>
      </c>
      <c r="W69" s="7">
        <f>VLOOKUP($A69,Rotations!$A$1:$X$1441,22,0)</f>
        <v>5.644708507878228E-2</v>
      </c>
      <c r="X69" s="7">
        <f>VLOOKUP($A69,Rotations!$A$1:$X$1441,23,0)</f>
        <v>6.9240914687943036E-2</v>
      </c>
    </row>
    <row r="70" spans="1:24" ht="15.75" customHeight="1" x14ac:dyDescent="0.3">
      <c r="A70">
        <v>61</v>
      </c>
      <c r="B70" t="str">
        <f>Permutations!I62</f>
        <v>p9 - i1:i4</v>
      </c>
      <c r="C70" t="str">
        <f>Permutations!J62</f>
        <v>p4 - i4:i5</v>
      </c>
      <c r="D70" t="str">
        <f>Permutations!K62</f>
        <v>p71 - i5:i2</v>
      </c>
      <c r="E70" t="str">
        <f>Permutations!L62</f>
        <v>p2 - i2:i3</v>
      </c>
      <c r="F70" t="str">
        <f>Permutations!M62</f>
        <v>p13 - i3:i6</v>
      </c>
      <c r="G70" s="7">
        <f>VLOOKUP(B70,Vlookup!$A$1:$B$30,2,0)</f>
        <v>1.2538815092968505</v>
      </c>
      <c r="H70" s="7">
        <f>VLOOKUP(C70,Vlookup!$A$1:$B$30,2,0)</f>
        <v>1.89462595295753</v>
      </c>
      <c r="I70" s="7">
        <f>VLOOKUP(D70,Vlookup!$A$1:$B$30,2,0)</f>
        <v>1.8243208303594776</v>
      </c>
      <c r="J70" s="7">
        <f>VLOOKUP(E70,Vlookup!$A$1:$B$30,2,0)</f>
        <v>1.3601242124324544</v>
      </c>
      <c r="K70" s="7">
        <f>VLOOKUP(F70,Vlookup!$A$1:$B$30,2,0)</f>
        <v>2.0145521929129111</v>
      </c>
      <c r="L70" s="7">
        <f t="shared" si="1"/>
        <v>11.875127806369013</v>
      </c>
      <c r="M70" s="7">
        <f t="shared" si="2"/>
        <v>9.4706937763428112</v>
      </c>
      <c r="N70" s="7">
        <f t="shared" si="3"/>
        <v>4.9987142641844224</v>
      </c>
      <c r="O70" s="7">
        <f t="shared" si="4"/>
        <v>2.740041214789747</v>
      </c>
      <c r="P70" s="7">
        <f t="shared" si="5"/>
        <v>2.0145521929129111</v>
      </c>
      <c r="Q70">
        <v>1</v>
      </c>
      <c r="R70" s="7">
        <f t="shared" si="6"/>
        <v>32.099129254598907</v>
      </c>
      <c r="S70" s="7">
        <f>VLOOKUP($A70,Rotations!$A$1:$X$1441,18,0)</f>
        <v>0.36995171153023226</v>
      </c>
      <c r="T70" s="7">
        <f>VLOOKUP($A70,Rotations!$A$1:$X$1441,19,0)</f>
        <v>8.536185492935687E-2</v>
      </c>
      <c r="U70" s="7">
        <f>VLOOKUP($A70,Rotations!$A$1:$X$1441,20,0)</f>
        <v>6.276033773172468E-2</v>
      </c>
      <c r="V70" s="7">
        <f>VLOOKUP($A70,Rotations!$A$1:$X$1441,21,0)</f>
        <v>0.2950451926974289</v>
      </c>
      <c r="W70" s="7">
        <f>VLOOKUP($A70,Rotations!$A$1:$X$1441,22,0)</f>
        <v>0.15572741006574958</v>
      </c>
      <c r="X70" s="7">
        <f>VLOOKUP($A70,Rotations!$A$1:$X$1441,23,0)</f>
        <v>3.1153493045507706E-2</v>
      </c>
    </row>
    <row r="71" spans="1:24" ht="15.75" customHeight="1" x14ac:dyDescent="0.3">
      <c r="A71">
        <v>62</v>
      </c>
      <c r="B71" t="str">
        <f>Permutations!I63</f>
        <v>p9 - i1:i4</v>
      </c>
      <c r="C71" t="str">
        <f>Permutations!J63</f>
        <v>p4 - i4:i5</v>
      </c>
      <c r="D71" t="str">
        <f>Permutations!K63</f>
        <v>p71 - i5:i2</v>
      </c>
      <c r="E71" t="str">
        <f>Permutations!L63</f>
        <v>p12 - i2:i6</v>
      </c>
      <c r="F71" t="str">
        <f>Permutations!M63</f>
        <v>p131 - i6:i3</v>
      </c>
      <c r="G71" s="7">
        <f>VLOOKUP(B71,Vlookup!$A$1:$B$30,2,0)</f>
        <v>1.2538815092968505</v>
      </c>
      <c r="H71" s="7">
        <f>VLOOKUP(C71,Vlookup!$A$1:$B$30,2,0)</f>
        <v>1.89462595295753</v>
      </c>
      <c r="I71" s="7">
        <f>VLOOKUP(D71,Vlookup!$A$1:$B$30,2,0)</f>
        <v>1.8243208303594776</v>
      </c>
      <c r="J71" s="7">
        <f>VLOOKUP(E71,Vlookup!$A$1:$B$30,2,0)</f>
        <v>1.3354555559520354</v>
      </c>
      <c r="K71" s="7">
        <f>VLOOKUP(F71,Vlookup!$A$1:$B$30,2,0)</f>
        <v>1.4032439022773779</v>
      </c>
      <c r="L71" s="7">
        <f t="shared" si="1"/>
        <v>8.1216412146599488</v>
      </c>
      <c r="M71" s="7">
        <f t="shared" si="2"/>
        <v>6.4771999223550143</v>
      </c>
      <c r="N71" s="7">
        <f t="shared" si="3"/>
        <v>3.4187222613751498</v>
      </c>
      <c r="O71" s="7">
        <f t="shared" si="4"/>
        <v>1.8739698656521393</v>
      </c>
      <c r="P71" s="7">
        <f t="shared" si="5"/>
        <v>1.4032439022773779</v>
      </c>
      <c r="Q71">
        <v>1</v>
      </c>
      <c r="R71" s="7">
        <f t="shared" si="6"/>
        <v>22.29477716631963</v>
      </c>
      <c r="S71" s="7">
        <f>VLOOKUP($A71,Rotations!$A$1:$X$1441,18,0)</f>
        <v>0.36428447586949581</v>
      </c>
      <c r="T71" s="7">
        <f>VLOOKUP($A71,Rotations!$A$1:$X$1441,19,0)</f>
        <v>8.4054209273870487E-2</v>
      </c>
      <c r="U71" s="7">
        <f>VLOOKUP($A71,Rotations!$A$1:$X$1441,20,0)</f>
        <v>4.4853554379125367E-2</v>
      </c>
      <c r="V71" s="7">
        <f>VLOOKUP($A71,Rotations!$A$1:$X$1441,21,0)</f>
        <v>0.2905254389418172</v>
      </c>
      <c r="W71" s="7">
        <f>VLOOKUP($A71,Rotations!$A$1:$X$1441,22,0)</f>
        <v>0.15334184485771671</v>
      </c>
      <c r="X71" s="7">
        <f>VLOOKUP($A71,Rotations!$A$1:$X$1441,23,0)</f>
        <v>6.294047667797445E-2</v>
      </c>
    </row>
    <row r="72" spans="1:24" ht="15.75" customHeight="1" x14ac:dyDescent="0.3">
      <c r="A72">
        <v>63</v>
      </c>
      <c r="B72" t="str">
        <f>Permutations!I64</f>
        <v>p9 - i1:i4</v>
      </c>
      <c r="C72" t="str">
        <f>Permutations!J64</f>
        <v>p4 - i4:i5</v>
      </c>
      <c r="D72" t="str">
        <f>Permutations!K64</f>
        <v>p61 - i5:i3</v>
      </c>
      <c r="E72" t="str">
        <f>Permutations!L64</f>
        <v>p21 - i3:i2</v>
      </c>
      <c r="F72" t="str">
        <f>Permutations!M64</f>
        <v>p12 - i2:i6</v>
      </c>
      <c r="G72" s="7">
        <f>VLOOKUP(B72,Vlookup!$A$1:$B$30,2,0)</f>
        <v>1.2538815092968505</v>
      </c>
      <c r="H72" s="7">
        <f>VLOOKUP(C72,Vlookup!$A$1:$B$30,2,0)</f>
        <v>1.89462595295753</v>
      </c>
      <c r="I72" s="7">
        <f>VLOOKUP(D72,Vlookup!$A$1:$B$30,2,0)</f>
        <v>1.9746367445127702</v>
      </c>
      <c r="J72" s="7">
        <f>VLOOKUP(E72,Vlookup!$A$1:$B$30,2,0)</f>
        <v>1.5059827029565431</v>
      </c>
      <c r="K72" s="7">
        <f>VLOOKUP(F72,Vlookup!$A$1:$B$30,2,0)</f>
        <v>1.3354555559520354</v>
      </c>
      <c r="L72" s="7">
        <f t="shared" si="1"/>
        <v>9.434450654022557</v>
      </c>
      <c r="M72" s="7">
        <f t="shared" si="2"/>
        <v>7.52419633280436</v>
      </c>
      <c r="N72" s="7">
        <f t="shared" si="3"/>
        <v>3.9713360418498511</v>
      </c>
      <c r="O72" s="7">
        <f t="shared" si="4"/>
        <v>2.0111729678309791</v>
      </c>
      <c r="P72" s="7">
        <f t="shared" si="5"/>
        <v>1.3354555559520354</v>
      </c>
      <c r="Q72">
        <v>1</v>
      </c>
      <c r="R72" s="7">
        <f t="shared" si="6"/>
        <v>25.276611552459784</v>
      </c>
      <c r="S72" s="7">
        <f>VLOOKUP($A72,Rotations!$A$1:$X$1441,18,0)</f>
        <v>0.3732482352091393</v>
      </c>
      <c r="T72" s="7">
        <f>VLOOKUP($A72,Rotations!$A$1:$X$1441,19,0)</f>
        <v>5.2833646360406883E-2</v>
      </c>
      <c r="U72" s="7">
        <f>VLOOKUP($A72,Rotations!$A$1:$X$1441,20,0)</f>
        <v>7.956655755289567E-2</v>
      </c>
      <c r="V72" s="7">
        <f>VLOOKUP($A72,Rotations!$A$1:$X$1441,21,0)</f>
        <v>0.29767424787885172</v>
      </c>
      <c r="W72" s="7">
        <f>VLOOKUP($A72,Rotations!$A$1:$X$1441,22,0)</f>
        <v>0.15711504817833791</v>
      </c>
      <c r="X72" s="7">
        <f>VLOOKUP($A72,Rotations!$A$1:$X$1441,23,0)</f>
        <v>3.9562264820368509E-2</v>
      </c>
    </row>
    <row r="73" spans="1:24" ht="15.75" customHeight="1" x14ac:dyDescent="0.3">
      <c r="A73">
        <v>64</v>
      </c>
      <c r="B73" t="str">
        <f>Permutations!I65</f>
        <v>p9 - i1:i4</v>
      </c>
      <c r="C73" t="str">
        <f>Permutations!J65</f>
        <v>p4 - i4:i5</v>
      </c>
      <c r="D73" t="str">
        <f>Permutations!K65</f>
        <v>p61 - i5:i3</v>
      </c>
      <c r="E73" t="str">
        <f>Permutations!L65</f>
        <v>p13 - i3:i6</v>
      </c>
      <c r="F73" t="str">
        <f>Permutations!M65</f>
        <v>p121 - i6:i2</v>
      </c>
      <c r="G73" s="7">
        <f>VLOOKUP(B73,Vlookup!$A$1:$B$30,2,0)</f>
        <v>1.2538815092968505</v>
      </c>
      <c r="H73" s="7">
        <f>VLOOKUP(C73,Vlookup!$A$1:$B$30,2,0)</f>
        <v>1.89462595295753</v>
      </c>
      <c r="I73" s="7">
        <f>VLOOKUP(D73,Vlookup!$A$1:$B$30,2,0)</f>
        <v>1.9746367445127702</v>
      </c>
      <c r="J73" s="7">
        <f>VLOOKUP(E73,Vlookup!$A$1:$B$30,2,0)</f>
        <v>2.0145521929129111</v>
      </c>
      <c r="K73" s="7">
        <f>VLOOKUP(F73,Vlookup!$A$1:$B$30,2,0)</f>
        <v>1.2419340531937677</v>
      </c>
      <c r="L73" s="7">
        <f t="shared" si="1"/>
        <v>11.7366526903793</v>
      </c>
      <c r="M73" s="7">
        <f t="shared" si="2"/>
        <v>9.3602566138493923</v>
      </c>
      <c r="N73" s="7">
        <f t="shared" si="3"/>
        <v>4.940424572585389</v>
      </c>
      <c r="O73" s="7">
        <f t="shared" si="4"/>
        <v>2.5019409703147248</v>
      </c>
      <c r="P73" s="7">
        <f t="shared" si="5"/>
        <v>1.2419340531937677</v>
      </c>
      <c r="Q73">
        <v>1</v>
      </c>
      <c r="R73" s="7">
        <f t="shared" si="6"/>
        <v>30.781208900322572</v>
      </c>
      <c r="S73" s="7">
        <f>VLOOKUP($A73,Rotations!$A$1:$X$1441,18,0)</f>
        <v>0.38129277925326399</v>
      </c>
      <c r="T73" s="7">
        <f>VLOOKUP($A73,Rotations!$A$1:$X$1441,19,0)</f>
        <v>3.2487353022366855E-2</v>
      </c>
      <c r="U73" s="7">
        <f>VLOOKUP($A73,Rotations!$A$1:$X$1441,20,0)</f>
        <v>8.1281439543737538E-2</v>
      </c>
      <c r="V73" s="7">
        <f>VLOOKUP($A73,Rotations!$A$1:$X$1441,21,0)</f>
        <v>0.30408996099406937</v>
      </c>
      <c r="W73" s="7">
        <f>VLOOKUP($A73,Rotations!$A$1:$X$1441,22,0)</f>
        <v>0.16050131716995741</v>
      </c>
      <c r="X73" s="7">
        <f>VLOOKUP($A73,Rotations!$A$1:$X$1441,23,0)</f>
        <v>4.0347150016604869E-2</v>
      </c>
    </row>
    <row r="74" spans="1:24" ht="15.75" customHeight="1" x14ac:dyDescent="0.3">
      <c r="A74">
        <v>65</v>
      </c>
      <c r="B74" t="str">
        <f>Permutations!I66</f>
        <v>p9 - i1:i4</v>
      </c>
      <c r="C74" t="str">
        <f>Permutations!J66</f>
        <v>p4 - i4:i5</v>
      </c>
      <c r="D74" t="str">
        <f>Permutations!K66</f>
        <v>p15 - i5:i6</v>
      </c>
      <c r="E74" t="str">
        <f>Permutations!L66</f>
        <v>p121 - i6:i2</v>
      </c>
      <c r="F74" t="str">
        <f>Permutations!M66</f>
        <v>p2 - i2:i3</v>
      </c>
      <c r="G74" s="7">
        <f>VLOOKUP(B74,Vlookup!$A$1:$B$30,2,0)</f>
        <v>1.2538815092968505</v>
      </c>
      <c r="H74" s="7">
        <f>VLOOKUP(C74,Vlookup!$A$1:$B$30,2,0)</f>
        <v>1.89462595295753</v>
      </c>
      <c r="I74" s="7">
        <f>VLOOKUP(D74,Vlookup!$A$1:$B$30,2,0)</f>
        <v>1.3219359277692486</v>
      </c>
      <c r="J74" s="7">
        <f>VLOOKUP(E74,Vlookup!$A$1:$B$30,2,0)</f>
        <v>1.2419340531937677</v>
      </c>
      <c r="K74" s="7">
        <f>VLOOKUP(F74,Vlookup!$A$1:$B$30,2,0)</f>
        <v>1.3601242124324544</v>
      </c>
      <c r="L74" s="7">
        <f t="shared" si="1"/>
        <v>5.3047814142999004</v>
      </c>
      <c r="M74" s="7">
        <f t="shared" si="2"/>
        <v>4.2306879676969693</v>
      </c>
      <c r="N74" s="7">
        <f t="shared" si="3"/>
        <v>2.2329937796391013</v>
      </c>
      <c r="O74" s="7">
        <f t="shared" si="4"/>
        <v>1.6891845759932191</v>
      </c>
      <c r="P74" s="7">
        <f t="shared" si="5"/>
        <v>1.3601242124324544</v>
      </c>
      <c r="Q74">
        <v>1</v>
      </c>
      <c r="R74" s="7">
        <f t="shared" si="6"/>
        <v>15.817771950061644</v>
      </c>
      <c r="S74" s="7">
        <f>VLOOKUP($A74,Rotations!$A$1:$X$1441,18,0)</f>
        <v>0.33536843438176051</v>
      </c>
      <c r="T74" s="7">
        <f>VLOOKUP($A74,Rotations!$A$1:$X$1441,19,0)</f>
        <v>8.5987092033347576E-2</v>
      </c>
      <c r="U74" s="7">
        <f>VLOOKUP($A74,Rotations!$A$1:$X$1441,20,0)</f>
        <v>6.3220028911600459E-2</v>
      </c>
      <c r="V74" s="7">
        <f>VLOOKUP($A74,Rotations!$A$1:$X$1441,21,0)</f>
        <v>0.2674642156337626</v>
      </c>
      <c r="W74" s="7">
        <f>VLOOKUP($A74,Rotations!$A$1:$X$1441,22,0)</f>
        <v>0.14116993130820799</v>
      </c>
      <c r="X74" s="7">
        <f>VLOOKUP($A74,Rotations!$A$1:$X$1441,23,0)</f>
        <v>0.10679029773132089</v>
      </c>
    </row>
    <row r="75" spans="1:24" ht="15.75" customHeight="1" x14ac:dyDescent="0.3">
      <c r="A75">
        <v>66</v>
      </c>
      <c r="B75" t="str">
        <f>Permutations!I67</f>
        <v>p9 - i1:i4</v>
      </c>
      <c r="C75" t="str">
        <f>Permutations!J67</f>
        <v>p4 - i4:i5</v>
      </c>
      <c r="D75" t="str">
        <f>Permutations!K67</f>
        <v>p15 - i5:i6</v>
      </c>
      <c r="E75" t="str">
        <f>Permutations!L67</f>
        <v>p131 - i6:i3</v>
      </c>
      <c r="F75" t="str">
        <f>Permutations!M67</f>
        <v>p21 - i3:i2</v>
      </c>
      <c r="G75" s="7">
        <f>VLOOKUP(B75,Vlookup!$A$1:$B$30,2,0)</f>
        <v>1.2538815092968505</v>
      </c>
      <c r="H75" s="7">
        <f>VLOOKUP(C75,Vlookup!$A$1:$B$30,2,0)</f>
        <v>1.89462595295753</v>
      </c>
      <c r="I75" s="7">
        <f>VLOOKUP(D75,Vlookup!$A$1:$B$30,2,0)</f>
        <v>1.3219359277692486</v>
      </c>
      <c r="J75" s="7">
        <f>VLOOKUP(E75,Vlookup!$A$1:$B$30,2,0)</f>
        <v>1.4032439022773779</v>
      </c>
      <c r="K75" s="7">
        <f>VLOOKUP(F75,Vlookup!$A$1:$B$30,2,0)</f>
        <v>1.5059827029565431</v>
      </c>
      <c r="L75" s="7">
        <f t="shared" si="1"/>
        <v>6.6365677698307772</v>
      </c>
      <c r="M75" s="7">
        <f t="shared" si="2"/>
        <v>5.2928189152038945</v>
      </c>
      <c r="N75" s="7">
        <f t="shared" si="3"/>
        <v>2.7935956999542579</v>
      </c>
      <c r="O75" s="7">
        <f t="shared" si="4"/>
        <v>2.113261044858973</v>
      </c>
      <c r="P75" s="7">
        <f t="shared" si="5"/>
        <v>1.5059827029565431</v>
      </c>
      <c r="Q75">
        <v>1</v>
      </c>
      <c r="R75" s="7">
        <f t="shared" si="6"/>
        <v>19.342226132804448</v>
      </c>
      <c r="S75" s="7">
        <f>VLOOKUP($A75,Rotations!$A$1:$X$1441,18,0)</f>
        <v>0.34311292424480277</v>
      </c>
      <c r="T75" s="7">
        <f>VLOOKUP($A75,Rotations!$A$1:$X$1441,19,0)</f>
        <v>5.1700357194356152E-2</v>
      </c>
      <c r="U75" s="7">
        <f>VLOOKUP($A75,Rotations!$A$1:$X$1441,20,0)</f>
        <v>7.7859843671375231E-2</v>
      </c>
      <c r="V75" s="7">
        <f>VLOOKUP($A75,Rotations!$A$1:$X$1441,21,0)</f>
        <v>0.273640628481086</v>
      </c>
      <c r="W75" s="7">
        <f>VLOOKUP($A75,Rotations!$A$1:$X$1441,22,0)</f>
        <v>0.14442989554425253</v>
      </c>
      <c r="X75" s="7">
        <f>VLOOKUP($A75,Rotations!$A$1:$X$1441,23,0)</f>
        <v>0.1092563508641272</v>
      </c>
    </row>
    <row r="76" spans="1:24" ht="15.75" customHeight="1" x14ac:dyDescent="0.3">
      <c r="A76">
        <v>67</v>
      </c>
      <c r="B76" t="str">
        <f>Permutations!I68</f>
        <v>p9 - i1:i4</v>
      </c>
      <c r="C76" t="str">
        <f>Permutations!J68</f>
        <v>p14 - i4:i6</v>
      </c>
      <c r="D76" t="str">
        <f>Permutations!K68</f>
        <v>p121 - i6:i2</v>
      </c>
      <c r="E76" t="str">
        <f>Permutations!L68</f>
        <v>p2 - i2:i3</v>
      </c>
      <c r="F76" t="str">
        <f>Permutations!M68</f>
        <v>p6 - i3:i5</v>
      </c>
      <c r="G76" s="7">
        <f>VLOOKUP(B76,Vlookup!$A$1:$B$30,2,0)</f>
        <v>1.2538815092968505</v>
      </c>
      <c r="H76" s="7">
        <f>VLOOKUP(C76,Vlookup!$A$1:$B$30,2,0)</f>
        <v>1.478275916473532</v>
      </c>
      <c r="I76" s="7">
        <f>VLOOKUP(D76,Vlookup!$A$1:$B$30,2,0)</f>
        <v>1.2419340531937677</v>
      </c>
      <c r="J76" s="7">
        <f>VLOOKUP(E76,Vlookup!$A$1:$B$30,2,0)</f>
        <v>1.3601242124324544</v>
      </c>
      <c r="K76" s="7">
        <f>VLOOKUP(F76,Vlookup!$A$1:$B$30,2,0)</f>
        <v>2.2414716085286912</v>
      </c>
      <c r="L76" s="7">
        <f t="shared" si="1"/>
        <v>7.0181451979629443</v>
      </c>
      <c r="M76" s="7">
        <f t="shared" si="2"/>
        <v>5.5971358903749753</v>
      </c>
      <c r="N76" s="7">
        <f t="shared" si="3"/>
        <v>3.7862592686533763</v>
      </c>
      <c r="O76" s="7">
        <f t="shared" si="4"/>
        <v>3.0486798062397931</v>
      </c>
      <c r="P76" s="7">
        <f t="shared" si="5"/>
        <v>2.2414716085286912</v>
      </c>
      <c r="Q76">
        <v>1</v>
      </c>
      <c r="R76" s="7">
        <f t="shared" si="6"/>
        <v>22.691691771759782</v>
      </c>
      <c r="S76" s="7">
        <f>VLOOKUP($A76,Rotations!$A$1:$X$1441,18,0)</f>
        <v>0.30928258979337769</v>
      </c>
      <c r="T76" s="7">
        <f>VLOOKUP($A76,Rotations!$A$1:$X$1441,19,0)</f>
        <v>0.13435224825475242</v>
      </c>
      <c r="U76" s="7">
        <f>VLOOKUP($A76,Rotations!$A$1:$X$1441,20,0)</f>
        <v>9.8779396048303589E-2</v>
      </c>
      <c r="V76" s="7">
        <f>VLOOKUP($A76,Rotations!$A$1:$X$1441,21,0)</f>
        <v>0.24666014093055466</v>
      </c>
      <c r="W76" s="7">
        <f>VLOOKUP($A76,Rotations!$A$1:$X$1441,22,0)</f>
        <v>4.4068992742291604E-2</v>
      </c>
      <c r="X76" s="7">
        <f>VLOOKUP($A76,Rotations!$A$1:$X$1441,23,0)</f>
        <v>0.16685663223071998</v>
      </c>
    </row>
    <row r="77" spans="1:24" ht="15.75" customHeight="1" x14ac:dyDescent="0.3">
      <c r="A77">
        <v>68</v>
      </c>
      <c r="B77" t="str">
        <f>Permutations!I69</f>
        <v>p9 - i1:i4</v>
      </c>
      <c r="C77" t="str">
        <f>Permutations!J69</f>
        <v>p14 - i4:i6</v>
      </c>
      <c r="D77" t="str">
        <f>Permutations!K69</f>
        <v>p121 - i6:i2</v>
      </c>
      <c r="E77" t="str">
        <f>Permutations!L69</f>
        <v>p7 - i2:i5</v>
      </c>
      <c r="F77" t="str">
        <f>Permutations!M69</f>
        <v>p61 - i5:i3</v>
      </c>
      <c r="G77" s="7">
        <f>VLOOKUP(B77,Vlookup!$A$1:$B$30,2,0)</f>
        <v>1.2538815092968505</v>
      </c>
      <c r="H77" s="7">
        <f>VLOOKUP(C77,Vlookup!$A$1:$B$30,2,0)</f>
        <v>1.478275916473532</v>
      </c>
      <c r="I77" s="7">
        <f>VLOOKUP(D77,Vlookup!$A$1:$B$30,2,0)</f>
        <v>1.2419340531937677</v>
      </c>
      <c r="J77" s="7">
        <f>VLOOKUP(E77,Vlookup!$A$1:$B$30,2,0)</f>
        <v>1.7991741228251155</v>
      </c>
      <c r="K77" s="7">
        <f>VLOOKUP(F77,Vlookup!$A$1:$B$30,2,0)</f>
        <v>1.9746367445127702</v>
      </c>
      <c r="L77" s="7">
        <f t="shared" si="1"/>
        <v>8.1784489144892021</v>
      </c>
      <c r="M77" s="7">
        <f t="shared" si="2"/>
        <v>6.5225053993144062</v>
      </c>
      <c r="N77" s="7">
        <f t="shared" si="3"/>
        <v>4.4122381529924555</v>
      </c>
      <c r="O77" s="7">
        <f t="shared" si="4"/>
        <v>3.5527153327070047</v>
      </c>
      <c r="P77" s="7">
        <f t="shared" si="5"/>
        <v>1.9746367445127702</v>
      </c>
      <c r="Q77">
        <v>1</v>
      </c>
      <c r="R77" s="7">
        <f t="shared" si="6"/>
        <v>25.640544544015842</v>
      </c>
      <c r="S77" s="7">
        <f>VLOOKUP($A77,Rotations!$A$1:$X$1441,18,0)</f>
        <v>0.31896549234551813</v>
      </c>
      <c r="T77" s="7">
        <f>VLOOKUP($A77,Rotations!$A$1:$X$1441,19,0)</f>
        <v>0.13855849771865164</v>
      </c>
      <c r="U77" s="7">
        <f>VLOOKUP($A77,Rotations!$A$1:$X$1441,20,0)</f>
        <v>3.9000731762281804E-2</v>
      </c>
      <c r="V77" s="7">
        <f>VLOOKUP($A77,Rotations!$A$1:$X$1441,21,0)</f>
        <v>0.2543824834966959</v>
      </c>
      <c r="W77" s="7">
        <f>VLOOKUP($A77,Rotations!$A$1:$X$1441,22,0)</f>
        <v>7.7012278000687925E-2</v>
      </c>
      <c r="X77" s="7">
        <f>VLOOKUP($A77,Rotations!$A$1:$X$1441,23,0)</f>
        <v>0.17208051667616445</v>
      </c>
    </row>
    <row r="78" spans="1:24" ht="15.75" customHeight="1" x14ac:dyDescent="0.3">
      <c r="A78">
        <v>69</v>
      </c>
      <c r="B78" t="str">
        <f>Permutations!I70</f>
        <v>p9 - i1:i4</v>
      </c>
      <c r="C78" t="str">
        <f>Permutations!J70</f>
        <v>p14 - i4:i6</v>
      </c>
      <c r="D78" t="str">
        <f>Permutations!K70</f>
        <v>p131 - i6:i3</v>
      </c>
      <c r="E78" t="str">
        <f>Permutations!L70</f>
        <v>p21 - i3:i2</v>
      </c>
      <c r="F78" t="str">
        <f>Permutations!M70</f>
        <v>p7 - i2:i5</v>
      </c>
      <c r="G78" s="7">
        <f>VLOOKUP(B78,Vlookup!$A$1:$B$30,2,0)</f>
        <v>1.2538815092968505</v>
      </c>
      <c r="H78" s="7">
        <f>VLOOKUP(C78,Vlookup!$A$1:$B$30,2,0)</f>
        <v>1.478275916473532</v>
      </c>
      <c r="I78" s="7">
        <f>VLOOKUP(D78,Vlookup!$A$1:$B$30,2,0)</f>
        <v>1.4032439022773779</v>
      </c>
      <c r="J78" s="7">
        <f>VLOOKUP(E78,Vlookup!$A$1:$B$30,2,0)</f>
        <v>1.5059827029565431</v>
      </c>
      <c r="K78" s="7">
        <f>VLOOKUP(F78,Vlookup!$A$1:$B$30,2,0)</f>
        <v>1.7991741228251155</v>
      </c>
      <c r="L78" s="7">
        <f t="shared" si="1"/>
        <v>7.047552879174062</v>
      </c>
      <c r="M78" s="7">
        <f t="shared" si="2"/>
        <v>5.6205892079277699</v>
      </c>
      <c r="N78" s="7">
        <f t="shared" si="3"/>
        <v>3.8021245866846298</v>
      </c>
      <c r="O78" s="7">
        <f t="shared" si="4"/>
        <v>2.709525108581635</v>
      </c>
      <c r="P78" s="7">
        <f t="shared" si="5"/>
        <v>1.7991741228251155</v>
      </c>
      <c r="Q78">
        <v>1</v>
      </c>
      <c r="R78" s="7">
        <f t="shared" si="6"/>
        <v>21.97896590519321</v>
      </c>
      <c r="S78" s="7">
        <f>VLOOKUP($A78,Rotations!$A$1:$X$1441,18,0)</f>
        <v>0.3206498845111207</v>
      </c>
      <c r="T78" s="7">
        <f>VLOOKUP($A78,Rotations!$A$1:$X$1441,19,0)</f>
        <v>8.185890685603206E-2</v>
      </c>
      <c r="U78" s="7">
        <f>VLOOKUP($A78,Rotations!$A$1:$X$1441,20,0)</f>
        <v>0.12327809780811508</v>
      </c>
      <c r="V78" s="7">
        <f>VLOOKUP($A78,Rotations!$A$1:$X$1441,21,0)</f>
        <v>0.25572582587244164</v>
      </c>
      <c r="W78" s="7">
        <f>VLOOKUP($A78,Rotations!$A$1:$X$1441,22,0)</f>
        <v>4.5498045918698979E-2</v>
      </c>
      <c r="X78" s="7">
        <f>VLOOKUP($A78,Rotations!$A$1:$X$1441,23,0)</f>
        <v>0.17298923903359167</v>
      </c>
    </row>
    <row r="79" spans="1:24" ht="15.75" customHeight="1" x14ac:dyDescent="0.3">
      <c r="A79">
        <v>70</v>
      </c>
      <c r="B79" t="str">
        <f>Permutations!I71</f>
        <v>p9 - i1:i4</v>
      </c>
      <c r="C79" t="str">
        <f>Permutations!J71</f>
        <v>p14 - i4:i6</v>
      </c>
      <c r="D79" t="str">
        <f>Permutations!K71</f>
        <v>p131 - i6:i3</v>
      </c>
      <c r="E79" t="str">
        <f>Permutations!L71</f>
        <v>p6 - i3:i5</v>
      </c>
      <c r="F79" t="str">
        <f>Permutations!M71</f>
        <v>p71 - i5:i2</v>
      </c>
      <c r="G79" s="7">
        <f>VLOOKUP(B79,Vlookup!$A$1:$B$30,2,0)</f>
        <v>1.2538815092968505</v>
      </c>
      <c r="H79" s="7">
        <f>VLOOKUP(C79,Vlookup!$A$1:$B$30,2,0)</f>
        <v>1.478275916473532</v>
      </c>
      <c r="I79" s="7">
        <f>VLOOKUP(D79,Vlookup!$A$1:$B$30,2,0)</f>
        <v>1.4032439022773779</v>
      </c>
      <c r="J79" s="7">
        <f>VLOOKUP(E79,Vlookup!$A$1:$B$30,2,0)</f>
        <v>2.2414716085286912</v>
      </c>
      <c r="K79" s="7">
        <f>VLOOKUP(F79,Vlookup!$A$1:$B$30,2,0)</f>
        <v>1.8243208303594776</v>
      </c>
      <c r="L79" s="7">
        <f t="shared" si="1"/>
        <v>10.636031687594723</v>
      </c>
      <c r="M79" s="7">
        <f t="shared" si="2"/>
        <v>8.4824854730963999</v>
      </c>
      <c r="N79" s="7">
        <f t="shared" si="3"/>
        <v>5.7380935308285368</v>
      </c>
      <c r="O79" s="7">
        <f t="shared" si="4"/>
        <v>4.0891633460982559</v>
      </c>
      <c r="P79" s="7">
        <f t="shared" si="5"/>
        <v>1.8243208303594776</v>
      </c>
      <c r="Q79">
        <v>1</v>
      </c>
      <c r="R79" s="7">
        <f t="shared" si="6"/>
        <v>31.770094867977395</v>
      </c>
      <c r="S79" s="7">
        <f>VLOOKUP($A79,Rotations!$A$1:$X$1441,18,0)</f>
        <v>0.33478123788403574</v>
      </c>
      <c r="T79" s="7">
        <f>VLOOKUP($A79,Rotations!$A$1:$X$1441,19,0)</f>
        <v>3.1476141451750844E-2</v>
      </c>
      <c r="U79" s="7">
        <f>VLOOKUP($A79,Rotations!$A$1:$X$1441,20,0)</f>
        <v>0.1287110839011035</v>
      </c>
      <c r="V79" s="7">
        <f>VLOOKUP($A79,Rotations!$A$1:$X$1441,21,0)</f>
        <v>0.26699591261360395</v>
      </c>
      <c r="W79" s="7">
        <f>VLOOKUP($A79,Rotations!$A$1:$X$1441,22,0)</f>
        <v>5.742258050977047E-2</v>
      </c>
      <c r="X79" s="7">
        <f>VLOOKUP($A79,Rotations!$A$1:$X$1441,23,0)</f>
        <v>0.18061304363973546</v>
      </c>
    </row>
    <row r="80" spans="1:24" ht="15.75" customHeight="1" x14ac:dyDescent="0.3">
      <c r="A80">
        <v>71</v>
      </c>
      <c r="B80" t="str">
        <f>Permutations!I72</f>
        <v>p9 - i1:i4</v>
      </c>
      <c r="C80" t="str">
        <f>Permutations!J72</f>
        <v>p14 - i4:i6</v>
      </c>
      <c r="D80" t="str">
        <f>Permutations!K72</f>
        <v>p151 - i6:i5</v>
      </c>
      <c r="E80" t="str">
        <f>Permutations!L72</f>
        <v>p71 - i5:i2</v>
      </c>
      <c r="F80" t="str">
        <f>Permutations!M72</f>
        <v>p2 - i2:i3</v>
      </c>
      <c r="G80" s="7">
        <f>VLOOKUP(B80,Vlookup!$A$1:$B$30,2,0)</f>
        <v>1.2538815092968505</v>
      </c>
      <c r="H80" s="7">
        <f>VLOOKUP(C80,Vlookup!$A$1:$B$30,2,0)</f>
        <v>1.478275916473532</v>
      </c>
      <c r="I80" s="7">
        <f>VLOOKUP(D80,Vlookup!$A$1:$B$30,2,0)</f>
        <v>1.2266517321719024</v>
      </c>
      <c r="J80" s="7">
        <f>VLOOKUP(E80,Vlookup!$A$1:$B$30,2,0)</f>
        <v>1.8243208303594776</v>
      </c>
      <c r="K80" s="7">
        <f>VLOOKUP(F80,Vlookup!$A$1:$B$30,2,0)</f>
        <v>1.3601242124324544</v>
      </c>
      <c r="L80" s="7">
        <f t="shared" si="1"/>
        <v>5.6417399619688071</v>
      </c>
      <c r="M80" s="7">
        <f t="shared" si="2"/>
        <v>4.4994203360830891</v>
      </c>
      <c r="N80" s="7">
        <f t="shared" si="3"/>
        <v>3.0436945403376261</v>
      </c>
      <c r="O80" s="7">
        <f t="shared" si="4"/>
        <v>2.4813029326168055</v>
      </c>
      <c r="P80" s="7">
        <f t="shared" si="5"/>
        <v>1.3601242124324544</v>
      </c>
      <c r="Q80">
        <v>1</v>
      </c>
      <c r="R80" s="7">
        <f t="shared" si="6"/>
        <v>18.026281983438782</v>
      </c>
      <c r="S80" s="7">
        <f>VLOOKUP($A80,Rotations!$A$1:$X$1441,18,0)</f>
        <v>0.3129730227870629</v>
      </c>
      <c r="T80" s="7">
        <f>VLOOKUP($A80,Rotations!$A$1:$X$1441,19,0)</f>
        <v>7.5452287592196562E-2</v>
      </c>
      <c r="U80" s="7">
        <f>VLOOKUP($A80,Rotations!$A$1:$X$1441,20,0)</f>
        <v>5.5474556590134685E-2</v>
      </c>
      <c r="V80" s="7">
        <f>VLOOKUP($A80,Rotations!$A$1:$X$1441,21,0)</f>
        <v>0.24960334805684414</v>
      </c>
      <c r="W80" s="7">
        <f>VLOOKUP($A80,Rotations!$A$1:$X$1441,22,0)</f>
        <v>0.13764917995271811</v>
      </c>
      <c r="X80" s="7">
        <f>VLOOKUP($A80,Rotations!$A$1:$X$1441,23,0)</f>
        <v>0.16884760502104362</v>
      </c>
    </row>
    <row r="81" spans="1:24" ht="15.75" customHeight="1" x14ac:dyDescent="0.3">
      <c r="A81">
        <v>72</v>
      </c>
      <c r="B81" t="str">
        <f>Permutations!I73</f>
        <v>p9 - i1:i4</v>
      </c>
      <c r="C81" t="str">
        <f>Permutations!J73</f>
        <v>p14 - i4:i6</v>
      </c>
      <c r="D81" t="str">
        <f>Permutations!K73</f>
        <v>p151 - i6:i5</v>
      </c>
      <c r="E81" t="str">
        <f>Permutations!L73</f>
        <v>p61 - i5:i3</v>
      </c>
      <c r="F81" t="str">
        <f>Permutations!M73</f>
        <v>p21 - i3:i2</v>
      </c>
      <c r="G81" s="7">
        <f>VLOOKUP(B81,Vlookup!$A$1:$B$30,2,0)</f>
        <v>1.2538815092968505</v>
      </c>
      <c r="H81" s="7">
        <f>VLOOKUP(C81,Vlookup!$A$1:$B$30,2,0)</f>
        <v>1.478275916473532</v>
      </c>
      <c r="I81" s="7">
        <f>VLOOKUP(D81,Vlookup!$A$1:$B$30,2,0)</f>
        <v>1.2266517321719024</v>
      </c>
      <c r="J81" s="7">
        <f>VLOOKUP(E81,Vlookup!$A$1:$B$30,2,0)</f>
        <v>1.9746367445127702</v>
      </c>
      <c r="K81" s="7">
        <f>VLOOKUP(F81,Vlookup!$A$1:$B$30,2,0)</f>
        <v>1.5059827029565431</v>
      </c>
      <c r="L81" s="7">
        <f t="shared" si="1"/>
        <v>6.761459857935936</v>
      </c>
      <c r="M81" s="7">
        <f t="shared" si="2"/>
        <v>5.3924232934319409</v>
      </c>
      <c r="N81" s="7">
        <f t="shared" si="3"/>
        <v>3.6477786273456418</v>
      </c>
      <c r="O81" s="7">
        <f t="shared" si="4"/>
        <v>2.9737687818586505</v>
      </c>
      <c r="P81" s="7">
        <f t="shared" si="5"/>
        <v>1.5059827029565431</v>
      </c>
      <c r="Q81">
        <v>1</v>
      </c>
      <c r="R81" s="7">
        <f t="shared" si="6"/>
        <v>21.281413263528712</v>
      </c>
      <c r="S81" s="7">
        <f>VLOOKUP($A81,Rotations!$A$1:$X$1441,18,0)</f>
        <v>0.31771667483773142</v>
      </c>
      <c r="T81" s="7">
        <f>VLOOKUP($A81,Rotations!$A$1:$X$1441,19,0)</f>
        <v>4.6989360509894447E-2</v>
      </c>
      <c r="U81" s="7">
        <f>VLOOKUP($A81,Rotations!$A$1:$X$1441,20,0)</f>
        <v>7.0765164150890292E-2</v>
      </c>
      <c r="V81" s="7">
        <f>VLOOKUP($A81,Rotations!$A$1:$X$1441,21,0)</f>
        <v>0.25338652215702578</v>
      </c>
      <c r="W81" s="7">
        <f>VLOOKUP($A81,Rotations!$A$1:$X$1441,22,0)</f>
        <v>0.13973549336382579</v>
      </c>
      <c r="X81" s="7">
        <f>VLOOKUP($A81,Rotations!$A$1:$X$1441,23,0)</f>
        <v>0.17140678498063228</v>
      </c>
    </row>
    <row r="82" spans="1:24" ht="15.75" customHeight="1" x14ac:dyDescent="0.3">
      <c r="A82">
        <v>73</v>
      </c>
      <c r="B82" t="str">
        <f>Permutations!I74</f>
        <v>p10 - i1:i5</v>
      </c>
      <c r="C82" t="str">
        <f>Permutations!J74</f>
        <v>p71 - i5:i2</v>
      </c>
      <c r="D82" t="str">
        <f>Permutations!K74</f>
        <v>p2 - i2:i3</v>
      </c>
      <c r="E82" t="str">
        <f>Permutations!L74</f>
        <v>p3 - i3:i4</v>
      </c>
      <c r="F82" t="str">
        <f>Permutations!M74</f>
        <v>p14 - i4:i6</v>
      </c>
      <c r="G82" s="7">
        <f>VLOOKUP(B82,Vlookup!$A$1:$B$30,2,0)</f>
        <v>1.0847108741813811</v>
      </c>
      <c r="H82" s="7">
        <f>VLOOKUP(C82,Vlookup!$A$1:$B$30,2,0)</f>
        <v>1.8243208303594776</v>
      </c>
      <c r="I82" s="7">
        <f>VLOOKUP(D82,Vlookup!$A$1:$B$30,2,0)</f>
        <v>1.3601242124324544</v>
      </c>
      <c r="J82" s="7">
        <f>VLOOKUP(E82,Vlookup!$A$1:$B$30,2,0)</f>
        <v>1.4338636587362954</v>
      </c>
      <c r="K82" s="7">
        <f>VLOOKUP(F82,Vlookup!$A$1:$B$30,2,0)</f>
        <v>1.478275916473532</v>
      </c>
      <c r="L82" s="7">
        <f t="shared" si="1"/>
        <v>5.7050196168054716</v>
      </c>
      <c r="M82" s="7">
        <f t="shared" si="2"/>
        <v>5.2594841193151893</v>
      </c>
      <c r="N82" s="7">
        <f t="shared" si="3"/>
        <v>2.8829820017342138</v>
      </c>
      <c r="O82" s="7">
        <f t="shared" si="4"/>
        <v>2.1196461142164886</v>
      </c>
      <c r="P82" s="7">
        <f t="shared" si="5"/>
        <v>1.478275916473532</v>
      </c>
      <c r="Q82">
        <v>1</v>
      </c>
      <c r="R82" s="7">
        <f t="shared" si="6"/>
        <v>18.445407768544896</v>
      </c>
      <c r="S82" s="7">
        <f>VLOOKUP($A82,Rotations!$A$1:$X$1441,18,0)</f>
        <v>0.30929213863920579</v>
      </c>
      <c r="T82" s="7">
        <f>VLOOKUP($A82,Rotations!$A$1:$X$1441,19,0)</f>
        <v>0.15629808990455535</v>
      </c>
      <c r="U82" s="7">
        <f>VLOOKUP($A82,Rotations!$A$1:$X$1441,20,0)</f>
        <v>0.11491457065162519</v>
      </c>
      <c r="V82" s="7">
        <f>VLOOKUP($A82,Rotations!$A$1:$X$1441,21,0)</f>
        <v>8.0143303689628798E-2</v>
      </c>
      <c r="W82" s="7">
        <f>VLOOKUP($A82,Rotations!$A$1:$X$1441,22,0)</f>
        <v>0.28513786115827866</v>
      </c>
      <c r="X82" s="7">
        <f>VLOOKUP($A82,Rotations!$A$1:$X$1441,23,0)</f>
        <v>5.4214035956706152E-2</v>
      </c>
    </row>
    <row r="83" spans="1:24" ht="15.75" customHeight="1" x14ac:dyDescent="0.3">
      <c r="A83">
        <v>74</v>
      </c>
      <c r="B83" t="str">
        <f>Permutations!I75</f>
        <v>p10 - i1:i5</v>
      </c>
      <c r="C83" t="str">
        <f>Permutations!J75</f>
        <v>p71 - i5:i2</v>
      </c>
      <c r="D83" t="str">
        <f>Permutations!K75</f>
        <v>p2 - i2:i3</v>
      </c>
      <c r="E83" t="str">
        <f>Permutations!L75</f>
        <v>p13 - i3:i6</v>
      </c>
      <c r="F83" t="str">
        <f>Permutations!M75</f>
        <v>p141 - i6:i4</v>
      </c>
      <c r="G83" s="7">
        <f>VLOOKUP(B83,Vlookup!$A$1:$B$30,2,0)</f>
        <v>1.0847108741813811</v>
      </c>
      <c r="H83" s="7">
        <f>VLOOKUP(C83,Vlookup!$A$1:$B$30,2,0)</f>
        <v>1.8243208303594776</v>
      </c>
      <c r="I83" s="7">
        <f>VLOOKUP(D83,Vlookup!$A$1:$B$30,2,0)</f>
        <v>1.3601242124324544</v>
      </c>
      <c r="J83" s="7">
        <f>VLOOKUP(E83,Vlookup!$A$1:$B$30,2,0)</f>
        <v>2.0145521929129111</v>
      </c>
      <c r="K83" s="7">
        <f>VLOOKUP(F83,Vlookup!$A$1:$B$30,2,0)</f>
        <v>0.88688155974910687</v>
      </c>
      <c r="L83" s="7">
        <f t="shared" si="1"/>
        <v>4.8088134690495243</v>
      </c>
      <c r="M83" s="7">
        <f t="shared" si="2"/>
        <v>4.43326750335999</v>
      </c>
      <c r="N83" s="7">
        <f t="shared" si="3"/>
        <v>2.4300920263495684</v>
      </c>
      <c r="O83" s="7">
        <f t="shared" si="4"/>
        <v>1.7866691910465862</v>
      </c>
      <c r="P83" s="7">
        <f t="shared" si="5"/>
        <v>0.88688155974910687</v>
      </c>
      <c r="Q83">
        <v>1</v>
      </c>
      <c r="R83" s="7">
        <f t="shared" si="6"/>
        <v>15.345723749554775</v>
      </c>
      <c r="S83" s="7">
        <f>VLOOKUP($A83,Rotations!$A$1:$X$1441,18,0)</f>
        <v>0.31336504863050479</v>
      </c>
      <c r="T83" s="7">
        <f>VLOOKUP($A83,Rotations!$A$1:$X$1441,19,0)</f>
        <v>0.15835629951438898</v>
      </c>
      <c r="U83" s="7">
        <f>VLOOKUP($A83,Rotations!$A$1:$X$1441,20,0)</f>
        <v>0.11642782186134576</v>
      </c>
      <c r="V83" s="7">
        <f>VLOOKUP($A83,Rotations!$A$1:$X$1441,21,0)</f>
        <v>6.5164733597463137E-2</v>
      </c>
      <c r="W83" s="7">
        <f>VLOOKUP($A83,Rotations!$A$1:$X$1441,22,0)</f>
        <v>0.28889269582274424</v>
      </c>
      <c r="X83" s="7">
        <f>VLOOKUP($A83,Rotations!$A$1:$X$1441,23,0)</f>
        <v>5.779340057355313E-2</v>
      </c>
    </row>
    <row r="84" spans="1:24" ht="15.75" customHeight="1" x14ac:dyDescent="0.3">
      <c r="A84">
        <v>75</v>
      </c>
      <c r="B84" t="str">
        <f>Permutations!I76</f>
        <v>p10 - i1:i5</v>
      </c>
      <c r="C84" t="str">
        <f>Permutations!J76</f>
        <v>p71 - i5:i2</v>
      </c>
      <c r="D84" t="str">
        <f>Permutations!K76</f>
        <v>p5 - i2:i4</v>
      </c>
      <c r="E84" t="str">
        <f>Permutations!L76</f>
        <v>p31 - i4:i3</v>
      </c>
      <c r="F84" t="str">
        <f>Permutations!M76</f>
        <v>p13 - i3:i6</v>
      </c>
      <c r="G84" s="7">
        <f>VLOOKUP(B84,Vlookup!$A$1:$B$30,2,0)</f>
        <v>1.0847108741813811</v>
      </c>
      <c r="H84" s="7">
        <f>VLOOKUP(C84,Vlookup!$A$1:$B$30,2,0)</f>
        <v>1.8243208303594776</v>
      </c>
      <c r="I84" s="7">
        <f>VLOOKUP(D84,Vlookup!$A$1:$B$30,2,0)</f>
        <v>0.9108240498099236</v>
      </c>
      <c r="J84" s="7">
        <f>VLOOKUP(E84,Vlookup!$A$1:$B$30,2,0)</f>
        <v>2.2388599512381115</v>
      </c>
      <c r="K84" s="7">
        <f>VLOOKUP(F84,Vlookup!$A$1:$B$30,2,0)</f>
        <v>2.0145521929129111</v>
      </c>
      <c r="L84" s="7">
        <f t="shared" si="1"/>
        <v>8.129337451862753</v>
      </c>
      <c r="M84" s="7">
        <f t="shared" si="2"/>
        <v>7.4944740071845146</v>
      </c>
      <c r="N84" s="7">
        <f t="shared" si="3"/>
        <v>4.1080899162389928</v>
      </c>
      <c r="O84" s="7">
        <f t="shared" si="4"/>
        <v>4.5103002243916306</v>
      </c>
      <c r="P84" s="7">
        <f t="shared" si="5"/>
        <v>2.0145521929129111</v>
      </c>
      <c r="Q84">
        <v>1</v>
      </c>
      <c r="R84" s="7">
        <f t="shared" si="6"/>
        <v>27.256753792590803</v>
      </c>
      <c r="S84" s="7">
        <f>VLOOKUP($A84,Rotations!$A$1:$X$1441,18,0)</f>
        <v>0.29825039011331383</v>
      </c>
      <c r="T84" s="7">
        <f>VLOOKUP($A84,Rotations!$A$1:$X$1441,19,0)</f>
        <v>0.1507182384042994</v>
      </c>
      <c r="U84" s="7">
        <f>VLOOKUP($A84,Rotations!$A$1:$X$1441,20,0)</f>
        <v>7.3910202522375443E-2</v>
      </c>
      <c r="V84" s="7">
        <f>VLOOKUP($A84,Rotations!$A$1:$X$1441,21,0)</f>
        <v>0.16547459241524443</v>
      </c>
      <c r="W84" s="7">
        <f>VLOOKUP($A84,Rotations!$A$1:$X$1441,22,0)</f>
        <v>0.27495842183604913</v>
      </c>
      <c r="X84" s="7">
        <f>VLOOKUP($A84,Rotations!$A$1:$X$1441,23,0)</f>
        <v>3.6688154708717724E-2</v>
      </c>
    </row>
    <row r="85" spans="1:24" ht="15.75" customHeight="1" x14ac:dyDescent="0.3">
      <c r="A85">
        <v>76</v>
      </c>
      <c r="B85" t="str">
        <f>Permutations!I77</f>
        <v>p10 - i1:i5</v>
      </c>
      <c r="C85" t="str">
        <f>Permutations!J77</f>
        <v>p71 - i5:i2</v>
      </c>
      <c r="D85" t="str">
        <f>Permutations!K77</f>
        <v>p5 - i2:i4</v>
      </c>
      <c r="E85" t="str">
        <f>Permutations!L77</f>
        <v>p14 - i4:i6</v>
      </c>
      <c r="F85" t="str">
        <f>Permutations!M77</f>
        <v>p131 - i6:i3</v>
      </c>
      <c r="G85" s="7">
        <f>VLOOKUP(B85,Vlookup!$A$1:$B$30,2,0)</f>
        <v>1.0847108741813811</v>
      </c>
      <c r="H85" s="7">
        <f>VLOOKUP(C85,Vlookup!$A$1:$B$30,2,0)</f>
        <v>1.8243208303594776</v>
      </c>
      <c r="I85" s="7">
        <f>VLOOKUP(D85,Vlookup!$A$1:$B$30,2,0)</f>
        <v>0.9108240498099236</v>
      </c>
      <c r="J85" s="7">
        <f>VLOOKUP(E85,Vlookup!$A$1:$B$30,2,0)</f>
        <v>1.478275916473532</v>
      </c>
      <c r="K85" s="7">
        <f>VLOOKUP(F85,Vlookup!$A$1:$B$30,2,0)</f>
        <v>1.4032439022773779</v>
      </c>
      <c r="L85" s="7">
        <f t="shared" si="1"/>
        <v>3.7388527870123567</v>
      </c>
      <c r="M85" s="7">
        <f t="shared" si="2"/>
        <v>3.4468657741022706</v>
      </c>
      <c r="N85" s="7">
        <f t="shared" si="3"/>
        <v>1.889396709581546</v>
      </c>
      <c r="O85" s="7">
        <f t="shared" si="4"/>
        <v>2.0743816656749861</v>
      </c>
      <c r="P85" s="7">
        <f t="shared" si="5"/>
        <v>1.4032439022773779</v>
      </c>
      <c r="Q85">
        <v>1</v>
      </c>
      <c r="R85" s="7">
        <f t="shared" si="6"/>
        <v>13.552740838648537</v>
      </c>
      <c r="S85" s="7">
        <f>VLOOKUP($A85,Rotations!$A$1:$X$1441,18,0)</f>
        <v>0.27587429225756455</v>
      </c>
      <c r="T85" s="7">
        <f>VLOOKUP($A85,Rotations!$A$1:$X$1441,19,0)</f>
        <v>0.13941067213456393</v>
      </c>
      <c r="U85" s="7">
        <f>VLOOKUP($A85,Rotations!$A$1:$X$1441,20,0)</f>
        <v>7.37858129145572E-2</v>
      </c>
      <c r="V85" s="7">
        <f>VLOOKUP($A85,Rotations!$A$1:$X$1441,21,0)</f>
        <v>0.15305993749688207</v>
      </c>
      <c r="W85" s="7">
        <f>VLOOKUP($A85,Rotations!$A$1:$X$1441,22,0)</f>
        <v>0.25432979314950049</v>
      </c>
      <c r="X85" s="7">
        <f>VLOOKUP($A85,Rotations!$A$1:$X$1441,23,0)</f>
        <v>0.10353949204693179</v>
      </c>
    </row>
    <row r="86" spans="1:24" ht="15.75" customHeight="1" x14ac:dyDescent="0.3">
      <c r="A86">
        <v>77</v>
      </c>
      <c r="B86" t="str">
        <f>Permutations!I78</f>
        <v>p10 - i1:i5</v>
      </c>
      <c r="C86" t="str">
        <f>Permutations!J78</f>
        <v>p71 - i5:i2</v>
      </c>
      <c r="D86" t="str">
        <f>Permutations!K78</f>
        <v>p12 - i2:i6</v>
      </c>
      <c r="E86" t="str">
        <f>Permutations!L78</f>
        <v>p131 - i6:i3</v>
      </c>
      <c r="F86" t="str">
        <f>Permutations!M78</f>
        <v>p3 - i3:i4</v>
      </c>
      <c r="G86" s="7">
        <f>VLOOKUP(B86,Vlookup!$A$1:$B$30,2,0)</f>
        <v>1.0847108741813811</v>
      </c>
      <c r="H86" s="7">
        <f>VLOOKUP(C86,Vlookup!$A$1:$B$30,2,0)</f>
        <v>1.8243208303594776</v>
      </c>
      <c r="I86" s="7">
        <f>VLOOKUP(D86,Vlookup!$A$1:$B$30,2,0)</f>
        <v>1.3354555559520354</v>
      </c>
      <c r="J86" s="7">
        <f>VLOOKUP(E86,Vlookup!$A$1:$B$30,2,0)</f>
        <v>1.4032439022773779</v>
      </c>
      <c r="K86" s="7">
        <f>VLOOKUP(F86,Vlookup!$A$1:$B$30,2,0)</f>
        <v>1.4338636587362954</v>
      </c>
      <c r="L86" s="7">
        <f t="shared" si="1"/>
        <v>5.3172327572941578</v>
      </c>
      <c r="M86" s="7">
        <f t="shared" si="2"/>
        <v>4.901981609898594</v>
      </c>
      <c r="N86" s="7">
        <f t="shared" si="3"/>
        <v>2.6870172879255403</v>
      </c>
      <c r="O86" s="7">
        <f t="shared" si="4"/>
        <v>2.0120604358188379</v>
      </c>
      <c r="P86" s="7">
        <f t="shared" si="5"/>
        <v>1.4338636587362954</v>
      </c>
      <c r="Q86">
        <v>1</v>
      </c>
      <c r="R86" s="7">
        <f t="shared" si="6"/>
        <v>17.352155749673425</v>
      </c>
      <c r="S86" s="7">
        <f>VLOOKUP($A86,Rotations!$A$1:$X$1441,18,0)</f>
        <v>0.30643067259203399</v>
      </c>
      <c r="T86" s="7">
        <f>VLOOKUP($A86,Rotations!$A$1:$X$1441,19,0)</f>
        <v>0.15485207294638945</v>
      </c>
      <c r="U86" s="7">
        <f>VLOOKUP($A86,Rotations!$A$1:$X$1441,20,0)</f>
        <v>8.263317131436429E-2</v>
      </c>
      <c r="V86" s="7">
        <f>VLOOKUP($A86,Rotations!$A$1:$X$1441,21,0)</f>
        <v>5.7629727074044991E-2</v>
      </c>
      <c r="W86" s="7">
        <f>VLOOKUP($A86,Rotations!$A$1:$X$1441,22,0)</f>
        <v>0.28249986230044366</v>
      </c>
      <c r="X86" s="7">
        <f>VLOOKUP($A86,Rotations!$A$1:$X$1441,23,0)</f>
        <v>0.11595449377272364</v>
      </c>
    </row>
    <row r="87" spans="1:24" ht="15.75" customHeight="1" x14ac:dyDescent="0.3">
      <c r="A87">
        <v>78</v>
      </c>
      <c r="B87" t="str">
        <f>Permutations!I79</f>
        <v>p10 - i1:i5</v>
      </c>
      <c r="C87" t="str">
        <f>Permutations!J79</f>
        <v>p71 - i5:i2</v>
      </c>
      <c r="D87" t="str">
        <f>Permutations!K79</f>
        <v>p12 - i2:i6</v>
      </c>
      <c r="E87" t="str">
        <f>Permutations!L79</f>
        <v>p141 - i6:i4</v>
      </c>
      <c r="F87" t="str">
        <f>Permutations!M79</f>
        <v>p31 - i4:i3</v>
      </c>
      <c r="G87" s="7">
        <f>VLOOKUP(B87,Vlookup!$A$1:$B$30,2,0)</f>
        <v>1.0847108741813811</v>
      </c>
      <c r="H87" s="7">
        <f>VLOOKUP(C87,Vlookup!$A$1:$B$30,2,0)</f>
        <v>1.8243208303594776</v>
      </c>
      <c r="I87" s="7">
        <f>VLOOKUP(D87,Vlookup!$A$1:$B$30,2,0)</f>
        <v>1.3354555559520354</v>
      </c>
      <c r="J87" s="7">
        <f>VLOOKUP(E87,Vlookup!$A$1:$B$30,2,0)</f>
        <v>0.88688155974910687</v>
      </c>
      <c r="K87" s="7">
        <f>VLOOKUP(F87,Vlookup!$A$1:$B$30,2,0)</f>
        <v>2.2388599512381115</v>
      </c>
      <c r="L87" s="7">
        <f t="shared" si="1"/>
        <v>5.2473158096142063</v>
      </c>
      <c r="M87" s="7">
        <f t="shared" si="2"/>
        <v>4.8375248506421542</v>
      </c>
      <c r="N87" s="7">
        <f t="shared" si="3"/>
        <v>2.651685367035431</v>
      </c>
      <c r="O87" s="7">
        <f t="shared" si="4"/>
        <v>1.9856036056138657</v>
      </c>
      <c r="P87" s="7">
        <f t="shared" si="5"/>
        <v>2.2388599512381115</v>
      </c>
      <c r="Q87">
        <v>1</v>
      </c>
      <c r="R87" s="7">
        <f t="shared" si="6"/>
        <v>17.960989584143768</v>
      </c>
      <c r="S87" s="7">
        <f>VLOOKUP($A87,Rotations!$A$1:$X$1441,18,0)</f>
        <v>0.29215070723311459</v>
      </c>
      <c r="T87" s="7">
        <f>VLOOKUP($A87,Rotations!$A$1:$X$1441,19,0)</f>
        <v>0.14763581675791287</v>
      </c>
      <c r="U87" s="7">
        <f>VLOOKUP($A87,Rotations!$A$1:$X$1441,20,0)</f>
        <v>5.5676219582177978E-2</v>
      </c>
      <c r="V87" s="7">
        <f>VLOOKUP($A87,Rotations!$A$1:$X$1441,21,0)</f>
        <v>0.12465125825887739</v>
      </c>
      <c r="W87" s="7">
        <f>VLOOKUP($A87,Rotations!$A$1:$X$1441,22,0)</f>
        <v>0.26933509581859533</v>
      </c>
      <c r="X87" s="7">
        <f>VLOOKUP($A87,Rotations!$A$1:$X$1441,23,0)</f>
        <v>0.11055090234932191</v>
      </c>
    </row>
    <row r="88" spans="1:24" ht="15.75" customHeight="1" x14ac:dyDescent="0.3">
      <c r="A88">
        <v>79</v>
      </c>
      <c r="B88" t="str">
        <f>Permutations!I80</f>
        <v>p10 - i1:i5</v>
      </c>
      <c r="C88" t="str">
        <f>Permutations!J80</f>
        <v>p61 - i5:i3</v>
      </c>
      <c r="D88" t="str">
        <f>Permutations!K80</f>
        <v>p21 - i3:i2</v>
      </c>
      <c r="E88" t="str">
        <f>Permutations!L80</f>
        <v>p5 - i2:i4</v>
      </c>
      <c r="F88" t="str">
        <f>Permutations!M80</f>
        <v>p14 - i4:i6</v>
      </c>
      <c r="G88" s="7">
        <f>VLOOKUP(B88,Vlookup!$A$1:$B$30,2,0)</f>
        <v>1.0847108741813811</v>
      </c>
      <c r="H88" s="7">
        <f>VLOOKUP(C88,Vlookup!$A$1:$B$30,2,0)</f>
        <v>1.9746367445127702</v>
      </c>
      <c r="I88" s="7">
        <f>VLOOKUP(D88,Vlookup!$A$1:$B$30,2,0)</f>
        <v>1.5059827029565431</v>
      </c>
      <c r="J88" s="7">
        <f>VLOOKUP(E88,Vlookup!$A$1:$B$30,2,0)</f>
        <v>0.9108240498099236</v>
      </c>
      <c r="K88" s="7">
        <f>VLOOKUP(F88,Vlookup!$A$1:$B$30,2,0)</f>
        <v>1.478275916473532</v>
      </c>
      <c r="L88" s="7">
        <f t="shared" si="1"/>
        <v>4.3432135438403145</v>
      </c>
      <c r="M88" s="7">
        <f t="shared" si="2"/>
        <v>4.0040287667606247</v>
      </c>
      <c r="N88" s="7">
        <f t="shared" si="3"/>
        <v>2.0277292914189107</v>
      </c>
      <c r="O88" s="7">
        <f t="shared" si="4"/>
        <v>1.3464492569788988</v>
      </c>
      <c r="P88" s="7">
        <f t="shared" si="5"/>
        <v>1.478275916473532</v>
      </c>
      <c r="Q88">
        <v>1</v>
      </c>
      <c r="R88" s="7">
        <f t="shared" si="6"/>
        <v>14.199696775472281</v>
      </c>
      <c r="S88" s="7">
        <f>VLOOKUP($A88,Rotations!$A$1:$X$1441,18,0)</f>
        <v>0.3058666401484379</v>
      </c>
      <c r="T88" s="7">
        <f>VLOOKUP($A88,Rotations!$A$1:$X$1441,19,0)</f>
        <v>9.4822395032031659E-2</v>
      </c>
      <c r="U88" s="7">
        <f>VLOOKUP($A88,Rotations!$A$1:$X$1441,20,0)</f>
        <v>0.1428008867711521</v>
      </c>
      <c r="V88" s="7">
        <f>VLOOKUP($A88,Rotations!$A$1:$X$1441,21,0)</f>
        <v>0.10410616084612585</v>
      </c>
      <c r="W88" s="7">
        <f>VLOOKUP($A88,Rotations!$A$1:$X$1441,22,0)</f>
        <v>0.2819798781673245</v>
      </c>
      <c r="X88" s="7">
        <f>VLOOKUP($A88,Rotations!$A$1:$X$1441,23,0)</f>
        <v>7.0424039034927916E-2</v>
      </c>
    </row>
    <row r="89" spans="1:24" ht="15.75" customHeight="1" x14ac:dyDescent="0.3">
      <c r="A89">
        <v>80</v>
      </c>
      <c r="B89" t="str">
        <f>Permutations!I81</f>
        <v>p10 - i1:i5</v>
      </c>
      <c r="C89" t="str">
        <f>Permutations!J81</f>
        <v>p61 - i5:i3</v>
      </c>
      <c r="D89" t="str">
        <f>Permutations!K81</f>
        <v>p21 - i3:i2</v>
      </c>
      <c r="E89" t="str">
        <f>Permutations!L81</f>
        <v>p12 - i2:i6</v>
      </c>
      <c r="F89" t="str">
        <f>Permutations!M81</f>
        <v>p141 - i6:i4</v>
      </c>
      <c r="G89" s="7">
        <f>VLOOKUP(B89,Vlookup!$A$1:$B$30,2,0)</f>
        <v>1.0847108741813811</v>
      </c>
      <c r="H89" s="7">
        <f>VLOOKUP(C89,Vlookup!$A$1:$B$30,2,0)</f>
        <v>1.9746367445127702</v>
      </c>
      <c r="I89" s="7">
        <f>VLOOKUP(D89,Vlookup!$A$1:$B$30,2,0)</f>
        <v>1.5059827029565431</v>
      </c>
      <c r="J89" s="7">
        <f>VLOOKUP(E89,Vlookup!$A$1:$B$30,2,0)</f>
        <v>1.3354555559520354</v>
      </c>
      <c r="K89" s="7">
        <f>VLOOKUP(F89,Vlookup!$A$1:$B$30,2,0)</f>
        <v>0.88688155974910687</v>
      </c>
      <c r="L89" s="7">
        <f t="shared" si="1"/>
        <v>3.8204652714402094</v>
      </c>
      <c r="M89" s="7">
        <f t="shared" si="2"/>
        <v>3.5221047030836403</v>
      </c>
      <c r="N89" s="7">
        <f t="shared" si="3"/>
        <v>1.783672218635179</v>
      </c>
      <c r="O89" s="7">
        <f t="shared" si="4"/>
        <v>1.1843909064383518</v>
      </c>
      <c r="P89" s="7">
        <f t="shared" si="5"/>
        <v>0.88688155974910687</v>
      </c>
      <c r="Q89">
        <v>1</v>
      </c>
      <c r="R89" s="7">
        <f t="shared" si="6"/>
        <v>12.197514659346487</v>
      </c>
      <c r="S89" s="7">
        <f>VLOOKUP($A89,Rotations!$A$1:$X$1441,18,0)</f>
        <v>0.31321669849461781</v>
      </c>
      <c r="T89" s="7">
        <f>VLOOKUP($A89,Rotations!$A$1:$X$1441,19,0)</f>
        <v>9.7101002910523135E-2</v>
      </c>
      <c r="U89" s="7">
        <f>VLOOKUP($A89,Rotations!$A$1:$X$1441,20,0)</f>
        <v>0.14623243082298076</v>
      </c>
      <c r="V89" s="7">
        <f>VLOOKUP($A89,Rotations!$A$1:$X$1441,21,0)</f>
        <v>8.1983914586545581E-2</v>
      </c>
      <c r="W89" s="7">
        <f>VLOOKUP($A89,Rotations!$A$1:$X$1441,22,0)</f>
        <v>0.28875593114247966</v>
      </c>
      <c r="X89" s="7">
        <f>VLOOKUP($A89,Rotations!$A$1:$X$1441,23,0)</f>
        <v>7.2710022042853095E-2</v>
      </c>
    </row>
    <row r="90" spans="1:24" ht="15.75" customHeight="1" x14ac:dyDescent="0.3">
      <c r="A90">
        <v>81</v>
      </c>
      <c r="B90" t="str">
        <f>Permutations!I82</f>
        <v>p10 - i1:i5</v>
      </c>
      <c r="C90" t="str">
        <f>Permutations!J82</f>
        <v>p61 - i5:i3</v>
      </c>
      <c r="D90" t="str">
        <f>Permutations!K82</f>
        <v>p3 - i3:i4</v>
      </c>
      <c r="E90" t="str">
        <f>Permutations!L82</f>
        <v>p51 - i4:i2</v>
      </c>
      <c r="F90" t="str">
        <f>Permutations!M82</f>
        <v>p12 - i2:i6</v>
      </c>
      <c r="G90" s="7">
        <f>VLOOKUP(B90,Vlookup!$A$1:$B$30,2,0)</f>
        <v>1.0847108741813811</v>
      </c>
      <c r="H90" s="7">
        <f>VLOOKUP(C90,Vlookup!$A$1:$B$30,2,0)</f>
        <v>1.9746367445127702</v>
      </c>
      <c r="I90" s="7">
        <f>VLOOKUP(D90,Vlookup!$A$1:$B$30,2,0)</f>
        <v>1.4338636587362954</v>
      </c>
      <c r="J90" s="7">
        <f>VLOOKUP(E90,Vlookup!$A$1:$B$30,2,0)</f>
        <v>1.4376356077157479</v>
      </c>
      <c r="K90" s="7">
        <f>VLOOKUP(F90,Vlookup!$A$1:$B$30,2,0)</f>
        <v>1.3354555559520354</v>
      </c>
      <c r="L90" s="7">
        <f t="shared" si="1"/>
        <v>5.8964052752487079</v>
      </c>
      <c r="M90" s="7">
        <f t="shared" si="2"/>
        <v>5.4359234479866867</v>
      </c>
      <c r="N90" s="7">
        <f t="shared" si="3"/>
        <v>2.752872629911467</v>
      </c>
      <c r="O90" s="7">
        <f t="shared" si="4"/>
        <v>1.9198984597584763</v>
      </c>
      <c r="P90" s="7">
        <f t="shared" si="5"/>
        <v>1.3354555559520354</v>
      </c>
      <c r="Q90">
        <v>1</v>
      </c>
      <c r="R90" s="7">
        <f t="shared" si="6"/>
        <v>18.340555368857373</v>
      </c>
      <c r="S90" s="7">
        <f>VLOOKUP($A90,Rotations!$A$1:$X$1441,18,0)</f>
        <v>0.32149545947015984</v>
      </c>
      <c r="T90" s="7">
        <f>VLOOKUP($A90,Rotations!$A$1:$X$1441,19,0)</f>
        <v>7.2814346626583912E-2</v>
      </c>
      <c r="U90" s="7">
        <f>VLOOKUP($A90,Rotations!$A$1:$X$1441,20,0)</f>
        <v>0.15009756109053815</v>
      </c>
      <c r="V90" s="7">
        <f>VLOOKUP($A90,Rotations!$A$1:$X$1441,21,0)</f>
        <v>0.10468049746293408</v>
      </c>
      <c r="W90" s="7">
        <f>VLOOKUP($A90,Rotations!$A$1:$X$1441,22,0)</f>
        <v>0.29638815939112684</v>
      </c>
      <c r="X90" s="7">
        <f>VLOOKUP($A90,Rotations!$A$1:$X$1441,23,0)</f>
        <v>5.4523975958657163E-2</v>
      </c>
    </row>
    <row r="91" spans="1:24" ht="15.75" customHeight="1" x14ac:dyDescent="0.3">
      <c r="A91">
        <v>82</v>
      </c>
      <c r="B91" t="str">
        <f>Permutations!I83</f>
        <v>p10 - i1:i5</v>
      </c>
      <c r="C91" t="str">
        <f>Permutations!J83</f>
        <v>p61 - i5:i3</v>
      </c>
      <c r="D91" t="str">
        <f>Permutations!K83</f>
        <v>p3 - i3:i4</v>
      </c>
      <c r="E91" t="str">
        <f>Permutations!L83</f>
        <v>p14 - i4:i6</v>
      </c>
      <c r="F91" t="str">
        <f>Permutations!M83</f>
        <v>p121 - i6:i2</v>
      </c>
      <c r="G91" s="7">
        <f>VLOOKUP(B91,Vlookup!$A$1:$B$30,2,0)</f>
        <v>1.0847108741813811</v>
      </c>
      <c r="H91" s="7">
        <f>VLOOKUP(C91,Vlookup!$A$1:$B$30,2,0)</f>
        <v>1.9746367445127702</v>
      </c>
      <c r="I91" s="7">
        <f>VLOOKUP(D91,Vlookup!$A$1:$B$30,2,0)</f>
        <v>1.4338636587362954</v>
      </c>
      <c r="J91" s="7">
        <f>VLOOKUP(E91,Vlookup!$A$1:$B$30,2,0)</f>
        <v>1.478275916473532</v>
      </c>
      <c r="K91" s="7">
        <f>VLOOKUP(F91,Vlookup!$A$1:$B$30,2,0)</f>
        <v>1.2419340531937677</v>
      </c>
      <c r="L91" s="7">
        <f t="shared" si="1"/>
        <v>5.6384937430597581</v>
      </c>
      <c r="M91" s="7">
        <f t="shared" si="2"/>
        <v>5.1981536068909282</v>
      </c>
      <c r="N91" s="7">
        <f t="shared" si="3"/>
        <v>2.6324606899653036</v>
      </c>
      <c r="O91" s="7">
        <f t="shared" si="4"/>
        <v>1.8359212006847052</v>
      </c>
      <c r="P91" s="7">
        <f t="shared" si="5"/>
        <v>1.2419340531937677</v>
      </c>
      <c r="Q91">
        <v>1</v>
      </c>
      <c r="R91" s="7">
        <f t="shared" si="6"/>
        <v>17.546963293794462</v>
      </c>
      <c r="S91" s="7">
        <f>VLOOKUP($A91,Rotations!$A$1:$X$1441,18,0)</f>
        <v>0.32133729629752111</v>
      </c>
      <c r="T91" s="7">
        <f>VLOOKUP($A91,Rotations!$A$1:$X$1441,19,0)</f>
        <v>5.6989918042038255E-2</v>
      </c>
      <c r="U91" s="7">
        <f>VLOOKUP($A91,Rotations!$A$1:$X$1441,20,0)</f>
        <v>0.15002371897001013</v>
      </c>
      <c r="V91" s="7">
        <f>VLOOKUP($A91,Rotations!$A$1:$X$1441,21,0)</f>
        <v>0.10462899875866181</v>
      </c>
      <c r="W91" s="7">
        <f>VLOOKUP($A91,Rotations!$A$1:$X$1441,22,0)</f>
        <v>0.29624234802663951</v>
      </c>
      <c r="X91" s="7">
        <f>VLOOKUP($A91,Rotations!$A$1:$X$1441,23,0)</f>
        <v>7.0777719905129197E-2</v>
      </c>
    </row>
    <row r="92" spans="1:24" ht="15.75" customHeight="1" x14ac:dyDescent="0.3">
      <c r="A92">
        <v>83</v>
      </c>
      <c r="B92" t="str">
        <f>Permutations!I84</f>
        <v>p10 - i1:i5</v>
      </c>
      <c r="C92" t="str">
        <f>Permutations!J84</f>
        <v>p61 - i5:i3</v>
      </c>
      <c r="D92" t="str">
        <f>Permutations!K84</f>
        <v>p13 - i3:i6</v>
      </c>
      <c r="E92" t="str">
        <f>Permutations!L84</f>
        <v>p121 - i6:i2</v>
      </c>
      <c r="F92" t="str">
        <f>Permutations!M84</f>
        <v>p5 - i2:i4</v>
      </c>
      <c r="G92" s="7">
        <f>VLOOKUP(B92,Vlookup!$A$1:$B$30,2,0)</f>
        <v>1.0847108741813811</v>
      </c>
      <c r="H92" s="7">
        <f>VLOOKUP(C92,Vlookup!$A$1:$B$30,2,0)</f>
        <v>1.9746367445127702</v>
      </c>
      <c r="I92" s="7">
        <f>VLOOKUP(D92,Vlookup!$A$1:$B$30,2,0)</f>
        <v>2.0145521929129111</v>
      </c>
      <c r="J92" s="7">
        <f>VLOOKUP(E92,Vlookup!$A$1:$B$30,2,0)</f>
        <v>1.2419340531937677</v>
      </c>
      <c r="K92" s="7">
        <f>VLOOKUP(F92,Vlookup!$A$1:$B$30,2,0)</f>
        <v>0.9108240498099236</v>
      </c>
      <c r="L92" s="7">
        <f t="shared" si="1"/>
        <v>4.881044380937948</v>
      </c>
      <c r="M92" s="7">
        <f t="shared" si="2"/>
        <v>4.4998575169826847</v>
      </c>
      <c r="N92" s="7">
        <f t="shared" si="3"/>
        <v>2.2788280069674274</v>
      </c>
      <c r="O92" s="7">
        <f t="shared" si="4"/>
        <v>1.1311834039268005</v>
      </c>
      <c r="P92" s="7">
        <f t="shared" si="5"/>
        <v>0.9108240498099236</v>
      </c>
      <c r="Q92">
        <v>1</v>
      </c>
      <c r="R92" s="7">
        <f t="shared" si="6"/>
        <v>14.701737358624785</v>
      </c>
      <c r="S92" s="7">
        <f>VLOOKUP($A92,Rotations!$A$1:$X$1441,18,0)</f>
        <v>0.33200459659106069</v>
      </c>
      <c r="T92" s="7">
        <f>VLOOKUP($A92,Rotations!$A$1:$X$1441,19,0)</f>
        <v>6.1953497575957445E-2</v>
      </c>
      <c r="U92" s="7">
        <f>VLOOKUP($A92,Rotations!$A$1:$X$1441,20,0)</f>
        <v>0.15500399383958191</v>
      </c>
      <c r="V92" s="7">
        <f>VLOOKUP($A92,Rotations!$A$1:$X$1441,21,0)</f>
        <v>6.8019171857491345E-2</v>
      </c>
      <c r="W92" s="7">
        <f>VLOOKUP($A92,Rotations!$A$1:$X$1441,22,0)</f>
        <v>0.30607658178186947</v>
      </c>
      <c r="X92" s="7">
        <f>VLOOKUP($A92,Rotations!$A$1:$X$1441,23,0)</f>
        <v>7.6942158354039086E-2</v>
      </c>
    </row>
    <row r="93" spans="1:24" ht="15.75" customHeight="1" x14ac:dyDescent="0.3">
      <c r="A93">
        <v>84</v>
      </c>
      <c r="B93" t="str">
        <f>Permutations!I85</f>
        <v>p10 - i1:i5</v>
      </c>
      <c r="C93" t="str">
        <f>Permutations!J85</f>
        <v>p61 - i5:i3</v>
      </c>
      <c r="D93" t="str">
        <f>Permutations!K85</f>
        <v>p13 - i3:i6</v>
      </c>
      <c r="E93" t="str">
        <f>Permutations!L85</f>
        <v>p141 - i6:i4</v>
      </c>
      <c r="F93" t="str">
        <f>Permutations!M85</f>
        <v>p51 - i4:i2</v>
      </c>
      <c r="G93" s="7">
        <f>VLOOKUP(B93,Vlookup!$A$1:$B$30,2,0)</f>
        <v>1.0847108741813811</v>
      </c>
      <c r="H93" s="7">
        <f>VLOOKUP(C93,Vlookup!$A$1:$B$30,2,0)</f>
        <v>1.9746367445127702</v>
      </c>
      <c r="I93" s="7">
        <f>VLOOKUP(D93,Vlookup!$A$1:$B$30,2,0)</f>
        <v>2.0145521929129111</v>
      </c>
      <c r="J93" s="7">
        <f>VLOOKUP(E93,Vlookup!$A$1:$B$30,2,0)</f>
        <v>0.88688155974910687</v>
      </c>
      <c r="K93" s="7">
        <f>VLOOKUP(F93,Vlookup!$A$1:$B$30,2,0)</f>
        <v>1.4376356077157479</v>
      </c>
      <c r="L93" s="7">
        <f t="shared" si="1"/>
        <v>5.5016654474876896</v>
      </c>
      <c r="M93" s="7">
        <f t="shared" si="2"/>
        <v>5.0720109648017795</v>
      </c>
      <c r="N93" s="7">
        <f t="shared" si="3"/>
        <v>2.5685792482572625</v>
      </c>
      <c r="O93" s="7">
        <f t="shared" si="4"/>
        <v>1.2750125101217977</v>
      </c>
      <c r="P93" s="7">
        <f t="shared" si="5"/>
        <v>1.4376356077157479</v>
      </c>
      <c r="Q93">
        <v>1</v>
      </c>
      <c r="R93" s="7">
        <f t="shared" si="6"/>
        <v>16.854903778384276</v>
      </c>
      <c r="S93" s="7">
        <f>VLOOKUP($A93,Rotations!$A$1:$X$1441,18,0)</f>
        <v>0.32641334058182819</v>
      </c>
      <c r="T93" s="7">
        <f>VLOOKUP($A93,Rotations!$A$1:$X$1441,19,0)</f>
        <v>5.932991449541581E-2</v>
      </c>
      <c r="U93" s="7">
        <f>VLOOKUP($A93,Rotations!$A$1:$X$1441,20,0)</f>
        <v>0.1523935871738028</v>
      </c>
      <c r="V93" s="7">
        <f>VLOOKUP($A93,Rotations!$A$1:$X$1441,21,0)</f>
        <v>8.5294797681340476E-2</v>
      </c>
      <c r="W93" s="7">
        <f>VLOOKUP($A93,Rotations!$A$1:$X$1441,22,0)</f>
        <v>0.30092197686150102</v>
      </c>
      <c r="X93" s="7">
        <f>VLOOKUP($A93,Rotations!$A$1:$X$1441,23,0)</f>
        <v>7.564638320611175E-2</v>
      </c>
    </row>
    <row r="94" spans="1:24" ht="15.75" customHeight="1" x14ac:dyDescent="0.3">
      <c r="A94">
        <v>85</v>
      </c>
      <c r="B94" t="str">
        <f>Permutations!I86</f>
        <v>p10 - i1:i5</v>
      </c>
      <c r="C94" t="str">
        <f>Permutations!J86</f>
        <v>p41 - i5:i4</v>
      </c>
      <c r="D94" t="str">
        <f>Permutations!K86</f>
        <v>p51 - i4:i2</v>
      </c>
      <c r="E94" t="str">
        <f>Permutations!L86</f>
        <v>p2 - i2:i3</v>
      </c>
      <c r="F94" t="str">
        <f>Permutations!M86</f>
        <v>p13 - i3:i6</v>
      </c>
      <c r="G94" s="7">
        <f>VLOOKUP(B94,Vlookup!$A$1:$B$30,2,0)</f>
        <v>1.0847108741813811</v>
      </c>
      <c r="H94" s="7">
        <f>VLOOKUP(C94,Vlookup!$A$1:$B$30,2,0)</f>
        <v>1.25400669441983</v>
      </c>
      <c r="I94" s="7">
        <f>VLOOKUP(D94,Vlookup!$A$1:$B$30,2,0)</f>
        <v>1.4376356077157479</v>
      </c>
      <c r="J94" s="7">
        <f>VLOOKUP(E94,Vlookup!$A$1:$B$30,2,0)</f>
        <v>1.3601242124324544</v>
      </c>
      <c r="K94" s="7">
        <f>VLOOKUP(F94,Vlookup!$A$1:$B$30,2,0)</f>
        <v>2.0145521929129111</v>
      </c>
      <c r="L94" s="7">
        <f t="shared" si="1"/>
        <v>5.3582104279163678</v>
      </c>
      <c r="M94" s="7">
        <f t="shared" si="2"/>
        <v>4.939759115036205</v>
      </c>
      <c r="N94" s="7">
        <f t="shared" si="3"/>
        <v>3.9391808169904543</v>
      </c>
      <c r="O94" s="7">
        <f t="shared" si="4"/>
        <v>2.740041214789747</v>
      </c>
      <c r="P94" s="7">
        <f t="shared" si="5"/>
        <v>2.0145521929129111</v>
      </c>
      <c r="Q94">
        <v>1</v>
      </c>
      <c r="R94" s="7">
        <f t="shared" si="6"/>
        <v>19.991743767645687</v>
      </c>
      <c r="S94" s="7">
        <f>VLOOKUP($A94,Rotations!$A$1:$X$1441,18,0)</f>
        <v>0.26802116364596512</v>
      </c>
      <c r="T94" s="7">
        <f>VLOOKUP($A94,Rotations!$A$1:$X$1441,19,0)</f>
        <v>0.13705864013844482</v>
      </c>
      <c r="U94" s="7">
        <f>VLOOKUP($A94,Rotations!$A$1:$X$1441,20,0)</f>
        <v>0.10076920834555861</v>
      </c>
      <c r="V94" s="7">
        <f>VLOOKUP($A94,Rotations!$A$1:$X$1441,21,0)</f>
        <v>0.1970403814081271</v>
      </c>
      <c r="W94" s="7">
        <f>VLOOKUP($A94,Rotations!$A$1:$X$1441,22,0)</f>
        <v>0.24708995735682801</v>
      </c>
      <c r="X94" s="7">
        <f>VLOOKUP($A94,Rotations!$A$1:$X$1441,23,0)</f>
        <v>5.0020649105076254E-2</v>
      </c>
    </row>
    <row r="95" spans="1:24" ht="15.75" customHeight="1" x14ac:dyDescent="0.3">
      <c r="A95">
        <v>86</v>
      </c>
      <c r="B95" t="str">
        <f>Permutations!I87</f>
        <v>p10 - i1:i5</v>
      </c>
      <c r="C95" t="str">
        <f>Permutations!J87</f>
        <v>p41 - i5:i4</v>
      </c>
      <c r="D95" t="str">
        <f>Permutations!K87</f>
        <v>p51 - i4:i2</v>
      </c>
      <c r="E95" t="str">
        <f>Permutations!L87</f>
        <v>p12 - i2:i6</v>
      </c>
      <c r="F95" t="str">
        <f>Permutations!M87</f>
        <v>p131 - i6:i3</v>
      </c>
      <c r="G95" s="7">
        <f>VLOOKUP(B95,Vlookup!$A$1:$B$30,2,0)</f>
        <v>1.0847108741813811</v>
      </c>
      <c r="H95" s="7">
        <f>VLOOKUP(C95,Vlookup!$A$1:$B$30,2,0)</f>
        <v>1.25400669441983</v>
      </c>
      <c r="I95" s="7">
        <f>VLOOKUP(D95,Vlookup!$A$1:$B$30,2,0)</f>
        <v>1.4376356077157479</v>
      </c>
      <c r="J95" s="7">
        <f>VLOOKUP(E95,Vlookup!$A$1:$B$30,2,0)</f>
        <v>1.3354555559520354</v>
      </c>
      <c r="K95" s="7">
        <f>VLOOKUP(F95,Vlookup!$A$1:$B$30,2,0)</f>
        <v>1.4032439022773779</v>
      </c>
      <c r="L95" s="7">
        <f t="shared" si="1"/>
        <v>3.6645889928735311</v>
      </c>
      <c r="M95" s="7">
        <f t="shared" si="2"/>
        <v>3.378401636877804</v>
      </c>
      <c r="N95" s="7">
        <f t="shared" si="3"/>
        <v>2.6940858066478115</v>
      </c>
      <c r="O95" s="7">
        <f t="shared" si="4"/>
        <v>1.8739698656521393</v>
      </c>
      <c r="P95" s="7">
        <f t="shared" si="5"/>
        <v>1.4032439022773779</v>
      </c>
      <c r="Q95">
        <v>1</v>
      </c>
      <c r="R95" s="7">
        <f t="shared" si="6"/>
        <v>14.014290204328663</v>
      </c>
      <c r="S95" s="7">
        <f>VLOOKUP($A95,Rotations!$A$1:$X$1441,18,0)</f>
        <v>0.26148944680349429</v>
      </c>
      <c r="T95" s="7">
        <f>VLOOKUP($A95,Rotations!$A$1:$X$1441,19,0)</f>
        <v>0.13371850006883096</v>
      </c>
      <c r="U95" s="7">
        <f>VLOOKUP($A95,Rotations!$A$1:$X$1441,20,0)</f>
        <v>7.1355736567459194E-2</v>
      </c>
      <c r="V95" s="7">
        <f>VLOOKUP($A95,Rotations!$A$1:$X$1441,21,0)</f>
        <v>0.19223847710929204</v>
      </c>
      <c r="W95" s="7">
        <f>VLOOKUP($A95,Rotations!$A$1:$X$1441,22,0)</f>
        <v>0.24106833722012552</v>
      </c>
      <c r="X95" s="7">
        <f>VLOOKUP($A95,Rotations!$A$1:$X$1441,23,0)</f>
        <v>0.10012950223079803</v>
      </c>
    </row>
    <row r="96" spans="1:24" ht="15.75" customHeight="1" x14ac:dyDescent="0.3">
      <c r="A96">
        <v>87</v>
      </c>
      <c r="B96" t="str">
        <f>Permutations!I88</f>
        <v>p10 - i1:i5</v>
      </c>
      <c r="C96" t="str">
        <f>Permutations!J88</f>
        <v>p41 - i5:i4</v>
      </c>
      <c r="D96" t="str">
        <f>Permutations!K88</f>
        <v>p31 - i4:i3</v>
      </c>
      <c r="E96" t="str">
        <f>Permutations!L88</f>
        <v>p21 - i3:i2</v>
      </c>
      <c r="F96" t="str">
        <f>Permutations!M88</f>
        <v>p12 - i2:i6</v>
      </c>
      <c r="G96" s="7">
        <f>VLOOKUP(B96,Vlookup!$A$1:$B$30,2,0)</f>
        <v>1.0847108741813811</v>
      </c>
      <c r="H96" s="7">
        <f>VLOOKUP(C96,Vlookup!$A$1:$B$30,2,0)</f>
        <v>1.25400669441983</v>
      </c>
      <c r="I96" s="7">
        <f>VLOOKUP(D96,Vlookup!$A$1:$B$30,2,0)</f>
        <v>2.2388599512381115</v>
      </c>
      <c r="J96" s="7">
        <f>VLOOKUP(E96,Vlookup!$A$1:$B$30,2,0)</f>
        <v>1.5059827029565431</v>
      </c>
      <c r="K96" s="7">
        <f>VLOOKUP(F96,Vlookup!$A$1:$B$30,2,0)</f>
        <v>1.3354555559520354</v>
      </c>
      <c r="L96" s="7">
        <f t="shared" si="1"/>
        <v>6.1247758548655558</v>
      </c>
      <c r="M96" s="7">
        <f t="shared" si="2"/>
        <v>5.6464593475084817</v>
      </c>
      <c r="N96" s="7">
        <f t="shared" si="3"/>
        <v>4.5027346126894745</v>
      </c>
      <c r="O96" s="7">
        <f t="shared" si="4"/>
        <v>2.0111729678309791</v>
      </c>
      <c r="P96" s="7">
        <f t="shared" si="5"/>
        <v>1.3354555559520354</v>
      </c>
      <c r="Q96">
        <v>1</v>
      </c>
      <c r="R96" s="7">
        <f t="shared" si="6"/>
        <v>20.620598338846523</v>
      </c>
      <c r="S96" s="7">
        <f>VLOOKUP($A96,Rotations!$A$1:$X$1441,18,0)</f>
        <v>0.29702221798905198</v>
      </c>
      <c r="T96" s="7">
        <f>VLOOKUP($A96,Rotations!$A$1:$X$1441,19,0)</f>
        <v>6.4763181650079035E-2</v>
      </c>
      <c r="U96" s="7">
        <f>VLOOKUP($A96,Rotations!$A$1:$X$1441,20,0)</f>
        <v>9.7532231353451612E-2</v>
      </c>
      <c r="V96" s="7">
        <f>VLOOKUP($A96,Rotations!$A$1:$X$1441,21,0)</f>
        <v>0.21836100673213291</v>
      </c>
      <c r="W96" s="7">
        <f>VLOOKUP($A96,Rotations!$A$1:$X$1441,22,0)</f>
        <v>0.27382616424234824</v>
      </c>
      <c r="X96" s="7">
        <f>VLOOKUP($A96,Rotations!$A$1:$X$1441,23,0)</f>
        <v>4.8495198032936324E-2</v>
      </c>
    </row>
    <row r="97" spans="1:24" ht="15.75" customHeight="1" x14ac:dyDescent="0.3">
      <c r="A97">
        <v>88</v>
      </c>
      <c r="B97" t="str">
        <f>Permutations!I89</f>
        <v>p10 - i1:i5</v>
      </c>
      <c r="C97" t="str">
        <f>Permutations!J89</f>
        <v>p41 - i5:i4</v>
      </c>
      <c r="D97" t="str">
        <f>Permutations!K89</f>
        <v>p31 - i4:i3</v>
      </c>
      <c r="E97" t="str">
        <f>Permutations!L89</f>
        <v>p13 - i3:i6</v>
      </c>
      <c r="F97" t="str">
        <f>Permutations!M89</f>
        <v>p121 - i6:i2</v>
      </c>
      <c r="G97" s="7">
        <f>VLOOKUP(B97,Vlookup!$A$1:$B$30,2,0)</f>
        <v>1.0847108741813811</v>
      </c>
      <c r="H97" s="7">
        <f>VLOOKUP(C97,Vlookup!$A$1:$B$30,2,0)</f>
        <v>1.25400669441983</v>
      </c>
      <c r="I97" s="7">
        <f>VLOOKUP(D97,Vlookup!$A$1:$B$30,2,0)</f>
        <v>2.2388599512381115</v>
      </c>
      <c r="J97" s="7">
        <f>VLOOKUP(E97,Vlookup!$A$1:$B$30,2,0)</f>
        <v>2.0145521929129111</v>
      </c>
      <c r="K97" s="7">
        <f>VLOOKUP(F97,Vlookup!$A$1:$B$30,2,0)</f>
        <v>1.2419340531937677</v>
      </c>
      <c r="L97" s="7">
        <f t="shared" si="1"/>
        <v>7.619348455050611</v>
      </c>
      <c r="M97" s="7">
        <f t="shared" si="2"/>
        <v>7.0243127790166637</v>
      </c>
      <c r="N97" s="7">
        <f t="shared" si="3"/>
        <v>5.601495438799458</v>
      </c>
      <c r="O97" s="7">
        <f t="shared" si="4"/>
        <v>2.5019409703147248</v>
      </c>
      <c r="P97" s="7">
        <f t="shared" si="5"/>
        <v>1.2419340531937677</v>
      </c>
      <c r="Q97">
        <v>1</v>
      </c>
      <c r="R97" s="7">
        <f t="shared" si="6"/>
        <v>24.989031696375221</v>
      </c>
      <c r="S97" s="7">
        <f>VLOOKUP($A97,Rotations!$A$1:$X$1441,18,0)</f>
        <v>0.30490771101610287</v>
      </c>
      <c r="T97" s="7">
        <f>VLOOKUP($A97,Rotations!$A$1:$X$1441,19,0)</f>
        <v>4.0017556988614922E-2</v>
      </c>
      <c r="U97" s="7">
        <f>VLOOKUP($A97,Rotations!$A$1:$X$1441,20,0)</f>
        <v>0.10012156536172001</v>
      </c>
      <c r="V97" s="7">
        <f>VLOOKUP($A97,Rotations!$A$1:$X$1441,21,0)</f>
        <v>0.22415816294362384</v>
      </c>
      <c r="W97" s="7">
        <f>VLOOKUP($A97,Rotations!$A$1:$X$1441,22,0)</f>
        <v>0.28109583694015539</v>
      </c>
      <c r="X97" s="7">
        <f>VLOOKUP($A97,Rotations!$A$1:$X$1441,23,0)</f>
        <v>4.9699166749783114E-2</v>
      </c>
    </row>
    <row r="98" spans="1:24" ht="15.75" customHeight="1" x14ac:dyDescent="0.3">
      <c r="A98">
        <v>89</v>
      </c>
      <c r="B98" t="str">
        <f>Permutations!I90</f>
        <v>p10 - i1:i5</v>
      </c>
      <c r="C98" t="str">
        <f>Permutations!J90</f>
        <v>p41 - i5:i4</v>
      </c>
      <c r="D98" t="str">
        <f>Permutations!K90</f>
        <v>p14 - i4:i6</v>
      </c>
      <c r="E98" t="str">
        <f>Permutations!L90</f>
        <v>p121 - i6:i2</v>
      </c>
      <c r="F98" t="str">
        <f>Permutations!M90</f>
        <v>p2 - i2:i3</v>
      </c>
      <c r="G98" s="7">
        <f>VLOOKUP(B98,Vlookup!$A$1:$B$30,2,0)</f>
        <v>1.0847108741813811</v>
      </c>
      <c r="H98" s="7">
        <f>VLOOKUP(C98,Vlookup!$A$1:$B$30,2,0)</f>
        <v>1.25400669441983</v>
      </c>
      <c r="I98" s="7">
        <f>VLOOKUP(D98,Vlookup!$A$1:$B$30,2,0)</f>
        <v>1.478275916473532</v>
      </c>
      <c r="J98" s="7">
        <f>VLOOKUP(E98,Vlookup!$A$1:$B$30,2,0)</f>
        <v>1.2419340531937677</v>
      </c>
      <c r="K98" s="7">
        <f>VLOOKUP(F98,Vlookup!$A$1:$B$30,2,0)</f>
        <v>1.3601242124324544</v>
      </c>
      <c r="L98" s="7">
        <f t="shared" si="1"/>
        <v>3.3966160521723725</v>
      </c>
      <c r="M98" s="7">
        <f t="shared" si="2"/>
        <v>3.131356136478082</v>
      </c>
      <c r="N98" s="7">
        <f t="shared" si="3"/>
        <v>2.4970808771693309</v>
      </c>
      <c r="O98" s="7">
        <f t="shared" si="4"/>
        <v>1.6891845759932191</v>
      </c>
      <c r="P98" s="7">
        <f t="shared" si="5"/>
        <v>1.3601242124324544</v>
      </c>
      <c r="Q98">
        <v>1</v>
      </c>
      <c r="R98" s="7">
        <f t="shared" si="6"/>
        <v>13.074361854245458</v>
      </c>
      <c r="S98" s="7">
        <f>VLOOKUP($A98,Rotations!$A$1:$X$1441,18,0)</f>
        <v>0.25979210993532631</v>
      </c>
      <c r="T98" s="7">
        <f>VLOOKUP($A98,Rotations!$A$1:$X$1441,19,0)</f>
        <v>0.10402987370208053</v>
      </c>
      <c r="U98" s="7">
        <f>VLOOKUP($A98,Rotations!$A$1:$X$1441,20,0)</f>
        <v>7.6485568561442535E-2</v>
      </c>
      <c r="V98" s="7">
        <f>VLOOKUP($A98,Rotations!$A$1:$X$1441,21,0)</f>
        <v>0.19099065063420193</v>
      </c>
      <c r="W98" s="7">
        <f>VLOOKUP($A98,Rotations!$A$1:$X$1441,22,0)</f>
        <v>0.23950355446688817</v>
      </c>
      <c r="X98" s="7">
        <f>VLOOKUP($A98,Rotations!$A$1:$X$1441,23,0)</f>
        <v>0.12919824270006061</v>
      </c>
    </row>
    <row r="99" spans="1:24" ht="15.75" customHeight="1" x14ac:dyDescent="0.3">
      <c r="A99">
        <v>90</v>
      </c>
      <c r="B99" t="str">
        <f>Permutations!I91</f>
        <v>p10 - i1:i5</v>
      </c>
      <c r="C99" t="str">
        <f>Permutations!J91</f>
        <v>p41 - i5:i4</v>
      </c>
      <c r="D99" t="str">
        <f>Permutations!K91</f>
        <v>p14 - i4:i6</v>
      </c>
      <c r="E99" t="str">
        <f>Permutations!L91</f>
        <v>p131 - i6:i3</v>
      </c>
      <c r="F99" t="str">
        <f>Permutations!M91</f>
        <v>p21 - i3:i2</v>
      </c>
      <c r="G99" s="7">
        <f>VLOOKUP(B99,Vlookup!$A$1:$B$30,2,0)</f>
        <v>1.0847108741813811</v>
      </c>
      <c r="H99" s="7">
        <f>VLOOKUP(C99,Vlookup!$A$1:$B$30,2,0)</f>
        <v>1.25400669441983</v>
      </c>
      <c r="I99" s="7">
        <f>VLOOKUP(D99,Vlookup!$A$1:$B$30,2,0)</f>
        <v>1.478275916473532</v>
      </c>
      <c r="J99" s="7">
        <f>VLOOKUP(E99,Vlookup!$A$1:$B$30,2,0)</f>
        <v>1.4032439022773779</v>
      </c>
      <c r="K99" s="7">
        <f>VLOOKUP(F99,Vlookup!$A$1:$B$30,2,0)</f>
        <v>1.5059827029565431</v>
      </c>
      <c r="L99" s="7">
        <f t="shared" si="1"/>
        <v>4.2493499463656965</v>
      </c>
      <c r="M99" s="7">
        <f t="shared" si="2"/>
        <v>3.9174954796803636</v>
      </c>
      <c r="N99" s="7">
        <f t="shared" si="3"/>
        <v>3.1239829078367118</v>
      </c>
      <c r="O99" s="7">
        <f t="shared" si="4"/>
        <v>2.113261044858973</v>
      </c>
      <c r="P99" s="7">
        <f t="shared" si="5"/>
        <v>1.5059827029565431</v>
      </c>
      <c r="Q99">
        <v>1</v>
      </c>
      <c r="R99" s="7">
        <f t="shared" si="6"/>
        <v>15.910072081698289</v>
      </c>
      <c r="S99" s="7">
        <f>VLOOKUP($A99,Rotations!$A$1:$X$1441,18,0)</f>
        <v>0.26708552447438744</v>
      </c>
      <c r="T99" s="7">
        <f>VLOOKUP($A99,Rotations!$A$1:$X$1441,19,0)</f>
        <v>6.2853266463218746E-2</v>
      </c>
      <c r="U99" s="7">
        <f>VLOOKUP($A99,Rotations!$A$1:$X$1441,20,0)</f>
        <v>9.4655932117926014E-2</v>
      </c>
      <c r="V99" s="7">
        <f>VLOOKUP($A99,Rotations!$A$1:$X$1441,21,0)</f>
        <v>0.19635253013280179</v>
      </c>
      <c r="W99" s="7">
        <f>VLOOKUP($A99,Rotations!$A$1:$X$1441,22,0)</f>
        <v>0.24622738725280485</v>
      </c>
      <c r="X99" s="7">
        <f>VLOOKUP($A99,Rotations!$A$1:$X$1441,23,0)</f>
        <v>0.1328253595588611</v>
      </c>
    </row>
    <row r="100" spans="1:24" ht="15.75" customHeight="1" x14ac:dyDescent="0.3">
      <c r="A100">
        <v>91</v>
      </c>
      <c r="B100" t="str">
        <f>Permutations!I92</f>
        <v>p10 - i1:i5</v>
      </c>
      <c r="C100" t="str">
        <f>Permutations!J92</f>
        <v>p15 - i5:i6</v>
      </c>
      <c r="D100" t="str">
        <f>Permutations!K92</f>
        <v>p121 - i6:i2</v>
      </c>
      <c r="E100" t="str">
        <f>Permutations!L92</f>
        <v>p2 - i2:i3</v>
      </c>
      <c r="F100" t="str">
        <f>Permutations!M92</f>
        <v>p3 - i3:i4</v>
      </c>
      <c r="G100" s="7">
        <f>VLOOKUP(B100,Vlookup!$A$1:$B$30,2,0)</f>
        <v>1.0847108741813811</v>
      </c>
      <c r="H100" s="7">
        <f>VLOOKUP(C100,Vlookup!$A$1:$B$30,2,0)</f>
        <v>1.3219359277692486</v>
      </c>
      <c r="I100" s="7">
        <f>VLOOKUP(D100,Vlookup!$A$1:$B$30,2,0)</f>
        <v>1.2419340531937677</v>
      </c>
      <c r="J100" s="7">
        <f>VLOOKUP(E100,Vlookup!$A$1:$B$30,2,0)</f>
        <v>1.3601242124324544</v>
      </c>
      <c r="K100" s="7">
        <f>VLOOKUP(F100,Vlookup!$A$1:$B$30,2,0)</f>
        <v>1.4338636587362954</v>
      </c>
      <c r="L100" s="7">
        <f t="shared" si="1"/>
        <v>3.4730366388860072</v>
      </c>
      <c r="M100" s="7">
        <f t="shared" si="2"/>
        <v>3.2018086308087108</v>
      </c>
      <c r="N100" s="7">
        <f t="shared" si="3"/>
        <v>2.4220603764145552</v>
      </c>
      <c r="O100" s="7">
        <f t="shared" si="4"/>
        <v>1.9502326795742213</v>
      </c>
      <c r="P100" s="7">
        <f t="shared" si="5"/>
        <v>1.4338636587362954</v>
      </c>
      <c r="Q100">
        <v>1</v>
      </c>
      <c r="R100" s="7">
        <f t="shared" si="6"/>
        <v>13.481001984419787</v>
      </c>
      <c r="S100" s="7">
        <f>VLOOKUP($A100,Rotations!$A$1:$X$1441,18,0)</f>
        <v>0.25762451803655634</v>
      </c>
      <c r="T100" s="7">
        <f>VLOOKUP($A100,Rotations!$A$1:$X$1441,19,0)</f>
        <v>0.14466526166438792</v>
      </c>
      <c r="U100" s="7">
        <f>VLOOKUP($A100,Rotations!$A$1:$X$1441,20,0)</f>
        <v>0.10636180162227073</v>
      </c>
      <c r="V100" s="7">
        <f>VLOOKUP($A100,Rotations!$A$1:$X$1441,21,0)</f>
        <v>7.4178462487856339E-2</v>
      </c>
      <c r="W100" s="7">
        <f>VLOOKUP($A100,Rotations!$A$1:$X$1441,22,0)</f>
        <v>0.2375052414137386</v>
      </c>
      <c r="X100" s="7">
        <f>VLOOKUP($A100,Rotations!$A$1:$X$1441,23,0)</f>
        <v>0.17966471477519028</v>
      </c>
    </row>
    <row r="101" spans="1:24" ht="15.75" customHeight="1" x14ac:dyDescent="0.3">
      <c r="A101">
        <v>92</v>
      </c>
      <c r="B101" t="str">
        <f>Permutations!I93</f>
        <v>p10 - i1:i5</v>
      </c>
      <c r="C101" t="str">
        <f>Permutations!J93</f>
        <v>p15 - i5:i6</v>
      </c>
      <c r="D101" t="str">
        <f>Permutations!K93</f>
        <v>p121 - i6:i2</v>
      </c>
      <c r="E101" t="str">
        <f>Permutations!L93</f>
        <v>p5 - i2:i4</v>
      </c>
      <c r="F101" t="str">
        <f>Permutations!M93</f>
        <v>p31 - i4:i3</v>
      </c>
      <c r="G101" s="7">
        <f>VLOOKUP(B101,Vlookup!$A$1:$B$30,2,0)</f>
        <v>1.0847108741813811</v>
      </c>
      <c r="H101" s="7">
        <f>VLOOKUP(C101,Vlookup!$A$1:$B$30,2,0)</f>
        <v>1.3219359277692486</v>
      </c>
      <c r="I101" s="7">
        <f>VLOOKUP(D101,Vlookup!$A$1:$B$30,2,0)</f>
        <v>1.2419340531937677</v>
      </c>
      <c r="J101" s="7">
        <f>VLOOKUP(E101,Vlookup!$A$1:$B$30,2,0)</f>
        <v>0.9108240498099236</v>
      </c>
      <c r="K101" s="7">
        <f>VLOOKUP(F101,Vlookup!$A$1:$B$30,2,0)</f>
        <v>2.2388599512381115</v>
      </c>
      <c r="L101" s="7">
        <f t="shared" si="1"/>
        <v>3.6314858187955394</v>
      </c>
      <c r="M101" s="7">
        <f t="shared" si="2"/>
        <v>3.3478836667293295</v>
      </c>
      <c r="N101" s="7">
        <f t="shared" si="3"/>
        <v>2.5325612205569175</v>
      </c>
      <c r="O101" s="7">
        <f t="shared" si="4"/>
        <v>2.039207487743945</v>
      </c>
      <c r="P101" s="7">
        <f t="shared" si="5"/>
        <v>2.2388599512381115</v>
      </c>
      <c r="Q101">
        <v>1</v>
      </c>
      <c r="R101" s="7">
        <f t="shared" si="6"/>
        <v>14.789998145063844</v>
      </c>
      <c r="S101" s="7">
        <f>VLOOKUP($A101,Rotations!$A$1:$X$1441,18,0)</f>
        <v>0.24553659731239022</v>
      </c>
      <c r="T101" s="7">
        <f>VLOOKUP($A101,Rotations!$A$1:$X$1441,19,0)</f>
        <v>0.13787746744407331</v>
      </c>
      <c r="U101" s="7">
        <f>VLOOKUP($A101,Rotations!$A$1:$X$1441,20,0)</f>
        <v>6.7613260677368614E-2</v>
      </c>
      <c r="V101" s="7">
        <f>VLOOKUP($A101,Rotations!$A$1:$X$1441,21,0)</f>
        <v>0.15137662150318323</v>
      </c>
      <c r="W101" s="7">
        <f>VLOOKUP($A101,Rotations!$A$1:$X$1441,22,0)</f>
        <v>0.22636133107607484</v>
      </c>
      <c r="X101" s="7">
        <f>VLOOKUP($A101,Rotations!$A$1:$X$1441,23,0)</f>
        <v>0.1712347219869097</v>
      </c>
    </row>
    <row r="102" spans="1:24" ht="15.75" customHeight="1" x14ac:dyDescent="0.3">
      <c r="A102">
        <v>93</v>
      </c>
      <c r="B102" t="str">
        <f>Permutations!I94</f>
        <v>p10 - i1:i5</v>
      </c>
      <c r="C102" t="str">
        <f>Permutations!J94</f>
        <v>p15 - i5:i6</v>
      </c>
      <c r="D102" t="str">
        <f>Permutations!K94</f>
        <v>p131 - i6:i3</v>
      </c>
      <c r="E102" t="str">
        <f>Permutations!L94</f>
        <v>p21 - i3:i2</v>
      </c>
      <c r="F102" t="str">
        <f>Permutations!M94</f>
        <v>p5 - i2:i4</v>
      </c>
      <c r="G102" s="7">
        <f>VLOOKUP(B102,Vlookup!$A$1:$B$30,2,0)</f>
        <v>1.0847108741813811</v>
      </c>
      <c r="H102" s="7">
        <f>VLOOKUP(C102,Vlookup!$A$1:$B$30,2,0)</f>
        <v>1.3219359277692486</v>
      </c>
      <c r="I102" s="7">
        <f>VLOOKUP(D102,Vlookup!$A$1:$B$30,2,0)</f>
        <v>1.4032439022773779</v>
      </c>
      <c r="J102" s="7">
        <f>VLOOKUP(E102,Vlookup!$A$1:$B$30,2,0)</f>
        <v>1.5059827029565431</v>
      </c>
      <c r="K102" s="7">
        <f>VLOOKUP(F102,Vlookup!$A$1:$B$30,2,0)</f>
        <v>0.9108240498099236</v>
      </c>
      <c r="L102" s="7">
        <f t="shared" si="1"/>
        <v>2.7600187784545853</v>
      </c>
      <c r="M102" s="7">
        <f t="shared" si="2"/>
        <v>2.5444741489639253</v>
      </c>
      <c r="N102" s="7">
        <f t="shared" si="3"/>
        <v>1.9248089831840005</v>
      </c>
      <c r="O102" s="7">
        <f t="shared" si="4"/>
        <v>1.3716852644505737</v>
      </c>
      <c r="P102" s="7">
        <f t="shared" si="5"/>
        <v>0.9108240498099236</v>
      </c>
      <c r="Q102">
        <v>1</v>
      </c>
      <c r="R102" s="7">
        <f t="shared" si="6"/>
        <v>10.511811224863008</v>
      </c>
      <c r="S102" s="7">
        <f>VLOOKUP($A102,Rotations!$A$1:$X$1441,18,0)</f>
        <v>0.26256357914100142</v>
      </c>
      <c r="T102" s="7">
        <f>VLOOKUP($A102,Rotations!$A$1:$X$1441,19,0)</f>
        <v>8.6647679484159842E-2</v>
      </c>
      <c r="U102" s="7">
        <f>VLOOKUP($A102,Rotations!$A$1:$X$1441,20,0)</f>
        <v>0.13048990655446724</v>
      </c>
      <c r="V102" s="7">
        <f>VLOOKUP($A102,Rotations!$A$1:$X$1441,21,0)</f>
        <v>9.5131084321106826E-2</v>
      </c>
      <c r="W102" s="7">
        <f>VLOOKUP($A102,Rotations!$A$1:$X$1441,22,0)</f>
        <v>0.24205858481796369</v>
      </c>
      <c r="X102" s="7">
        <f>VLOOKUP($A102,Rotations!$A$1:$X$1441,23,0)</f>
        <v>0.18310916568130103</v>
      </c>
    </row>
    <row r="103" spans="1:24" ht="15.75" customHeight="1" x14ac:dyDescent="0.3">
      <c r="A103">
        <v>94</v>
      </c>
      <c r="B103" t="str">
        <f>Permutations!I95</f>
        <v>p10 - i1:i5</v>
      </c>
      <c r="C103" t="str">
        <f>Permutations!J95</f>
        <v>p15 - i5:i6</v>
      </c>
      <c r="D103" t="str">
        <f>Permutations!K95</f>
        <v>p131 - i6:i3</v>
      </c>
      <c r="E103" t="str">
        <f>Permutations!L95</f>
        <v>p3 - i3:i4</v>
      </c>
      <c r="F103" t="str">
        <f>Permutations!M95</f>
        <v>p51 - i4:i2</v>
      </c>
      <c r="G103" s="7">
        <f>VLOOKUP(B103,Vlookup!$A$1:$B$30,2,0)</f>
        <v>1.0847108741813811</v>
      </c>
      <c r="H103" s="7">
        <f>VLOOKUP(C103,Vlookup!$A$1:$B$30,2,0)</f>
        <v>1.3219359277692486</v>
      </c>
      <c r="I103" s="7">
        <f>VLOOKUP(D103,Vlookup!$A$1:$B$30,2,0)</f>
        <v>1.4032439022773779</v>
      </c>
      <c r="J103" s="7">
        <f>VLOOKUP(E103,Vlookup!$A$1:$B$30,2,0)</f>
        <v>1.4338636587362954</v>
      </c>
      <c r="K103" s="7">
        <f>VLOOKUP(F103,Vlookup!$A$1:$B$30,2,0)</f>
        <v>1.4376356077157479</v>
      </c>
      <c r="L103" s="7">
        <f t="shared" si="1"/>
        <v>4.1477659529536171</v>
      </c>
      <c r="M103" s="7">
        <f t="shared" si="2"/>
        <v>3.8238447236770705</v>
      </c>
      <c r="N103" s="7">
        <f t="shared" si="3"/>
        <v>2.8926097274092277</v>
      </c>
      <c r="O103" s="7">
        <f t="shared" si="4"/>
        <v>2.0613734524088798</v>
      </c>
      <c r="P103" s="7">
        <f t="shared" si="5"/>
        <v>1.4376356077157479</v>
      </c>
      <c r="Q103">
        <v>1</v>
      </c>
      <c r="R103" s="7">
        <f t="shared" si="6"/>
        <v>15.363229464164544</v>
      </c>
      <c r="S103" s="7">
        <f>VLOOKUP($A103,Rotations!$A$1:$X$1441,18,0)</f>
        <v>0.26998008215840796</v>
      </c>
      <c r="T103" s="7">
        <f>VLOOKUP($A103,Rotations!$A$1:$X$1441,19,0)</f>
        <v>6.5090481290574168E-2</v>
      </c>
      <c r="U103" s="7">
        <f>VLOOKUP($A103,Rotations!$A$1:$X$1441,20,0)</f>
        <v>0.13417579013690648</v>
      </c>
      <c r="V103" s="7">
        <f>VLOOKUP($A103,Rotations!$A$1:$X$1441,21,0)</f>
        <v>9.3576393626685114E-2</v>
      </c>
      <c r="W103" s="7">
        <f>VLOOKUP($A103,Rotations!$A$1:$X$1441,22,0)</f>
        <v>0.24889589344456309</v>
      </c>
      <c r="X103" s="7">
        <f>VLOOKUP($A103,Rotations!$A$1:$X$1441,23,0)</f>
        <v>0.18828135934286316</v>
      </c>
    </row>
    <row r="104" spans="1:24" ht="15.75" customHeight="1" x14ac:dyDescent="0.3">
      <c r="A104">
        <v>95</v>
      </c>
      <c r="B104" t="str">
        <f>Permutations!I96</f>
        <v>p10 - i1:i5</v>
      </c>
      <c r="C104" t="str">
        <f>Permutations!J96</f>
        <v>p15 - i5:i6</v>
      </c>
      <c r="D104" t="str">
        <f>Permutations!K96</f>
        <v>p141 - i6:i4</v>
      </c>
      <c r="E104" t="str">
        <f>Permutations!L96</f>
        <v>p51 - i4:i2</v>
      </c>
      <c r="F104" t="str">
        <f>Permutations!M96</f>
        <v>p2 - i2:i3</v>
      </c>
      <c r="G104" s="7">
        <f>VLOOKUP(B104,Vlookup!$A$1:$B$30,2,0)</f>
        <v>1.0847108741813811</v>
      </c>
      <c r="H104" s="7">
        <f>VLOOKUP(C104,Vlookup!$A$1:$B$30,2,0)</f>
        <v>1.3219359277692486</v>
      </c>
      <c r="I104" s="7">
        <f>VLOOKUP(D104,Vlookup!$A$1:$B$30,2,0)</f>
        <v>0.88688155974910687</v>
      </c>
      <c r="J104" s="7">
        <f>VLOOKUP(E104,Vlookup!$A$1:$B$30,2,0)</f>
        <v>1.4376356077157479</v>
      </c>
      <c r="K104" s="7">
        <f>VLOOKUP(F104,Vlookup!$A$1:$B$30,2,0)</f>
        <v>1.3601242124324544</v>
      </c>
      <c r="L104" s="7">
        <f t="shared" si="1"/>
        <v>2.4866657797117995</v>
      </c>
      <c r="M104" s="7">
        <f t="shared" si="2"/>
        <v>2.2924687480324728</v>
      </c>
      <c r="N104" s="7">
        <f t="shared" si="3"/>
        <v>1.734175386170937</v>
      </c>
      <c r="O104" s="7">
        <f t="shared" si="4"/>
        <v>1.9553629987092347</v>
      </c>
      <c r="P104" s="7">
        <f t="shared" si="5"/>
        <v>1.3601242124324544</v>
      </c>
      <c r="Q104">
        <v>1</v>
      </c>
      <c r="R104" s="7">
        <f t="shared" si="6"/>
        <v>10.8287971250569</v>
      </c>
      <c r="S104" s="7">
        <f>VLOOKUP($A104,Rotations!$A$1:$X$1441,18,0)</f>
        <v>0.22963453382627974</v>
      </c>
      <c r="T104" s="7">
        <f>VLOOKUP($A104,Rotations!$A$1:$X$1441,19,0)</f>
        <v>0.12560252045771961</v>
      </c>
      <c r="U104" s="7">
        <f>VLOOKUP($A104,Rotations!$A$1:$X$1441,20,0)</f>
        <v>9.2346360214477244E-2</v>
      </c>
      <c r="V104" s="7">
        <f>VLOOKUP($A104,Rotations!$A$1:$X$1441,21,0)</f>
        <v>0.18057065582886339</v>
      </c>
      <c r="W104" s="7">
        <f>VLOOKUP($A104,Rotations!$A$1:$X$1441,22,0)</f>
        <v>0.21170114478623839</v>
      </c>
      <c r="X104" s="7">
        <f>VLOOKUP($A104,Rotations!$A$1:$X$1441,23,0)</f>
        <v>0.16014478488642153</v>
      </c>
    </row>
    <row r="105" spans="1:24" ht="15.75" customHeight="1" x14ac:dyDescent="0.3">
      <c r="A105">
        <v>96</v>
      </c>
      <c r="B105" t="str">
        <f>Permutations!I97</f>
        <v>p10 - i1:i5</v>
      </c>
      <c r="C105" t="str">
        <f>Permutations!J97</f>
        <v>p15 - i5:i6</v>
      </c>
      <c r="D105" t="str">
        <f>Permutations!K97</f>
        <v>p141 - i6:i4</v>
      </c>
      <c r="E105" t="str">
        <f>Permutations!L97</f>
        <v>p31 - i4:i3</v>
      </c>
      <c r="F105" t="str">
        <f>Permutations!M97</f>
        <v>p21 - i3:i2</v>
      </c>
      <c r="G105" s="7">
        <f>VLOOKUP(B105,Vlookup!$A$1:$B$30,2,0)</f>
        <v>1.0847108741813811</v>
      </c>
      <c r="H105" s="7">
        <f>VLOOKUP(C105,Vlookup!$A$1:$B$30,2,0)</f>
        <v>1.3219359277692486</v>
      </c>
      <c r="I105" s="7">
        <f>VLOOKUP(D105,Vlookup!$A$1:$B$30,2,0)</f>
        <v>0.88688155974910687</v>
      </c>
      <c r="J105" s="7">
        <f>VLOOKUP(E105,Vlookup!$A$1:$B$30,2,0)</f>
        <v>2.2388599512381115</v>
      </c>
      <c r="K105" s="7">
        <f>VLOOKUP(F105,Vlookup!$A$1:$B$30,2,0)</f>
        <v>1.5059827029565431</v>
      </c>
      <c r="L105" s="7">
        <f t="shared" si="1"/>
        <v>4.2878238597082881</v>
      </c>
      <c r="M105" s="7">
        <f t="shared" si="2"/>
        <v>3.9529647593366852</v>
      </c>
      <c r="N105" s="7">
        <f t="shared" si="3"/>
        <v>2.9902846849826275</v>
      </c>
      <c r="O105" s="7">
        <f t="shared" si="4"/>
        <v>3.3716843609067255</v>
      </c>
      <c r="P105" s="7">
        <f t="shared" si="5"/>
        <v>1.5059827029565431</v>
      </c>
      <c r="Q105">
        <v>1</v>
      </c>
      <c r="R105" s="7">
        <f t="shared" si="6"/>
        <v>17.108740367890871</v>
      </c>
      <c r="S105" s="7">
        <f>VLOOKUP($A105,Rotations!$A$1:$X$1441,18,0)</f>
        <v>0.25062183232118812</v>
      </c>
      <c r="T105" s="7">
        <f>VLOOKUP($A105,Rotations!$A$1:$X$1441,19,0)</f>
        <v>5.8449656637303796E-2</v>
      </c>
      <c r="U105" s="7">
        <f>VLOOKUP($A105,Rotations!$A$1:$X$1441,20,0)</f>
        <v>8.8024171889528616E-2</v>
      </c>
      <c r="V105" s="7">
        <f>VLOOKUP($A105,Rotations!$A$1:$X$1441,21,0)</f>
        <v>0.19707379318436519</v>
      </c>
      <c r="W105" s="7">
        <f>VLOOKUP($A105,Rotations!$A$1:$X$1441,22,0)</f>
        <v>0.23104943288259147</v>
      </c>
      <c r="X105" s="7">
        <f>VLOOKUP($A105,Rotations!$A$1:$X$1441,23,0)</f>
        <v>0.17478111308502273</v>
      </c>
    </row>
    <row r="106" spans="1:24" ht="15.75" customHeight="1" x14ac:dyDescent="0.3">
      <c r="A106">
        <v>97</v>
      </c>
      <c r="B106" t="str">
        <f>Permutations!I98</f>
        <v>p11 - i1:i6</v>
      </c>
      <c r="C106" t="str">
        <f>Permutations!J98</f>
        <v>p121 - i6:i2</v>
      </c>
      <c r="D106" t="str">
        <f>Permutations!K98</f>
        <v>p2 - i2:i3</v>
      </c>
      <c r="E106" t="str">
        <f>Permutations!L98</f>
        <v>p3 - i3:i4</v>
      </c>
      <c r="F106" t="str">
        <f>Permutations!M98</f>
        <v>p4 - i4:i5</v>
      </c>
      <c r="G106" s="7">
        <f>VLOOKUP(B106,Vlookup!$A$1:$B$30,2,0)</f>
        <v>1.1613557664474019</v>
      </c>
      <c r="H106" s="7">
        <f>VLOOKUP(C106,Vlookup!$A$1:$B$30,2,0)</f>
        <v>1.2419340531937677</v>
      </c>
      <c r="I106" s="7">
        <f>VLOOKUP(D106,Vlookup!$A$1:$B$30,2,0)</f>
        <v>1.3601242124324544</v>
      </c>
      <c r="J106" s="7">
        <f>VLOOKUP(E106,Vlookup!$A$1:$B$30,2,0)</f>
        <v>1.4338636587362954</v>
      </c>
      <c r="K106" s="7">
        <f>VLOOKUP(F106,Vlookup!$A$1:$B$30,2,0)</f>
        <v>1.89462595295753</v>
      </c>
      <c r="L106" s="7">
        <f t="shared" si="1"/>
        <v>5.329343675138114</v>
      </c>
      <c r="M106" s="7">
        <f t="shared" si="2"/>
        <v>4.5888984487851001</v>
      </c>
      <c r="N106" s="7">
        <f t="shared" si="3"/>
        <v>3.6949614490272262</v>
      </c>
      <c r="O106" s="7">
        <f t="shared" si="4"/>
        <v>2.7166353008444242</v>
      </c>
      <c r="P106" s="7">
        <f t="shared" si="5"/>
        <v>1.89462595295753</v>
      </c>
      <c r="Q106">
        <v>1</v>
      </c>
      <c r="R106" s="7">
        <f t="shared" si="6"/>
        <v>19.224464826752392</v>
      </c>
      <c r="S106" s="7">
        <f>VLOOKUP($A106,Rotations!$A$1:$X$1441,18,0)</f>
        <v>0.27721675079984037</v>
      </c>
      <c r="T106" s="7">
        <f>VLOOKUP($A106,Rotations!$A$1:$X$1441,19,0)</f>
        <v>0.19220100441419777</v>
      </c>
      <c r="U106" s="7">
        <f>VLOOKUP($A106,Rotations!$A$1:$X$1441,20,0)</f>
        <v>0.14131136160752872</v>
      </c>
      <c r="V106" s="7">
        <f>VLOOKUP($A106,Rotations!$A$1:$X$1441,21,0)</f>
        <v>9.8552858039564525E-2</v>
      </c>
      <c r="W106" s="7">
        <f>VLOOKUP($A106,Rotations!$A$1:$X$1441,22,0)</f>
        <v>5.201705269883089E-2</v>
      </c>
      <c r="X106" s="7">
        <f>VLOOKUP($A106,Rotations!$A$1:$X$1441,23,0)</f>
        <v>0.23870097244003788</v>
      </c>
    </row>
    <row r="107" spans="1:24" ht="15.75" customHeight="1" x14ac:dyDescent="0.3">
      <c r="A107">
        <v>98</v>
      </c>
      <c r="B107" t="str">
        <f>Permutations!I99</f>
        <v>p11 - i1:i6</v>
      </c>
      <c r="C107" t="str">
        <f>Permutations!J99</f>
        <v>p121 - i6:i2</v>
      </c>
      <c r="D107" t="str">
        <f>Permutations!K99</f>
        <v>p2 - i2:i3</v>
      </c>
      <c r="E107" t="str">
        <f>Permutations!L99</f>
        <v>p6 - i3:i5</v>
      </c>
      <c r="F107" t="str">
        <f>Permutations!M99</f>
        <v>p41 - i5:i4</v>
      </c>
      <c r="G107" s="7">
        <f>VLOOKUP(B107,Vlookup!$A$1:$B$30,2,0)</f>
        <v>1.1613557664474019</v>
      </c>
      <c r="H107" s="7">
        <f>VLOOKUP(C107,Vlookup!$A$1:$B$30,2,0)</f>
        <v>1.2419340531937677</v>
      </c>
      <c r="I107" s="7">
        <f>VLOOKUP(D107,Vlookup!$A$1:$B$30,2,0)</f>
        <v>1.3601242124324544</v>
      </c>
      <c r="J107" s="7">
        <f>VLOOKUP(E107,Vlookup!$A$1:$B$30,2,0)</f>
        <v>2.2414716085286912</v>
      </c>
      <c r="K107" s="7">
        <f>VLOOKUP(F107,Vlookup!$A$1:$B$30,2,0)</f>
        <v>1.25400669441983</v>
      </c>
      <c r="L107" s="7">
        <f t="shared" si="1"/>
        <v>5.5141107564470087</v>
      </c>
      <c r="M107" s="7">
        <f t="shared" si="2"/>
        <v>4.7479944697004637</v>
      </c>
      <c r="N107" s="7">
        <f t="shared" si="3"/>
        <v>3.8230648861672507</v>
      </c>
      <c r="O107" s="7">
        <f t="shared" si="4"/>
        <v>2.8108204024469634</v>
      </c>
      <c r="P107" s="7">
        <f t="shared" si="5"/>
        <v>1.25400669441983</v>
      </c>
      <c r="Q107">
        <v>1</v>
      </c>
      <c r="R107" s="7">
        <f t="shared" si="6"/>
        <v>19.149997209181514</v>
      </c>
      <c r="S107" s="7">
        <f>VLOOKUP($A107,Rotations!$A$1:$X$1441,18,0)</f>
        <v>0.28794316240439211</v>
      </c>
      <c r="T107" s="7">
        <f>VLOOKUP($A107,Rotations!$A$1:$X$1441,19,0)</f>
        <v>0.19963788215772024</v>
      </c>
      <c r="U107" s="7">
        <f>VLOOKUP($A107,Rotations!$A$1:$X$1441,20,0)</f>
        <v>0.14677915467785596</v>
      </c>
      <c r="V107" s="7">
        <f>VLOOKUP($A107,Rotations!$A$1:$X$1441,21,0)</f>
        <v>5.2219328758990498E-2</v>
      </c>
      <c r="W107" s="7">
        <f>VLOOKUP($A107,Rotations!$A$1:$X$1441,22,0)</f>
        <v>6.5483387841884039E-2</v>
      </c>
      <c r="X107" s="7">
        <f>VLOOKUP($A107,Rotations!$A$1:$X$1441,23,0)</f>
        <v>0.24793708415915727</v>
      </c>
    </row>
    <row r="108" spans="1:24" ht="15.75" customHeight="1" x14ac:dyDescent="0.3">
      <c r="A108">
        <v>99</v>
      </c>
      <c r="B108" t="str">
        <f>Permutations!I100</f>
        <v>p11 - i1:i6</v>
      </c>
      <c r="C108" t="str">
        <f>Permutations!J100</f>
        <v>p121 - i6:i2</v>
      </c>
      <c r="D108" t="str">
        <f>Permutations!K100</f>
        <v>p5 - i2:i4</v>
      </c>
      <c r="E108" t="str">
        <f>Permutations!L100</f>
        <v>p31 - i4:i3</v>
      </c>
      <c r="F108" t="str">
        <f>Permutations!M100</f>
        <v>p6 - i3:i5</v>
      </c>
      <c r="G108" s="7">
        <f>VLOOKUP(B108,Vlookup!$A$1:$B$30,2,0)</f>
        <v>1.1613557664474019</v>
      </c>
      <c r="H108" s="7">
        <f>VLOOKUP(C108,Vlookup!$A$1:$B$30,2,0)</f>
        <v>1.2419340531937677</v>
      </c>
      <c r="I108" s="7">
        <f>VLOOKUP(D108,Vlookup!$A$1:$B$30,2,0)</f>
        <v>0.9108240498099236</v>
      </c>
      <c r="J108" s="7">
        <f>VLOOKUP(E108,Vlookup!$A$1:$B$30,2,0)</f>
        <v>2.2388599512381115</v>
      </c>
      <c r="K108" s="7">
        <f>VLOOKUP(F108,Vlookup!$A$1:$B$30,2,0)</f>
        <v>2.2414716085286912</v>
      </c>
      <c r="L108" s="7">
        <f t="shared" si="1"/>
        <v>6.592626555060348</v>
      </c>
      <c r="M108" s="7">
        <f t="shared" si="2"/>
        <v>5.6766640727390989</v>
      </c>
      <c r="N108" s="7">
        <f t="shared" si="3"/>
        <v>4.5708256876771713</v>
      </c>
      <c r="O108" s="7">
        <f t="shared" si="4"/>
        <v>5.0183410161721573</v>
      </c>
      <c r="P108" s="7">
        <f t="shared" si="5"/>
        <v>2.2414716085286912</v>
      </c>
      <c r="Q108">
        <v>1</v>
      </c>
      <c r="R108" s="7">
        <f t="shared" si="6"/>
        <v>25.099928940177467</v>
      </c>
      <c r="S108" s="7">
        <f>VLOOKUP($A108,Rotations!$A$1:$X$1441,18,0)</f>
        <v>0.26265518801957755</v>
      </c>
      <c r="T108" s="7">
        <f>VLOOKUP($A108,Rotations!$A$1:$X$1441,19,0)</f>
        <v>0.18210512462290873</v>
      </c>
      <c r="U108" s="7">
        <f>VLOOKUP($A108,Rotations!$A$1:$X$1441,20,0)</f>
        <v>8.9301910530143636E-2</v>
      </c>
      <c r="V108" s="7">
        <f>VLOOKUP($A108,Rotations!$A$1:$X$1441,21,0)</f>
        <v>0.1999344710549876</v>
      </c>
      <c r="W108" s="7">
        <f>VLOOKUP($A108,Rotations!$A$1:$X$1441,22,0)</f>
        <v>3.9840750242097281E-2</v>
      </c>
      <c r="X108" s="7">
        <f>VLOOKUP($A108,Rotations!$A$1:$X$1441,23,0)</f>
        <v>0.22616255553028519</v>
      </c>
    </row>
    <row r="109" spans="1:24" ht="15.75" customHeight="1" x14ac:dyDescent="0.3">
      <c r="A109">
        <v>100</v>
      </c>
      <c r="B109" t="str">
        <f>Permutations!I101</f>
        <v>p11 - i1:i6</v>
      </c>
      <c r="C109" t="str">
        <f>Permutations!J101</f>
        <v>p121 - i6:i2</v>
      </c>
      <c r="D109" t="str">
        <f>Permutations!K101</f>
        <v>p5 - i2:i4</v>
      </c>
      <c r="E109" t="str">
        <f>Permutations!L101</f>
        <v>p4 - i4:i5</v>
      </c>
      <c r="F109" t="str">
        <f>Permutations!M101</f>
        <v>p61 - i5:i3</v>
      </c>
      <c r="G109" s="7">
        <f>VLOOKUP(B109,Vlookup!$A$1:$B$30,2,0)</f>
        <v>1.1613557664474019</v>
      </c>
      <c r="H109" s="7">
        <f>VLOOKUP(C109,Vlookup!$A$1:$B$30,2,0)</f>
        <v>1.2419340531937677</v>
      </c>
      <c r="I109" s="7">
        <f>VLOOKUP(D109,Vlookup!$A$1:$B$30,2,0)</f>
        <v>0.9108240498099236</v>
      </c>
      <c r="J109" s="7">
        <f>VLOOKUP(E109,Vlookup!$A$1:$B$30,2,0)</f>
        <v>1.89462595295753</v>
      </c>
      <c r="K109" s="7">
        <f>VLOOKUP(F109,Vlookup!$A$1:$B$30,2,0)</f>
        <v>1.9746367445127702</v>
      </c>
      <c r="L109" s="7">
        <f t="shared" si="1"/>
        <v>4.9148356718036501</v>
      </c>
      <c r="M109" s="7">
        <f t="shared" si="2"/>
        <v>4.2319811153460556</v>
      </c>
      <c r="N109" s="7">
        <f t="shared" si="3"/>
        <v>3.4075731351943035</v>
      </c>
      <c r="O109" s="7">
        <f t="shared" si="4"/>
        <v>3.741198023817462</v>
      </c>
      <c r="P109" s="7">
        <f t="shared" si="5"/>
        <v>1.9746367445127702</v>
      </c>
      <c r="Q109">
        <v>1</v>
      </c>
      <c r="R109" s="7">
        <f t="shared" si="6"/>
        <v>19.270224690674244</v>
      </c>
      <c r="S109" s="7">
        <f>VLOOKUP($A109,Rotations!$A$1:$X$1441,18,0)</f>
        <v>0.25504817669210506</v>
      </c>
      <c r="T109" s="7">
        <f>VLOOKUP($A109,Rotations!$A$1:$X$1441,19,0)</f>
        <v>0.17683100170821497</v>
      </c>
      <c r="U109" s="7">
        <f>VLOOKUP($A109,Rotations!$A$1:$X$1441,20,0)</f>
        <v>5.189353087740313E-2</v>
      </c>
      <c r="V109" s="7">
        <f>VLOOKUP($A109,Rotations!$A$1:$X$1441,21,0)</f>
        <v>0.19414397516745102</v>
      </c>
      <c r="W109" s="7">
        <f>VLOOKUP($A109,Rotations!$A$1:$X$1441,22,0)</f>
        <v>0.10247087287302822</v>
      </c>
      <c r="X109" s="7">
        <f>VLOOKUP($A109,Rotations!$A$1:$X$1441,23,0)</f>
        <v>0.21961244268179747</v>
      </c>
    </row>
    <row r="110" spans="1:24" ht="15.75" customHeight="1" x14ac:dyDescent="0.3">
      <c r="A110">
        <v>101</v>
      </c>
      <c r="B110" t="str">
        <f>Permutations!I102</f>
        <v>p11 - i1:i6</v>
      </c>
      <c r="C110" t="str">
        <f>Permutations!J102</f>
        <v>p121 - i6:i2</v>
      </c>
      <c r="D110" t="str">
        <f>Permutations!K102</f>
        <v>p7 - i2:i5</v>
      </c>
      <c r="E110" t="str">
        <f>Permutations!L102</f>
        <v>p61 - i5:i3</v>
      </c>
      <c r="F110" t="str">
        <f>Permutations!M102</f>
        <v>p3 - i3:i4</v>
      </c>
      <c r="G110" s="7">
        <f>VLOOKUP(B110,Vlookup!$A$1:$B$30,2,0)</f>
        <v>1.1613557664474019</v>
      </c>
      <c r="H110" s="7">
        <f>VLOOKUP(C110,Vlookup!$A$1:$B$30,2,0)</f>
        <v>1.2419340531937677</v>
      </c>
      <c r="I110" s="7">
        <f>VLOOKUP(D110,Vlookup!$A$1:$B$30,2,0)</f>
        <v>1.7991741228251155</v>
      </c>
      <c r="J110" s="7">
        <f>VLOOKUP(E110,Vlookup!$A$1:$B$30,2,0)</f>
        <v>1.9746367445127702</v>
      </c>
      <c r="K110" s="7">
        <f>VLOOKUP(F110,Vlookup!$A$1:$B$30,2,0)</f>
        <v>1.4338636587362954</v>
      </c>
      <c r="L110" s="7">
        <f t="shared" si="1"/>
        <v>7.3473729332947864</v>
      </c>
      <c r="M110" s="7">
        <f t="shared" si="2"/>
        <v>6.3265479412656367</v>
      </c>
      <c r="N110" s="7">
        <f t="shared" si="3"/>
        <v>5.0941094054038007</v>
      </c>
      <c r="O110" s="7">
        <f t="shared" si="4"/>
        <v>2.8313598671622078</v>
      </c>
      <c r="P110" s="7">
        <f t="shared" si="5"/>
        <v>1.4338636587362954</v>
      </c>
      <c r="Q110">
        <v>1</v>
      </c>
      <c r="R110" s="7">
        <f t="shared" si="6"/>
        <v>24.033253805862724</v>
      </c>
      <c r="S110" s="7">
        <f>VLOOKUP($A110,Rotations!$A$1:$X$1441,18,0)</f>
        <v>0.30571694505645558</v>
      </c>
      <c r="T110" s="7">
        <f>VLOOKUP($A110,Rotations!$A$1:$X$1441,19,0)</f>
        <v>0.21196087082312312</v>
      </c>
      <c r="U110" s="7">
        <f>VLOOKUP($A110,Rotations!$A$1:$X$1441,20,0)</f>
        <v>5.9661653404022873E-2</v>
      </c>
      <c r="V110" s="7">
        <f>VLOOKUP($A110,Rotations!$A$1:$X$1441,21,0)</f>
        <v>4.1609014246587694E-2</v>
      </c>
      <c r="W110" s="7">
        <f>VLOOKUP($A110,Rotations!$A$1:$X$1441,22,0)</f>
        <v>0.11781009304996894</v>
      </c>
      <c r="X110" s="7">
        <f>VLOOKUP($A110,Rotations!$A$1:$X$1441,23,0)</f>
        <v>0.26324142341984191</v>
      </c>
    </row>
    <row r="111" spans="1:24" ht="15.75" customHeight="1" x14ac:dyDescent="0.3">
      <c r="A111">
        <v>102</v>
      </c>
      <c r="B111" t="str">
        <f>Permutations!I103</f>
        <v>p11 - i1:i6</v>
      </c>
      <c r="C111" t="str">
        <f>Permutations!J103</f>
        <v>p121 - i6:i2</v>
      </c>
      <c r="D111" t="str">
        <f>Permutations!K103</f>
        <v>p7 - i2:i5</v>
      </c>
      <c r="E111" t="str">
        <f>Permutations!L103</f>
        <v>p41 - i5:i4</v>
      </c>
      <c r="F111" t="str">
        <f>Permutations!M103</f>
        <v>p31 - i4:i3</v>
      </c>
      <c r="G111" s="7">
        <f>VLOOKUP(B111,Vlookup!$A$1:$B$30,2,0)</f>
        <v>1.1613557664474019</v>
      </c>
      <c r="H111" s="7">
        <f>VLOOKUP(C111,Vlookup!$A$1:$B$30,2,0)</f>
        <v>1.2419340531937677</v>
      </c>
      <c r="I111" s="7">
        <f>VLOOKUP(D111,Vlookup!$A$1:$B$30,2,0)</f>
        <v>1.7991741228251155</v>
      </c>
      <c r="J111" s="7">
        <f>VLOOKUP(E111,Vlookup!$A$1:$B$30,2,0)</f>
        <v>1.25400669441983</v>
      </c>
      <c r="K111" s="7">
        <f>VLOOKUP(F111,Vlookup!$A$1:$B$30,2,0)</f>
        <v>2.2388599512381115</v>
      </c>
      <c r="L111" s="7">
        <f t="shared" si="1"/>
        <v>7.2855743544596967</v>
      </c>
      <c r="M111" s="7">
        <f t="shared" si="2"/>
        <v>6.2733354971374</v>
      </c>
      <c r="N111" s="7">
        <f t="shared" si="3"/>
        <v>5.0512629724620552</v>
      </c>
      <c r="O111" s="7">
        <f t="shared" si="4"/>
        <v>2.8075453667210462</v>
      </c>
      <c r="P111" s="7">
        <f t="shared" si="5"/>
        <v>2.2388599512381115</v>
      </c>
      <c r="Q111">
        <v>1</v>
      </c>
      <c r="R111" s="7">
        <f t="shared" si="6"/>
        <v>24.656578142018311</v>
      </c>
      <c r="S111" s="7">
        <f>VLOOKUP($A111,Rotations!$A$1:$X$1441,18,0)</f>
        <v>0.29548197290377626</v>
      </c>
      <c r="T111" s="7">
        <f>VLOOKUP($A111,Rotations!$A$1:$X$1441,19,0)</f>
        <v>0.20486471980692186</v>
      </c>
      <c r="U111" s="7">
        <f>VLOOKUP($A111,Rotations!$A$1:$X$1441,20,0)</f>
        <v>4.0557128172455444E-2</v>
      </c>
      <c r="V111" s="7">
        <f>VLOOKUP($A111,Rotations!$A$1:$X$1441,21,0)</f>
        <v>9.0801730002541436E-2</v>
      </c>
      <c r="W111" s="7">
        <f>VLOOKUP($A111,Rotations!$A$1:$X$1441,22,0)</f>
        <v>0.11386597728808889</v>
      </c>
      <c r="X111" s="7">
        <f>VLOOKUP($A111,Rotations!$A$1:$X$1441,23,0)</f>
        <v>0.25442847182621603</v>
      </c>
    </row>
    <row r="112" spans="1:24" ht="15.75" customHeight="1" x14ac:dyDescent="0.3">
      <c r="A112">
        <v>103</v>
      </c>
      <c r="B112" t="str">
        <f>Permutations!I104</f>
        <v>p11 - i1:i6</v>
      </c>
      <c r="C112" t="str">
        <f>Permutations!J104</f>
        <v>p131 - i6:i3</v>
      </c>
      <c r="D112" t="str">
        <f>Permutations!K104</f>
        <v>p21 - i3:i2</v>
      </c>
      <c r="E112" t="str">
        <f>Permutations!L104</f>
        <v>p5 - i2:i4</v>
      </c>
      <c r="F112" t="str">
        <f>Permutations!M104</f>
        <v>p4 - i4:i5</v>
      </c>
      <c r="G112" s="7">
        <f>VLOOKUP(B112,Vlookup!$A$1:$B$30,2,0)</f>
        <v>1.1613557664474019</v>
      </c>
      <c r="H112" s="7">
        <f>VLOOKUP(C112,Vlookup!$A$1:$B$30,2,0)</f>
        <v>1.4032439022773779</v>
      </c>
      <c r="I112" s="7">
        <f>VLOOKUP(D112,Vlookup!$A$1:$B$30,2,0)</f>
        <v>1.5059827029565431</v>
      </c>
      <c r="J112" s="7">
        <f>VLOOKUP(E112,Vlookup!$A$1:$B$30,2,0)</f>
        <v>0.9108240498099236</v>
      </c>
      <c r="K112" s="7">
        <f>VLOOKUP(F112,Vlookup!$A$1:$B$30,2,0)</f>
        <v>1.89462595295753</v>
      </c>
      <c r="L112" s="7">
        <f t="shared" si="1"/>
        <v>4.2352241423336601</v>
      </c>
      <c r="M112" s="7">
        <f t="shared" si="2"/>
        <v>3.6467930540262015</v>
      </c>
      <c r="N112" s="7">
        <f t="shared" si="3"/>
        <v>2.5988305013174697</v>
      </c>
      <c r="O112" s="7">
        <f t="shared" si="4"/>
        <v>1.7256708833477632</v>
      </c>
      <c r="P112" s="7">
        <f t="shared" si="5"/>
        <v>1.89462595295753</v>
      </c>
      <c r="Q112">
        <v>1</v>
      </c>
      <c r="R112" s="7">
        <f t="shared" si="6"/>
        <v>15.101144533982623</v>
      </c>
      <c r="S112" s="7">
        <f>VLOOKUP($A112,Rotations!$A$1:$X$1441,18,0)</f>
        <v>0.28045716222389566</v>
      </c>
      <c r="T112" s="7">
        <f>VLOOKUP($A112,Rotations!$A$1:$X$1441,19,0)</f>
        <v>0.1142741783223402</v>
      </c>
      <c r="U112" s="7">
        <f>VLOOKUP($A112,Rotations!$A$1:$X$1441,20,0)</f>
        <v>0.17209493594801589</v>
      </c>
      <c r="V112" s="7">
        <f>VLOOKUP($A112,Rotations!$A$1:$X$1441,21,0)</f>
        <v>0.12546240774624653</v>
      </c>
      <c r="W112" s="7">
        <f>VLOOKUP($A112,Rotations!$A$1:$X$1441,22,0)</f>
        <v>6.6220146277632522E-2</v>
      </c>
      <c r="X112" s="7">
        <f>VLOOKUP($A112,Rotations!$A$1:$X$1441,23,0)</f>
        <v>0.24149116948186927</v>
      </c>
    </row>
    <row r="113" spans="1:24" ht="15.75" customHeight="1" x14ac:dyDescent="0.3">
      <c r="A113">
        <v>104</v>
      </c>
      <c r="B113" t="str">
        <f>Permutations!I105</f>
        <v>p11 - i1:i6</v>
      </c>
      <c r="C113" t="str">
        <f>Permutations!J105</f>
        <v>p131 - i6:i3</v>
      </c>
      <c r="D113" t="str">
        <f>Permutations!K105</f>
        <v>p21 - i3:i2</v>
      </c>
      <c r="E113" t="str">
        <f>Permutations!L105</f>
        <v>p7 - i2:i5</v>
      </c>
      <c r="F113" t="str">
        <f>Permutations!M105</f>
        <v>p41 - i5:i4</v>
      </c>
      <c r="G113" s="7">
        <f>VLOOKUP(B113,Vlookup!$A$1:$B$30,2,0)</f>
        <v>1.1613557664474019</v>
      </c>
      <c r="H113" s="7">
        <f>VLOOKUP(C113,Vlookup!$A$1:$B$30,2,0)</f>
        <v>1.4032439022773779</v>
      </c>
      <c r="I113" s="7">
        <f>VLOOKUP(D113,Vlookup!$A$1:$B$30,2,0)</f>
        <v>1.5059827029565431</v>
      </c>
      <c r="J113" s="7">
        <f>VLOOKUP(E113,Vlookup!$A$1:$B$30,2,0)</f>
        <v>1.7991741228251155</v>
      </c>
      <c r="K113" s="7">
        <f>VLOOKUP(F113,Vlookup!$A$1:$B$30,2,0)</f>
        <v>1.25400669441983</v>
      </c>
      <c r="L113" s="7">
        <f t="shared" si="1"/>
        <v>5.5372161791355348</v>
      </c>
      <c r="M113" s="7">
        <f t="shared" si="2"/>
        <v>4.767889684720755</v>
      </c>
      <c r="N113" s="7">
        <f t="shared" si="3"/>
        <v>3.397762624859987</v>
      </c>
      <c r="O113" s="7">
        <f t="shared" si="4"/>
        <v>2.2561763944496205</v>
      </c>
      <c r="P113" s="7">
        <f t="shared" si="5"/>
        <v>1.25400669441983</v>
      </c>
      <c r="Q113">
        <v>1</v>
      </c>
      <c r="R113" s="7">
        <f t="shared" si="6"/>
        <v>18.213051577585727</v>
      </c>
      <c r="S113" s="7">
        <f>VLOOKUP($A113,Rotations!$A$1:$X$1441,18,0)</f>
        <v>0.30402462517319317</v>
      </c>
      <c r="T113" s="7">
        <f>VLOOKUP($A113,Rotations!$A$1:$X$1441,19,0)</f>
        <v>0.12387690139889744</v>
      </c>
      <c r="U113" s="7">
        <f>VLOOKUP($A113,Rotations!$A$1:$X$1441,20,0)</f>
        <v>0.18655647080259272</v>
      </c>
      <c r="V113" s="7">
        <f>VLOOKUP($A113,Rotations!$A$1:$X$1441,21,0)</f>
        <v>5.4905681002445021E-2</v>
      </c>
      <c r="W113" s="7">
        <f>VLOOKUP($A113,Rotations!$A$1:$X$1441,22,0)</f>
        <v>6.8852091538745747E-2</v>
      </c>
      <c r="X113" s="7">
        <f>VLOOKUP($A113,Rotations!$A$1:$X$1441,23,0)</f>
        <v>0.26178423008412594</v>
      </c>
    </row>
    <row r="114" spans="1:24" ht="15.75" customHeight="1" x14ac:dyDescent="0.3">
      <c r="A114">
        <v>105</v>
      </c>
      <c r="B114" t="str">
        <f>Permutations!I106</f>
        <v>p11 - i1:i6</v>
      </c>
      <c r="C114" t="str">
        <f>Permutations!J106</f>
        <v>p131 - i6:i3</v>
      </c>
      <c r="D114" t="str">
        <f>Permutations!K106</f>
        <v>p3 - i3:i4</v>
      </c>
      <c r="E114" t="str">
        <f>Permutations!L106</f>
        <v>p51 - i4:i2</v>
      </c>
      <c r="F114" t="str">
        <f>Permutations!M106</f>
        <v>p7 - i2:i5</v>
      </c>
      <c r="G114" s="7">
        <f>VLOOKUP(B114,Vlookup!$A$1:$B$30,2,0)</f>
        <v>1.1613557664474019</v>
      </c>
      <c r="H114" s="7">
        <f>VLOOKUP(C114,Vlookup!$A$1:$B$30,2,0)</f>
        <v>1.4032439022773779</v>
      </c>
      <c r="I114" s="7">
        <f>VLOOKUP(D114,Vlookup!$A$1:$B$30,2,0)</f>
        <v>1.4338636587362954</v>
      </c>
      <c r="J114" s="7">
        <f>VLOOKUP(E114,Vlookup!$A$1:$B$30,2,0)</f>
        <v>1.4376356077157479</v>
      </c>
      <c r="K114" s="7">
        <f>VLOOKUP(F114,Vlookup!$A$1:$B$30,2,0)</f>
        <v>1.7991741228251155</v>
      </c>
      <c r="L114" s="7">
        <f t="shared" si="1"/>
        <v>6.0440537669645549</v>
      </c>
      <c r="M114" s="7">
        <f t="shared" si="2"/>
        <v>5.2043085689868933</v>
      </c>
      <c r="N114" s="7">
        <f t="shared" si="3"/>
        <v>3.708769773052726</v>
      </c>
      <c r="O114" s="7">
        <f t="shared" si="4"/>
        <v>2.5865567834541325</v>
      </c>
      <c r="P114" s="7">
        <f t="shared" si="5"/>
        <v>1.7991741228251155</v>
      </c>
      <c r="Q114">
        <v>1</v>
      </c>
      <c r="R114" s="7">
        <f t="shared" si="6"/>
        <v>20.34286301528342</v>
      </c>
      <c r="S114" s="7">
        <f>VLOOKUP($A114,Rotations!$A$1:$X$1441,18,0)</f>
        <v>0.297109298844696</v>
      </c>
      <c r="T114" s="7">
        <f>VLOOKUP($A114,Rotations!$A$1:$X$1441,19,0)</f>
        <v>8.8442522641646426E-2</v>
      </c>
      <c r="U114" s="7">
        <f>VLOOKUP($A114,Rotations!$A$1:$X$1441,20,0)</f>
        <v>0.18231306823756119</v>
      </c>
      <c r="V114" s="7">
        <f>VLOOKUP($A114,Rotations!$A$1:$X$1441,21,0)</f>
        <v>0.12714811978583715</v>
      </c>
      <c r="W114" s="7">
        <f>VLOOKUP($A114,Rotations!$A$1:$X$1441,22,0)</f>
        <v>4.9157289180422073E-2</v>
      </c>
      <c r="X114" s="7">
        <f>VLOOKUP($A114,Rotations!$A$1:$X$1441,23,0)</f>
        <v>0.25582970130983729</v>
      </c>
    </row>
    <row r="115" spans="1:24" ht="15.75" customHeight="1" x14ac:dyDescent="0.3">
      <c r="A115">
        <v>106</v>
      </c>
      <c r="B115" t="str">
        <f>Permutations!I107</f>
        <v>p11 - i1:i6</v>
      </c>
      <c r="C115" t="str">
        <f>Permutations!J107</f>
        <v>p131 - i6:i3</v>
      </c>
      <c r="D115" t="str">
        <f>Permutations!K107</f>
        <v>p3 - i3:i4</v>
      </c>
      <c r="E115" t="str">
        <f>Permutations!L107</f>
        <v>p4 - i4:i5</v>
      </c>
      <c r="F115" t="str">
        <f>Permutations!M107</f>
        <v>p71 - i5:i2</v>
      </c>
      <c r="G115" s="7">
        <f>VLOOKUP(B115,Vlookup!$A$1:$B$30,2,0)</f>
        <v>1.1613557664474019</v>
      </c>
      <c r="H115" s="7">
        <f>VLOOKUP(C115,Vlookup!$A$1:$B$30,2,0)</f>
        <v>1.4032439022773779</v>
      </c>
      <c r="I115" s="7">
        <f>VLOOKUP(D115,Vlookup!$A$1:$B$30,2,0)</f>
        <v>1.4338636587362954</v>
      </c>
      <c r="J115" s="7">
        <f>VLOOKUP(E115,Vlookup!$A$1:$B$30,2,0)</f>
        <v>1.89462595295753</v>
      </c>
      <c r="K115" s="7">
        <f>VLOOKUP(F115,Vlookup!$A$1:$B$30,2,0)</f>
        <v>1.8243208303594776</v>
      </c>
      <c r="L115" s="7">
        <f t="shared" si="1"/>
        <v>8.0766451254533855</v>
      </c>
      <c r="M115" s="7">
        <f t="shared" si="2"/>
        <v>6.9544969412430078</v>
      </c>
      <c r="N115" s="7">
        <f t="shared" si="3"/>
        <v>4.9560143678203694</v>
      </c>
      <c r="O115" s="7">
        <f t="shared" si="4"/>
        <v>3.4564055917200975</v>
      </c>
      <c r="P115" s="7">
        <f t="shared" si="5"/>
        <v>1.8243208303594776</v>
      </c>
      <c r="Q115">
        <v>1</v>
      </c>
      <c r="R115" s="7">
        <f t="shared" si="6"/>
        <v>26.267882856596341</v>
      </c>
      <c r="S115" s="7">
        <f>VLOOKUP($A115,Rotations!$A$1:$X$1441,18,0)</f>
        <v>0.30747225307597237</v>
      </c>
      <c r="T115" s="7">
        <f>VLOOKUP($A115,Rotations!$A$1:$X$1441,19,0)</f>
        <v>3.8069303318401311E-2</v>
      </c>
      <c r="U115" s="7">
        <f>VLOOKUP($A115,Rotations!$A$1:$X$1441,20,0)</f>
        <v>0.18867201421890856</v>
      </c>
      <c r="V115" s="7">
        <f>VLOOKUP($A115,Rotations!$A$1:$X$1441,21,0)</f>
        <v>0.13158295286261076</v>
      </c>
      <c r="W115" s="7">
        <f>VLOOKUP($A115,Rotations!$A$1:$X$1441,22,0)</f>
        <v>6.9450623041032694E-2</v>
      </c>
      <c r="X115" s="7">
        <f>VLOOKUP($A115,Rotations!$A$1:$X$1441,23,0)</f>
        <v>0.2647528534830742</v>
      </c>
    </row>
    <row r="116" spans="1:24" ht="15.75" customHeight="1" x14ac:dyDescent="0.3">
      <c r="A116">
        <v>107</v>
      </c>
      <c r="B116" t="str">
        <f>Permutations!I108</f>
        <v>p11 - i1:i6</v>
      </c>
      <c r="C116" t="str">
        <f>Permutations!J108</f>
        <v>p131 - i6:i3</v>
      </c>
      <c r="D116" t="str">
        <f>Permutations!K108</f>
        <v>p6 - i3:i5</v>
      </c>
      <c r="E116" t="str">
        <f>Permutations!L108</f>
        <v>p71 - i5:i2</v>
      </c>
      <c r="F116" t="str">
        <f>Permutations!M108</f>
        <v>p5 - i2:i4</v>
      </c>
      <c r="G116" s="7">
        <f>VLOOKUP(B116,Vlookup!$A$1:$B$30,2,0)</f>
        <v>1.1613557664474019</v>
      </c>
      <c r="H116" s="7">
        <f>VLOOKUP(C116,Vlookup!$A$1:$B$30,2,0)</f>
        <v>1.4032439022773779</v>
      </c>
      <c r="I116" s="7">
        <f>VLOOKUP(D116,Vlookup!$A$1:$B$30,2,0)</f>
        <v>2.2414716085286912</v>
      </c>
      <c r="J116" s="7">
        <f>VLOOKUP(E116,Vlookup!$A$1:$B$30,2,0)</f>
        <v>1.8243208303594776</v>
      </c>
      <c r="K116" s="7">
        <f>VLOOKUP(F116,Vlookup!$A$1:$B$30,2,0)</f>
        <v>0.9108240498099236</v>
      </c>
      <c r="L116" s="7">
        <f t="shared" si="1"/>
        <v>6.0697023310747928</v>
      </c>
      <c r="M116" s="7">
        <f t="shared" si="2"/>
        <v>5.2263935879373715</v>
      </c>
      <c r="N116" s="7">
        <f t="shared" si="3"/>
        <v>3.7245083192275117</v>
      </c>
      <c r="O116" s="7">
        <f t="shared" si="4"/>
        <v>1.6616352868606219</v>
      </c>
      <c r="P116" s="7">
        <f t="shared" si="5"/>
        <v>0.9108240498099236</v>
      </c>
      <c r="Q116">
        <v>1</v>
      </c>
      <c r="R116" s="7">
        <f t="shared" si="6"/>
        <v>18.593063574910222</v>
      </c>
      <c r="S116" s="7">
        <f>VLOOKUP($A116,Rotations!$A$1:$X$1441,18,0)</f>
        <v>0.32644982396904976</v>
      </c>
      <c r="T116" s="7">
        <f>VLOOKUP($A116,Rotations!$A$1:$X$1441,19,0)</f>
        <v>4.8987303579115613E-2</v>
      </c>
      <c r="U116" s="7">
        <f>VLOOKUP($A116,Rotations!$A$1:$X$1441,20,0)</f>
        <v>0.20031708621990746</v>
      </c>
      <c r="V116" s="7">
        <f>VLOOKUP($A116,Rotations!$A$1:$X$1441,21,0)</f>
        <v>5.3783498129346262E-2</v>
      </c>
      <c r="W116" s="7">
        <f>VLOOKUP($A116,Rotations!$A$1:$X$1441,22,0)</f>
        <v>8.9368558342523996E-2</v>
      </c>
      <c r="X116" s="7">
        <f>VLOOKUP($A116,Rotations!$A$1:$X$1441,23,0)</f>
        <v>0.28109372976005692</v>
      </c>
    </row>
    <row r="117" spans="1:24" ht="15.75" customHeight="1" x14ac:dyDescent="0.3">
      <c r="A117">
        <v>108</v>
      </c>
      <c r="B117" t="str">
        <f>Permutations!I109</f>
        <v>p11 - i1:i6</v>
      </c>
      <c r="C117" t="str">
        <f>Permutations!J109</f>
        <v>p131 - i6:i3</v>
      </c>
      <c r="D117" t="str">
        <f>Permutations!K109</f>
        <v>p6 - i3:i5</v>
      </c>
      <c r="E117" t="str">
        <f>Permutations!L109</f>
        <v>p41 - i5:i4</v>
      </c>
      <c r="F117" t="str">
        <f>Permutations!M109</f>
        <v>p51 - i4:i2</v>
      </c>
      <c r="G117" s="7">
        <f>VLOOKUP(B117,Vlookup!$A$1:$B$30,2,0)</f>
        <v>1.1613557664474019</v>
      </c>
      <c r="H117" s="7">
        <f>VLOOKUP(C117,Vlookup!$A$1:$B$30,2,0)</f>
        <v>1.4032439022773779</v>
      </c>
      <c r="I117" s="7">
        <f>VLOOKUP(D117,Vlookup!$A$1:$B$30,2,0)</f>
        <v>2.2414716085286912</v>
      </c>
      <c r="J117" s="7">
        <f>VLOOKUP(E117,Vlookup!$A$1:$B$30,2,0)</f>
        <v>1.25400669441983</v>
      </c>
      <c r="K117" s="7">
        <f>VLOOKUP(F117,Vlookup!$A$1:$B$30,2,0)</f>
        <v>1.4376356077157479</v>
      </c>
      <c r="L117" s="7">
        <f t="shared" si="1"/>
        <v>6.5853727543001881</v>
      </c>
      <c r="M117" s="7">
        <f t="shared" si="2"/>
        <v>5.6704180962952497</v>
      </c>
      <c r="N117" s="7">
        <f t="shared" si="3"/>
        <v>4.0409354974516631</v>
      </c>
      <c r="O117" s="7">
        <f t="shared" si="4"/>
        <v>1.8028046762118686</v>
      </c>
      <c r="P117" s="7">
        <f t="shared" si="5"/>
        <v>1.4376356077157479</v>
      </c>
      <c r="Q117">
        <v>1</v>
      </c>
      <c r="R117" s="7">
        <f t="shared" si="6"/>
        <v>20.537166631974717</v>
      </c>
      <c r="S117" s="7">
        <f>VLOOKUP($A117,Rotations!$A$1:$X$1441,18,0)</f>
        <v>0.3206563433169643</v>
      </c>
      <c r="T117" s="7">
        <f>VLOOKUP($A117,Rotations!$A$1:$X$1441,19,0)</f>
        <v>4.8692208517365797E-2</v>
      </c>
      <c r="U117" s="7">
        <f>VLOOKUP($A117,Rotations!$A$1:$X$1441,20,0)</f>
        <v>0.19676207384714167</v>
      </c>
      <c r="V117" s="7">
        <f>VLOOKUP($A117,Rotations!$A$1:$X$1441,21,0)</f>
        <v>7.0001652782885102E-2</v>
      </c>
      <c r="W117" s="7">
        <f>VLOOKUP($A117,Rotations!$A$1:$X$1441,22,0)</f>
        <v>8.778254121019044E-2</v>
      </c>
      <c r="X117" s="7">
        <f>VLOOKUP($A117,Rotations!$A$1:$X$1441,23,0)</f>
        <v>0.27610518032545273</v>
      </c>
    </row>
    <row r="118" spans="1:24" ht="15.75" customHeight="1" x14ac:dyDescent="0.3">
      <c r="A118">
        <v>109</v>
      </c>
      <c r="B118" t="str">
        <f>Permutations!I110</f>
        <v>p11 - i1:i6</v>
      </c>
      <c r="C118" t="str">
        <f>Permutations!J110</f>
        <v>p141 - i6:i4</v>
      </c>
      <c r="D118" t="str">
        <f>Permutations!K110</f>
        <v>p51 - i4:i2</v>
      </c>
      <c r="E118" t="str">
        <f>Permutations!L110</f>
        <v>p2 - i2:i3</v>
      </c>
      <c r="F118" t="str">
        <f>Permutations!M110</f>
        <v>p6 - i3:i5</v>
      </c>
      <c r="G118" s="7">
        <f>VLOOKUP(B118,Vlookup!$A$1:$B$30,2,0)</f>
        <v>1.1613557664474019</v>
      </c>
      <c r="H118" s="7">
        <f>VLOOKUP(C118,Vlookup!$A$1:$B$30,2,0)</f>
        <v>0.88688155974910687</v>
      </c>
      <c r="I118" s="7">
        <f>VLOOKUP(D118,Vlookup!$A$1:$B$30,2,0)</f>
        <v>1.4376356077157479</v>
      </c>
      <c r="J118" s="7">
        <f>VLOOKUP(E118,Vlookup!$A$1:$B$30,2,0)</f>
        <v>1.3601242124324544</v>
      </c>
      <c r="K118" s="7">
        <f>VLOOKUP(F118,Vlookup!$A$1:$B$30,2,0)</f>
        <v>2.2414716085286912</v>
      </c>
      <c r="L118" s="7">
        <f t="shared" si="1"/>
        <v>4.5143116814717912</v>
      </c>
      <c r="M118" s="7">
        <f t="shared" si="2"/>
        <v>3.8871048923114344</v>
      </c>
      <c r="N118" s="7">
        <f t="shared" si="3"/>
        <v>4.3828906459742738</v>
      </c>
      <c r="O118" s="7">
        <f t="shared" si="4"/>
        <v>3.0486798062397931</v>
      </c>
      <c r="P118" s="7">
        <f t="shared" si="5"/>
        <v>2.2414716085286912</v>
      </c>
      <c r="Q118">
        <v>1</v>
      </c>
      <c r="R118" s="7">
        <f t="shared" si="6"/>
        <v>19.074458634525985</v>
      </c>
      <c r="S118" s="7">
        <f>VLOOKUP($A118,Rotations!$A$1:$X$1441,18,0)</f>
        <v>0.23666787970069039</v>
      </c>
      <c r="T118" s="7">
        <f>VLOOKUP($A118,Rotations!$A$1:$X$1441,19,0)</f>
        <v>0.1598304761699233</v>
      </c>
      <c r="U118" s="7">
        <f>VLOOKUP($A118,Rotations!$A$1:$X$1441,20,0)</f>
        <v>0.11751167629321257</v>
      </c>
      <c r="V118" s="7">
        <f>VLOOKUP($A118,Rotations!$A$1:$X$1441,21,0)</f>
        <v>0.22977798374004504</v>
      </c>
      <c r="W118" s="7">
        <f>VLOOKUP($A118,Rotations!$A$1:$X$1441,22,0)</f>
        <v>5.2426127480752524E-2</v>
      </c>
      <c r="X118" s="7">
        <f>VLOOKUP($A118,Rotations!$A$1:$X$1441,23,0)</f>
        <v>0.20378585661537607</v>
      </c>
    </row>
    <row r="119" spans="1:24" ht="15.75" customHeight="1" x14ac:dyDescent="0.3">
      <c r="A119">
        <v>110</v>
      </c>
      <c r="B119" t="str">
        <f>Permutations!I111</f>
        <v>p11 - i1:i6</v>
      </c>
      <c r="C119" t="str">
        <f>Permutations!J111</f>
        <v>p141 - i6:i4</v>
      </c>
      <c r="D119" t="str">
        <f>Permutations!K111</f>
        <v>p51 - i4:i2</v>
      </c>
      <c r="E119" t="str">
        <f>Permutations!L111</f>
        <v>p7 - i2:i5</v>
      </c>
      <c r="F119" t="str">
        <f>Permutations!M111</f>
        <v>p61 - i5:i3</v>
      </c>
      <c r="G119" s="7">
        <f>VLOOKUP(B119,Vlookup!$A$1:$B$30,2,0)</f>
        <v>1.1613557664474019</v>
      </c>
      <c r="H119" s="7">
        <f>VLOOKUP(C119,Vlookup!$A$1:$B$30,2,0)</f>
        <v>0.88688155974910687</v>
      </c>
      <c r="I119" s="7">
        <f>VLOOKUP(D119,Vlookup!$A$1:$B$30,2,0)</f>
        <v>1.4376356077157479</v>
      </c>
      <c r="J119" s="7">
        <f>VLOOKUP(E119,Vlookup!$A$1:$B$30,2,0)</f>
        <v>1.7991741228251155</v>
      </c>
      <c r="K119" s="7">
        <f>VLOOKUP(F119,Vlookup!$A$1:$B$30,2,0)</f>
        <v>1.9746367445127702</v>
      </c>
      <c r="L119" s="7">
        <f t="shared" si="1"/>
        <v>5.2606588250290356</v>
      </c>
      <c r="M119" s="7">
        <f t="shared" si="2"/>
        <v>4.5297564941029558</v>
      </c>
      <c r="N119" s="7">
        <f t="shared" si="3"/>
        <v>5.1075100663772908</v>
      </c>
      <c r="O119" s="7">
        <f t="shared" si="4"/>
        <v>3.5527153327070047</v>
      </c>
      <c r="P119" s="7">
        <f t="shared" si="5"/>
        <v>1.9746367445127702</v>
      </c>
      <c r="Q119">
        <v>1</v>
      </c>
      <c r="R119" s="7">
        <f t="shared" si="6"/>
        <v>21.42527746272906</v>
      </c>
      <c r="S119" s="7">
        <f>VLOOKUP($A119,Rotations!$A$1:$X$1441,18,0)</f>
        <v>0.24553515510734281</v>
      </c>
      <c r="T119" s="7">
        <f>VLOOKUP($A119,Rotations!$A$1:$X$1441,19,0)</f>
        <v>0.1658188716056177</v>
      </c>
      <c r="U119" s="7">
        <f>VLOOKUP($A119,Rotations!$A$1:$X$1441,20,0)</f>
        <v>4.667384129515139E-2</v>
      </c>
      <c r="V119" s="7">
        <f>VLOOKUP($A119,Rotations!$A$1:$X$1441,21,0)</f>
        <v>0.23838711425148182</v>
      </c>
      <c r="W119" s="7">
        <f>VLOOKUP($A119,Rotations!$A$1:$X$1441,22,0)</f>
        <v>9.2163882028963431E-2</v>
      </c>
      <c r="X119" s="7">
        <f>VLOOKUP($A119,Rotations!$A$1:$X$1441,23,0)</f>
        <v>0.21142113571144272</v>
      </c>
    </row>
    <row r="120" spans="1:24" ht="15.75" customHeight="1" x14ac:dyDescent="0.3">
      <c r="A120">
        <v>111</v>
      </c>
      <c r="B120" t="str">
        <f>Permutations!I112</f>
        <v>p11 - i1:i6</v>
      </c>
      <c r="C120" t="str">
        <f>Permutations!J112</f>
        <v>p141 - i6:i4</v>
      </c>
      <c r="D120" t="str">
        <f>Permutations!K112</f>
        <v>p31 - i4:i3</v>
      </c>
      <c r="E120" t="str">
        <f>Permutations!L112</f>
        <v>p21 - i3:i2</v>
      </c>
      <c r="F120" t="str">
        <f>Permutations!M112</f>
        <v>p7 - i2:i5</v>
      </c>
      <c r="G120" s="7">
        <f>VLOOKUP(B120,Vlookup!$A$1:$B$30,2,0)</f>
        <v>1.1613557664474019</v>
      </c>
      <c r="H120" s="7">
        <f>VLOOKUP(C120,Vlookup!$A$1:$B$30,2,0)</f>
        <v>0.88688155974910687</v>
      </c>
      <c r="I120" s="7">
        <f>VLOOKUP(D120,Vlookup!$A$1:$B$30,2,0)</f>
        <v>2.2388599512381115</v>
      </c>
      <c r="J120" s="7">
        <f>VLOOKUP(E120,Vlookup!$A$1:$B$30,2,0)</f>
        <v>1.5059827029565431</v>
      </c>
      <c r="K120" s="7">
        <f>VLOOKUP(F120,Vlookup!$A$1:$B$30,2,0)</f>
        <v>1.7991741228251155</v>
      </c>
      <c r="L120" s="7">
        <f t="shared" si="1"/>
        <v>6.2481437586650133</v>
      </c>
      <c r="M120" s="7">
        <f t="shared" si="2"/>
        <v>5.3800428251009951</v>
      </c>
      <c r="N120" s="7">
        <f t="shared" si="3"/>
        <v>6.0662472524775177</v>
      </c>
      <c r="O120" s="7">
        <f t="shared" si="4"/>
        <v>2.709525108581635</v>
      </c>
      <c r="P120" s="7">
        <f t="shared" si="5"/>
        <v>1.7991741228251155</v>
      </c>
      <c r="Q120">
        <v>1</v>
      </c>
      <c r="R120" s="7">
        <f t="shared" si="6"/>
        <v>23.203133067650274</v>
      </c>
      <c r="S120" s="7">
        <f>VLOOKUP($A120,Rotations!$A$1:$X$1441,18,0)</f>
        <v>0.26928017610587912</v>
      </c>
      <c r="T120" s="7">
        <f>VLOOKUP($A120,Rotations!$A$1:$X$1441,19,0)</f>
        <v>7.7540137255581135E-2</v>
      </c>
      <c r="U120" s="7">
        <f>VLOOKUP($A120,Rotations!$A$1:$X$1441,20,0)</f>
        <v>0.11677410549178142</v>
      </c>
      <c r="V120" s="7">
        <f>VLOOKUP($A120,Rotations!$A$1:$X$1441,21,0)</f>
        <v>0.26144086812720385</v>
      </c>
      <c r="W120" s="7">
        <f>VLOOKUP($A120,Rotations!$A$1:$X$1441,22,0)</f>
        <v>4.3097628112739504E-2</v>
      </c>
      <c r="X120" s="7">
        <f>VLOOKUP($A120,Rotations!$A$1:$X$1441,23,0)</f>
        <v>0.2318670849068151</v>
      </c>
    </row>
    <row r="121" spans="1:24" ht="15.75" customHeight="1" x14ac:dyDescent="0.3">
      <c r="A121">
        <v>112</v>
      </c>
      <c r="B121" t="str">
        <f>Permutations!I113</f>
        <v>p11 - i1:i6</v>
      </c>
      <c r="C121" t="str">
        <f>Permutations!J113</f>
        <v>p141 - i6:i4</v>
      </c>
      <c r="D121" t="str">
        <f>Permutations!K113</f>
        <v>p31 - i4:i3</v>
      </c>
      <c r="E121" t="str">
        <f>Permutations!L113</f>
        <v>p6 - i3:i5</v>
      </c>
      <c r="F121" t="str">
        <f>Permutations!M113</f>
        <v>p71 - i5:i2</v>
      </c>
      <c r="G121" s="7">
        <f>VLOOKUP(B121,Vlookup!$A$1:$B$30,2,0)</f>
        <v>1.1613557664474019</v>
      </c>
      <c r="H121" s="7">
        <f>VLOOKUP(C121,Vlookup!$A$1:$B$30,2,0)</f>
        <v>0.88688155974910687</v>
      </c>
      <c r="I121" s="7">
        <f>VLOOKUP(D121,Vlookup!$A$1:$B$30,2,0)</f>
        <v>2.2388599512381115</v>
      </c>
      <c r="J121" s="7">
        <f>VLOOKUP(E121,Vlookup!$A$1:$B$30,2,0)</f>
        <v>2.2414716085286912</v>
      </c>
      <c r="K121" s="7">
        <f>VLOOKUP(F121,Vlookup!$A$1:$B$30,2,0)</f>
        <v>1.8243208303594776</v>
      </c>
      <c r="L121" s="7">
        <f t="shared" si="1"/>
        <v>9.4295787694176934</v>
      </c>
      <c r="M121" s="7">
        <f t="shared" si="2"/>
        <v>8.1194574839567561</v>
      </c>
      <c r="N121" s="7">
        <f t="shared" si="3"/>
        <v>9.155064049650214</v>
      </c>
      <c r="O121" s="7">
        <f t="shared" si="4"/>
        <v>4.0891633460982559</v>
      </c>
      <c r="P121" s="7">
        <f t="shared" si="5"/>
        <v>1.8243208303594776</v>
      </c>
      <c r="Q121">
        <v>1</v>
      </c>
      <c r="R121" s="7">
        <f t="shared" si="6"/>
        <v>33.617584479482396</v>
      </c>
      <c r="S121" s="7">
        <f>VLOOKUP($A121,Rotations!$A$1:$X$1441,18,0)</f>
        <v>0.28049542866986138</v>
      </c>
      <c r="T121" s="7">
        <f>VLOOKUP($A121,Rotations!$A$1:$X$1441,19,0)</f>
        <v>2.974633708767278E-2</v>
      </c>
      <c r="U121" s="7">
        <f>VLOOKUP($A121,Rotations!$A$1:$X$1441,20,0)</f>
        <v>0.12163763129959468</v>
      </c>
      <c r="V121" s="7">
        <f>VLOOKUP($A121,Rotations!$A$1:$X$1441,21,0)</f>
        <v>0.27232962128012989</v>
      </c>
      <c r="W121" s="7">
        <f>VLOOKUP($A121,Rotations!$A$1:$X$1441,22,0)</f>
        <v>5.4266862375936128E-2</v>
      </c>
      <c r="X121" s="7">
        <f>VLOOKUP($A121,Rotations!$A$1:$X$1441,23,0)</f>
        <v>0.24152411928680517</v>
      </c>
    </row>
    <row r="122" spans="1:24" ht="15.75" customHeight="1" x14ac:dyDescent="0.3">
      <c r="A122">
        <v>113</v>
      </c>
      <c r="B122" t="str">
        <f>Permutations!I114</f>
        <v>p11 - i1:i6</v>
      </c>
      <c r="C122" t="str">
        <f>Permutations!J114</f>
        <v>p141 - i6:i4</v>
      </c>
      <c r="D122" t="str">
        <f>Permutations!K114</f>
        <v>p4 - i4:i5</v>
      </c>
      <c r="E122" t="str">
        <f>Permutations!L114</f>
        <v>p71 - i5:i2</v>
      </c>
      <c r="F122" t="str">
        <f>Permutations!M114</f>
        <v>p2 - i2:i3</v>
      </c>
      <c r="G122" s="7">
        <f>VLOOKUP(B122,Vlookup!$A$1:$B$30,2,0)</f>
        <v>1.1613557664474019</v>
      </c>
      <c r="H122" s="7">
        <f>VLOOKUP(C122,Vlookup!$A$1:$B$30,2,0)</f>
        <v>0.88688155974910687</v>
      </c>
      <c r="I122" s="7">
        <f>VLOOKUP(D122,Vlookup!$A$1:$B$30,2,0)</f>
        <v>1.89462595295753</v>
      </c>
      <c r="J122" s="7">
        <f>VLOOKUP(E122,Vlookup!$A$1:$B$30,2,0)</f>
        <v>1.8243208303594776</v>
      </c>
      <c r="K122" s="7">
        <f>VLOOKUP(F122,Vlookup!$A$1:$B$30,2,0)</f>
        <v>1.3601242124324544</v>
      </c>
      <c r="L122" s="7">
        <f t="shared" si="1"/>
        <v>4.8421047079667856</v>
      </c>
      <c r="M122" s="7">
        <f t="shared" si="2"/>
        <v>4.1693552035125538</v>
      </c>
      <c r="N122" s="7">
        <f t="shared" si="3"/>
        <v>4.701140933285429</v>
      </c>
      <c r="O122" s="7">
        <f t="shared" si="4"/>
        <v>2.4813029326168055</v>
      </c>
      <c r="P122" s="7">
        <f t="shared" si="5"/>
        <v>1.3601242124324544</v>
      </c>
      <c r="Q122">
        <v>1</v>
      </c>
      <c r="R122" s="7">
        <f t="shared" si="6"/>
        <v>18.554027989814028</v>
      </c>
      <c r="S122" s="7">
        <f>VLOOKUP($A122,Rotations!$A$1:$X$1441,18,0)</f>
        <v>0.26097323506383907</v>
      </c>
      <c r="T122" s="7">
        <f>VLOOKUP($A122,Rotations!$A$1:$X$1441,19,0)</f>
        <v>7.3306142104514915E-2</v>
      </c>
      <c r="U122" s="7">
        <f>VLOOKUP($A122,Rotations!$A$1:$X$1441,20,0)</f>
        <v>5.3896652551617893E-2</v>
      </c>
      <c r="V122" s="7">
        <f>VLOOKUP($A122,Rotations!$A$1:$X$1441,21,0)</f>
        <v>0.25337575947747343</v>
      </c>
      <c r="W122" s="7">
        <f>VLOOKUP($A122,Rotations!$A$1:$X$1441,22,0)</f>
        <v>0.1337339220345585</v>
      </c>
      <c r="X122" s="7">
        <f>VLOOKUP($A122,Rotations!$A$1:$X$1441,23,0)</f>
        <v>0.22471428876799621</v>
      </c>
    </row>
    <row r="123" spans="1:24" ht="15.75" customHeight="1" x14ac:dyDescent="0.3">
      <c r="A123">
        <v>114</v>
      </c>
      <c r="B123" t="str">
        <f>Permutations!I115</f>
        <v>p11 - i1:i6</v>
      </c>
      <c r="C123" t="str">
        <f>Permutations!J115</f>
        <v>p141 - i6:i4</v>
      </c>
      <c r="D123" t="str">
        <f>Permutations!K115</f>
        <v>p4 - i4:i5</v>
      </c>
      <c r="E123" t="str">
        <f>Permutations!L115</f>
        <v>p61 - i5:i3</v>
      </c>
      <c r="F123" t="str">
        <f>Permutations!M115</f>
        <v>p21 - i3:i2</v>
      </c>
      <c r="G123" s="7">
        <f>VLOOKUP(B123,Vlookup!$A$1:$B$30,2,0)</f>
        <v>1.1613557664474019</v>
      </c>
      <c r="H123" s="7">
        <f>VLOOKUP(C123,Vlookup!$A$1:$B$30,2,0)</f>
        <v>0.88688155974910687</v>
      </c>
      <c r="I123" s="7">
        <f>VLOOKUP(D123,Vlookup!$A$1:$B$30,2,0)</f>
        <v>1.89462595295753</v>
      </c>
      <c r="J123" s="7">
        <f>VLOOKUP(E123,Vlookup!$A$1:$B$30,2,0)</f>
        <v>1.9746367445127702</v>
      </c>
      <c r="K123" s="7">
        <f>VLOOKUP(F123,Vlookup!$A$1:$B$30,2,0)</f>
        <v>1.5059827029565431</v>
      </c>
      <c r="L123" s="7">
        <f t="shared" si="1"/>
        <v>5.803120461336329</v>
      </c>
      <c r="M123" s="7">
        <f t="shared" si="2"/>
        <v>4.9968499136902107</v>
      </c>
      <c r="N123" s="7">
        <f t="shared" si="3"/>
        <v>5.634179512204299</v>
      </c>
      <c r="O123" s="7">
        <f t="shared" si="4"/>
        <v>2.9737687818586505</v>
      </c>
      <c r="P123" s="7">
        <f t="shared" si="5"/>
        <v>1.5059827029565431</v>
      </c>
      <c r="Q123">
        <v>1</v>
      </c>
      <c r="R123" s="7">
        <f t="shared" si="6"/>
        <v>21.913901372046034</v>
      </c>
      <c r="S123" s="7">
        <f>VLOOKUP($A123,Rotations!$A$1:$X$1441,18,0)</f>
        <v>0.26481457421994908</v>
      </c>
      <c r="T123" s="7">
        <f>VLOOKUP($A123,Rotations!$A$1:$X$1441,19,0)</f>
        <v>4.563313410160854E-2</v>
      </c>
      <c r="U123" s="7">
        <f>VLOOKUP($A123,Rotations!$A$1:$X$1441,20,0)</f>
        <v>6.8722710638718834E-2</v>
      </c>
      <c r="V123" s="7">
        <f>VLOOKUP($A123,Rotations!$A$1:$X$1441,21,0)</f>
        <v>0.25710526923295418</v>
      </c>
      <c r="W123" s="7">
        <f>VLOOKUP($A123,Rotations!$A$1:$X$1441,22,0)</f>
        <v>0.13570238960973285</v>
      </c>
      <c r="X123" s="7">
        <f>VLOOKUP($A123,Rotations!$A$1:$X$1441,23,0)</f>
        <v>0.22802192219703643</v>
      </c>
    </row>
    <row r="124" spans="1:24" ht="15.75" customHeight="1" x14ac:dyDescent="0.3">
      <c r="A124">
        <v>115</v>
      </c>
      <c r="B124" t="str">
        <f>Permutations!I116</f>
        <v>p11 - i1:i6</v>
      </c>
      <c r="C124" t="str">
        <f>Permutations!J116</f>
        <v>p151 - i6:i5</v>
      </c>
      <c r="D124" t="str">
        <f>Permutations!K116</f>
        <v>p71 - i5:i2</v>
      </c>
      <c r="E124" t="str">
        <f>Permutations!L116</f>
        <v>p2 - i2:i3</v>
      </c>
      <c r="F124" t="str">
        <f>Permutations!M116</f>
        <v>p3 - i3:i4</v>
      </c>
      <c r="G124" s="7">
        <f>VLOOKUP(B124,Vlookup!$A$1:$B$30,2,0)</f>
        <v>1.1613557664474019</v>
      </c>
      <c r="H124" s="7">
        <f>VLOOKUP(C124,Vlookup!$A$1:$B$30,2,0)</f>
        <v>1.2266517321719024</v>
      </c>
      <c r="I124" s="7">
        <f>VLOOKUP(D124,Vlookup!$A$1:$B$30,2,0)</f>
        <v>1.8243208303594776</v>
      </c>
      <c r="J124" s="7">
        <f>VLOOKUP(E124,Vlookup!$A$1:$B$30,2,0)</f>
        <v>1.3601242124324544</v>
      </c>
      <c r="K124" s="7">
        <f>VLOOKUP(F124,Vlookup!$A$1:$B$30,2,0)</f>
        <v>1.4338636587362954</v>
      </c>
      <c r="L124" s="7">
        <f t="shared" si="1"/>
        <v>5.0684387622473883</v>
      </c>
      <c r="M124" s="7">
        <f t="shared" si="2"/>
        <v>4.364242989684195</v>
      </c>
      <c r="N124" s="7">
        <f t="shared" si="3"/>
        <v>3.5578501013950321</v>
      </c>
      <c r="O124" s="7">
        <f t="shared" si="4"/>
        <v>1.9502326795742213</v>
      </c>
      <c r="P124" s="7">
        <f t="shared" si="5"/>
        <v>1.4338636587362954</v>
      </c>
      <c r="Q124">
        <v>1</v>
      </c>
      <c r="R124" s="7">
        <f t="shared" si="6"/>
        <v>17.374628191637132</v>
      </c>
      <c r="S124" s="7">
        <f>VLOOKUP($A124,Rotations!$A$1:$X$1441,18,0)</f>
        <v>0.29171494816142091</v>
      </c>
      <c r="T124" s="7">
        <f>VLOOKUP($A124,Rotations!$A$1:$X$1441,19,0)</f>
        <v>0.11224600941463138</v>
      </c>
      <c r="U124" s="7">
        <f>VLOOKUP($A124,Rotations!$A$1:$X$1441,20,0)</f>
        <v>8.2526293105164225E-2</v>
      </c>
      <c r="V124" s="7">
        <f>VLOOKUP($A124,Rotations!$A$1:$X$1441,21,0)</f>
        <v>5.7555188460454446E-2</v>
      </c>
      <c r="W124" s="7">
        <f>VLOOKUP($A124,Rotations!$A$1:$X$1441,22,0)</f>
        <v>0.20477273309983804</v>
      </c>
      <c r="X124" s="7">
        <f>VLOOKUP($A124,Rotations!$A$1:$X$1441,23,0)</f>
        <v>0.25118482775849099</v>
      </c>
    </row>
    <row r="125" spans="1:24" ht="15.75" customHeight="1" x14ac:dyDescent="0.3">
      <c r="A125">
        <v>116</v>
      </c>
      <c r="B125" t="str">
        <f>Permutations!I117</f>
        <v>p11 - i1:i6</v>
      </c>
      <c r="C125" t="str">
        <f>Permutations!J117</f>
        <v>p151 - i6:i5</v>
      </c>
      <c r="D125" t="str">
        <f>Permutations!K117</f>
        <v>p71 - i5:i2</v>
      </c>
      <c r="E125" t="str">
        <f>Permutations!L117</f>
        <v>p5 - i2:i4</v>
      </c>
      <c r="F125" t="str">
        <f>Permutations!M117</f>
        <v>p31 - i4:i3</v>
      </c>
      <c r="G125" s="7">
        <f>VLOOKUP(B125,Vlookup!$A$1:$B$30,2,0)</f>
        <v>1.1613557664474019</v>
      </c>
      <c r="H125" s="7">
        <f>VLOOKUP(C125,Vlookup!$A$1:$B$30,2,0)</f>
        <v>1.2266517321719024</v>
      </c>
      <c r="I125" s="7">
        <f>VLOOKUP(D125,Vlookup!$A$1:$B$30,2,0)</f>
        <v>1.8243208303594776</v>
      </c>
      <c r="J125" s="7">
        <f>VLOOKUP(E125,Vlookup!$A$1:$B$30,2,0)</f>
        <v>0.9108240498099236</v>
      </c>
      <c r="K125" s="7">
        <f>VLOOKUP(F125,Vlookup!$A$1:$B$30,2,0)</f>
        <v>2.2388599512381115</v>
      </c>
      <c r="L125" s="7">
        <f t="shared" si="1"/>
        <v>5.2996744354642935</v>
      </c>
      <c r="M125" s="7">
        <f t="shared" si="2"/>
        <v>4.563351376534726</v>
      </c>
      <c r="N125" s="7">
        <f t="shared" si="3"/>
        <v>3.7201686973162973</v>
      </c>
      <c r="O125" s="7">
        <f t="shared" si="4"/>
        <v>2.039207487743945</v>
      </c>
      <c r="P125" s="7">
        <f t="shared" si="5"/>
        <v>2.2388599512381115</v>
      </c>
      <c r="Q125">
        <v>1</v>
      </c>
      <c r="R125" s="7">
        <f t="shared" si="6"/>
        <v>18.861261948297372</v>
      </c>
      <c r="S125" s="7">
        <f>VLOOKUP($A125,Rotations!$A$1:$X$1441,18,0)</f>
        <v>0.28098196451498314</v>
      </c>
      <c r="T125" s="7">
        <f>VLOOKUP($A125,Rotations!$A$1:$X$1441,19,0)</f>
        <v>0.10811617448152915</v>
      </c>
      <c r="U125" s="7">
        <f>VLOOKUP($A125,Rotations!$A$1:$X$1441,20,0)</f>
        <v>5.3018721798213035E-2</v>
      </c>
      <c r="V125" s="7">
        <f>VLOOKUP($A125,Rotations!$A$1:$X$1441,21,0)</f>
        <v>0.11870149289985424</v>
      </c>
      <c r="W125" s="7">
        <f>VLOOKUP($A125,Rotations!$A$1:$X$1441,22,0)</f>
        <v>0.19723858920543338</v>
      </c>
      <c r="X125" s="7">
        <f>VLOOKUP($A125,Rotations!$A$1:$X$1441,23,0)</f>
        <v>0.24194305709998715</v>
      </c>
    </row>
    <row r="126" spans="1:24" ht="15.75" customHeight="1" x14ac:dyDescent="0.3">
      <c r="A126">
        <v>117</v>
      </c>
      <c r="B126" t="str">
        <f>Permutations!I118</f>
        <v>p11 - i1:i6</v>
      </c>
      <c r="C126" t="str">
        <f>Permutations!J118</f>
        <v>p151 - i6:i5</v>
      </c>
      <c r="D126" t="str">
        <f>Permutations!K118</f>
        <v>p61 - i5:i3</v>
      </c>
      <c r="E126" t="str">
        <f>Permutations!L118</f>
        <v>p21 - i3:i2</v>
      </c>
      <c r="F126" t="str">
        <f>Permutations!M118</f>
        <v>p5 - i2:i4</v>
      </c>
      <c r="G126" s="7">
        <f>VLOOKUP(B126,Vlookup!$A$1:$B$30,2,0)</f>
        <v>1.1613557664474019</v>
      </c>
      <c r="H126" s="7">
        <f>VLOOKUP(C126,Vlookup!$A$1:$B$30,2,0)</f>
        <v>1.2266517321719024</v>
      </c>
      <c r="I126" s="7">
        <f>VLOOKUP(D126,Vlookup!$A$1:$B$30,2,0)</f>
        <v>1.9746367445127702</v>
      </c>
      <c r="J126" s="7">
        <f>VLOOKUP(E126,Vlookup!$A$1:$B$30,2,0)</f>
        <v>1.5059827029565431</v>
      </c>
      <c r="K126" s="7">
        <f>VLOOKUP(F126,Vlookup!$A$1:$B$30,2,0)</f>
        <v>0.9108240498099236</v>
      </c>
      <c r="L126" s="7">
        <f t="shared" si="1"/>
        <v>3.8585865355261419</v>
      </c>
      <c r="M126" s="7">
        <f t="shared" si="2"/>
        <v>3.3224845021690417</v>
      </c>
      <c r="N126" s="7">
        <f t="shared" si="3"/>
        <v>2.7085801250908195</v>
      </c>
      <c r="O126" s="7">
        <f t="shared" si="4"/>
        <v>1.3716852644505737</v>
      </c>
      <c r="P126" s="7">
        <f t="shared" si="5"/>
        <v>0.9108240498099236</v>
      </c>
      <c r="Q126">
        <v>1</v>
      </c>
      <c r="R126" s="7">
        <f t="shared" si="6"/>
        <v>13.172160477046498</v>
      </c>
      <c r="S126" s="7">
        <f>VLOOKUP($A126,Rotations!$A$1:$X$1441,18,0)</f>
        <v>0.29293497769405602</v>
      </c>
      <c r="T126" s="7">
        <f>VLOOKUP($A126,Rotations!$A$1:$X$1441,19,0)</f>
        <v>6.9147658153505223E-2</v>
      </c>
      <c r="U126" s="7">
        <f>VLOOKUP($A126,Rotations!$A$1:$X$1441,20,0)</f>
        <v>0.10413517712913084</v>
      </c>
      <c r="V126" s="7">
        <f>VLOOKUP($A126,Rotations!$A$1:$X$1441,21,0)</f>
        <v>7.5917690324421486E-2</v>
      </c>
      <c r="W126" s="7">
        <f>VLOOKUP($A126,Rotations!$A$1:$X$1441,22,0)</f>
        <v>0.20562914715552763</v>
      </c>
      <c r="X126" s="7">
        <f>VLOOKUP($A126,Rotations!$A$1:$X$1441,23,0)</f>
        <v>0.25223534954335897</v>
      </c>
    </row>
    <row r="127" spans="1:24" ht="15.75" customHeight="1" x14ac:dyDescent="0.3">
      <c r="A127">
        <v>118</v>
      </c>
      <c r="B127" t="str">
        <f>Permutations!I119</f>
        <v>p11 - i1:i6</v>
      </c>
      <c r="C127" t="str">
        <f>Permutations!J119</f>
        <v>p151 - i6:i5</v>
      </c>
      <c r="D127" t="str">
        <f>Permutations!K119</f>
        <v>p61 - i5:i3</v>
      </c>
      <c r="E127" t="str">
        <f>Permutations!L119</f>
        <v>p3 - i3:i4</v>
      </c>
      <c r="F127" t="str">
        <f>Permutations!M119</f>
        <v>p51 - i4:i2</v>
      </c>
      <c r="G127" s="7">
        <f>VLOOKUP(B127,Vlookup!$A$1:$B$30,2,0)</f>
        <v>1.1613557664474019</v>
      </c>
      <c r="H127" s="7">
        <f>VLOOKUP(C127,Vlookup!$A$1:$B$30,2,0)</f>
        <v>1.2266517321719024</v>
      </c>
      <c r="I127" s="7">
        <f>VLOOKUP(D127,Vlookup!$A$1:$B$30,2,0)</f>
        <v>1.9746367445127702</v>
      </c>
      <c r="J127" s="7">
        <f>VLOOKUP(E127,Vlookup!$A$1:$B$30,2,0)</f>
        <v>1.4338636587362954</v>
      </c>
      <c r="K127" s="7">
        <f>VLOOKUP(F127,Vlookup!$A$1:$B$30,2,0)</f>
        <v>1.4376356077157479</v>
      </c>
      <c r="L127" s="7">
        <f t="shared" si="1"/>
        <v>5.798697452175297</v>
      </c>
      <c r="M127" s="7">
        <f t="shared" si="2"/>
        <v>4.9930414259822955</v>
      </c>
      <c r="N127" s="7">
        <f t="shared" si="3"/>
        <v>4.0704637632897196</v>
      </c>
      <c r="O127" s="7">
        <f t="shared" si="4"/>
        <v>2.0613734524088798</v>
      </c>
      <c r="P127" s="7">
        <f t="shared" si="5"/>
        <v>1.4376356077157479</v>
      </c>
      <c r="Q127">
        <v>1</v>
      </c>
      <c r="R127" s="7">
        <f t="shared" si="6"/>
        <v>19.361211701571939</v>
      </c>
      <c r="S127" s="7">
        <f>VLOOKUP($A127,Rotations!$A$1:$X$1441,18,0)</f>
        <v>0.29950075137624266</v>
      </c>
      <c r="T127" s="7">
        <f>VLOOKUP($A127,Rotations!$A$1:$X$1441,19,0)</f>
        <v>5.1649659918692477E-2</v>
      </c>
      <c r="U127" s="7">
        <f>VLOOKUP($A127,Rotations!$A$1:$X$1441,20,0)</f>
        <v>0.10646923778233966</v>
      </c>
      <c r="V127" s="7">
        <f>VLOOKUP($A127,Rotations!$A$1:$X$1441,21,0)</f>
        <v>7.4253390225521174E-2</v>
      </c>
      <c r="W127" s="7">
        <f>VLOOKUP($A127,Rotations!$A$1:$X$1441,22,0)</f>
        <v>0.21023806908527518</v>
      </c>
      <c r="X127" s="7">
        <f>VLOOKUP($A127,Rotations!$A$1:$X$1441,23,0)</f>
        <v>0.25788889161192891</v>
      </c>
    </row>
    <row r="128" spans="1:24" ht="15.75" customHeight="1" x14ac:dyDescent="0.3">
      <c r="A128">
        <v>119</v>
      </c>
      <c r="B128" t="str">
        <f>Permutations!I120</f>
        <v>p11 - i1:i6</v>
      </c>
      <c r="C128" t="str">
        <f>Permutations!J120</f>
        <v>p151 - i6:i5</v>
      </c>
      <c r="D128" t="str">
        <f>Permutations!K120</f>
        <v>p41 - i5:i4</v>
      </c>
      <c r="E128" t="str">
        <f>Permutations!L120</f>
        <v>p51 - i4:i2</v>
      </c>
      <c r="F128" t="str">
        <f>Permutations!M120</f>
        <v>p2 - i2:i3</v>
      </c>
      <c r="G128" s="7">
        <f>VLOOKUP(B128,Vlookup!$A$1:$B$30,2,0)</f>
        <v>1.1613557664474019</v>
      </c>
      <c r="H128" s="7">
        <f>VLOOKUP(C128,Vlookup!$A$1:$B$30,2,0)</f>
        <v>1.2266517321719024</v>
      </c>
      <c r="I128" s="7">
        <f>VLOOKUP(D128,Vlookup!$A$1:$B$30,2,0)</f>
        <v>1.25400669441983</v>
      </c>
      <c r="J128" s="7">
        <f>VLOOKUP(E128,Vlookup!$A$1:$B$30,2,0)</f>
        <v>1.4376356077157479</v>
      </c>
      <c r="K128" s="7">
        <f>VLOOKUP(F128,Vlookup!$A$1:$B$30,2,0)</f>
        <v>1.3601242124324544</v>
      </c>
      <c r="L128" s="7">
        <f t="shared" si="1"/>
        <v>3.4931224091527575</v>
      </c>
      <c r="M128" s="7">
        <f t="shared" si="2"/>
        <v>3.0077970162737055</v>
      </c>
      <c r="N128" s="7">
        <f t="shared" si="3"/>
        <v>2.4520382904022138</v>
      </c>
      <c r="O128" s="7">
        <f t="shared" si="4"/>
        <v>1.9553629987092347</v>
      </c>
      <c r="P128" s="7">
        <f t="shared" si="5"/>
        <v>1.3601242124324544</v>
      </c>
      <c r="Q128">
        <v>1</v>
      </c>
      <c r="R128" s="7">
        <f t="shared" si="6"/>
        <v>13.268444926970368</v>
      </c>
      <c r="S128" s="7">
        <f>VLOOKUP($A128,Rotations!$A$1:$X$1441,18,0)</f>
        <v>0.26326539608665012</v>
      </c>
      <c r="T128" s="7">
        <f>VLOOKUP($A128,Rotations!$A$1:$X$1441,19,0)</f>
        <v>0.10250818539162573</v>
      </c>
      <c r="U128" s="7">
        <f>VLOOKUP($A128,Rotations!$A$1:$X$1441,20,0)</f>
        <v>7.5366782279612146E-2</v>
      </c>
      <c r="V128" s="7">
        <f>VLOOKUP($A128,Rotations!$A$1:$X$1441,21,0)</f>
        <v>0.14736941740132842</v>
      </c>
      <c r="W128" s="7">
        <f>VLOOKUP($A128,Rotations!$A$1:$X$1441,22,0)</f>
        <v>0.18480223597401602</v>
      </c>
      <c r="X128" s="7">
        <f>VLOOKUP($A128,Rotations!$A$1:$X$1441,23,0)</f>
        <v>0.22668798286676739</v>
      </c>
    </row>
    <row r="129" spans="1:24" ht="15.75" customHeight="1" x14ac:dyDescent="0.3">
      <c r="A129">
        <v>120</v>
      </c>
      <c r="B129" t="str">
        <f>Permutations!I121</f>
        <v>p11 - i1:i6</v>
      </c>
      <c r="C129" t="str">
        <f>Permutations!J121</f>
        <v>p151 - i6:i5</v>
      </c>
      <c r="D129" t="str">
        <f>Permutations!K121</f>
        <v>p41 - i5:i4</v>
      </c>
      <c r="E129" t="str">
        <f>Permutations!L121</f>
        <v>p31 - i4:i3</v>
      </c>
      <c r="F129" t="str">
        <f>Permutations!M121</f>
        <v>p21 - i3:i2</v>
      </c>
      <c r="G129" s="7">
        <f>VLOOKUP(B129,Vlookup!$A$1:$B$30,2,0)</f>
        <v>1.1613557664474019</v>
      </c>
      <c r="H129" s="7">
        <f>VLOOKUP(C129,Vlookup!$A$1:$B$30,2,0)</f>
        <v>1.2266517321719024</v>
      </c>
      <c r="I129" s="7">
        <f>VLOOKUP(D129,Vlookup!$A$1:$B$30,2,0)</f>
        <v>1.25400669441983</v>
      </c>
      <c r="J129" s="7">
        <f>VLOOKUP(E129,Vlookup!$A$1:$B$30,2,0)</f>
        <v>2.2388599512381115</v>
      </c>
      <c r="K129" s="7">
        <f>VLOOKUP(F129,Vlookup!$A$1:$B$30,2,0)</f>
        <v>1.5059827029565431</v>
      </c>
      <c r="L129" s="7">
        <f t="shared" si="1"/>
        <v>6.0232837613516388</v>
      </c>
      <c r="M129" s="7">
        <f t="shared" si="2"/>
        <v>5.1864242942340741</v>
      </c>
      <c r="N129" s="7">
        <f t="shared" si="3"/>
        <v>4.2281147600476805</v>
      </c>
      <c r="O129" s="7">
        <f t="shared" si="4"/>
        <v>3.3716843609067255</v>
      </c>
      <c r="P129" s="7">
        <f t="shared" si="5"/>
        <v>1.5059827029565431</v>
      </c>
      <c r="Q129">
        <v>1</v>
      </c>
      <c r="R129" s="7">
        <f t="shared" si="6"/>
        <v>21.315489879496663</v>
      </c>
      <c r="S129" s="7">
        <f>VLOOKUP($A129,Rotations!$A$1:$X$1441,18,0)</f>
        <v>0.28257777772892878</v>
      </c>
      <c r="T129" s="7">
        <f>VLOOKUP($A129,Rotations!$A$1:$X$1441,19,0)</f>
        <v>4.6914239628238541E-2</v>
      </c>
      <c r="U129" s="7">
        <f>VLOOKUP($A129,Rotations!$A$1:$X$1441,20,0)</f>
        <v>7.0652033402485659E-2</v>
      </c>
      <c r="V129" s="7">
        <f>VLOOKUP($A129,Rotations!$A$1:$X$1441,21,0)</f>
        <v>0.15818000805836246</v>
      </c>
      <c r="W129" s="7">
        <f>VLOOKUP($A129,Rotations!$A$1:$X$1441,22,0)</f>
        <v>0.19835878902856921</v>
      </c>
      <c r="X129" s="7">
        <f>VLOOKUP($A129,Rotations!$A$1:$X$1441,23,0)</f>
        <v>0.24331715215341532</v>
      </c>
    </row>
    <row r="130" spans="1:24" ht="15.75" customHeight="1" x14ac:dyDescent="0.3">
      <c r="A130">
        <v>121</v>
      </c>
      <c r="B130" t="str">
        <f>Permutations!I122</f>
        <v>p11 - i2:i1</v>
      </c>
      <c r="C130" t="str">
        <f>Permutations!J122</f>
        <v>p8 - i1:i3</v>
      </c>
      <c r="D130" t="str">
        <f>Permutations!K122</f>
        <v>p3 - i3:i4</v>
      </c>
      <c r="E130" t="str">
        <f>Permutations!L122</f>
        <v>p4 - i4:i5</v>
      </c>
      <c r="F130" t="str">
        <f>Permutations!M122</f>
        <v>p15 - i5:i6</v>
      </c>
      <c r="G130" s="7">
        <f>VLOOKUP(B130,Vlookup!$A$1:$B$30,2,0)</f>
        <v>1.7440097060445605</v>
      </c>
      <c r="H130" s="7">
        <f>VLOOKUP(C130,Vlookup!$A$1:$B$30,2,0)</f>
        <v>1.1080774401297739</v>
      </c>
      <c r="I130" s="7">
        <f>VLOOKUP(D130,Vlookup!$A$1:$B$30,2,0)</f>
        <v>1.4338636587362954</v>
      </c>
      <c r="J130" s="7">
        <f>VLOOKUP(E130,Vlookup!$A$1:$B$30,2,0)</f>
        <v>1.89462595295753</v>
      </c>
      <c r="K130" s="7">
        <f>VLOOKUP(F130,Vlookup!$A$1:$B$30,2,0)</f>
        <v>1.3219359277692486</v>
      </c>
      <c r="L130" s="7">
        <f t="shared" si="1"/>
        <v>6.9400205492183735</v>
      </c>
      <c r="M130" s="7">
        <f t="shared" si="2"/>
        <v>3.9793474343433797</v>
      </c>
      <c r="N130" s="7">
        <f t="shared" si="3"/>
        <v>3.5912178068324656</v>
      </c>
      <c r="O130" s="7">
        <f t="shared" si="4"/>
        <v>2.5045741168986093</v>
      </c>
      <c r="P130" s="7">
        <f t="shared" si="5"/>
        <v>1.3219359277692486</v>
      </c>
      <c r="Q130">
        <v>1</v>
      </c>
      <c r="R130" s="7">
        <f t="shared" si="6"/>
        <v>19.337095835062076</v>
      </c>
      <c r="S130" s="7">
        <f>VLOOKUP($A130,Rotations!$A$1:$X$1441,18,0)</f>
        <v>0.20578826667073841</v>
      </c>
      <c r="T130" s="7">
        <f>VLOOKUP($A130,Rotations!$A$1:$X$1441,19,0)</f>
        <v>0.35889673446385412</v>
      </c>
      <c r="U130" s="7">
        <f>VLOOKUP($A130,Rotations!$A$1:$X$1441,20,0)</f>
        <v>0.18571650249159233</v>
      </c>
      <c r="V130" s="7">
        <f>VLOOKUP($A130,Rotations!$A$1:$X$1441,21,0)</f>
        <v>0.12952173057741734</v>
      </c>
      <c r="W130" s="7">
        <f>VLOOKUP($A130,Rotations!$A$1:$X$1441,22,0)</f>
        <v>6.8362692052873347E-2</v>
      </c>
      <c r="X130" s="7">
        <f>VLOOKUP($A130,Rotations!$A$1:$X$1441,23,0)</f>
        <v>5.1714073743524464E-2</v>
      </c>
    </row>
    <row r="131" spans="1:24" ht="15.75" customHeight="1" x14ac:dyDescent="0.3">
      <c r="A131">
        <v>122</v>
      </c>
      <c r="B131" t="str">
        <f>Permutations!I123</f>
        <v>p11 - i2:i1</v>
      </c>
      <c r="C131" t="str">
        <f>Permutations!J123</f>
        <v>p8 - i1:i3</v>
      </c>
      <c r="D131" t="str">
        <f>Permutations!K123</f>
        <v>p3 - i3:i4</v>
      </c>
      <c r="E131" t="str">
        <f>Permutations!L123</f>
        <v>p14 - i4:i6</v>
      </c>
      <c r="F131" t="str">
        <f>Permutations!M123</f>
        <v>p151 - i6:i5</v>
      </c>
      <c r="G131" s="7">
        <f>VLOOKUP(B131,Vlookup!$A$1:$B$30,2,0)</f>
        <v>1.7440097060445605</v>
      </c>
      <c r="H131" s="7">
        <f>VLOOKUP(C131,Vlookup!$A$1:$B$30,2,0)</f>
        <v>1.1080774401297739</v>
      </c>
      <c r="I131" s="7">
        <f>VLOOKUP(D131,Vlookup!$A$1:$B$30,2,0)</f>
        <v>1.4338636587362954</v>
      </c>
      <c r="J131" s="7">
        <f>VLOOKUP(E131,Vlookup!$A$1:$B$30,2,0)</f>
        <v>1.478275916473532</v>
      </c>
      <c r="K131" s="7">
        <f>VLOOKUP(F131,Vlookup!$A$1:$B$30,2,0)</f>
        <v>1.2266517321719024</v>
      </c>
      <c r="L131" s="7">
        <f t="shared" si="1"/>
        <v>5.0246249012064492</v>
      </c>
      <c r="M131" s="7">
        <f t="shared" si="2"/>
        <v>2.8810762255459985</v>
      </c>
      <c r="N131" s="7">
        <f t="shared" si="3"/>
        <v>2.6000675775950977</v>
      </c>
      <c r="O131" s="7">
        <f t="shared" si="4"/>
        <v>1.8133297135702644</v>
      </c>
      <c r="P131" s="7">
        <f t="shared" si="5"/>
        <v>1.2266517321719024</v>
      </c>
      <c r="Q131">
        <v>1</v>
      </c>
      <c r="R131" s="7">
        <f t="shared" si="6"/>
        <v>14.545750150089711</v>
      </c>
      <c r="S131" s="7">
        <f>VLOOKUP($A131,Rotations!$A$1:$X$1441,18,0)</f>
        <v>0.19806996516630182</v>
      </c>
      <c r="T131" s="7">
        <f>VLOOKUP($A131,Rotations!$A$1:$X$1441,19,0)</f>
        <v>0.34543594172593839</v>
      </c>
      <c r="U131" s="7">
        <f>VLOOKUP($A131,Rotations!$A$1:$X$1441,20,0)</f>
        <v>0.17875101323523432</v>
      </c>
      <c r="V131" s="7">
        <f>VLOOKUP($A131,Rotations!$A$1:$X$1441,21,0)</f>
        <v>0.12466388428644092</v>
      </c>
      <c r="W131" s="7">
        <f>VLOOKUP($A131,Rotations!$A$1:$X$1441,22,0)</f>
        <v>6.8748602834610942E-2</v>
      </c>
      <c r="X131" s="7">
        <f>VLOOKUP($A131,Rotations!$A$1:$X$1441,23,0)</f>
        <v>8.4330592751473671E-2</v>
      </c>
    </row>
    <row r="132" spans="1:24" ht="15.75" customHeight="1" x14ac:dyDescent="0.3">
      <c r="A132">
        <v>123</v>
      </c>
      <c r="B132" t="str">
        <f>Permutations!I124</f>
        <v>p11 - i2:i1</v>
      </c>
      <c r="C132" t="str">
        <f>Permutations!J124</f>
        <v>p8 - i1:i3</v>
      </c>
      <c r="D132" t="str">
        <f>Permutations!K124</f>
        <v>p6 - i3:i5</v>
      </c>
      <c r="E132" t="str">
        <f>Permutations!L124</f>
        <v>p41 - i5:i4</v>
      </c>
      <c r="F132" t="str">
        <f>Permutations!M124</f>
        <v>p14 - i4:i6</v>
      </c>
      <c r="G132" s="7">
        <f>VLOOKUP(B132,Vlookup!$A$1:$B$30,2,0)</f>
        <v>1.7440097060445605</v>
      </c>
      <c r="H132" s="7">
        <f>VLOOKUP(C132,Vlookup!$A$1:$B$30,2,0)</f>
        <v>1.1080774401297739</v>
      </c>
      <c r="I132" s="7">
        <f>VLOOKUP(D132,Vlookup!$A$1:$B$30,2,0)</f>
        <v>2.2414716085286912</v>
      </c>
      <c r="J132" s="7">
        <f>VLOOKUP(E132,Vlookup!$A$1:$B$30,2,0)</f>
        <v>1.25400669441983</v>
      </c>
      <c r="K132" s="7">
        <f>VLOOKUP(F132,Vlookup!$A$1:$B$30,2,0)</f>
        <v>1.478275916473532</v>
      </c>
      <c r="L132" s="7">
        <f t="shared" si="1"/>
        <v>8.0298532685746391</v>
      </c>
      <c r="M132" s="7">
        <f t="shared" si="2"/>
        <v>4.6042480387259213</v>
      </c>
      <c r="N132" s="7">
        <f t="shared" si="3"/>
        <v>4.1551681064697865</v>
      </c>
      <c r="O132" s="7">
        <f t="shared" si="4"/>
        <v>1.8537678954574186</v>
      </c>
      <c r="P132" s="7">
        <f t="shared" si="5"/>
        <v>1.478275916473532</v>
      </c>
      <c r="Q132">
        <v>1</v>
      </c>
      <c r="R132" s="7">
        <f t="shared" si="6"/>
        <v>21.1213132257013</v>
      </c>
      <c r="S132" s="7">
        <f>VLOOKUP($A132,Rotations!$A$1:$X$1441,18,0)</f>
        <v>0.21799061400800018</v>
      </c>
      <c r="T132" s="7">
        <f>VLOOKUP($A132,Rotations!$A$1:$X$1441,19,0)</f>
        <v>0.38017774665656567</v>
      </c>
      <c r="U132" s="7">
        <f>VLOOKUP($A132,Rotations!$A$1:$X$1441,20,0)</f>
        <v>0.19672868169075791</v>
      </c>
      <c r="V132" s="7">
        <f>VLOOKUP($A132,Rotations!$A$1:$X$1441,21,0)</f>
        <v>6.9989772921633664E-2</v>
      </c>
      <c r="W132" s="7">
        <f>VLOOKUP($A132,Rotations!$A$1:$X$1441,22,0)</f>
        <v>8.7767643784652363E-2</v>
      </c>
      <c r="X132" s="7">
        <f>VLOOKUP($A132,Rotations!$A$1:$X$1441,23,0)</f>
        <v>4.7345540938390045E-2</v>
      </c>
    </row>
    <row r="133" spans="1:24" ht="15.75" customHeight="1" x14ac:dyDescent="0.3">
      <c r="A133">
        <v>124</v>
      </c>
      <c r="B133" t="str">
        <f>Permutations!I125</f>
        <v>p11 - i2:i1</v>
      </c>
      <c r="C133" t="str">
        <f>Permutations!J125</f>
        <v>p8 - i1:i3</v>
      </c>
      <c r="D133" t="str">
        <f>Permutations!K125</f>
        <v>p6 - i3:i5</v>
      </c>
      <c r="E133" t="str">
        <f>Permutations!L125</f>
        <v>p15 - i5:i6</v>
      </c>
      <c r="F133" t="str">
        <f>Permutations!M125</f>
        <v>p141 - i6:i4</v>
      </c>
      <c r="G133" s="7">
        <f>VLOOKUP(B133,Vlookup!$A$1:$B$30,2,0)</f>
        <v>1.7440097060445605</v>
      </c>
      <c r="H133" s="7">
        <f>VLOOKUP(C133,Vlookup!$A$1:$B$30,2,0)</f>
        <v>1.1080774401297739</v>
      </c>
      <c r="I133" s="7">
        <f>VLOOKUP(D133,Vlookup!$A$1:$B$30,2,0)</f>
        <v>2.2414716085286912</v>
      </c>
      <c r="J133" s="7">
        <f>VLOOKUP(E133,Vlookup!$A$1:$B$30,2,0)</f>
        <v>1.3219359277692486</v>
      </c>
      <c r="K133" s="7">
        <f>VLOOKUP(F133,Vlookup!$A$1:$B$30,2,0)</f>
        <v>0.88688155974910687</v>
      </c>
      <c r="L133" s="7">
        <f t="shared" si="1"/>
        <v>5.0784161237502241</v>
      </c>
      <c r="M133" s="7">
        <f t="shared" si="2"/>
        <v>2.9119196447983913</v>
      </c>
      <c r="N133" s="7">
        <f t="shared" si="3"/>
        <v>2.6279026531370935</v>
      </c>
      <c r="O133" s="7">
        <f t="shared" si="4"/>
        <v>1.172400597508374</v>
      </c>
      <c r="P133" s="7">
        <f t="shared" si="5"/>
        <v>0.88688155974910687</v>
      </c>
      <c r="Q133">
        <v>1</v>
      </c>
      <c r="R133" s="7">
        <f t="shared" si="6"/>
        <v>13.677520578943188</v>
      </c>
      <c r="S133" s="7">
        <f>VLOOKUP($A133,Rotations!$A$1:$X$1441,18,0)</f>
        <v>0.21289820972971876</v>
      </c>
      <c r="T133" s="7">
        <f>VLOOKUP($A133,Rotations!$A$1:$X$1441,19,0)</f>
        <v>0.37129654416814006</v>
      </c>
      <c r="U133" s="7">
        <f>VLOOKUP($A133,Rotations!$A$1:$X$1441,20,0)</f>
        <v>0.19213297015124228</v>
      </c>
      <c r="V133" s="7">
        <f>VLOOKUP($A133,Rotations!$A$1:$X$1441,21,0)</f>
        <v>7.3112666453561737E-2</v>
      </c>
      <c r="W133" s="7">
        <f>VLOOKUP($A133,Rotations!$A$1:$X$1441,22,0)</f>
        <v>8.5717333835586232E-2</v>
      </c>
      <c r="X133" s="7">
        <f>VLOOKUP($A133,Rotations!$A$1:$X$1441,23,0)</f>
        <v>6.4842275661751034E-2</v>
      </c>
    </row>
    <row r="134" spans="1:24" ht="15.75" customHeight="1" x14ac:dyDescent="0.3">
      <c r="A134">
        <v>125</v>
      </c>
      <c r="B134" t="str">
        <f>Permutations!I126</f>
        <v>p11 - i2:i1</v>
      </c>
      <c r="C134" t="str">
        <f>Permutations!J126</f>
        <v>p8 - i1:i3</v>
      </c>
      <c r="D134" t="str">
        <f>Permutations!K126</f>
        <v>p13 - i3:i6</v>
      </c>
      <c r="E134" t="str">
        <f>Permutations!L126</f>
        <v>p141 - i6:i4</v>
      </c>
      <c r="F134" t="str">
        <f>Permutations!M126</f>
        <v>p4 - i4:i5</v>
      </c>
      <c r="G134" s="7">
        <f>VLOOKUP(B134,Vlookup!$A$1:$B$30,2,0)</f>
        <v>1.7440097060445605</v>
      </c>
      <c r="H134" s="7">
        <f>VLOOKUP(C134,Vlookup!$A$1:$B$30,2,0)</f>
        <v>1.1080774401297739</v>
      </c>
      <c r="I134" s="7">
        <f>VLOOKUP(D134,Vlookup!$A$1:$B$30,2,0)</f>
        <v>2.0145521929129111</v>
      </c>
      <c r="J134" s="7">
        <f>VLOOKUP(E134,Vlookup!$A$1:$B$30,2,0)</f>
        <v>0.88688155974910687</v>
      </c>
      <c r="K134" s="7">
        <f>VLOOKUP(F134,Vlookup!$A$1:$B$30,2,0)</f>
        <v>1.89462595295753</v>
      </c>
      <c r="L134" s="7">
        <f t="shared" si="1"/>
        <v>6.5416400134980606</v>
      </c>
      <c r="M134" s="7">
        <f t="shared" si="2"/>
        <v>3.7509194993728543</v>
      </c>
      <c r="N134" s="7">
        <f t="shared" si="3"/>
        <v>3.3850698187064974</v>
      </c>
      <c r="O134" s="7">
        <f t="shared" si="4"/>
        <v>1.6803088203001122</v>
      </c>
      <c r="P134" s="7">
        <f t="shared" si="5"/>
        <v>1.89462595295753</v>
      </c>
      <c r="Q134">
        <v>1</v>
      </c>
      <c r="R134" s="7">
        <f t="shared" si="6"/>
        <v>18.252564104835056</v>
      </c>
      <c r="S134" s="7">
        <f>VLOOKUP($A134,Rotations!$A$1:$X$1441,18,0)</f>
        <v>0.20550096292384726</v>
      </c>
      <c r="T134" s="7">
        <f>VLOOKUP($A134,Rotations!$A$1:$X$1441,19,0)</f>
        <v>0.35839567394069294</v>
      </c>
      <c r="U134" s="7">
        <f>VLOOKUP($A134,Rotations!$A$1:$X$1441,20,0)</f>
        <v>0.18545722120268029</v>
      </c>
      <c r="V134" s="7">
        <f>VLOOKUP($A134,Rotations!$A$1:$X$1441,21,0)</f>
        <v>0.10380053684926649</v>
      </c>
      <c r="W134" s="7">
        <f>VLOOKUP($A134,Rotations!$A$1:$X$1441,22,0)</f>
        <v>5.4786823059840818E-2</v>
      </c>
      <c r="X134" s="7">
        <f>VLOOKUP($A134,Rotations!$A$1:$X$1441,23,0)</f>
        <v>9.2058782023672112E-2</v>
      </c>
    </row>
    <row r="135" spans="1:24" ht="15.75" customHeight="1" x14ac:dyDescent="0.3">
      <c r="A135">
        <v>126</v>
      </c>
      <c r="B135" t="str">
        <f>Permutations!I127</f>
        <v>p11 - i2:i1</v>
      </c>
      <c r="C135" t="str">
        <f>Permutations!J127</f>
        <v>p8 - i1:i3</v>
      </c>
      <c r="D135" t="str">
        <f>Permutations!K127</f>
        <v>p13 - i3:i6</v>
      </c>
      <c r="E135" t="str">
        <f>Permutations!L127</f>
        <v>p151 - i6:i5</v>
      </c>
      <c r="F135" t="str">
        <f>Permutations!M127</f>
        <v>p41 - i5:i4</v>
      </c>
      <c r="G135" s="7">
        <f>VLOOKUP(B135,Vlookup!$A$1:$B$30,2,0)</f>
        <v>1.7440097060445605</v>
      </c>
      <c r="H135" s="7">
        <f>VLOOKUP(C135,Vlookup!$A$1:$B$30,2,0)</f>
        <v>1.1080774401297739</v>
      </c>
      <c r="I135" s="7">
        <f>VLOOKUP(D135,Vlookup!$A$1:$B$30,2,0)</f>
        <v>2.0145521929129111</v>
      </c>
      <c r="J135" s="7">
        <f>VLOOKUP(E135,Vlookup!$A$1:$B$30,2,0)</f>
        <v>1.2266517321719024</v>
      </c>
      <c r="K135" s="7">
        <f>VLOOKUP(F135,Vlookup!$A$1:$B$30,2,0)</f>
        <v>1.25400669441983</v>
      </c>
      <c r="L135" s="7">
        <f t="shared" si="1"/>
        <v>5.9885084337045482</v>
      </c>
      <c r="M135" s="7">
        <f t="shared" si="2"/>
        <v>3.4337586614048003</v>
      </c>
      <c r="N135" s="7">
        <f t="shared" si="3"/>
        <v>3.098843579924027</v>
      </c>
      <c r="O135" s="7">
        <f t="shared" si="4"/>
        <v>1.5382294838652459</v>
      </c>
      <c r="P135" s="7">
        <f t="shared" si="5"/>
        <v>1.25400669441983</v>
      </c>
      <c r="Q135">
        <v>1</v>
      </c>
      <c r="R135" s="7">
        <f t="shared" si="6"/>
        <v>16.31334685331845</v>
      </c>
      <c r="S135" s="7">
        <f>VLOOKUP($A135,Rotations!$A$1:$X$1441,18,0)</f>
        <v>0.21048768792078418</v>
      </c>
      <c r="T135" s="7">
        <f>VLOOKUP($A135,Rotations!$A$1:$X$1441,19,0)</f>
        <v>0.36709257073672591</v>
      </c>
      <c r="U135" s="7">
        <f>VLOOKUP($A135,Rotations!$A$1:$X$1441,20,0)</f>
        <v>0.18995756099513464</v>
      </c>
      <c r="V135" s="7">
        <f>VLOOKUP($A135,Rotations!$A$1:$X$1441,21,0)</f>
        <v>6.1299499666837565E-2</v>
      </c>
      <c r="W135" s="7">
        <f>VLOOKUP($A135,Rotations!$A$1:$X$1441,22,0)</f>
        <v>7.6869982946800447E-2</v>
      </c>
      <c r="X135" s="7">
        <f>VLOOKUP($A135,Rotations!$A$1:$X$1441,23,0)</f>
        <v>9.4292697733717373E-2</v>
      </c>
    </row>
    <row r="136" spans="1:24" ht="15.75" customHeight="1" x14ac:dyDescent="0.3">
      <c r="A136">
        <v>127</v>
      </c>
      <c r="B136" t="str">
        <f>Permutations!I128</f>
        <v>p11 - i2:i1</v>
      </c>
      <c r="C136" t="str">
        <f>Permutations!J128</f>
        <v>p9 - i1:i4</v>
      </c>
      <c r="D136" t="str">
        <f>Permutations!K128</f>
        <v>p31 - i4:i3</v>
      </c>
      <c r="E136" t="str">
        <f>Permutations!L128</f>
        <v>p6 - i3:i5</v>
      </c>
      <c r="F136" t="str">
        <f>Permutations!M128</f>
        <v>p15 - i5:i6</v>
      </c>
      <c r="G136" s="7">
        <f>VLOOKUP(B136,Vlookup!$A$1:$B$30,2,0)</f>
        <v>1.7440097060445605</v>
      </c>
      <c r="H136" s="7">
        <f>VLOOKUP(C136,Vlookup!$A$1:$B$30,2,0)</f>
        <v>1.2538815092968505</v>
      </c>
      <c r="I136" s="7">
        <f>VLOOKUP(D136,Vlookup!$A$1:$B$30,2,0)</f>
        <v>2.2388599512381115</v>
      </c>
      <c r="J136" s="7">
        <f>VLOOKUP(E136,Vlookup!$A$1:$B$30,2,0)</f>
        <v>2.2414716085286912</v>
      </c>
      <c r="K136" s="7">
        <f>VLOOKUP(F136,Vlookup!$A$1:$B$30,2,0)</f>
        <v>1.3219359277692486</v>
      </c>
      <c r="L136" s="7">
        <f t="shared" si="1"/>
        <v>14.506945239048585</v>
      </c>
      <c r="M136" s="7">
        <f t="shared" si="2"/>
        <v>8.3181562515214154</v>
      </c>
      <c r="N136" s="7">
        <f t="shared" si="3"/>
        <v>6.633925287076015</v>
      </c>
      <c r="O136" s="7">
        <f t="shared" si="4"/>
        <v>2.9630818503888054</v>
      </c>
      <c r="P136" s="7">
        <f t="shared" si="5"/>
        <v>1.3219359277692486</v>
      </c>
      <c r="Q136">
        <v>1</v>
      </c>
      <c r="R136" s="7">
        <f t="shared" si="6"/>
        <v>34.744044555804066</v>
      </c>
      <c r="S136" s="7">
        <f>VLOOKUP($A136,Rotations!$A$1:$X$1441,18,0)</f>
        <v>0.23941243334987175</v>
      </c>
      <c r="T136" s="7">
        <f>VLOOKUP($A136,Rotations!$A$1:$X$1441,19,0)</f>
        <v>0.41753760750992269</v>
      </c>
      <c r="U136" s="7">
        <f>VLOOKUP($A136,Rotations!$A$1:$X$1441,20,0)</f>
        <v>8.5283158258378886E-2</v>
      </c>
      <c r="V136" s="7">
        <f>VLOOKUP($A136,Rotations!$A$1:$X$1441,21,0)</f>
        <v>0.19093704753978633</v>
      </c>
      <c r="W136" s="7">
        <f>VLOOKUP($A136,Rotations!$A$1:$X$1441,22,0)</f>
        <v>3.8047842289806656E-2</v>
      </c>
      <c r="X136" s="7">
        <f>VLOOKUP($A136,Rotations!$A$1:$X$1441,23,0)</f>
        <v>2.878191105223378E-2</v>
      </c>
    </row>
    <row r="137" spans="1:24" ht="15.75" customHeight="1" x14ac:dyDescent="0.3">
      <c r="A137">
        <v>128</v>
      </c>
      <c r="B137" t="str">
        <f>Permutations!I129</f>
        <v>p11 - i2:i1</v>
      </c>
      <c r="C137" t="str">
        <f>Permutations!J129</f>
        <v>p9 - i1:i4</v>
      </c>
      <c r="D137" t="str">
        <f>Permutations!K129</f>
        <v>p31 - i4:i3</v>
      </c>
      <c r="E137" t="str">
        <f>Permutations!L129</f>
        <v>p13 - i3:i6</v>
      </c>
      <c r="F137" t="str">
        <f>Permutations!M129</f>
        <v>p151 - i6:i5</v>
      </c>
      <c r="G137" s="7">
        <f>VLOOKUP(B137,Vlookup!$A$1:$B$30,2,0)</f>
        <v>1.7440097060445605</v>
      </c>
      <c r="H137" s="7">
        <f>VLOOKUP(C137,Vlookup!$A$1:$B$30,2,0)</f>
        <v>1.2538815092968505</v>
      </c>
      <c r="I137" s="7">
        <f>VLOOKUP(D137,Vlookup!$A$1:$B$30,2,0)</f>
        <v>2.2388599512381115</v>
      </c>
      <c r="J137" s="7">
        <f>VLOOKUP(E137,Vlookup!$A$1:$B$30,2,0)</f>
        <v>2.0145521929129111</v>
      </c>
      <c r="K137" s="7">
        <f>VLOOKUP(F137,Vlookup!$A$1:$B$30,2,0)</f>
        <v>1.2266517321719024</v>
      </c>
      <c r="L137" s="7">
        <f t="shared" si="1"/>
        <v>12.098516561879821</v>
      </c>
      <c r="M137" s="7">
        <f t="shared" si="2"/>
        <v>6.9371841910899876</v>
      </c>
      <c r="N137" s="7">
        <f t="shared" si="3"/>
        <v>5.5325675828653136</v>
      </c>
      <c r="O137" s="7">
        <f t="shared" si="4"/>
        <v>2.471153936987327</v>
      </c>
      <c r="P137" s="7">
        <f t="shared" si="5"/>
        <v>1.2266517321719024</v>
      </c>
      <c r="Q137">
        <v>1</v>
      </c>
      <c r="R137" s="7">
        <f t="shared" si="6"/>
        <v>29.266074004994351</v>
      </c>
      <c r="S137" s="7">
        <f>VLOOKUP($A137,Rotations!$A$1:$X$1441,18,0)</f>
        <v>0.23703842851986687</v>
      </c>
      <c r="T137" s="7">
        <f>VLOOKUP($A137,Rotations!$A$1:$X$1441,19,0)</f>
        <v>0.4133973200441976</v>
      </c>
      <c r="U137" s="7">
        <f>VLOOKUP($A137,Rotations!$A$1:$X$1441,20,0)</f>
        <v>8.4437493616862189E-2</v>
      </c>
      <c r="V137" s="7">
        <f>VLOOKUP($A137,Rotations!$A$1:$X$1441,21,0)</f>
        <v>0.18904372284171642</v>
      </c>
      <c r="W137" s="7">
        <f>VLOOKUP($A137,Rotations!$A$1:$X$1441,22,0)</f>
        <v>3.4169256861352387E-2</v>
      </c>
      <c r="X137" s="7">
        <f>VLOOKUP($A137,Rotations!$A$1:$X$1441,23,0)</f>
        <v>4.1913778116004566E-2</v>
      </c>
    </row>
    <row r="138" spans="1:24" ht="15.75" customHeight="1" x14ac:dyDescent="0.3">
      <c r="A138">
        <v>129</v>
      </c>
      <c r="B138" t="str">
        <f>Permutations!I130</f>
        <v>p11 - i2:i1</v>
      </c>
      <c r="C138" t="str">
        <f>Permutations!J130</f>
        <v>p9 - i1:i4</v>
      </c>
      <c r="D138" t="str">
        <f>Permutations!K130</f>
        <v>p4 - i4:i5</v>
      </c>
      <c r="E138" t="str">
        <f>Permutations!L130</f>
        <v>p61 - i5:i3</v>
      </c>
      <c r="F138" t="str">
        <f>Permutations!M130</f>
        <v>p13 - i3:i6</v>
      </c>
      <c r="G138" s="7">
        <f>VLOOKUP(B138,Vlookup!$A$1:$B$30,2,0)</f>
        <v>1.7440097060445605</v>
      </c>
      <c r="H138" s="7">
        <f>VLOOKUP(C138,Vlookup!$A$1:$B$30,2,0)</f>
        <v>1.2538815092968505</v>
      </c>
      <c r="I138" s="7">
        <f>VLOOKUP(D138,Vlookup!$A$1:$B$30,2,0)</f>
        <v>1.89462595295753</v>
      </c>
      <c r="J138" s="7">
        <f>VLOOKUP(E138,Vlookup!$A$1:$B$30,2,0)</f>
        <v>1.9746367445127702</v>
      </c>
      <c r="K138" s="7">
        <f>VLOOKUP(F138,Vlookup!$A$1:$B$30,2,0)</f>
        <v>2.0145521929129111</v>
      </c>
      <c r="L138" s="7">
        <f t="shared" si="1"/>
        <v>16.481419569628262</v>
      </c>
      <c r="M138" s="7">
        <f t="shared" si="2"/>
        <v>9.450302663170584</v>
      </c>
      <c r="N138" s="7">
        <f t="shared" si="3"/>
        <v>7.5368386830029177</v>
      </c>
      <c r="O138" s="7">
        <f t="shared" si="4"/>
        <v>3.9780087838646128</v>
      </c>
      <c r="P138" s="7">
        <f t="shared" si="5"/>
        <v>2.0145521929129111</v>
      </c>
      <c r="Q138">
        <v>1</v>
      </c>
      <c r="R138" s="7">
        <f t="shared" si="6"/>
        <v>40.461121892579285</v>
      </c>
      <c r="S138" s="7">
        <f>VLOOKUP($A138,Rotations!$A$1:$X$1441,18,0)</f>
        <v>0.23356501800074414</v>
      </c>
      <c r="T138" s="7">
        <f>VLOOKUP($A138,Rotations!$A$1:$X$1441,19,0)</f>
        <v>0.40733965838577041</v>
      </c>
      <c r="U138" s="7">
        <f>VLOOKUP($A138,Rotations!$A$1:$X$1441,20,0)</f>
        <v>4.9789825360289558E-2</v>
      </c>
      <c r="V138" s="7">
        <f>VLOOKUP($A138,Rotations!$A$1:$X$1441,21,0)</f>
        <v>0.18627359624413184</v>
      </c>
      <c r="W138" s="7">
        <f>VLOOKUP($A138,Rotations!$A$1:$X$1441,22,0)</f>
        <v>9.831681865930153E-2</v>
      </c>
      <c r="X138" s="7">
        <f>VLOOKUP($A138,Rotations!$A$1:$X$1441,23,0)</f>
        <v>2.4715083349762568E-2</v>
      </c>
    </row>
    <row r="139" spans="1:24" ht="15.75" customHeight="1" x14ac:dyDescent="0.3">
      <c r="A139">
        <v>130</v>
      </c>
      <c r="B139" t="str">
        <f>Permutations!I131</f>
        <v>p11 - i2:i1</v>
      </c>
      <c r="C139" t="str">
        <f>Permutations!J131</f>
        <v>p9 - i1:i4</v>
      </c>
      <c r="D139" t="str">
        <f>Permutations!K131</f>
        <v>p4 - i4:i5</v>
      </c>
      <c r="E139" t="str">
        <f>Permutations!L131</f>
        <v>p15 - i5:i6</v>
      </c>
      <c r="F139" t="str">
        <f>Permutations!M131</f>
        <v>p131 - i6:i3</v>
      </c>
      <c r="G139" s="7">
        <f>VLOOKUP(B139,Vlookup!$A$1:$B$30,2,0)</f>
        <v>1.7440097060445605</v>
      </c>
      <c r="H139" s="7">
        <f>VLOOKUP(C139,Vlookup!$A$1:$B$30,2,0)</f>
        <v>1.2538815092968505</v>
      </c>
      <c r="I139" s="7">
        <f>VLOOKUP(D139,Vlookup!$A$1:$B$30,2,0)</f>
        <v>1.89462595295753</v>
      </c>
      <c r="J139" s="7">
        <f>VLOOKUP(E139,Vlookup!$A$1:$B$30,2,0)</f>
        <v>1.3219359277692486</v>
      </c>
      <c r="K139" s="7">
        <f>VLOOKUP(F139,Vlookup!$A$1:$B$30,2,0)</f>
        <v>1.4032439022773779</v>
      </c>
      <c r="L139" s="7">
        <f t="shared" si="1"/>
        <v>7.6855056719342469</v>
      </c>
      <c r="M139" s="7">
        <f t="shared" si="2"/>
        <v>4.4068021211677113</v>
      </c>
      <c r="N139" s="7">
        <f t="shared" si="3"/>
        <v>3.5145283573397221</v>
      </c>
      <c r="O139" s="7">
        <f t="shared" si="4"/>
        <v>1.8549985298435865</v>
      </c>
      <c r="P139" s="7">
        <f t="shared" si="5"/>
        <v>1.4032439022773779</v>
      </c>
      <c r="Q139">
        <v>1</v>
      </c>
      <c r="R139" s="7">
        <f t="shared" si="6"/>
        <v>19.865078582562646</v>
      </c>
      <c r="S139" s="7">
        <f>VLOOKUP($A139,Rotations!$A$1:$X$1441,18,0)</f>
        <v>0.2218366316977953</v>
      </c>
      <c r="T139" s="7">
        <f>VLOOKUP($A139,Rotations!$A$1:$X$1441,19,0)</f>
        <v>0.38688523883718751</v>
      </c>
      <c r="U139" s="7">
        <f>VLOOKUP($A139,Rotations!$A$1:$X$1441,20,0)</f>
        <v>5.0339594471968986E-2</v>
      </c>
      <c r="V139" s="7">
        <f>VLOOKUP($A139,Rotations!$A$1:$X$1441,21,0)</f>
        <v>0.17691993226871691</v>
      </c>
      <c r="W139" s="7">
        <f>VLOOKUP($A139,Rotations!$A$1:$X$1441,22,0)</f>
        <v>9.3379873738424796E-2</v>
      </c>
      <c r="X139" s="7">
        <f>VLOOKUP($A139,Rotations!$A$1:$X$1441,23,0)</f>
        <v>7.0638728985906479E-2</v>
      </c>
    </row>
    <row r="140" spans="1:24" ht="15.75" customHeight="1" x14ac:dyDescent="0.3">
      <c r="A140">
        <v>131</v>
      </c>
      <c r="B140" t="str">
        <f>Permutations!I132</f>
        <v>p11 - i2:i1</v>
      </c>
      <c r="C140" t="str">
        <f>Permutations!J132</f>
        <v>p9 - i1:i4</v>
      </c>
      <c r="D140" t="str">
        <f>Permutations!K132</f>
        <v>p14 - i4:i6</v>
      </c>
      <c r="E140" t="str">
        <f>Permutations!L132</f>
        <v>p131 - i6:i3</v>
      </c>
      <c r="F140" t="str">
        <f>Permutations!M132</f>
        <v>p6 - i3:i5</v>
      </c>
      <c r="G140" s="7">
        <f>VLOOKUP(B140,Vlookup!$A$1:$B$30,2,0)</f>
        <v>1.7440097060445605</v>
      </c>
      <c r="H140" s="7">
        <f>VLOOKUP(C140,Vlookup!$A$1:$B$30,2,0)</f>
        <v>1.2538815092968505</v>
      </c>
      <c r="I140" s="7">
        <f>VLOOKUP(D140,Vlookup!$A$1:$B$30,2,0)</f>
        <v>1.478275916473532</v>
      </c>
      <c r="J140" s="7">
        <f>VLOOKUP(E140,Vlookup!$A$1:$B$30,2,0)</f>
        <v>1.4032439022773779</v>
      </c>
      <c r="K140" s="7">
        <f>VLOOKUP(F140,Vlookup!$A$1:$B$30,2,0)</f>
        <v>2.2414716085286912</v>
      </c>
      <c r="L140" s="7">
        <f t="shared" si="1"/>
        <v>10.167807212565569</v>
      </c>
      <c r="M140" s="7">
        <f t="shared" si="2"/>
        <v>5.8301322391297381</v>
      </c>
      <c r="N140" s="7">
        <f t="shared" si="3"/>
        <v>4.649667608862937</v>
      </c>
      <c r="O140" s="7">
        <f t="shared" si="4"/>
        <v>3.1453313667957521</v>
      </c>
      <c r="P140" s="7">
        <f t="shared" si="5"/>
        <v>2.2414716085286912</v>
      </c>
      <c r="Q140">
        <v>1</v>
      </c>
      <c r="R140" s="7">
        <f t="shared" si="6"/>
        <v>27.034410035882686</v>
      </c>
      <c r="S140" s="7">
        <f>VLOOKUP($A140,Rotations!$A$1:$X$1441,18,0)</f>
        <v>0.21565598181692969</v>
      </c>
      <c r="T140" s="7">
        <f>VLOOKUP($A140,Rotations!$A$1:$X$1441,19,0)</f>
        <v>0.37610612545529459</v>
      </c>
      <c r="U140" s="7">
        <f>VLOOKUP($A140,Rotations!$A$1:$X$1441,20,0)</f>
        <v>8.2911800388970683E-2</v>
      </c>
      <c r="V140" s="7">
        <f>VLOOKUP($A140,Rotations!$A$1:$X$1441,21,0)</f>
        <v>0.17199071859498499</v>
      </c>
      <c r="W140" s="7">
        <f>VLOOKUP($A140,Rotations!$A$1:$X$1441,22,0)</f>
        <v>3.6989895421157819E-2</v>
      </c>
      <c r="X140" s="7">
        <f>VLOOKUP($A140,Rotations!$A$1:$X$1441,23,0)</f>
        <v>0.11634547832266226</v>
      </c>
    </row>
    <row r="141" spans="1:24" ht="15.75" customHeight="1" x14ac:dyDescent="0.3">
      <c r="A141">
        <v>132</v>
      </c>
      <c r="B141" t="str">
        <f>Permutations!I133</f>
        <v>p11 - i2:i1</v>
      </c>
      <c r="C141" t="str">
        <f>Permutations!J133</f>
        <v>p9 - i1:i4</v>
      </c>
      <c r="D141" t="str">
        <f>Permutations!K133</f>
        <v>p14 - i4:i6</v>
      </c>
      <c r="E141" t="str">
        <f>Permutations!L133</f>
        <v>p151 - i6:i5</v>
      </c>
      <c r="F141" t="str">
        <f>Permutations!M133</f>
        <v>p61 - i5:i3</v>
      </c>
      <c r="G141" s="7">
        <f>VLOOKUP(B141,Vlookup!$A$1:$B$30,2,0)</f>
        <v>1.7440097060445605</v>
      </c>
      <c r="H141" s="7">
        <f>VLOOKUP(C141,Vlookup!$A$1:$B$30,2,0)</f>
        <v>1.2538815092968505</v>
      </c>
      <c r="I141" s="7">
        <f>VLOOKUP(D141,Vlookup!$A$1:$B$30,2,0)</f>
        <v>1.478275916473532</v>
      </c>
      <c r="J141" s="7">
        <f>VLOOKUP(E141,Vlookup!$A$1:$B$30,2,0)</f>
        <v>1.2266517321719024</v>
      </c>
      <c r="K141" s="7">
        <f>VLOOKUP(F141,Vlookup!$A$1:$B$30,2,0)</f>
        <v>1.9746367445127702</v>
      </c>
      <c r="L141" s="7">
        <f t="shared" si="1"/>
        <v>7.8301374883793873</v>
      </c>
      <c r="M141" s="7">
        <f t="shared" si="2"/>
        <v>4.4897327470374311</v>
      </c>
      <c r="N141" s="7">
        <f t="shared" si="3"/>
        <v>3.580667482332661</v>
      </c>
      <c r="O141" s="7">
        <f t="shared" si="4"/>
        <v>2.4221915830668759</v>
      </c>
      <c r="P141" s="7">
        <f t="shared" si="5"/>
        <v>1.9746367445127702</v>
      </c>
      <c r="Q141">
        <v>1</v>
      </c>
      <c r="R141" s="7">
        <f t="shared" si="6"/>
        <v>21.297366045329127</v>
      </c>
      <c r="S141" s="7">
        <f>VLOOKUP($A141,Rotations!$A$1:$X$1441,18,0)</f>
        <v>0.21081164391322021</v>
      </c>
      <c r="T141" s="7">
        <f>VLOOKUP($A141,Rotations!$A$1:$X$1441,19,0)</f>
        <v>0.36765755313186577</v>
      </c>
      <c r="U141" s="7">
        <f>VLOOKUP($A141,Rotations!$A$1:$X$1441,20,0)</f>
        <v>4.6954163151988311E-2</v>
      </c>
      <c r="V141" s="7">
        <f>VLOOKUP($A141,Rotations!$A$1:$X$1441,21,0)</f>
        <v>0.168127245158467</v>
      </c>
      <c r="W141" s="7">
        <f>VLOOKUP($A141,Rotations!$A$1:$X$1441,22,0)</f>
        <v>9.2717415867763678E-2</v>
      </c>
      <c r="X141" s="7">
        <f>VLOOKUP($A141,Rotations!$A$1:$X$1441,23,0)</f>
        <v>0.11373197877669494</v>
      </c>
    </row>
    <row r="142" spans="1:24" ht="15.75" customHeight="1" x14ac:dyDescent="0.3">
      <c r="A142">
        <v>133</v>
      </c>
      <c r="B142" t="str">
        <f>Permutations!I134</f>
        <v>p11 - i2:i1</v>
      </c>
      <c r="C142" t="str">
        <f>Permutations!J134</f>
        <v>p10 - i1:i5</v>
      </c>
      <c r="D142" t="str">
        <f>Permutations!K134</f>
        <v>p61 - i5:i3</v>
      </c>
      <c r="E142" t="str">
        <f>Permutations!L134</f>
        <v>p3 - i3:i4</v>
      </c>
      <c r="F142" t="str">
        <f>Permutations!M134</f>
        <v>p14 - i4:i6</v>
      </c>
      <c r="G142" s="7">
        <f>VLOOKUP(B142,Vlookup!$A$1:$B$30,2,0)</f>
        <v>1.7440097060445605</v>
      </c>
      <c r="H142" s="7">
        <f>VLOOKUP(C142,Vlookup!$A$1:$B$30,2,0)</f>
        <v>1.0847108741813811</v>
      </c>
      <c r="I142" s="7">
        <f>VLOOKUP(D142,Vlookup!$A$1:$B$30,2,0)</f>
        <v>1.9746367445127702</v>
      </c>
      <c r="J142" s="7">
        <f>VLOOKUP(E142,Vlookup!$A$1:$B$30,2,0)</f>
        <v>1.4338636587362954</v>
      </c>
      <c r="K142" s="7">
        <f>VLOOKUP(F142,Vlookup!$A$1:$B$30,2,0)</f>
        <v>1.478275916473532</v>
      </c>
      <c r="L142" s="7">
        <f t="shared" si="1"/>
        <v>7.9179629466472949</v>
      </c>
      <c r="M142" s="7">
        <f t="shared" si="2"/>
        <v>4.5400911011013525</v>
      </c>
      <c r="N142" s="7">
        <f t="shared" si="3"/>
        <v>4.1855311024955908</v>
      </c>
      <c r="O142" s="7">
        <f t="shared" si="4"/>
        <v>2.1196461142164886</v>
      </c>
      <c r="P142" s="7">
        <f t="shared" si="5"/>
        <v>1.478275916473532</v>
      </c>
      <c r="Q142">
        <v>1</v>
      </c>
      <c r="R142" s="7">
        <f t="shared" si="6"/>
        <v>21.24150718093426</v>
      </c>
      <c r="S142" s="7">
        <f>VLOOKUP($A142,Rotations!$A$1:$X$1441,18,0)</f>
        <v>0.21373676841426781</v>
      </c>
      <c r="T142" s="7">
        <f>VLOOKUP($A142,Rotations!$A$1:$X$1441,19,0)</f>
        <v>0.37275899865308149</v>
      </c>
      <c r="U142" s="7">
        <f>VLOOKUP($A142,Rotations!$A$1:$X$1441,20,0)</f>
        <v>9.9787933886302541E-2</v>
      </c>
      <c r="V142" s="7">
        <f>VLOOKUP($A142,Rotations!$A$1:$X$1441,21,0)</f>
        <v>6.9593739459334975E-2</v>
      </c>
      <c r="W142" s="7">
        <f>VLOOKUP($A142,Rotations!$A$1:$X$1441,22,0)</f>
        <v>0.197044920910904</v>
      </c>
      <c r="X142" s="7">
        <f>VLOOKUP($A142,Rotations!$A$1:$X$1441,23,0)</f>
        <v>4.7077638676109104E-2</v>
      </c>
    </row>
    <row r="143" spans="1:24" ht="15.75" customHeight="1" x14ac:dyDescent="0.3">
      <c r="A143">
        <v>134</v>
      </c>
      <c r="B143" t="str">
        <f>Permutations!I135</f>
        <v>p11 - i2:i1</v>
      </c>
      <c r="C143" t="str">
        <f>Permutations!J135</f>
        <v>p10 - i1:i5</v>
      </c>
      <c r="D143" t="str">
        <f>Permutations!K135</f>
        <v>p61 - i5:i3</v>
      </c>
      <c r="E143" t="str">
        <f>Permutations!L135</f>
        <v>p13 - i3:i6</v>
      </c>
      <c r="F143" t="str">
        <f>Permutations!M135</f>
        <v>p141 - i6:i4</v>
      </c>
      <c r="G143" s="7">
        <f>VLOOKUP(B143,Vlookup!$A$1:$B$30,2,0)</f>
        <v>1.7440097060445605</v>
      </c>
      <c r="H143" s="7">
        <f>VLOOKUP(C143,Vlookup!$A$1:$B$30,2,0)</f>
        <v>1.0847108741813811</v>
      </c>
      <c r="I143" s="7">
        <f>VLOOKUP(D143,Vlookup!$A$1:$B$30,2,0)</f>
        <v>1.9746367445127702</v>
      </c>
      <c r="J143" s="7">
        <f>VLOOKUP(E143,Vlookup!$A$1:$B$30,2,0)</f>
        <v>2.0145521929129111</v>
      </c>
      <c r="K143" s="7">
        <f>VLOOKUP(F143,Vlookup!$A$1:$B$30,2,0)</f>
        <v>0.88688155974910687</v>
      </c>
      <c r="L143" s="7">
        <f t="shared" si="1"/>
        <v>6.6741237406284766</v>
      </c>
      <c r="M143" s="7">
        <f t="shared" si="2"/>
        <v>3.8268845164660732</v>
      </c>
      <c r="N143" s="7">
        <f t="shared" si="3"/>
        <v>3.5280226349294956</v>
      </c>
      <c r="O143" s="7">
        <f t="shared" si="4"/>
        <v>1.7866691910465862</v>
      </c>
      <c r="P143" s="7">
        <f t="shared" si="5"/>
        <v>0.88688155974910687</v>
      </c>
      <c r="Q143">
        <v>1</v>
      </c>
      <c r="R143" s="7">
        <f t="shared" si="6"/>
        <v>17.702581642819741</v>
      </c>
      <c r="S143" s="7">
        <f>VLOOKUP($A143,Rotations!$A$1:$X$1441,18,0)</f>
        <v>0.21617663421528563</v>
      </c>
      <c r="T143" s="7">
        <f>VLOOKUP($A143,Rotations!$A$1:$X$1441,19,0)</f>
        <v>0.37701414829150276</v>
      </c>
      <c r="U143" s="7">
        <f>VLOOKUP($A143,Rotations!$A$1:$X$1441,20,0)</f>
        <v>0.10092704143925067</v>
      </c>
      <c r="V143" s="7">
        <f>VLOOKUP($A143,Rotations!$A$1:$X$1441,21,0)</f>
        <v>5.6488935917751025E-2</v>
      </c>
      <c r="W143" s="7">
        <f>VLOOKUP($A143,Rotations!$A$1:$X$1441,22,0)</f>
        <v>0.19929424454090738</v>
      </c>
      <c r="X143" s="7">
        <f>VLOOKUP($A143,Rotations!$A$1:$X$1441,23,0)</f>
        <v>5.0098995595302377E-2</v>
      </c>
    </row>
    <row r="144" spans="1:24" ht="15.75" customHeight="1" x14ac:dyDescent="0.3">
      <c r="A144">
        <v>135</v>
      </c>
      <c r="B144" t="str">
        <f>Permutations!I136</f>
        <v>p11 - i2:i1</v>
      </c>
      <c r="C144" t="str">
        <f>Permutations!J136</f>
        <v>p10 - i1:i5</v>
      </c>
      <c r="D144" t="str">
        <f>Permutations!K136</f>
        <v>p41 - i5:i4</v>
      </c>
      <c r="E144" t="str">
        <f>Permutations!L136</f>
        <v>p31 - i4:i3</v>
      </c>
      <c r="F144" t="str">
        <f>Permutations!M136</f>
        <v>p13 - i3:i6</v>
      </c>
      <c r="G144" s="7">
        <f>VLOOKUP(B144,Vlookup!$A$1:$B$30,2,0)</f>
        <v>1.7440097060445605</v>
      </c>
      <c r="H144" s="7">
        <f>VLOOKUP(C144,Vlookup!$A$1:$B$30,2,0)</f>
        <v>1.0847108741813811</v>
      </c>
      <c r="I144" s="7">
        <f>VLOOKUP(D144,Vlookup!$A$1:$B$30,2,0)</f>
        <v>1.25400669441983</v>
      </c>
      <c r="J144" s="7">
        <f>VLOOKUP(E144,Vlookup!$A$1:$B$30,2,0)</f>
        <v>2.2388599512381115</v>
      </c>
      <c r="K144" s="7">
        <f>VLOOKUP(F144,Vlookup!$A$1:$B$30,2,0)</f>
        <v>2.0145521929129111</v>
      </c>
      <c r="L144" s="7">
        <f t="shared" si="1"/>
        <v>10.699616155279587</v>
      </c>
      <c r="M144" s="7">
        <f t="shared" si="2"/>
        <v>6.1350668624124065</v>
      </c>
      <c r="N144" s="7">
        <f t="shared" si="3"/>
        <v>5.6559466752303669</v>
      </c>
      <c r="O144" s="7">
        <f t="shared" si="4"/>
        <v>4.5103002243916306</v>
      </c>
      <c r="P144" s="7">
        <f t="shared" si="5"/>
        <v>2.0145521929129111</v>
      </c>
      <c r="Q144">
        <v>1</v>
      </c>
      <c r="R144" s="7">
        <f t="shared" si="6"/>
        <v>30.015482110226905</v>
      </c>
      <c r="S144" s="7">
        <f>VLOOKUP($A144,Rotations!$A$1:$X$1441,18,0)</f>
        <v>0.204396745648875</v>
      </c>
      <c r="T144" s="7">
        <f>VLOOKUP($A144,Rotations!$A$1:$X$1441,19,0)</f>
        <v>0.35646990829555936</v>
      </c>
      <c r="U144" s="7">
        <f>VLOOKUP($A144,Rotations!$A$1:$X$1441,20,0)</f>
        <v>6.7117102617735763E-2</v>
      </c>
      <c r="V144" s="7">
        <f>VLOOKUP($A144,Rotations!$A$1:$X$1441,21,0)</f>
        <v>0.15026579309398722</v>
      </c>
      <c r="W144" s="7">
        <f>VLOOKUP($A144,Rotations!$A$1:$X$1441,22,0)</f>
        <v>0.18843431048216502</v>
      </c>
      <c r="X144" s="7">
        <f>VLOOKUP($A144,Rotations!$A$1:$X$1441,23,0)</f>
        <v>3.331613986167755E-2</v>
      </c>
    </row>
    <row r="145" spans="1:24" ht="15.75" customHeight="1" x14ac:dyDescent="0.3">
      <c r="A145">
        <v>136</v>
      </c>
      <c r="B145" t="str">
        <f>Permutations!I137</f>
        <v>p11 - i2:i1</v>
      </c>
      <c r="C145" t="str">
        <f>Permutations!J137</f>
        <v>p10 - i1:i5</v>
      </c>
      <c r="D145" t="str">
        <f>Permutations!K137</f>
        <v>p41 - i5:i4</v>
      </c>
      <c r="E145" t="str">
        <f>Permutations!L137</f>
        <v>p14 - i4:i6</v>
      </c>
      <c r="F145" t="str">
        <f>Permutations!M137</f>
        <v>p131 - i6:i3</v>
      </c>
      <c r="G145" s="7">
        <f>VLOOKUP(B145,Vlookup!$A$1:$B$30,2,0)</f>
        <v>1.7440097060445605</v>
      </c>
      <c r="H145" s="7">
        <f>VLOOKUP(C145,Vlookup!$A$1:$B$30,2,0)</f>
        <v>1.0847108741813811</v>
      </c>
      <c r="I145" s="7">
        <f>VLOOKUP(D145,Vlookup!$A$1:$B$30,2,0)</f>
        <v>1.25400669441983</v>
      </c>
      <c r="J145" s="7">
        <f>VLOOKUP(E145,Vlookup!$A$1:$B$30,2,0)</f>
        <v>1.478275916473532</v>
      </c>
      <c r="K145" s="7">
        <f>VLOOKUP(F145,Vlookup!$A$1:$B$30,2,0)</f>
        <v>1.4032439022773779</v>
      </c>
      <c r="L145" s="7">
        <f t="shared" si="1"/>
        <v>4.920977868001156</v>
      </c>
      <c r="M145" s="7">
        <f t="shared" si="2"/>
        <v>2.8216459179932003</v>
      </c>
      <c r="N145" s="7">
        <f t="shared" si="3"/>
        <v>2.6012884955381903</v>
      </c>
      <c r="O145" s="7">
        <f t="shared" si="4"/>
        <v>2.0743816656749861</v>
      </c>
      <c r="P145" s="7">
        <f t="shared" si="5"/>
        <v>1.4032439022773779</v>
      </c>
      <c r="Q145">
        <v>1</v>
      </c>
      <c r="R145" s="7">
        <f t="shared" si="6"/>
        <v>14.82153784948491</v>
      </c>
      <c r="S145" s="7">
        <f>VLOOKUP($A145,Rotations!$A$1:$X$1441,18,0)</f>
        <v>0.19037470650127311</v>
      </c>
      <c r="T145" s="7">
        <f>VLOOKUP($A145,Rotations!$A$1:$X$1441,19,0)</f>
        <v>0.33201533592360483</v>
      </c>
      <c r="U145" s="7">
        <f>VLOOKUP($A145,Rotations!$A$1:$X$1441,20,0)</f>
        <v>6.7469382067850192E-2</v>
      </c>
      <c r="V145" s="7">
        <f>VLOOKUP($A145,Rotations!$A$1:$X$1441,21,0)</f>
        <v>0.1399572491559691</v>
      </c>
      <c r="W145" s="7">
        <f>VLOOKUP($A145,Rotations!$A$1:$X$1441,22,0)</f>
        <v>0.17550732737416935</v>
      </c>
      <c r="X145" s="7">
        <f>VLOOKUP($A145,Rotations!$A$1:$X$1441,23,0)</f>
        <v>9.4675998977133441E-2</v>
      </c>
    </row>
    <row r="146" spans="1:24" ht="15.75" customHeight="1" x14ac:dyDescent="0.3">
      <c r="A146">
        <v>137</v>
      </c>
      <c r="B146" t="str">
        <f>Permutations!I138</f>
        <v>p11 - i2:i1</v>
      </c>
      <c r="C146" t="str">
        <f>Permutations!J138</f>
        <v>p10 - i1:i5</v>
      </c>
      <c r="D146" t="str">
        <f>Permutations!K138</f>
        <v>p15 - i5:i6</v>
      </c>
      <c r="E146" t="str">
        <f>Permutations!L138</f>
        <v>p131 - i6:i3</v>
      </c>
      <c r="F146" t="str">
        <f>Permutations!M138</f>
        <v>p3 - i3:i4</v>
      </c>
      <c r="G146" s="7">
        <f>VLOOKUP(B146,Vlookup!$A$1:$B$30,2,0)</f>
        <v>1.7440097060445605</v>
      </c>
      <c r="H146" s="7">
        <f>VLOOKUP(C146,Vlookup!$A$1:$B$30,2,0)</f>
        <v>1.0847108741813811</v>
      </c>
      <c r="I146" s="7">
        <f>VLOOKUP(D146,Vlookup!$A$1:$B$30,2,0)</f>
        <v>1.3219359277692486</v>
      </c>
      <c r="J146" s="7">
        <f>VLOOKUP(E146,Vlookup!$A$1:$B$30,2,0)</f>
        <v>1.4032439022773779</v>
      </c>
      <c r="K146" s="7">
        <f>VLOOKUP(F146,Vlookup!$A$1:$B$30,2,0)</f>
        <v>1.4338636587362954</v>
      </c>
      <c r="L146" s="7">
        <f t="shared" si="1"/>
        <v>5.0316951260312299</v>
      </c>
      <c r="M146" s="7">
        <f t="shared" si="2"/>
        <v>2.8851302309797275</v>
      </c>
      <c r="N146" s="7">
        <f t="shared" si="3"/>
        <v>2.6598149789519741</v>
      </c>
      <c r="O146" s="7">
        <f t="shared" si="4"/>
        <v>2.0120604358188379</v>
      </c>
      <c r="P146" s="7">
        <f t="shared" si="5"/>
        <v>1.4338636587362954</v>
      </c>
      <c r="Q146">
        <v>1</v>
      </c>
      <c r="R146" s="7">
        <f t="shared" si="6"/>
        <v>15.022564430518067</v>
      </c>
      <c r="S146" s="7">
        <f>VLOOKUP($A146,Rotations!$A$1:$X$1441,18,0)</f>
        <v>0.1920531107936963</v>
      </c>
      <c r="T146" s="7">
        <f>VLOOKUP($A146,Rotations!$A$1:$X$1441,19,0)</f>
        <v>0.33494248930025772</v>
      </c>
      <c r="U146" s="7">
        <f>VLOOKUP($A146,Rotations!$A$1:$X$1441,20,0)</f>
        <v>9.5447329606616796E-2</v>
      </c>
      <c r="V146" s="7">
        <f>VLOOKUP($A146,Rotations!$A$1:$X$1441,21,0)</f>
        <v>6.6566530942514593E-2</v>
      </c>
      <c r="W146" s="7">
        <f>VLOOKUP($A146,Rotations!$A$1:$X$1441,22,0)</f>
        <v>0.17705465609777038</v>
      </c>
      <c r="X146" s="7">
        <f>VLOOKUP($A146,Rotations!$A$1:$X$1441,23,0)</f>
        <v>0.13393588325914407</v>
      </c>
    </row>
    <row r="147" spans="1:24" ht="15.75" customHeight="1" x14ac:dyDescent="0.3">
      <c r="A147">
        <v>138</v>
      </c>
      <c r="B147" t="str">
        <f>Permutations!I139</f>
        <v>p11 - i2:i1</v>
      </c>
      <c r="C147" t="str">
        <f>Permutations!J139</f>
        <v>p10 - i1:i5</v>
      </c>
      <c r="D147" t="str">
        <f>Permutations!K139</f>
        <v>p15 - i5:i6</v>
      </c>
      <c r="E147" t="str">
        <f>Permutations!L139</f>
        <v>p141 - i6:i4</v>
      </c>
      <c r="F147" t="str">
        <f>Permutations!M139</f>
        <v>p31 - i4:i3</v>
      </c>
      <c r="G147" s="7">
        <f>VLOOKUP(B147,Vlookup!$A$1:$B$30,2,0)</f>
        <v>1.7440097060445605</v>
      </c>
      <c r="H147" s="7">
        <f>VLOOKUP(C147,Vlookup!$A$1:$B$30,2,0)</f>
        <v>1.0847108741813811</v>
      </c>
      <c r="I147" s="7">
        <f>VLOOKUP(D147,Vlookup!$A$1:$B$30,2,0)</f>
        <v>1.3219359277692486</v>
      </c>
      <c r="J147" s="7">
        <f>VLOOKUP(E147,Vlookup!$A$1:$B$30,2,0)</f>
        <v>0.88688155974910687</v>
      </c>
      <c r="K147" s="7">
        <f>VLOOKUP(F147,Vlookup!$A$1:$B$30,2,0)</f>
        <v>2.2388599512381115</v>
      </c>
      <c r="L147" s="7">
        <f t="shared" si="1"/>
        <v>4.965532747793115</v>
      </c>
      <c r="M147" s="7">
        <f t="shared" si="2"/>
        <v>2.8471932986284894</v>
      </c>
      <c r="N147" s="7">
        <f t="shared" si="3"/>
        <v>2.6248407445691311</v>
      </c>
      <c r="O147" s="7">
        <f t="shared" si="4"/>
        <v>1.9856036056138657</v>
      </c>
      <c r="P147" s="7">
        <f t="shared" si="5"/>
        <v>2.2388599512381115</v>
      </c>
      <c r="Q147">
        <v>1</v>
      </c>
      <c r="R147" s="7">
        <f t="shared" si="6"/>
        <v>15.662030347842713</v>
      </c>
      <c r="S147" s="7">
        <f>VLOOKUP($A147,Rotations!$A$1:$X$1441,18,0)</f>
        <v>0.18178954039765743</v>
      </c>
      <c r="T147" s="7">
        <f>VLOOKUP($A147,Rotations!$A$1:$X$1441,19,0)</f>
        <v>0.3170427229108943</v>
      </c>
      <c r="U147" s="7">
        <f>VLOOKUP($A147,Rotations!$A$1:$X$1441,20,0)</f>
        <v>6.3848682309426114E-2</v>
      </c>
      <c r="V147" s="7">
        <f>VLOOKUP($A147,Rotations!$A$1:$X$1441,21,0)</f>
        <v>0.14294825776189943</v>
      </c>
      <c r="W147" s="7">
        <f>VLOOKUP($A147,Rotations!$A$1:$X$1441,22,0)</f>
        <v>0.16759262281283197</v>
      </c>
      <c r="X147" s="7">
        <f>VLOOKUP($A147,Rotations!$A$1:$X$1441,23,0)</f>
        <v>0.12677817380729076</v>
      </c>
    </row>
    <row r="148" spans="1:24" ht="15.75" customHeight="1" x14ac:dyDescent="0.3">
      <c r="A148">
        <v>139</v>
      </c>
      <c r="B148" t="str">
        <f>Permutations!I140</f>
        <v>p11 - i2:i1</v>
      </c>
      <c r="C148" t="str">
        <f>Permutations!J140</f>
        <v>p11 - i1:i6</v>
      </c>
      <c r="D148" t="str">
        <f>Permutations!K140</f>
        <v>p131 - i6:i3</v>
      </c>
      <c r="E148" t="str">
        <f>Permutations!L140</f>
        <v>p3 - i3:i4</v>
      </c>
      <c r="F148" t="str">
        <f>Permutations!M140</f>
        <v>p4 - i4:i5</v>
      </c>
      <c r="G148" s="7">
        <f>VLOOKUP(B148,Vlookup!$A$1:$B$30,2,0)</f>
        <v>1.7440097060445605</v>
      </c>
      <c r="H148" s="7">
        <f>VLOOKUP(C148,Vlookup!$A$1:$B$30,2,0)</f>
        <v>1.1613557664474019</v>
      </c>
      <c r="I148" s="7">
        <f>VLOOKUP(D148,Vlookup!$A$1:$B$30,2,0)</f>
        <v>1.4032439022773779</v>
      </c>
      <c r="J148" s="7">
        <f>VLOOKUP(E148,Vlookup!$A$1:$B$30,2,0)</f>
        <v>1.4338636587362954</v>
      </c>
      <c r="K148" s="7">
        <f>VLOOKUP(F148,Vlookup!$A$1:$B$30,2,0)</f>
        <v>1.89462595295753</v>
      </c>
      <c r="L148" s="7">
        <f t="shared" si="1"/>
        <v>7.7210911900252928</v>
      </c>
      <c r="M148" s="7">
        <f t="shared" si="2"/>
        <v>4.4272065477988889</v>
      </c>
      <c r="N148" s="7">
        <f t="shared" si="3"/>
        <v>3.8121019206214086</v>
      </c>
      <c r="O148" s="7">
        <f t="shared" si="4"/>
        <v>2.7166353008444242</v>
      </c>
      <c r="P148" s="7">
        <f t="shared" si="5"/>
        <v>1.89462595295753</v>
      </c>
      <c r="Q148">
        <v>1</v>
      </c>
      <c r="R148" s="7">
        <f t="shared" si="6"/>
        <v>21.571660912247545</v>
      </c>
      <c r="S148" s="7">
        <f>VLOOKUP($A148,Rotations!$A$1:$X$1441,18,0)</f>
        <v>0.20523253011479028</v>
      </c>
      <c r="T148" s="7">
        <f>VLOOKUP($A148,Rotations!$A$1:$X$1441,19,0)</f>
        <v>0.3579275245162768</v>
      </c>
      <c r="U148" s="7">
        <f>VLOOKUP($A148,Rotations!$A$1:$X$1441,20,0)</f>
        <v>0.12593537938017674</v>
      </c>
      <c r="V148" s="7">
        <f>VLOOKUP($A148,Rotations!$A$1:$X$1441,21,0)</f>
        <v>8.7829396200170912E-2</v>
      </c>
      <c r="W148" s="7">
        <f>VLOOKUP($A148,Rotations!$A$1:$X$1441,22,0)</f>
        <v>4.6357116592363974E-2</v>
      </c>
      <c r="X148" s="7">
        <f>VLOOKUP($A148,Rotations!$A$1:$X$1441,23,0)</f>
        <v>0.17671805319622128</v>
      </c>
    </row>
    <row r="149" spans="1:24" ht="15.75" customHeight="1" x14ac:dyDescent="0.3">
      <c r="A149">
        <v>140</v>
      </c>
      <c r="B149" t="str">
        <f>Permutations!I141</f>
        <v>p11 - i2:i1</v>
      </c>
      <c r="C149" t="str">
        <f>Permutations!J141</f>
        <v>p11 - i1:i6</v>
      </c>
      <c r="D149" t="str">
        <f>Permutations!K141</f>
        <v>p131 - i6:i3</v>
      </c>
      <c r="E149" t="str">
        <f>Permutations!L141</f>
        <v>p6 - i3:i5</v>
      </c>
      <c r="F149" t="str">
        <f>Permutations!M141</f>
        <v>p41 - i5:i4</v>
      </c>
      <c r="G149" s="7">
        <f>VLOOKUP(B149,Vlookup!$A$1:$B$30,2,0)</f>
        <v>1.7440097060445605</v>
      </c>
      <c r="H149" s="7">
        <f>VLOOKUP(C149,Vlookup!$A$1:$B$30,2,0)</f>
        <v>1.1613557664474019</v>
      </c>
      <c r="I149" s="7">
        <f>VLOOKUP(D149,Vlookup!$A$1:$B$30,2,0)</f>
        <v>1.4032439022773779</v>
      </c>
      <c r="J149" s="7">
        <f>VLOOKUP(E149,Vlookup!$A$1:$B$30,2,0)</f>
        <v>2.2414716085286912</v>
      </c>
      <c r="K149" s="7">
        <f>VLOOKUP(F149,Vlookup!$A$1:$B$30,2,0)</f>
        <v>1.25400669441983</v>
      </c>
      <c r="L149" s="7">
        <f t="shared" si="1"/>
        <v>7.9887795904480363</v>
      </c>
      <c r="M149" s="7">
        <f t="shared" si="2"/>
        <v>4.5806967488539421</v>
      </c>
      <c r="N149" s="7">
        <f t="shared" si="3"/>
        <v>3.9442665901305469</v>
      </c>
      <c r="O149" s="7">
        <f t="shared" si="4"/>
        <v>2.8108204024469634</v>
      </c>
      <c r="P149" s="7">
        <f t="shared" si="5"/>
        <v>1.25400669441983</v>
      </c>
      <c r="Q149">
        <v>1</v>
      </c>
      <c r="R149" s="7">
        <f t="shared" si="6"/>
        <v>21.578570026299317</v>
      </c>
      <c r="S149" s="7">
        <f>VLOOKUP($A149,Rotations!$A$1:$X$1441,18,0)</f>
        <v>0.21227990285135323</v>
      </c>
      <c r="T149" s="7">
        <f>VLOOKUP($A149,Rotations!$A$1:$X$1441,19,0)</f>
        <v>0.37021821097095636</v>
      </c>
      <c r="U149" s="7">
        <f>VLOOKUP($A149,Rotations!$A$1:$X$1441,20,0)</f>
        <v>0.13025980864446621</v>
      </c>
      <c r="V149" s="7">
        <f>VLOOKUP($A149,Rotations!$A$1:$X$1441,21,0)</f>
        <v>4.6342273782796074E-2</v>
      </c>
      <c r="W149" s="7">
        <f>VLOOKUP($A149,Rotations!$A$1:$X$1441,22,0)</f>
        <v>5.8113521558262854E-2</v>
      </c>
      <c r="X149" s="7">
        <f>VLOOKUP($A149,Rotations!$A$1:$X$1441,23,0)</f>
        <v>0.18278628219216531</v>
      </c>
    </row>
    <row r="150" spans="1:24" ht="15.75" customHeight="1" x14ac:dyDescent="0.3">
      <c r="A150">
        <v>141</v>
      </c>
      <c r="B150" t="str">
        <f>Permutations!I142</f>
        <v>p11 - i2:i1</v>
      </c>
      <c r="C150" t="str">
        <f>Permutations!J142</f>
        <v>p11 - i1:i6</v>
      </c>
      <c r="D150" t="str">
        <f>Permutations!K142</f>
        <v>p141 - i6:i4</v>
      </c>
      <c r="E150" t="str">
        <f>Permutations!L142</f>
        <v>p31 - i4:i3</v>
      </c>
      <c r="F150" t="str">
        <f>Permutations!M142</f>
        <v>p6 - i3:i5</v>
      </c>
      <c r="G150" s="7">
        <f>VLOOKUP(B150,Vlookup!$A$1:$B$30,2,0)</f>
        <v>1.7440097060445605</v>
      </c>
      <c r="H150" s="7">
        <f>VLOOKUP(C150,Vlookup!$A$1:$B$30,2,0)</f>
        <v>1.1613557664474019</v>
      </c>
      <c r="I150" s="7">
        <f>VLOOKUP(D150,Vlookup!$A$1:$B$30,2,0)</f>
        <v>0.88688155974910687</v>
      </c>
      <c r="J150" s="7">
        <f>VLOOKUP(E150,Vlookup!$A$1:$B$30,2,0)</f>
        <v>2.2388599512381115</v>
      </c>
      <c r="K150" s="7">
        <f>VLOOKUP(F150,Vlookup!$A$1:$B$30,2,0)</f>
        <v>2.2414716085286912</v>
      </c>
      <c r="L150" s="7">
        <f t="shared" si="1"/>
        <v>9.0144653418969494</v>
      </c>
      <c r="M150" s="7">
        <f t="shared" si="2"/>
        <v>5.1688160396434331</v>
      </c>
      <c r="N150" s="7">
        <f t="shared" si="3"/>
        <v>4.4506741077756802</v>
      </c>
      <c r="O150" s="7">
        <f t="shared" si="4"/>
        <v>5.0183410161721573</v>
      </c>
      <c r="P150" s="7">
        <f t="shared" si="5"/>
        <v>2.2414716085286912</v>
      </c>
      <c r="Q150">
        <v>1</v>
      </c>
      <c r="R150" s="7">
        <f t="shared" si="6"/>
        <v>26.893768114016911</v>
      </c>
      <c r="S150" s="7">
        <f>VLOOKUP($A150,Rotations!$A$1:$X$1441,18,0)</f>
        <v>0.19219382043193381</v>
      </c>
      <c r="T150" s="7">
        <f>VLOOKUP($A150,Rotations!$A$1:$X$1441,19,0)</f>
        <v>0.33518788827507778</v>
      </c>
      <c r="U150" s="7">
        <f>VLOOKUP($A150,Rotations!$A$1:$X$1441,20,0)</f>
        <v>8.3345390613390705E-2</v>
      </c>
      <c r="V150" s="7">
        <f>VLOOKUP($A150,Rotations!$A$1:$X$1441,21,0)</f>
        <v>0.18659865716461727</v>
      </c>
      <c r="W150" s="7">
        <f>VLOOKUP($A150,Rotations!$A$1:$X$1441,22,0)</f>
        <v>3.7183335401735858E-2</v>
      </c>
      <c r="X150" s="7">
        <f>VLOOKUP($A150,Rotations!$A$1:$X$1441,23,0)</f>
        <v>0.1654909081132446</v>
      </c>
    </row>
    <row r="151" spans="1:24" ht="15.75" customHeight="1" x14ac:dyDescent="0.3">
      <c r="A151">
        <v>142</v>
      </c>
      <c r="B151" t="str">
        <f>Permutations!I143</f>
        <v>p11 - i2:i1</v>
      </c>
      <c r="C151" t="str">
        <f>Permutations!J143</f>
        <v>p11 - i1:i6</v>
      </c>
      <c r="D151" t="str">
        <f>Permutations!K143</f>
        <v>p141 - i6:i4</v>
      </c>
      <c r="E151" t="str">
        <f>Permutations!L143</f>
        <v>p4 - i4:i5</v>
      </c>
      <c r="F151" t="str">
        <f>Permutations!M143</f>
        <v>p61 - i5:i3</v>
      </c>
      <c r="G151" s="7">
        <f>VLOOKUP(B151,Vlookup!$A$1:$B$30,2,0)</f>
        <v>1.7440097060445605</v>
      </c>
      <c r="H151" s="7">
        <f>VLOOKUP(C151,Vlookup!$A$1:$B$30,2,0)</f>
        <v>1.1613557664474019</v>
      </c>
      <c r="I151" s="7">
        <f>VLOOKUP(D151,Vlookup!$A$1:$B$30,2,0)</f>
        <v>0.88688155974910687</v>
      </c>
      <c r="J151" s="7">
        <f>VLOOKUP(E151,Vlookup!$A$1:$B$30,2,0)</f>
        <v>1.89462595295753</v>
      </c>
      <c r="K151" s="7">
        <f>VLOOKUP(F151,Vlookup!$A$1:$B$30,2,0)</f>
        <v>1.9746367445127702</v>
      </c>
      <c r="L151" s="7">
        <f t="shared" si="1"/>
        <v>6.7203284540037567</v>
      </c>
      <c r="M151" s="7">
        <f t="shared" si="2"/>
        <v>3.8533778973315238</v>
      </c>
      <c r="N151" s="7">
        <f t="shared" si="3"/>
        <v>3.3179995386935071</v>
      </c>
      <c r="O151" s="7">
        <f t="shared" si="4"/>
        <v>3.741198023817462</v>
      </c>
      <c r="P151" s="7">
        <f t="shared" si="5"/>
        <v>1.9746367445127702</v>
      </c>
      <c r="Q151">
        <v>1</v>
      </c>
      <c r="R151" s="7">
        <f t="shared" si="6"/>
        <v>20.607540658359021</v>
      </c>
      <c r="S151" s="7">
        <f>VLOOKUP($A151,Rotations!$A$1:$X$1441,18,0)</f>
        <v>0.18698873199934612</v>
      </c>
      <c r="T151" s="7">
        <f>VLOOKUP($A151,Rotations!$A$1:$X$1441,19,0)</f>
        <v>0.32611016352782468</v>
      </c>
      <c r="U151" s="7">
        <f>VLOOKUP($A151,Rotations!$A$1:$X$1441,20,0)</f>
        <v>4.8525926338248947E-2</v>
      </c>
      <c r="V151" s="7">
        <f>VLOOKUP($A151,Rotations!$A$1:$X$1441,21,0)</f>
        <v>0.18154509972056868</v>
      </c>
      <c r="W151" s="7">
        <f>VLOOKUP($A151,Rotations!$A$1:$X$1441,22,0)</f>
        <v>9.5821077209026384E-2</v>
      </c>
      <c r="X151" s="7">
        <f>VLOOKUP($A151,Rotations!$A$1:$X$1441,23,0)</f>
        <v>0.1610090012049851</v>
      </c>
    </row>
    <row r="152" spans="1:24" ht="15.75" customHeight="1" x14ac:dyDescent="0.3">
      <c r="A152">
        <v>143</v>
      </c>
      <c r="B152" t="str">
        <f>Permutations!I144</f>
        <v>p11 - i2:i1</v>
      </c>
      <c r="C152" t="str">
        <f>Permutations!J144</f>
        <v>p11 - i1:i6</v>
      </c>
      <c r="D152" t="str">
        <f>Permutations!K144</f>
        <v>p151 - i6:i5</v>
      </c>
      <c r="E152" t="str">
        <f>Permutations!L144</f>
        <v>p61 - i5:i3</v>
      </c>
      <c r="F152" t="str">
        <f>Permutations!M144</f>
        <v>p3 - i3:i4</v>
      </c>
      <c r="G152" s="7">
        <f>VLOOKUP(B152,Vlookup!$A$1:$B$30,2,0)</f>
        <v>1.7440097060445605</v>
      </c>
      <c r="H152" s="7">
        <f>VLOOKUP(C152,Vlookup!$A$1:$B$30,2,0)</f>
        <v>1.1613557664474019</v>
      </c>
      <c r="I152" s="7">
        <f>VLOOKUP(D152,Vlookup!$A$1:$B$30,2,0)</f>
        <v>1.2266517321719024</v>
      </c>
      <c r="J152" s="7">
        <f>VLOOKUP(E152,Vlookup!$A$1:$B$30,2,0)</f>
        <v>1.9746367445127702</v>
      </c>
      <c r="K152" s="7">
        <f>VLOOKUP(F152,Vlookup!$A$1:$B$30,2,0)</f>
        <v>1.4338636587362954</v>
      </c>
      <c r="L152" s="7">
        <f t="shared" si="1"/>
        <v>7.034456147812068</v>
      </c>
      <c r="M152" s="7">
        <f t="shared" si="2"/>
        <v>4.03349598539008</v>
      </c>
      <c r="N152" s="7">
        <f t="shared" si="3"/>
        <v>3.4730924854565299</v>
      </c>
      <c r="O152" s="7">
        <f t="shared" si="4"/>
        <v>2.8313598671622078</v>
      </c>
      <c r="P152" s="7">
        <f t="shared" si="5"/>
        <v>1.4338636587362954</v>
      </c>
      <c r="Q152">
        <v>1</v>
      </c>
      <c r="R152" s="7">
        <f t="shared" si="6"/>
        <v>19.806268144557183</v>
      </c>
      <c r="S152" s="7">
        <f>VLOOKUP($A152,Rotations!$A$1:$X$1441,18,0)</f>
        <v>0.20364744917878413</v>
      </c>
      <c r="T152" s="7">
        <f>VLOOKUP($A152,Rotations!$A$1:$X$1441,19,0)</f>
        <v>0.35516312797901584</v>
      </c>
      <c r="U152" s="7">
        <f>VLOOKUP($A152,Rotations!$A$1:$X$1441,20,0)</f>
        <v>7.2394438380373294E-2</v>
      </c>
      <c r="V152" s="7">
        <f>VLOOKUP($A152,Rotations!$A$1:$X$1441,21,0)</f>
        <v>5.0489067031782194E-2</v>
      </c>
      <c r="W152" s="7">
        <f>VLOOKUP($A152,Rotations!$A$1:$X$1441,22,0)</f>
        <v>0.14295271812425064</v>
      </c>
      <c r="X152" s="7">
        <f>VLOOKUP($A152,Rotations!$A$1:$X$1441,23,0)</f>
        <v>0.17535319930579377</v>
      </c>
    </row>
    <row r="153" spans="1:24" ht="15.75" customHeight="1" x14ac:dyDescent="0.3">
      <c r="A153">
        <v>144</v>
      </c>
      <c r="B153" t="str">
        <f>Permutations!I145</f>
        <v>p11 - i2:i1</v>
      </c>
      <c r="C153" t="str">
        <f>Permutations!J145</f>
        <v>p11 - i1:i6</v>
      </c>
      <c r="D153" t="str">
        <f>Permutations!K145</f>
        <v>p151 - i6:i5</v>
      </c>
      <c r="E153" t="str">
        <f>Permutations!L145</f>
        <v>p41 - i5:i4</v>
      </c>
      <c r="F153" t="str">
        <f>Permutations!M145</f>
        <v>p31 - i4:i3</v>
      </c>
      <c r="G153" s="7">
        <f>VLOOKUP(B153,Vlookup!$A$1:$B$30,2,0)</f>
        <v>1.7440097060445605</v>
      </c>
      <c r="H153" s="7">
        <f>VLOOKUP(C153,Vlookup!$A$1:$B$30,2,0)</f>
        <v>1.1613557664474019</v>
      </c>
      <c r="I153" s="7">
        <f>VLOOKUP(D153,Vlookup!$A$1:$B$30,2,0)</f>
        <v>1.2266517321719024</v>
      </c>
      <c r="J153" s="7">
        <f>VLOOKUP(E153,Vlookup!$A$1:$B$30,2,0)</f>
        <v>1.25400669441983</v>
      </c>
      <c r="K153" s="7">
        <f>VLOOKUP(F153,Vlookup!$A$1:$B$30,2,0)</f>
        <v>2.2388599512381115</v>
      </c>
      <c r="L153" s="7">
        <f t="shared" si="1"/>
        <v>6.9752895046105783</v>
      </c>
      <c r="M153" s="7">
        <f t="shared" si="2"/>
        <v>3.9995703466757861</v>
      </c>
      <c r="N153" s="7">
        <f t="shared" si="3"/>
        <v>3.4438803872395698</v>
      </c>
      <c r="O153" s="7">
        <f t="shared" si="4"/>
        <v>2.8075453667210462</v>
      </c>
      <c r="P153" s="7">
        <f t="shared" si="5"/>
        <v>2.2388599512381115</v>
      </c>
      <c r="Q153">
        <v>1</v>
      </c>
      <c r="R153" s="7">
        <f t="shared" si="6"/>
        <v>20.465145556485094</v>
      </c>
      <c r="S153" s="7">
        <f>VLOOKUP($A153,Rotations!$A$1:$X$1441,18,0)</f>
        <v>0.19543327144371975</v>
      </c>
      <c r="T153" s="7">
        <f>VLOOKUP($A153,Rotations!$A$1:$X$1441,19,0)</f>
        <v>0.34083752228188841</v>
      </c>
      <c r="U153" s="7">
        <f>VLOOKUP($A153,Rotations!$A$1:$X$1441,20,0)</f>
        <v>4.8863566459370483E-2</v>
      </c>
      <c r="V153" s="7">
        <f>VLOOKUP($A153,Rotations!$A$1:$X$1441,21,0)</f>
        <v>0.10939868202054644</v>
      </c>
      <c r="W153" s="7">
        <f>VLOOKUP($A153,Rotations!$A$1:$X$1441,22,0)</f>
        <v>0.13718667961447154</v>
      </c>
      <c r="X153" s="7">
        <f>VLOOKUP($A153,Rotations!$A$1:$X$1441,23,0)</f>
        <v>0.1682802781800033</v>
      </c>
    </row>
    <row r="154" spans="1:24" ht="15.75" customHeight="1" x14ac:dyDescent="0.3">
      <c r="A154">
        <v>145</v>
      </c>
      <c r="B154" t="str">
        <f>Permutations!I146</f>
        <v>p2 - i2:i3</v>
      </c>
      <c r="C154" t="str">
        <f>Permutations!J146</f>
        <v>p81 - i3:i1</v>
      </c>
      <c r="D154" t="str">
        <f>Permutations!K146</f>
        <v>p9 - i1:i4</v>
      </c>
      <c r="E154" t="str">
        <f>Permutations!L146</f>
        <v>p4 - i4:i5</v>
      </c>
      <c r="F154" t="str">
        <f>Permutations!M146</f>
        <v>p15 - i5:i6</v>
      </c>
      <c r="G154" s="7">
        <f>VLOOKUP(B154,Vlookup!$A$1:$B$30,2,0)</f>
        <v>1.3601242124324544</v>
      </c>
      <c r="H154" s="7">
        <f>VLOOKUP(C154,Vlookup!$A$1:$B$30,2,0)</f>
        <v>1.7021844231989158</v>
      </c>
      <c r="I154" s="7">
        <f>VLOOKUP(D154,Vlookup!$A$1:$B$30,2,0)</f>
        <v>1.2538815092968505</v>
      </c>
      <c r="J154" s="7">
        <f>VLOOKUP(E154,Vlookup!$A$1:$B$30,2,0)</f>
        <v>1.89462595295753</v>
      </c>
      <c r="K154" s="7">
        <f>VLOOKUP(F154,Vlookup!$A$1:$B$30,2,0)</f>
        <v>1.3219359277692486</v>
      </c>
      <c r="L154" s="7">
        <f t="shared" si="1"/>
        <v>7.2706890262615094</v>
      </c>
      <c r="M154" s="7">
        <f t="shared" si="2"/>
        <v>5.3456066437186394</v>
      </c>
      <c r="N154" s="7">
        <f t="shared" si="3"/>
        <v>3.1404391738426547</v>
      </c>
      <c r="O154" s="7">
        <f t="shared" si="4"/>
        <v>2.5045741168986093</v>
      </c>
      <c r="P154" s="7">
        <f t="shared" si="5"/>
        <v>1.3219359277692486</v>
      </c>
      <c r="Q154">
        <v>1</v>
      </c>
      <c r="R154" s="7">
        <f t="shared" si="6"/>
        <v>20.583244888490661</v>
      </c>
      <c r="S154" s="7">
        <f>VLOOKUP($A154,Rotations!$A$1:$X$1441,18,0)</f>
        <v>0.15257259926002553</v>
      </c>
      <c r="T154" s="7">
        <f>VLOOKUP($A154,Rotations!$A$1:$X$1441,19,0)</f>
        <v>0.35323337334080845</v>
      </c>
      <c r="U154" s="7">
        <f>VLOOKUP($A154,Rotations!$A$1:$X$1441,20,0)</f>
        <v>0.25970670186738593</v>
      </c>
      <c r="V154" s="7">
        <f>VLOOKUP($A154,Rotations!$A$1:$X$1441,21,0)</f>
        <v>0.1216802370309974</v>
      </c>
      <c r="W154" s="7">
        <f>VLOOKUP($A154,Rotations!$A$1:$X$1441,22,0)</f>
        <v>6.4223883791443545E-2</v>
      </c>
      <c r="X154" s="7">
        <f>VLOOKUP($A154,Rotations!$A$1:$X$1441,23,0)</f>
        <v>4.8583204709339127E-2</v>
      </c>
    </row>
    <row r="155" spans="1:24" ht="15.75" customHeight="1" x14ac:dyDescent="0.3">
      <c r="A155">
        <v>146</v>
      </c>
      <c r="B155" t="str">
        <f>Permutations!I147</f>
        <v>p2 - i2:i3</v>
      </c>
      <c r="C155" t="str">
        <f>Permutations!J147</f>
        <v>p81 - i3:i1</v>
      </c>
      <c r="D155" t="str">
        <f>Permutations!K147</f>
        <v>p9 - i1:i4</v>
      </c>
      <c r="E155" t="str">
        <f>Permutations!L147</f>
        <v>p14 - i4:i6</v>
      </c>
      <c r="F155" t="str">
        <f>Permutations!M147</f>
        <v>p151 - i6:i5</v>
      </c>
      <c r="G155" s="7">
        <f>VLOOKUP(B155,Vlookup!$A$1:$B$30,2,0)</f>
        <v>1.3601242124324544</v>
      </c>
      <c r="H155" s="7">
        <f>VLOOKUP(C155,Vlookup!$A$1:$B$30,2,0)</f>
        <v>1.7021844231989158</v>
      </c>
      <c r="I155" s="7">
        <f>VLOOKUP(D155,Vlookup!$A$1:$B$30,2,0)</f>
        <v>1.2538815092968505</v>
      </c>
      <c r="J155" s="7">
        <f>VLOOKUP(E155,Vlookup!$A$1:$B$30,2,0)</f>
        <v>1.478275916473532</v>
      </c>
      <c r="K155" s="7">
        <f>VLOOKUP(F155,Vlookup!$A$1:$B$30,2,0)</f>
        <v>1.2266517321719024</v>
      </c>
      <c r="L155" s="7">
        <f t="shared" si="1"/>
        <v>5.2640312620394978</v>
      </c>
      <c r="M155" s="7">
        <f t="shared" si="2"/>
        <v>3.8702577411112133</v>
      </c>
      <c r="N155" s="7">
        <f t="shared" si="3"/>
        <v>2.273700598104309</v>
      </c>
      <c r="O155" s="7">
        <f t="shared" si="4"/>
        <v>1.8133297135702644</v>
      </c>
      <c r="P155" s="7">
        <f t="shared" si="5"/>
        <v>1.2266517321719024</v>
      </c>
      <c r="Q155">
        <v>1</v>
      </c>
      <c r="R155" s="7">
        <f t="shared" si="6"/>
        <v>15.447971046997186</v>
      </c>
      <c r="S155" s="7">
        <f>VLOOKUP($A155,Rotations!$A$1:$X$1441,18,0)</f>
        <v>0.14718441607555166</v>
      </c>
      <c r="T155" s="7">
        <f>VLOOKUP($A155,Rotations!$A$1:$X$1441,19,0)</f>
        <v>0.34075874728304423</v>
      </c>
      <c r="U155" s="7">
        <f>VLOOKUP($A155,Rotations!$A$1:$X$1441,20,0)</f>
        <v>0.25053502038143211</v>
      </c>
      <c r="V155" s="7">
        <f>VLOOKUP($A155,Rotations!$A$1:$X$1441,21,0)</f>
        <v>0.11738303418964162</v>
      </c>
      <c r="W155" s="7">
        <f>VLOOKUP($A155,Rotations!$A$1:$X$1441,22,0)</f>
        <v>6.4733420133796946E-2</v>
      </c>
      <c r="X155" s="7">
        <f>VLOOKUP($A155,Rotations!$A$1:$X$1441,23,0)</f>
        <v>7.9405361936533539E-2</v>
      </c>
    </row>
    <row r="156" spans="1:24" ht="15.75" customHeight="1" x14ac:dyDescent="0.3">
      <c r="A156">
        <v>147</v>
      </c>
      <c r="B156" t="str">
        <f>Permutations!I148</f>
        <v>p2 - i2:i3</v>
      </c>
      <c r="C156" t="str">
        <f>Permutations!J148</f>
        <v>p81 - i3:i1</v>
      </c>
      <c r="D156" t="str">
        <f>Permutations!K148</f>
        <v>p10 - i1:i5</v>
      </c>
      <c r="E156" t="str">
        <f>Permutations!L148</f>
        <v>p41 - i5:i4</v>
      </c>
      <c r="F156" t="str">
        <f>Permutations!M148</f>
        <v>p14 - i4:i6</v>
      </c>
      <c r="G156" s="7">
        <f>VLOOKUP(B156,Vlookup!$A$1:$B$30,2,0)</f>
        <v>1.3601242124324544</v>
      </c>
      <c r="H156" s="7">
        <f>VLOOKUP(C156,Vlookup!$A$1:$B$30,2,0)</f>
        <v>1.7021844231989158</v>
      </c>
      <c r="I156" s="7">
        <f>VLOOKUP(D156,Vlookup!$A$1:$B$30,2,0)</f>
        <v>1.0847108741813811</v>
      </c>
      <c r="J156" s="7">
        <f>VLOOKUP(E156,Vlookup!$A$1:$B$30,2,0)</f>
        <v>1.25400669441983</v>
      </c>
      <c r="K156" s="7">
        <f>VLOOKUP(F156,Vlookup!$A$1:$B$30,2,0)</f>
        <v>1.478275916473532</v>
      </c>
      <c r="L156" s="7">
        <f t="shared" si="1"/>
        <v>4.6553735447764133</v>
      </c>
      <c r="M156" s="7">
        <f t="shared" si="2"/>
        <v>3.4227561734605949</v>
      </c>
      <c r="N156" s="7">
        <f t="shared" si="3"/>
        <v>2.0108021944109957</v>
      </c>
      <c r="O156" s="7">
        <f t="shared" si="4"/>
        <v>1.8537678954574186</v>
      </c>
      <c r="P156" s="7">
        <f t="shared" si="5"/>
        <v>1.478275916473532</v>
      </c>
      <c r="Q156">
        <v>1</v>
      </c>
      <c r="R156" s="7">
        <f t="shared" si="6"/>
        <v>14.420975724578954</v>
      </c>
      <c r="S156" s="7">
        <f>VLOOKUP($A156,Rotations!$A$1:$X$1441,18,0)</f>
        <v>0.13943593227078294</v>
      </c>
      <c r="T156" s="7">
        <f>VLOOKUP($A156,Rotations!$A$1:$X$1441,19,0)</f>
        <v>0.32281959512918712</v>
      </c>
      <c r="U156" s="7">
        <f>VLOOKUP($A156,Rotations!$A$1:$X$1441,20,0)</f>
        <v>0.23734567194554573</v>
      </c>
      <c r="V156" s="7">
        <f>VLOOKUP($A156,Rotations!$A$1:$X$1441,21,0)</f>
        <v>0.10250873066473405</v>
      </c>
      <c r="W156" s="7">
        <f>VLOOKUP($A156,Rotations!$A$1:$X$1441,22,0)</f>
        <v>0.12854663449005582</v>
      </c>
      <c r="X156" s="7">
        <f>VLOOKUP($A156,Rotations!$A$1:$X$1441,23,0)</f>
        <v>6.9343435499694447E-2</v>
      </c>
    </row>
    <row r="157" spans="1:24" ht="15.75" customHeight="1" x14ac:dyDescent="0.3">
      <c r="A157">
        <v>148</v>
      </c>
      <c r="B157" t="str">
        <f>Permutations!I149</f>
        <v>p2 - i2:i3</v>
      </c>
      <c r="C157" t="str">
        <f>Permutations!J149</f>
        <v>p81 - i3:i1</v>
      </c>
      <c r="D157" t="str">
        <f>Permutations!K149</f>
        <v>p10 - i1:i5</v>
      </c>
      <c r="E157" t="str">
        <f>Permutations!L149</f>
        <v>p15 - i5:i6</v>
      </c>
      <c r="F157" t="str">
        <f>Permutations!M149</f>
        <v>p141 - i6:i4</v>
      </c>
      <c r="G157" s="7">
        <f>VLOOKUP(B157,Vlookup!$A$1:$B$30,2,0)</f>
        <v>1.3601242124324544</v>
      </c>
      <c r="H157" s="7">
        <f>VLOOKUP(C157,Vlookup!$A$1:$B$30,2,0)</f>
        <v>1.7021844231989158</v>
      </c>
      <c r="I157" s="7">
        <f>VLOOKUP(D157,Vlookup!$A$1:$B$30,2,0)</f>
        <v>1.0847108741813811</v>
      </c>
      <c r="J157" s="7">
        <f>VLOOKUP(E157,Vlookup!$A$1:$B$30,2,0)</f>
        <v>1.3219359277692486</v>
      </c>
      <c r="K157" s="7">
        <f>VLOOKUP(F157,Vlookup!$A$1:$B$30,2,0)</f>
        <v>0.88688155974910687</v>
      </c>
      <c r="L157" s="7">
        <f t="shared" si="1"/>
        <v>2.944253559949471</v>
      </c>
      <c r="M157" s="7">
        <f t="shared" si="2"/>
        <v>2.1646946161512335</v>
      </c>
      <c r="N157" s="7">
        <f t="shared" si="3"/>
        <v>1.2717156770140818</v>
      </c>
      <c r="O157" s="7">
        <f t="shared" si="4"/>
        <v>1.172400597508374</v>
      </c>
      <c r="P157" s="7">
        <f t="shared" si="5"/>
        <v>0.88688155974910687</v>
      </c>
      <c r="Q157">
        <v>1</v>
      </c>
      <c r="R157" s="7">
        <f t="shared" si="6"/>
        <v>9.4399460103722674</v>
      </c>
      <c r="S157" s="7">
        <f>VLOOKUP($A157,Rotations!$A$1:$X$1441,18,0)</f>
        <v>0.13471641422702707</v>
      </c>
      <c r="T157" s="7">
        <f>VLOOKUP($A157,Rotations!$A$1:$X$1441,19,0)</f>
        <v>0.31189305073508183</v>
      </c>
      <c r="U157" s="7">
        <f>VLOOKUP($A157,Rotations!$A$1:$X$1441,20,0)</f>
        <v>0.22931218184645824</v>
      </c>
      <c r="V157" s="7">
        <f>VLOOKUP($A157,Rotations!$A$1:$X$1441,21,0)</f>
        <v>0.10593280924501439</v>
      </c>
      <c r="W157" s="7">
        <f>VLOOKUP($A157,Rotations!$A$1:$X$1441,22,0)</f>
        <v>0.12419568885459548</v>
      </c>
      <c r="X157" s="7">
        <f>VLOOKUP($A157,Rotations!$A$1:$X$1441,23,0)</f>
        <v>9.3949855091822965E-2</v>
      </c>
    </row>
    <row r="158" spans="1:24" ht="15.75" customHeight="1" x14ac:dyDescent="0.3">
      <c r="A158">
        <v>149</v>
      </c>
      <c r="B158" t="str">
        <f>Permutations!I150</f>
        <v>p2 - i2:i3</v>
      </c>
      <c r="C158" t="str">
        <f>Permutations!J150</f>
        <v>p81 - i3:i1</v>
      </c>
      <c r="D158" t="str">
        <f>Permutations!K150</f>
        <v>p11 - i1:i6</v>
      </c>
      <c r="E158" t="str">
        <f>Permutations!L150</f>
        <v>p141 - i6:i4</v>
      </c>
      <c r="F158" t="str">
        <f>Permutations!M150</f>
        <v>p4 - i4:i5</v>
      </c>
      <c r="G158" s="7">
        <f>VLOOKUP(B158,Vlookup!$A$1:$B$30,2,0)</f>
        <v>1.3601242124324544</v>
      </c>
      <c r="H158" s="7">
        <f>VLOOKUP(C158,Vlookup!$A$1:$B$30,2,0)</f>
        <v>1.7021844231989158</v>
      </c>
      <c r="I158" s="7">
        <f>VLOOKUP(D158,Vlookup!$A$1:$B$30,2,0)</f>
        <v>1.1613557664474019</v>
      </c>
      <c r="J158" s="7">
        <f>VLOOKUP(E158,Vlookup!$A$1:$B$30,2,0)</f>
        <v>0.88688155974910687</v>
      </c>
      <c r="K158" s="7">
        <f>VLOOKUP(F158,Vlookup!$A$1:$B$30,2,0)</f>
        <v>1.89462595295753</v>
      </c>
      <c r="L158" s="7">
        <f t="shared" si="1"/>
        <v>4.5179307675695961</v>
      </c>
      <c r="M158" s="7">
        <f t="shared" si="2"/>
        <v>3.321704537183189</v>
      </c>
      <c r="N158" s="7">
        <f t="shared" si="3"/>
        <v>1.9514363378679667</v>
      </c>
      <c r="O158" s="7">
        <f t="shared" si="4"/>
        <v>1.6803088203001122</v>
      </c>
      <c r="P158" s="7">
        <f t="shared" si="5"/>
        <v>1.89462595295753</v>
      </c>
      <c r="Q158">
        <v>1</v>
      </c>
      <c r="R158" s="7">
        <f t="shared" si="6"/>
        <v>14.366006415878394</v>
      </c>
      <c r="S158" s="7">
        <f>VLOOKUP($A158,Rotations!$A$1:$X$1441,18,0)</f>
        <v>0.13583707826491656</v>
      </c>
      <c r="T158" s="7">
        <f>VLOOKUP($A158,Rotations!$A$1:$X$1441,19,0)</f>
        <v>0.314487592221596</v>
      </c>
      <c r="U158" s="7">
        <f>VLOOKUP($A158,Rotations!$A$1:$X$1441,20,0)</f>
        <v>0.23121975871539294</v>
      </c>
      <c r="V158" s="7">
        <f>VLOOKUP($A158,Rotations!$A$1:$X$1441,21,0)</f>
        <v>0.13188257739210296</v>
      </c>
      <c r="W158" s="7">
        <f>VLOOKUP($A158,Rotations!$A$1:$X$1441,22,0)</f>
        <v>6.9608767464751004E-2</v>
      </c>
      <c r="X158" s="7">
        <f>VLOOKUP($A158,Rotations!$A$1:$X$1441,23,0)</f>
        <v>0.11696422594124058</v>
      </c>
    </row>
    <row r="159" spans="1:24" ht="15.75" customHeight="1" x14ac:dyDescent="0.3">
      <c r="A159">
        <v>150</v>
      </c>
      <c r="B159" t="str">
        <f>Permutations!I151</f>
        <v>p2 - i2:i3</v>
      </c>
      <c r="C159" t="str">
        <f>Permutations!J151</f>
        <v>p81 - i3:i1</v>
      </c>
      <c r="D159" t="str">
        <f>Permutations!K151</f>
        <v>p11 - i1:i6</v>
      </c>
      <c r="E159" t="str">
        <f>Permutations!L151</f>
        <v>p151 - i6:i5</v>
      </c>
      <c r="F159" t="str">
        <f>Permutations!M151</f>
        <v>p41 - i5:i4</v>
      </c>
      <c r="G159" s="7">
        <f>VLOOKUP(B159,Vlookup!$A$1:$B$30,2,0)</f>
        <v>1.3601242124324544</v>
      </c>
      <c r="H159" s="7">
        <f>VLOOKUP(C159,Vlookup!$A$1:$B$30,2,0)</f>
        <v>1.7021844231989158</v>
      </c>
      <c r="I159" s="7">
        <f>VLOOKUP(D159,Vlookup!$A$1:$B$30,2,0)</f>
        <v>1.1613557664474019</v>
      </c>
      <c r="J159" s="7">
        <f>VLOOKUP(E159,Vlookup!$A$1:$B$30,2,0)</f>
        <v>1.2266517321719024</v>
      </c>
      <c r="K159" s="7">
        <f>VLOOKUP(F159,Vlookup!$A$1:$B$30,2,0)</f>
        <v>1.25400669441983</v>
      </c>
      <c r="L159" s="7">
        <f t="shared" si="1"/>
        <v>4.1359149156261976</v>
      </c>
      <c r="M159" s="7">
        <f t="shared" si="2"/>
        <v>3.0408361808584394</v>
      </c>
      <c r="N159" s="7">
        <f t="shared" si="3"/>
        <v>1.7864316812063141</v>
      </c>
      <c r="O159" s="7">
        <f t="shared" si="4"/>
        <v>1.5382294838652459</v>
      </c>
      <c r="P159" s="7">
        <f t="shared" si="5"/>
        <v>1.25400669441983</v>
      </c>
      <c r="Q159">
        <v>1</v>
      </c>
      <c r="R159" s="7">
        <f t="shared" si="6"/>
        <v>12.755418955976028</v>
      </c>
      <c r="S159" s="7">
        <f>VLOOKUP($A159,Rotations!$A$1:$X$1441,18,0)</f>
        <v>0.1400527640347991</v>
      </c>
      <c r="T159" s="7">
        <f>VLOOKUP($A159,Rotations!$A$1:$X$1441,19,0)</f>
        <v>0.32424767307925112</v>
      </c>
      <c r="U159" s="7">
        <f>VLOOKUP($A159,Rotations!$A$1:$X$1441,20,0)</f>
        <v>0.23839563336598837</v>
      </c>
      <c r="V159" s="7">
        <f>VLOOKUP($A159,Rotations!$A$1:$X$1441,21,0)</f>
        <v>7.8398052110353542E-2</v>
      </c>
      <c r="W159" s="7">
        <f>VLOOKUP($A159,Rotations!$A$1:$X$1441,22,0)</f>
        <v>9.831168217585802E-2</v>
      </c>
      <c r="X159" s="7">
        <f>VLOOKUP($A159,Rotations!$A$1:$X$1441,23,0)</f>
        <v>0.12059419523374978</v>
      </c>
    </row>
    <row r="160" spans="1:24" ht="15.75" customHeight="1" x14ac:dyDescent="0.3">
      <c r="A160">
        <v>151</v>
      </c>
      <c r="B160" t="str">
        <f>Permutations!I152</f>
        <v>p2 - i2:i3</v>
      </c>
      <c r="C160" t="str">
        <f>Permutations!J152</f>
        <v>p3 - i3:i4</v>
      </c>
      <c r="D160" t="str">
        <f>Permutations!K152</f>
        <v>p91 - i4:i1</v>
      </c>
      <c r="E160" t="str">
        <f>Permutations!L152</f>
        <v>p10 - i1:i5</v>
      </c>
      <c r="F160" t="str">
        <f>Permutations!M152</f>
        <v>p15 - i5:i6</v>
      </c>
      <c r="G160" s="7">
        <f>VLOOKUP(B160,Vlookup!$A$1:$B$30,2,0)</f>
        <v>1.3601242124324544</v>
      </c>
      <c r="H160" s="7">
        <f>VLOOKUP(C160,Vlookup!$A$1:$B$30,2,0)</f>
        <v>1.4338636587362954</v>
      </c>
      <c r="I160" s="7">
        <f>VLOOKUP(D160,Vlookup!$A$1:$B$30,2,0)</f>
        <v>2.9131157743633094</v>
      </c>
      <c r="J160" s="7">
        <f>VLOOKUP(E160,Vlookup!$A$1:$B$30,2,0)</f>
        <v>1.0847108741813811</v>
      </c>
      <c r="K160" s="7">
        <f>VLOOKUP(F160,Vlookup!$A$1:$B$30,2,0)</f>
        <v>1.3219359277692486</v>
      </c>
      <c r="L160" s="7">
        <f t="shared" si="1"/>
        <v>8.1464533415946487</v>
      </c>
      <c r="M160" s="7">
        <f t="shared" si="2"/>
        <v>5.9894921854420069</v>
      </c>
      <c r="N160" s="7">
        <f t="shared" si="3"/>
        <v>4.1771699484459459</v>
      </c>
      <c r="O160" s="7">
        <f t="shared" si="4"/>
        <v>1.4339182758223568</v>
      </c>
      <c r="P160" s="7">
        <f t="shared" si="5"/>
        <v>1.3219359277692486</v>
      </c>
      <c r="Q160">
        <v>1</v>
      </c>
      <c r="R160" s="7">
        <f t="shared" si="6"/>
        <v>22.068969679074208</v>
      </c>
      <c r="S160" s="7">
        <f>VLOOKUP($A160,Rotations!$A$1:$X$1441,18,0)</f>
        <v>6.4974409620128196E-2</v>
      </c>
      <c r="T160" s="7">
        <f>VLOOKUP($A160,Rotations!$A$1:$X$1441,19,0)</f>
        <v>0.36913609742819636</v>
      </c>
      <c r="U160" s="7">
        <f>VLOOKUP($A160,Rotations!$A$1:$X$1441,20,0)</f>
        <v>0.27139881347162492</v>
      </c>
      <c r="V160" s="7">
        <f>VLOOKUP($A160,Rotations!$A$1:$X$1441,21,0)</f>
        <v>0.18927797759433859</v>
      </c>
      <c r="W160" s="7">
        <f>VLOOKUP($A160,Rotations!$A$1:$X$1441,22,0)</f>
        <v>5.9900210430879695E-2</v>
      </c>
      <c r="X160" s="7">
        <f>VLOOKUP($A160,Rotations!$A$1:$X$1441,23,0)</f>
        <v>4.5312491454832154E-2</v>
      </c>
    </row>
    <row r="161" spans="1:24" ht="15.75" customHeight="1" x14ac:dyDescent="0.3">
      <c r="A161">
        <v>152</v>
      </c>
      <c r="B161" t="str">
        <f>Permutations!I153</f>
        <v>p2 - i2:i3</v>
      </c>
      <c r="C161" t="str">
        <f>Permutations!J153</f>
        <v>p3 - i3:i4</v>
      </c>
      <c r="D161" t="str">
        <f>Permutations!K153</f>
        <v>p91 - i4:i1</v>
      </c>
      <c r="E161" t="str">
        <f>Permutations!L153</f>
        <v>p11 - i1:i6</v>
      </c>
      <c r="F161" t="str">
        <f>Permutations!M153</f>
        <v>p151 - i6:i5</v>
      </c>
      <c r="G161" s="7">
        <f>VLOOKUP(B161,Vlookup!$A$1:$B$30,2,0)</f>
        <v>1.3601242124324544</v>
      </c>
      <c r="H161" s="7">
        <f>VLOOKUP(C161,Vlookup!$A$1:$B$30,2,0)</f>
        <v>1.4338636587362954</v>
      </c>
      <c r="I161" s="7">
        <f>VLOOKUP(D161,Vlookup!$A$1:$B$30,2,0)</f>
        <v>2.9131157743633094</v>
      </c>
      <c r="J161" s="7">
        <f>VLOOKUP(E161,Vlookup!$A$1:$B$30,2,0)</f>
        <v>1.1613557664474019</v>
      </c>
      <c r="K161" s="7">
        <f>VLOOKUP(F161,Vlookup!$A$1:$B$30,2,0)</f>
        <v>1.2266517321719024</v>
      </c>
      <c r="L161" s="7">
        <f t="shared" si="1"/>
        <v>8.0933949029063719</v>
      </c>
      <c r="M161" s="7">
        <f t="shared" si="2"/>
        <v>5.9504821904700114</v>
      </c>
      <c r="N161" s="7">
        <f t="shared" si="3"/>
        <v>4.1499637390310467</v>
      </c>
      <c r="O161" s="7">
        <f t="shared" si="4"/>
        <v>1.4245790625805328</v>
      </c>
      <c r="P161" s="7">
        <f t="shared" si="5"/>
        <v>1.2266517321719024</v>
      </c>
      <c r="Q161">
        <v>1</v>
      </c>
      <c r="R161" s="7">
        <f t="shared" si="6"/>
        <v>21.845071627159868</v>
      </c>
      <c r="S161" s="7">
        <f>VLOOKUP($A161,Rotations!$A$1:$X$1441,18,0)</f>
        <v>6.5212835503334343E-2</v>
      </c>
      <c r="T161" s="7">
        <f>VLOOKUP($A161,Rotations!$A$1:$X$1441,19,0)</f>
        <v>0.37049065533133319</v>
      </c>
      <c r="U161" s="7">
        <f>VLOOKUP($A161,Rotations!$A$1:$X$1441,20,0)</f>
        <v>0.27239472097092171</v>
      </c>
      <c r="V161" s="7">
        <f>VLOOKUP($A161,Rotations!$A$1:$X$1441,21,0)</f>
        <v>0.18997253979572296</v>
      </c>
      <c r="W161" s="7">
        <f>VLOOKUP($A161,Rotations!$A$1:$X$1441,22,0)</f>
        <v>4.5776915593021217E-2</v>
      </c>
      <c r="X161" s="7">
        <f>VLOOKUP($A161,Rotations!$A$1:$X$1441,23,0)</f>
        <v>5.6152332805666449E-2</v>
      </c>
    </row>
    <row r="162" spans="1:24" ht="15.75" customHeight="1" x14ac:dyDescent="0.3">
      <c r="A162">
        <v>153</v>
      </c>
      <c r="B162" t="str">
        <f>Permutations!I154</f>
        <v>p2 - i2:i3</v>
      </c>
      <c r="C162" t="str">
        <f>Permutations!J154</f>
        <v>p3 - i3:i4</v>
      </c>
      <c r="D162" t="str">
        <f>Permutations!K154</f>
        <v>p4 - i4:i5</v>
      </c>
      <c r="E162" t="str">
        <f>Permutations!L154</f>
        <v>p101 - i5:i1</v>
      </c>
      <c r="F162" t="str">
        <f>Permutations!M154</f>
        <v>p11 - i1:i6</v>
      </c>
      <c r="G162" s="7">
        <f>VLOOKUP(B162,Vlookup!$A$1:$B$30,2,0)</f>
        <v>1.3601242124324544</v>
      </c>
      <c r="H162" s="7">
        <f>VLOOKUP(C162,Vlookup!$A$1:$B$30,2,0)</f>
        <v>1.4338636587362954</v>
      </c>
      <c r="I162" s="7">
        <f>VLOOKUP(D162,Vlookup!$A$1:$B$30,2,0)</f>
        <v>1.89462595295753</v>
      </c>
      <c r="J162" s="7">
        <f>VLOOKUP(E162,Vlookup!$A$1:$B$30,2,0)</f>
        <v>1.530542412441888</v>
      </c>
      <c r="K162" s="7">
        <f>VLOOKUP(F162,Vlookup!$A$1:$B$30,2,0)</f>
        <v>1.1613557664474019</v>
      </c>
      <c r="L162" s="7">
        <f t="shared" si="1"/>
        <v>6.5678097031817018</v>
      </c>
      <c r="M162" s="7">
        <f t="shared" si="2"/>
        <v>4.8288308105594195</v>
      </c>
      <c r="N162" s="7">
        <f t="shared" si="3"/>
        <v>3.367705695822715</v>
      </c>
      <c r="O162" s="7">
        <f t="shared" si="4"/>
        <v>1.7775042564817045</v>
      </c>
      <c r="P162" s="7">
        <f t="shared" si="5"/>
        <v>1.1613557664474019</v>
      </c>
      <c r="Q162">
        <v>1</v>
      </c>
      <c r="R162" s="7">
        <f t="shared" si="6"/>
        <v>18.703206232492946</v>
      </c>
      <c r="S162" s="7">
        <f>VLOOKUP($A162,Rotations!$A$1:$X$1441,18,0)</f>
        <v>6.209394004487781E-2</v>
      </c>
      <c r="T162" s="7">
        <f>VLOOKUP($A162,Rotations!$A$1:$X$1441,19,0)</f>
        <v>0.35115956171041374</v>
      </c>
      <c r="U162" s="7">
        <f>VLOOKUP($A162,Rotations!$A$1:$X$1441,20,0)</f>
        <v>0.25818197963140282</v>
      </c>
      <c r="V162" s="7">
        <f>VLOOKUP($A162,Rotations!$A$1:$X$1441,21,0)</f>
        <v>0.18006034120353248</v>
      </c>
      <c r="W162" s="7">
        <f>VLOOKUP($A162,Rotations!$A$1:$X$1441,22,0)</f>
        <v>9.5037408794309247E-2</v>
      </c>
      <c r="X162" s="7">
        <f>VLOOKUP($A162,Rotations!$A$1:$X$1441,23,0)</f>
        <v>5.3466768615463761E-2</v>
      </c>
    </row>
    <row r="163" spans="1:24" ht="15.75" customHeight="1" x14ac:dyDescent="0.3">
      <c r="A163">
        <v>154</v>
      </c>
      <c r="B163" t="str">
        <f>Permutations!I155</f>
        <v>p2 - i2:i3</v>
      </c>
      <c r="C163" t="str">
        <f>Permutations!J155</f>
        <v>p3 - i3:i4</v>
      </c>
      <c r="D163" t="str">
        <f>Permutations!K155</f>
        <v>p4 - i4:i5</v>
      </c>
      <c r="E163" t="str">
        <f>Permutations!L155</f>
        <v>p15 - i5:i6</v>
      </c>
      <c r="F163" t="str">
        <f>Permutations!M155</f>
        <v>p111 - i6:i1</v>
      </c>
      <c r="G163" s="7">
        <f>VLOOKUP(B163,Vlookup!$A$1:$B$30,2,0)</f>
        <v>1.3601242124324544</v>
      </c>
      <c r="H163" s="7">
        <f>VLOOKUP(C163,Vlookup!$A$1:$B$30,2,0)</f>
        <v>1.4338636587362954</v>
      </c>
      <c r="I163" s="7">
        <f>VLOOKUP(D163,Vlookup!$A$1:$B$30,2,0)</f>
        <v>1.89462595295753</v>
      </c>
      <c r="J163" s="7">
        <f>VLOOKUP(E163,Vlookup!$A$1:$B$30,2,0)</f>
        <v>1.3219359277692486</v>
      </c>
      <c r="K163" s="7">
        <f>VLOOKUP(F163,Vlookup!$A$1:$B$30,2,0)</f>
        <v>1.6397534939100344</v>
      </c>
      <c r="L163" s="7">
        <f t="shared" si="1"/>
        <v>8.0093796979926886</v>
      </c>
      <c r="M163" s="7">
        <f t="shared" si="2"/>
        <v>5.8887119461454667</v>
      </c>
      <c r="N163" s="7">
        <f t="shared" si="3"/>
        <v>4.106884158941134</v>
      </c>
      <c r="O163" s="7">
        <f t="shared" si="4"/>
        <v>2.1676490562848283</v>
      </c>
      <c r="P163" s="7">
        <f t="shared" si="5"/>
        <v>1.6397534939100344</v>
      </c>
      <c r="Q163">
        <v>1</v>
      </c>
      <c r="R163" s="7">
        <f t="shared" si="6"/>
        <v>22.812378353274156</v>
      </c>
      <c r="S163" s="7">
        <f>VLOOKUP($A163,Rotations!$A$1:$X$1441,18,0)</f>
        <v>4.3835850191239471E-2</v>
      </c>
      <c r="T163" s="7">
        <f>VLOOKUP($A163,Rotations!$A$1:$X$1441,19,0)</f>
        <v>0.35109796856596232</v>
      </c>
      <c r="U163" s="7">
        <f>VLOOKUP($A163,Rotations!$A$1:$X$1441,20,0)</f>
        <v>0.25813669469059491</v>
      </c>
      <c r="V163" s="7">
        <f>VLOOKUP($A163,Rotations!$A$1:$X$1441,21,0)</f>
        <v>0.18002875874411806</v>
      </c>
      <c r="W163" s="7">
        <f>VLOOKUP($A163,Rotations!$A$1:$X$1441,22,0)</f>
        <v>9.5020739298483342E-2</v>
      </c>
      <c r="X163" s="7">
        <f>VLOOKUP($A163,Rotations!$A$1:$X$1441,23,0)</f>
        <v>7.1879988509601769E-2</v>
      </c>
    </row>
    <row r="164" spans="1:24" ht="15.75" customHeight="1" x14ac:dyDescent="0.3">
      <c r="A164">
        <v>155</v>
      </c>
      <c r="B164" t="str">
        <f>Permutations!I156</f>
        <v>p2 - i2:i3</v>
      </c>
      <c r="C164" t="str">
        <f>Permutations!J156</f>
        <v>p3 - i3:i4</v>
      </c>
      <c r="D164" t="str">
        <f>Permutations!K156</f>
        <v>p14 - i4:i6</v>
      </c>
      <c r="E164" t="str">
        <f>Permutations!L156</f>
        <v>p111 - i6:i1</v>
      </c>
      <c r="F164" t="str">
        <f>Permutations!M156</f>
        <v>p10 - i1:i5</v>
      </c>
      <c r="G164" s="7">
        <f>VLOOKUP(B164,Vlookup!$A$1:$B$30,2,0)</f>
        <v>1.3601242124324544</v>
      </c>
      <c r="H164" s="7">
        <f>VLOOKUP(C164,Vlookup!$A$1:$B$30,2,0)</f>
        <v>1.4338636587362954</v>
      </c>
      <c r="I164" s="7">
        <f>VLOOKUP(D164,Vlookup!$A$1:$B$30,2,0)</f>
        <v>1.478275916473532</v>
      </c>
      <c r="J164" s="7">
        <f>VLOOKUP(E164,Vlookup!$A$1:$B$30,2,0)</f>
        <v>1.6397534939100344</v>
      </c>
      <c r="K164" s="7">
        <f>VLOOKUP(F164,Vlookup!$A$1:$B$30,2,0)</f>
        <v>1.0847108741813811</v>
      </c>
      <c r="L164" s="7">
        <f t="shared" si="1"/>
        <v>5.1278402865348589</v>
      </c>
      <c r="M164" s="7">
        <f t="shared" si="2"/>
        <v>3.7701264632030917</v>
      </c>
      <c r="N164" s="7">
        <f t="shared" si="3"/>
        <v>2.6293479440896155</v>
      </c>
      <c r="O164" s="7">
        <f t="shared" si="4"/>
        <v>1.7786584458211274</v>
      </c>
      <c r="P164" s="7">
        <f t="shared" si="5"/>
        <v>1.0847108741813811</v>
      </c>
      <c r="Q164">
        <v>1</v>
      </c>
      <c r="R164" s="7">
        <f t="shared" si="6"/>
        <v>15.390684013830075</v>
      </c>
      <c r="S164" s="7">
        <f>VLOOKUP($A164,Rotations!$A$1:$X$1441,18,0)</f>
        <v>7.0478405846462672E-2</v>
      </c>
      <c r="T164" s="7">
        <f>VLOOKUP($A164,Rotations!$A$1:$X$1441,19,0)</f>
        <v>0.33317819285529998</v>
      </c>
      <c r="U164" s="7">
        <f>VLOOKUP($A164,Rotations!$A$1:$X$1441,20,0)</f>
        <v>0.2449615923382778</v>
      </c>
      <c r="V164" s="7">
        <f>VLOOKUP($A164,Rotations!$A$1:$X$1441,21,0)</f>
        <v>0.17084022657647199</v>
      </c>
      <c r="W164" s="7">
        <f>VLOOKUP($A164,Rotations!$A$1:$X$1441,22,0)</f>
        <v>6.4974370151540992E-2</v>
      </c>
      <c r="X164" s="7">
        <f>VLOOKUP($A164,Rotations!$A$1:$X$1441,23,0)</f>
        <v>0.11556721223194656</v>
      </c>
    </row>
    <row r="165" spans="1:24" ht="15.75" customHeight="1" x14ac:dyDescent="0.3">
      <c r="A165">
        <v>156</v>
      </c>
      <c r="B165" t="str">
        <f>Permutations!I157</f>
        <v>p2 - i2:i3</v>
      </c>
      <c r="C165" t="str">
        <f>Permutations!J157</f>
        <v>p3 - i3:i4</v>
      </c>
      <c r="D165" t="str">
        <f>Permutations!K157</f>
        <v>p14 - i4:i6</v>
      </c>
      <c r="E165" t="str">
        <f>Permutations!L157</f>
        <v>p151 - i6:i5</v>
      </c>
      <c r="F165" t="str">
        <f>Permutations!M157</f>
        <v>p101 - i5:i1</v>
      </c>
      <c r="G165" s="7">
        <f>VLOOKUP(B165,Vlookup!$A$1:$B$30,2,0)</f>
        <v>1.3601242124324544</v>
      </c>
      <c r="H165" s="7">
        <f>VLOOKUP(C165,Vlookup!$A$1:$B$30,2,0)</f>
        <v>1.4338636587362954</v>
      </c>
      <c r="I165" s="7">
        <f>VLOOKUP(D165,Vlookup!$A$1:$B$30,2,0)</f>
        <v>1.478275916473532</v>
      </c>
      <c r="J165" s="7">
        <f>VLOOKUP(E165,Vlookup!$A$1:$B$30,2,0)</f>
        <v>1.2266517321719024</v>
      </c>
      <c r="K165" s="7">
        <f>VLOOKUP(F165,Vlookup!$A$1:$B$30,2,0)</f>
        <v>1.530542412441888</v>
      </c>
      <c r="L165" s="7">
        <f t="shared" si="1"/>
        <v>5.4126329407820997</v>
      </c>
      <c r="M165" s="7">
        <f t="shared" si="2"/>
        <v>3.9795137027243368</v>
      </c>
      <c r="N165" s="7">
        <f t="shared" si="3"/>
        <v>2.7753780343603904</v>
      </c>
      <c r="O165" s="7">
        <f t="shared" si="4"/>
        <v>1.8774425013844043</v>
      </c>
      <c r="P165" s="7">
        <f t="shared" si="5"/>
        <v>1.530542412441888</v>
      </c>
      <c r="Q165">
        <v>1</v>
      </c>
      <c r="R165" s="7">
        <f t="shared" si="6"/>
        <v>16.57550959169312</v>
      </c>
      <c r="S165" s="7">
        <f>VLOOKUP($A165,Rotations!$A$1:$X$1441,18,0)</f>
        <v>6.0329970217093888E-2</v>
      </c>
      <c r="T165" s="7">
        <f>VLOOKUP($A165,Rotations!$A$1:$X$1441,19,0)</f>
        <v>0.32654398411344537</v>
      </c>
      <c r="U165" s="7">
        <f>VLOOKUP($A165,Rotations!$A$1:$X$1441,20,0)</f>
        <v>0.24008394316387627</v>
      </c>
      <c r="V165" s="7">
        <f>VLOOKUP($A165,Rotations!$A$1:$X$1441,21,0)</f>
        <v>0.16743847415413893</v>
      </c>
      <c r="W165" s="7">
        <f>VLOOKUP($A165,Rotations!$A$1:$X$1441,22,0)</f>
        <v>9.2337578158618136E-2</v>
      </c>
      <c r="X165" s="7">
        <f>VLOOKUP($A165,Rotations!$A$1:$X$1441,23,0)</f>
        <v>0.11326605019282736</v>
      </c>
    </row>
    <row r="166" spans="1:24" ht="15.75" customHeight="1" x14ac:dyDescent="0.3">
      <c r="A166">
        <v>157</v>
      </c>
      <c r="B166" t="str">
        <f>Permutations!I158</f>
        <v>p2 - i2:i3</v>
      </c>
      <c r="C166" t="str">
        <f>Permutations!J158</f>
        <v>p6 - i3:i5</v>
      </c>
      <c r="D166" t="str">
        <f>Permutations!K158</f>
        <v>p101 - i5:i1</v>
      </c>
      <c r="E166" t="str">
        <f>Permutations!L158</f>
        <v>p9 - i1:i4</v>
      </c>
      <c r="F166" t="str">
        <f>Permutations!M158</f>
        <v>p14 - i4:i6</v>
      </c>
      <c r="G166" s="7">
        <f>VLOOKUP(B166,Vlookup!$A$1:$B$30,2,0)</f>
        <v>1.3601242124324544</v>
      </c>
      <c r="H166" s="7">
        <f>VLOOKUP(C166,Vlookup!$A$1:$B$30,2,0)</f>
        <v>2.2414716085286912</v>
      </c>
      <c r="I166" s="7">
        <f>VLOOKUP(D166,Vlookup!$A$1:$B$30,2,0)</f>
        <v>1.530542412441888</v>
      </c>
      <c r="J166" s="7">
        <f>VLOOKUP(E166,Vlookup!$A$1:$B$30,2,0)</f>
        <v>1.2538815092968505</v>
      </c>
      <c r="K166" s="7">
        <f>VLOOKUP(F166,Vlookup!$A$1:$B$30,2,0)</f>
        <v>1.478275916473532</v>
      </c>
      <c r="L166" s="7">
        <f t="shared" si="1"/>
        <v>8.6490654270527099</v>
      </c>
      <c r="M166" s="7">
        <f t="shared" si="2"/>
        <v>6.3590261448141341</v>
      </c>
      <c r="N166" s="7">
        <f t="shared" si="3"/>
        <v>2.8369871474697006</v>
      </c>
      <c r="O166" s="7">
        <f t="shared" si="4"/>
        <v>1.8535828373050172</v>
      </c>
      <c r="P166" s="7">
        <f t="shared" si="5"/>
        <v>1.478275916473532</v>
      </c>
      <c r="Q166">
        <v>1</v>
      </c>
      <c r="R166" s="7">
        <f t="shared" si="6"/>
        <v>22.176937473115093</v>
      </c>
      <c r="S166" s="7">
        <f>VLOOKUP($A166,Rotations!$A$1:$X$1441,18,0)</f>
        <v>8.3581551309873131E-2</v>
      </c>
      <c r="T166" s="7">
        <f>VLOOKUP($A166,Rotations!$A$1:$X$1441,19,0)</f>
        <v>0.39000269706030855</v>
      </c>
      <c r="U166" s="7">
        <f>VLOOKUP($A166,Rotations!$A$1:$X$1441,20,0)</f>
        <v>0.28674050023918435</v>
      </c>
      <c r="V166" s="7">
        <f>VLOOKUP($A166,Rotations!$A$1:$X$1441,21,0)</f>
        <v>6.6658253343845744E-2</v>
      </c>
      <c r="W166" s="7">
        <f>VLOOKUP($A166,Rotations!$A$1:$X$1441,22,0)</f>
        <v>0.12792510917744865</v>
      </c>
      <c r="X166" s="7">
        <f>VLOOKUP($A166,Rotations!$A$1:$X$1441,23,0)</f>
        <v>4.5091888869339659E-2</v>
      </c>
    </row>
    <row r="167" spans="1:24" ht="15.75" customHeight="1" x14ac:dyDescent="0.3">
      <c r="A167">
        <v>158</v>
      </c>
      <c r="B167" t="str">
        <f>Permutations!I159</f>
        <v>p2 - i2:i3</v>
      </c>
      <c r="C167" t="str">
        <f>Permutations!J159</f>
        <v>p6 - i3:i5</v>
      </c>
      <c r="D167" t="str">
        <f>Permutations!K159</f>
        <v>p101 - i5:i1</v>
      </c>
      <c r="E167" t="str">
        <f>Permutations!L159</f>
        <v>p11 - i1:i6</v>
      </c>
      <c r="F167" t="str">
        <f>Permutations!M159</f>
        <v>p141 - i6:i4</v>
      </c>
      <c r="G167" s="7">
        <f>VLOOKUP(B167,Vlookup!$A$1:$B$30,2,0)</f>
        <v>1.3601242124324544</v>
      </c>
      <c r="H167" s="7">
        <f>VLOOKUP(C167,Vlookup!$A$1:$B$30,2,0)</f>
        <v>2.2414716085286912</v>
      </c>
      <c r="I167" s="7">
        <f>VLOOKUP(D167,Vlookup!$A$1:$B$30,2,0)</f>
        <v>1.530542412441888</v>
      </c>
      <c r="J167" s="7">
        <f>VLOOKUP(E167,Vlookup!$A$1:$B$30,2,0)</f>
        <v>1.1613557664474019</v>
      </c>
      <c r="K167" s="7">
        <f>VLOOKUP(F167,Vlookup!$A$1:$B$30,2,0)</f>
        <v>0.88688155974910687</v>
      </c>
      <c r="L167" s="7">
        <f t="shared" si="1"/>
        <v>4.8060478290828215</v>
      </c>
      <c r="M167" s="7">
        <f t="shared" si="2"/>
        <v>3.533535970577022</v>
      </c>
      <c r="N167" s="7">
        <f t="shared" si="3"/>
        <v>1.5764357474491706</v>
      </c>
      <c r="O167" s="7">
        <f t="shared" si="4"/>
        <v>1.0299850135704913</v>
      </c>
      <c r="P167" s="7">
        <f t="shared" si="5"/>
        <v>0.88688155974910687</v>
      </c>
      <c r="Q167">
        <v>1</v>
      </c>
      <c r="R167" s="7">
        <f t="shared" si="6"/>
        <v>12.832886120428611</v>
      </c>
      <c r="S167" s="7">
        <f>VLOOKUP($A167,Rotations!$A$1:$X$1441,18,0)</f>
        <v>8.0261369414855399E-2</v>
      </c>
      <c r="T167" s="7">
        <f>VLOOKUP($A167,Rotations!$A$1:$X$1441,19,0)</f>
        <v>0.37451028427908328</v>
      </c>
      <c r="U167" s="7">
        <f>VLOOKUP($A167,Rotations!$A$1:$X$1441,20,0)</f>
        <v>0.27535006057226696</v>
      </c>
      <c r="V167" s="7">
        <f>VLOOKUP($A167,Rotations!$A$1:$X$1441,21,0)</f>
        <v>7.7924793426484534E-2</v>
      </c>
      <c r="W167" s="7">
        <f>VLOOKUP($A167,Rotations!$A$1:$X$1441,22,0)</f>
        <v>0.12284342997010235</v>
      </c>
      <c r="X167" s="7">
        <f>VLOOKUP($A167,Rotations!$A$1:$X$1441,23,0)</f>
        <v>6.9110062337207553E-2</v>
      </c>
    </row>
    <row r="168" spans="1:24" ht="15.75" customHeight="1" x14ac:dyDescent="0.3">
      <c r="A168">
        <v>159</v>
      </c>
      <c r="B168" t="str">
        <f>Permutations!I160</f>
        <v>p2 - i2:i3</v>
      </c>
      <c r="C168" t="str">
        <f>Permutations!J160</f>
        <v>p6 - i3:i5</v>
      </c>
      <c r="D168" t="str">
        <f>Permutations!K160</f>
        <v>p41 - i5:i4</v>
      </c>
      <c r="E168" t="str">
        <f>Permutations!L160</f>
        <v>p91 - i4:i1</v>
      </c>
      <c r="F168" t="str">
        <f>Permutations!M160</f>
        <v>p11 - i1:i6</v>
      </c>
      <c r="G168" s="7">
        <f>VLOOKUP(B168,Vlookup!$A$1:$B$30,2,0)</f>
        <v>1.3601242124324544</v>
      </c>
      <c r="H168" s="7">
        <f>VLOOKUP(C168,Vlookup!$A$1:$B$30,2,0)</f>
        <v>2.2414716085286912</v>
      </c>
      <c r="I168" s="7">
        <f>VLOOKUP(D168,Vlookup!$A$1:$B$30,2,0)</f>
        <v>1.25400669441983</v>
      </c>
      <c r="J168" s="7">
        <f>VLOOKUP(E168,Vlookup!$A$1:$B$30,2,0)</f>
        <v>2.9131157743633094</v>
      </c>
      <c r="K168" s="7">
        <f>VLOOKUP(F168,Vlookup!$A$1:$B$30,2,0)</f>
        <v>1.1613557664474019</v>
      </c>
      <c r="L168" s="7">
        <f t="shared" si="1"/>
        <v>12.93405473896445</v>
      </c>
      <c r="M168" s="7">
        <f t="shared" si="2"/>
        <v>9.5094658419712328</v>
      </c>
      <c r="N168" s="7">
        <f t="shared" si="3"/>
        <v>4.2425100571375403</v>
      </c>
      <c r="O168" s="7">
        <f t="shared" si="4"/>
        <v>3.3831638028857181</v>
      </c>
      <c r="P168" s="7">
        <f t="shared" si="5"/>
        <v>1.1613557664474019</v>
      </c>
      <c r="Q168">
        <v>1</v>
      </c>
      <c r="R168" s="7">
        <f t="shared" si="6"/>
        <v>32.230550207406345</v>
      </c>
      <c r="S168" s="7">
        <f>VLOOKUP($A168,Rotations!$A$1:$X$1441,18,0)</f>
        <v>3.6032762673115358E-2</v>
      </c>
      <c r="T168" s="7">
        <f>VLOOKUP($A168,Rotations!$A$1:$X$1441,19,0)</f>
        <v>0.40129798144098389</v>
      </c>
      <c r="U168" s="7">
        <f>VLOOKUP($A168,Rotations!$A$1:$X$1441,20,0)</f>
        <v>0.29504509792035838</v>
      </c>
      <c r="V168" s="7">
        <f>VLOOKUP($A168,Rotations!$A$1:$X$1441,21,0)</f>
        <v>0.10496760933694181</v>
      </c>
      <c r="W168" s="7">
        <f>VLOOKUP($A168,Rotations!$A$1:$X$1441,22,0)</f>
        <v>0.13163008480577046</v>
      </c>
      <c r="X168" s="7">
        <f>VLOOKUP($A168,Rotations!$A$1:$X$1441,23,0)</f>
        <v>3.1026463822830034E-2</v>
      </c>
    </row>
    <row r="169" spans="1:24" ht="15.75" customHeight="1" x14ac:dyDescent="0.3">
      <c r="A169">
        <v>160</v>
      </c>
      <c r="B169" t="str">
        <f>Permutations!I161</f>
        <v>p2 - i2:i3</v>
      </c>
      <c r="C169" t="str">
        <f>Permutations!J161</f>
        <v>p6 - i3:i5</v>
      </c>
      <c r="D169" t="str">
        <f>Permutations!K161</f>
        <v>p41 - i5:i4</v>
      </c>
      <c r="E169" t="str">
        <f>Permutations!L161</f>
        <v>p14 - i4:i6</v>
      </c>
      <c r="F169" t="str">
        <f>Permutations!M161</f>
        <v>p111 - i6:i1</v>
      </c>
      <c r="G169" s="7">
        <f>VLOOKUP(B169,Vlookup!$A$1:$B$30,2,0)</f>
        <v>1.3601242124324544</v>
      </c>
      <c r="H169" s="7">
        <f>VLOOKUP(C169,Vlookup!$A$1:$B$30,2,0)</f>
        <v>2.2414716085286912</v>
      </c>
      <c r="I169" s="7">
        <f>VLOOKUP(D169,Vlookup!$A$1:$B$30,2,0)</f>
        <v>1.25400669441983</v>
      </c>
      <c r="J169" s="7">
        <f>VLOOKUP(E169,Vlookup!$A$1:$B$30,2,0)</f>
        <v>1.478275916473532</v>
      </c>
      <c r="K169" s="7">
        <f>VLOOKUP(F169,Vlookup!$A$1:$B$30,2,0)</f>
        <v>1.6397534939100344</v>
      </c>
      <c r="L169" s="7">
        <f t="shared" si="1"/>
        <v>9.2671402470739643</v>
      </c>
      <c r="M169" s="7">
        <f t="shared" si="2"/>
        <v>6.8134514203673744</v>
      </c>
      <c r="N169" s="7">
        <f t="shared" si="3"/>
        <v>3.0397223834745537</v>
      </c>
      <c r="O169" s="7">
        <f t="shared" si="4"/>
        <v>2.4240080990005324</v>
      </c>
      <c r="P169" s="7">
        <f t="shared" si="5"/>
        <v>1.6397534939100344</v>
      </c>
      <c r="Q169">
        <v>1</v>
      </c>
      <c r="R169" s="7">
        <f t="shared" si="6"/>
        <v>24.184075643826461</v>
      </c>
      <c r="S169" s="7">
        <f>VLOOKUP($A169,Rotations!$A$1:$X$1441,18,0)</f>
        <v>4.1349523327978546E-2</v>
      </c>
      <c r="T169" s="7">
        <f>VLOOKUP($A169,Rotations!$A$1:$X$1441,19,0)</f>
        <v>0.38319183183003375</v>
      </c>
      <c r="U169" s="7">
        <f>VLOOKUP($A169,Rotations!$A$1:$X$1441,20,0)</f>
        <v>0.28173296845052931</v>
      </c>
      <c r="V169" s="7">
        <f>VLOOKUP($A169,Rotations!$A$1:$X$1441,21,0)</f>
        <v>0.10023157943683145</v>
      </c>
      <c r="W169" s="7">
        <f>VLOOKUP($A169,Rotations!$A$1:$X$1441,22,0)</f>
        <v>0.12569107160605961</v>
      </c>
      <c r="X169" s="7">
        <f>VLOOKUP($A169,Rotations!$A$1:$X$1441,23,0)</f>
        <v>6.7803025348567289E-2</v>
      </c>
    </row>
    <row r="170" spans="1:24" ht="15.75" customHeight="1" x14ac:dyDescent="0.3">
      <c r="A170">
        <v>161</v>
      </c>
      <c r="B170" t="str">
        <f>Permutations!I162</f>
        <v>p2 - i2:i3</v>
      </c>
      <c r="C170" t="str">
        <f>Permutations!J162</f>
        <v>p6 - i3:i5</v>
      </c>
      <c r="D170" t="str">
        <f>Permutations!K162</f>
        <v>p15 - i5:i6</v>
      </c>
      <c r="E170" t="str">
        <f>Permutations!L162</f>
        <v>p111 - i6:i1</v>
      </c>
      <c r="F170" t="str">
        <f>Permutations!M162</f>
        <v>p9 - i1:i4</v>
      </c>
      <c r="G170" s="7">
        <f>VLOOKUP(B170,Vlookup!$A$1:$B$30,2,0)</f>
        <v>1.3601242124324544</v>
      </c>
      <c r="H170" s="7">
        <f>VLOOKUP(C170,Vlookup!$A$1:$B$30,2,0)</f>
        <v>2.2414716085286912</v>
      </c>
      <c r="I170" s="7">
        <f>VLOOKUP(D170,Vlookup!$A$1:$B$30,2,0)</f>
        <v>1.3219359277692486</v>
      </c>
      <c r="J170" s="7">
        <f>VLOOKUP(E170,Vlookup!$A$1:$B$30,2,0)</f>
        <v>1.6397534939100344</v>
      </c>
      <c r="K170" s="7">
        <f>VLOOKUP(F170,Vlookup!$A$1:$B$30,2,0)</f>
        <v>1.2538815092968505</v>
      </c>
      <c r="L170" s="7">
        <f t="shared" si="1"/>
        <v>8.2862357107487234</v>
      </c>
      <c r="M170" s="7">
        <f t="shared" si="2"/>
        <v>6.0922639528117575</v>
      </c>
      <c r="N170" s="7">
        <f t="shared" si="3"/>
        <v>2.717975070320314</v>
      </c>
      <c r="O170" s="7">
        <f t="shared" si="4"/>
        <v>2.0560565858186979</v>
      </c>
      <c r="P170" s="7">
        <f t="shared" si="5"/>
        <v>1.2538815092968505</v>
      </c>
      <c r="Q170">
        <v>1</v>
      </c>
      <c r="R170" s="7">
        <f t="shared" si="6"/>
        <v>21.406412828996345</v>
      </c>
      <c r="S170" s="7">
        <f>VLOOKUP($A170,Rotations!$A$1:$X$1441,18,0)</f>
        <v>5.8575041008196778E-2</v>
      </c>
      <c r="T170" s="7">
        <f>VLOOKUP($A170,Rotations!$A$1:$X$1441,19,0)</f>
        <v>0.38709127853147313</v>
      </c>
      <c r="U170" s="7">
        <f>VLOOKUP($A170,Rotations!$A$1:$X$1441,20,0)</f>
        <v>0.28459994682338363</v>
      </c>
      <c r="V170" s="7">
        <f>VLOOKUP($A170,Rotations!$A$1:$X$1441,21,0)</f>
        <v>4.6714973124569313E-2</v>
      </c>
      <c r="W170" s="7">
        <f>VLOOKUP($A170,Rotations!$A$1:$X$1441,22,0)</f>
        <v>0.12697013236326285</v>
      </c>
      <c r="X170" s="7">
        <f>VLOOKUP($A170,Rotations!$A$1:$X$1441,23,0)</f>
        <v>9.6048628149114204E-2</v>
      </c>
    </row>
    <row r="171" spans="1:24" ht="15.75" customHeight="1" x14ac:dyDescent="0.3">
      <c r="A171">
        <v>162</v>
      </c>
      <c r="B171" t="str">
        <f>Permutations!I163</f>
        <v>p2 - i2:i3</v>
      </c>
      <c r="C171" t="str">
        <f>Permutations!J163</f>
        <v>p6 - i3:i5</v>
      </c>
      <c r="D171" t="str">
        <f>Permutations!K163</f>
        <v>p15 - i5:i6</v>
      </c>
      <c r="E171" t="str">
        <f>Permutations!L163</f>
        <v>p141 - i6:i4</v>
      </c>
      <c r="F171" t="str">
        <f>Permutations!M163</f>
        <v>p91 - i4:i1</v>
      </c>
      <c r="G171" s="7">
        <f>VLOOKUP(B171,Vlookup!$A$1:$B$30,2,0)</f>
        <v>1.3601242124324544</v>
      </c>
      <c r="H171" s="7">
        <f>VLOOKUP(C171,Vlookup!$A$1:$B$30,2,0)</f>
        <v>2.2414716085286912</v>
      </c>
      <c r="I171" s="7">
        <f>VLOOKUP(D171,Vlookup!$A$1:$B$30,2,0)</f>
        <v>1.3219359277692486</v>
      </c>
      <c r="J171" s="7">
        <f>VLOOKUP(E171,Vlookup!$A$1:$B$30,2,0)</f>
        <v>0.88688155974910687</v>
      </c>
      <c r="K171" s="7">
        <f>VLOOKUP(F171,Vlookup!$A$1:$B$30,2,0)</f>
        <v>2.9131157743633094</v>
      </c>
      <c r="L171" s="7">
        <f t="shared" si="1"/>
        <v>10.412274048340535</v>
      </c>
      <c r="M171" s="7">
        <f t="shared" si="2"/>
        <v>7.6553846723448595</v>
      </c>
      <c r="N171" s="7">
        <f t="shared" si="3"/>
        <v>3.4153386744746137</v>
      </c>
      <c r="O171" s="7">
        <f t="shared" si="4"/>
        <v>2.5835886616970591</v>
      </c>
      <c r="P171" s="7">
        <f t="shared" si="5"/>
        <v>2.9131157743633094</v>
      </c>
      <c r="Q171">
        <v>1</v>
      </c>
      <c r="R171" s="7">
        <f t="shared" si="6"/>
        <v>27.979701831220378</v>
      </c>
      <c r="S171" s="7">
        <f>VLOOKUP($A171,Rotations!$A$1:$X$1441,18,0)</f>
        <v>3.5740195018239169E-2</v>
      </c>
      <c r="T171" s="7">
        <f>VLOOKUP($A171,Rotations!$A$1:$X$1441,19,0)</f>
        <v>0.37213670507104141</v>
      </c>
      <c r="U171" s="7">
        <f>VLOOKUP($A171,Rotations!$A$1:$X$1441,20,0)</f>
        <v>0.27360494112924427</v>
      </c>
      <c r="V171" s="7">
        <f>VLOOKUP($A171,Rotations!$A$1:$X$1441,21,0)</f>
        <v>0.1041153258864535</v>
      </c>
      <c r="W171" s="7">
        <f>VLOOKUP($A171,Rotations!$A$1:$X$1441,22,0)</f>
        <v>0.12206487027905717</v>
      </c>
      <c r="X171" s="7">
        <f>VLOOKUP($A171,Rotations!$A$1:$X$1441,23,0)</f>
        <v>9.2337962615964442E-2</v>
      </c>
    </row>
    <row r="172" spans="1:24" ht="15.75" customHeight="1" x14ac:dyDescent="0.3">
      <c r="A172">
        <v>163</v>
      </c>
      <c r="B172" t="str">
        <f>Permutations!I164</f>
        <v>p2 - i2:i3</v>
      </c>
      <c r="C172" t="str">
        <f>Permutations!J164</f>
        <v>p13 - i3:i6</v>
      </c>
      <c r="D172" t="str">
        <f>Permutations!K164</f>
        <v>p111 - i6:i1</v>
      </c>
      <c r="E172" t="str">
        <f>Permutations!L164</f>
        <v>p9 - i1:i4</v>
      </c>
      <c r="F172" t="str">
        <f>Permutations!M164</f>
        <v>p4 - i4:i5</v>
      </c>
      <c r="G172" s="7">
        <f>VLOOKUP(B172,Vlookup!$A$1:$B$30,2,0)</f>
        <v>1.3601242124324544</v>
      </c>
      <c r="H172" s="7">
        <f>VLOOKUP(C172,Vlookup!$A$1:$B$30,2,0)</f>
        <v>2.0145521929129111</v>
      </c>
      <c r="I172" s="7">
        <f>VLOOKUP(D172,Vlookup!$A$1:$B$30,2,0)</f>
        <v>1.6397534939100344</v>
      </c>
      <c r="J172" s="7">
        <f>VLOOKUP(E172,Vlookup!$A$1:$B$30,2,0)</f>
        <v>1.2538815092968505</v>
      </c>
      <c r="K172" s="7">
        <f>VLOOKUP(F172,Vlookup!$A$1:$B$30,2,0)</f>
        <v>1.89462595295753</v>
      </c>
      <c r="L172" s="7">
        <f t="shared" si="1"/>
        <v>10.673715931470689</v>
      </c>
      <c r="M172" s="7">
        <f t="shared" si="2"/>
        <v>7.8476037952311355</v>
      </c>
      <c r="N172" s="7">
        <f t="shared" si="3"/>
        <v>3.895458168241356</v>
      </c>
      <c r="O172" s="7">
        <f t="shared" si="4"/>
        <v>2.3756364494473714</v>
      </c>
      <c r="P172" s="7">
        <f t="shared" si="5"/>
        <v>1.89462595295753</v>
      </c>
      <c r="Q172">
        <v>1</v>
      </c>
      <c r="R172" s="7">
        <f t="shared" si="6"/>
        <v>27.68704029734808</v>
      </c>
      <c r="S172" s="7">
        <f>VLOOKUP($A172,Rotations!$A$1:$X$1441,18,0)</f>
        <v>8.5803192538240161E-2</v>
      </c>
      <c r="T172" s="7">
        <f>VLOOKUP($A172,Rotations!$A$1:$X$1441,19,0)</f>
        <v>0.38551307098335963</v>
      </c>
      <c r="U172" s="7">
        <f>VLOOKUP($A172,Rotations!$A$1:$X$1441,20,0)</f>
        <v>0.28343960607384944</v>
      </c>
      <c r="V172" s="7">
        <f>VLOOKUP($A172,Rotations!$A$1:$X$1441,21,0)</f>
        <v>6.8430064485404785E-2</v>
      </c>
      <c r="W172" s="7">
        <f>VLOOKUP($A172,Rotations!$A$1:$X$1441,22,0)</f>
        <v>3.6117981165931339E-2</v>
      </c>
      <c r="X172" s="7">
        <f>VLOOKUP($A172,Rotations!$A$1:$X$1441,23,0)</f>
        <v>0.14069608475321468</v>
      </c>
    </row>
    <row r="173" spans="1:24" ht="15.75" customHeight="1" x14ac:dyDescent="0.3">
      <c r="A173">
        <v>164</v>
      </c>
      <c r="B173" t="str">
        <f>Permutations!I165</f>
        <v>p2 - i2:i3</v>
      </c>
      <c r="C173" t="str">
        <f>Permutations!J165</f>
        <v>p13 - i3:i6</v>
      </c>
      <c r="D173" t="str">
        <f>Permutations!K165</f>
        <v>p111 - i6:i1</v>
      </c>
      <c r="E173" t="str">
        <f>Permutations!L165</f>
        <v>p10 - i1:i5</v>
      </c>
      <c r="F173" t="str">
        <f>Permutations!M165</f>
        <v>p41 - i5:i4</v>
      </c>
      <c r="G173" s="7">
        <f>VLOOKUP(B173,Vlookup!$A$1:$B$30,2,0)</f>
        <v>1.3601242124324544</v>
      </c>
      <c r="H173" s="7">
        <f>VLOOKUP(C173,Vlookup!$A$1:$B$30,2,0)</f>
        <v>2.0145521929129111</v>
      </c>
      <c r="I173" s="7">
        <f>VLOOKUP(D173,Vlookup!$A$1:$B$30,2,0)</f>
        <v>1.6397534939100344</v>
      </c>
      <c r="J173" s="7">
        <f>VLOOKUP(E173,Vlookup!$A$1:$B$30,2,0)</f>
        <v>1.0847108741813811</v>
      </c>
      <c r="K173" s="7">
        <f>VLOOKUP(F173,Vlookup!$A$1:$B$30,2,0)</f>
        <v>1.25400669441983</v>
      </c>
      <c r="L173" s="7">
        <f t="shared" si="1"/>
        <v>6.1115238264314451</v>
      </c>
      <c r="M173" s="7">
        <f t="shared" si="2"/>
        <v>4.493357129126875</v>
      </c>
      <c r="N173" s="7">
        <f t="shared" si="3"/>
        <v>2.2304495981460644</v>
      </c>
      <c r="O173" s="7">
        <f t="shared" si="4"/>
        <v>1.3602346977334379</v>
      </c>
      <c r="P173" s="7">
        <f t="shared" si="5"/>
        <v>1.25400669441983</v>
      </c>
      <c r="Q173">
        <v>1</v>
      </c>
      <c r="R173" s="7">
        <f t="shared" si="6"/>
        <v>16.449571945857652</v>
      </c>
      <c r="S173" s="7">
        <f>VLOOKUP($A173,Rotations!$A$1:$X$1441,18,0)</f>
        <v>8.2691191127072058E-2</v>
      </c>
      <c r="T173" s="7">
        <f>VLOOKUP($A173,Rotations!$A$1:$X$1441,19,0)</f>
        <v>0.37153087305535965</v>
      </c>
      <c r="U173" s="7">
        <f>VLOOKUP($A173,Rotations!$A$1:$X$1441,20,0)</f>
        <v>0.27315951709359809</v>
      </c>
      <c r="V173" s="7">
        <f>VLOOKUP($A173,Rotations!$A$1:$X$1441,21,0)</f>
        <v>6.079185545322479E-2</v>
      </c>
      <c r="W173" s="7">
        <f>VLOOKUP($A173,Rotations!$A$1:$X$1441,22,0)</f>
        <v>7.6233393704546529E-2</v>
      </c>
      <c r="X173" s="7">
        <f>VLOOKUP($A173,Rotations!$A$1:$X$1441,23,0)</f>
        <v>0.13559316956619885</v>
      </c>
    </row>
    <row r="174" spans="1:24" ht="15.75" customHeight="1" x14ac:dyDescent="0.3">
      <c r="A174">
        <v>165</v>
      </c>
      <c r="B174" t="str">
        <f>Permutations!I166</f>
        <v>p2 - i2:i3</v>
      </c>
      <c r="C174" t="str">
        <f>Permutations!J166</f>
        <v>p13 - i3:i6</v>
      </c>
      <c r="D174" t="str">
        <f>Permutations!K166</f>
        <v>p141 - i6:i4</v>
      </c>
      <c r="E174" t="str">
        <f>Permutations!L166</f>
        <v>p91 - i4:i1</v>
      </c>
      <c r="F174" t="str">
        <f>Permutations!M166</f>
        <v>p10 - i1:i5</v>
      </c>
      <c r="G174" s="7">
        <f>VLOOKUP(B174,Vlookup!$A$1:$B$30,2,0)</f>
        <v>1.3601242124324544</v>
      </c>
      <c r="H174" s="7">
        <f>VLOOKUP(C174,Vlookup!$A$1:$B$30,2,0)</f>
        <v>2.0145521929129111</v>
      </c>
      <c r="I174" s="7">
        <f>VLOOKUP(D174,Vlookup!$A$1:$B$30,2,0)</f>
        <v>0.88688155974910687</v>
      </c>
      <c r="J174" s="7">
        <f>VLOOKUP(E174,Vlookup!$A$1:$B$30,2,0)</f>
        <v>2.9131157743633094</v>
      </c>
      <c r="K174" s="7">
        <f>VLOOKUP(F174,Vlookup!$A$1:$B$30,2,0)</f>
        <v>1.0847108741813811</v>
      </c>
      <c r="L174" s="7">
        <f t="shared" si="1"/>
        <v>7.6788195034195565</v>
      </c>
      <c r="M174" s="7">
        <f t="shared" si="2"/>
        <v>5.6456751767448567</v>
      </c>
      <c r="N174" s="7">
        <f t="shared" si="3"/>
        <v>2.8024467157545216</v>
      </c>
      <c r="O174" s="7">
        <f t="shared" si="4"/>
        <v>3.1598883582011963</v>
      </c>
      <c r="P174" s="7">
        <f t="shared" si="5"/>
        <v>1.0847108741813811</v>
      </c>
      <c r="Q174">
        <v>1</v>
      </c>
      <c r="R174" s="7">
        <f t="shared" si="6"/>
        <v>21.371540628301513</v>
      </c>
      <c r="S174" s="7">
        <f>VLOOKUP($A174,Rotations!$A$1:$X$1441,18,0)</f>
        <v>5.0754921839604769E-2</v>
      </c>
      <c r="T174" s="7">
        <f>VLOOKUP($A174,Rotations!$A$1:$X$1441,19,0)</f>
        <v>0.35930116770574744</v>
      </c>
      <c r="U174" s="7">
        <f>VLOOKUP($A174,Rotations!$A$1:$X$1441,20,0)</f>
        <v>0.26416790791715339</v>
      </c>
      <c r="V174" s="7">
        <f>VLOOKUP($A174,Rotations!$A$1:$X$1441,21,0)</f>
        <v>0.14785496343752949</v>
      </c>
      <c r="W174" s="7">
        <f>VLOOKUP($A174,Rotations!$A$1:$X$1441,22,0)</f>
        <v>4.6791198509841557E-2</v>
      </c>
      <c r="X174" s="7">
        <f>VLOOKUP($A174,Rotations!$A$1:$X$1441,23,0)</f>
        <v>0.13112984059012334</v>
      </c>
    </row>
    <row r="175" spans="1:24" ht="15.75" customHeight="1" x14ac:dyDescent="0.3">
      <c r="A175">
        <v>166</v>
      </c>
      <c r="B175" t="str">
        <f>Permutations!I167</f>
        <v>p2 - i2:i3</v>
      </c>
      <c r="C175" t="str">
        <f>Permutations!J167</f>
        <v>p13 - i3:i6</v>
      </c>
      <c r="D175" t="str">
        <f>Permutations!K167</f>
        <v>p141 - i6:i4</v>
      </c>
      <c r="E175" t="str">
        <f>Permutations!L167</f>
        <v>p4 - i4:i5</v>
      </c>
      <c r="F175" t="str">
        <f>Permutations!M167</f>
        <v>p101 - i5:i1</v>
      </c>
      <c r="G175" s="7">
        <f>VLOOKUP(B175,Vlookup!$A$1:$B$30,2,0)</f>
        <v>1.3601242124324544</v>
      </c>
      <c r="H175" s="7">
        <f>VLOOKUP(C175,Vlookup!$A$1:$B$30,2,0)</f>
        <v>2.0145521929129111</v>
      </c>
      <c r="I175" s="7">
        <f>VLOOKUP(D175,Vlookup!$A$1:$B$30,2,0)</f>
        <v>0.88688155974910687</v>
      </c>
      <c r="J175" s="7">
        <f>VLOOKUP(E175,Vlookup!$A$1:$B$30,2,0)</f>
        <v>1.89462595295753</v>
      </c>
      <c r="K175" s="7">
        <f>VLOOKUP(F175,Vlookup!$A$1:$B$30,2,0)</f>
        <v>1.530542412441888</v>
      </c>
      <c r="L175" s="7">
        <f t="shared" si="1"/>
        <v>7.046793923919827</v>
      </c>
      <c r="M175" s="7">
        <f t="shared" si="2"/>
        <v>5.1809929266072672</v>
      </c>
      <c r="N175" s="7">
        <f t="shared" si="3"/>
        <v>2.5717839154695166</v>
      </c>
      <c r="O175" s="7">
        <f t="shared" si="4"/>
        <v>2.899805376714629</v>
      </c>
      <c r="P175" s="7">
        <f t="shared" si="5"/>
        <v>1.530542412441888</v>
      </c>
      <c r="Q175">
        <v>1</v>
      </c>
      <c r="R175" s="7">
        <f t="shared" si="6"/>
        <v>20.22991855515313</v>
      </c>
      <c r="S175" s="7">
        <f>VLOOKUP($A175,Rotations!$A$1:$X$1441,18,0)</f>
        <v>4.9431736330212354E-2</v>
      </c>
      <c r="T175" s="7">
        <f>VLOOKUP($A175,Rotations!$A$1:$X$1441,19,0)</f>
        <v>0.34833525922054737</v>
      </c>
      <c r="U175" s="7">
        <f>VLOOKUP($A175,Rotations!$A$1:$X$1441,20,0)</f>
        <v>0.25610547627674568</v>
      </c>
      <c r="V175" s="7">
        <f>VLOOKUP($A175,Rotations!$A$1:$X$1441,21,0)</f>
        <v>0.14334241479068965</v>
      </c>
      <c r="W175" s="7">
        <f>VLOOKUP($A175,Rotations!$A$1:$X$1441,22,0)</f>
        <v>7.5657368974034536E-2</v>
      </c>
      <c r="X175" s="7">
        <f>VLOOKUP($A175,Rotations!$A$1:$X$1441,23,0)</f>
        <v>0.12712774440777028</v>
      </c>
    </row>
    <row r="176" spans="1:24" ht="15.75" customHeight="1" x14ac:dyDescent="0.3">
      <c r="A176">
        <v>167</v>
      </c>
      <c r="B176" t="str">
        <f>Permutations!I168</f>
        <v>p2 - i2:i3</v>
      </c>
      <c r="C176" t="str">
        <f>Permutations!J168</f>
        <v>p13 - i3:i6</v>
      </c>
      <c r="D176" t="str">
        <f>Permutations!K168</f>
        <v>p151 - i6:i5</v>
      </c>
      <c r="E176" t="str">
        <f>Permutations!L168</f>
        <v>p101 - i5:i1</v>
      </c>
      <c r="F176" t="str">
        <f>Permutations!M168</f>
        <v>p9 - i1:i4</v>
      </c>
      <c r="G176" s="7">
        <f>VLOOKUP(B176,Vlookup!$A$1:$B$30,2,0)</f>
        <v>1.3601242124324544</v>
      </c>
      <c r="H176" s="7">
        <f>VLOOKUP(C176,Vlookup!$A$1:$B$30,2,0)</f>
        <v>2.0145521929129111</v>
      </c>
      <c r="I176" s="7">
        <f>VLOOKUP(D176,Vlookup!$A$1:$B$30,2,0)</f>
        <v>1.2266517321719024</v>
      </c>
      <c r="J176" s="7">
        <f>VLOOKUP(E176,Vlookup!$A$1:$B$30,2,0)</f>
        <v>1.530542412441888</v>
      </c>
      <c r="K176" s="7">
        <f>VLOOKUP(F176,Vlookup!$A$1:$B$30,2,0)</f>
        <v>1.2538815092968505</v>
      </c>
      <c r="L176" s="7">
        <f t="shared" si="1"/>
        <v>6.4503048214181877</v>
      </c>
      <c r="M176" s="7">
        <f t="shared" si="2"/>
        <v>4.7424380526852206</v>
      </c>
      <c r="N176" s="7">
        <f t="shared" si="3"/>
        <v>2.3540904372539311</v>
      </c>
      <c r="O176" s="7">
        <f t="shared" si="4"/>
        <v>1.9191188301554771</v>
      </c>
      <c r="P176" s="7">
        <f t="shared" si="5"/>
        <v>1.2538815092968505</v>
      </c>
      <c r="Q176">
        <v>1</v>
      </c>
      <c r="R176" s="7">
        <f t="shared" si="6"/>
        <v>17.719833650809669</v>
      </c>
      <c r="S176" s="7">
        <f>VLOOKUP($A176,Rotations!$A$1:$X$1441,18,0)</f>
        <v>7.0761471806455534E-2</v>
      </c>
      <c r="T176" s="7">
        <f>VLOOKUP($A176,Rotations!$A$1:$X$1441,19,0)</f>
        <v>0.36401610469539908</v>
      </c>
      <c r="U176" s="7">
        <f>VLOOKUP($A176,Rotations!$A$1:$X$1441,20,0)</f>
        <v>0.26763445674155778</v>
      </c>
      <c r="V176" s="7">
        <f>VLOOKUP($A176,Rotations!$A$1:$X$1441,21,0)</f>
        <v>5.643393836004252E-2</v>
      </c>
      <c r="W176" s="7">
        <f>VLOOKUP($A176,Rotations!$A$1:$X$1441,22,0)</f>
        <v>0.1083034337665911</v>
      </c>
      <c r="X176" s="7">
        <f>VLOOKUP($A176,Rotations!$A$1:$X$1441,23,0)</f>
        <v>0.13285059462995388</v>
      </c>
    </row>
    <row r="177" spans="1:24" ht="15.75" customHeight="1" x14ac:dyDescent="0.3">
      <c r="A177">
        <v>168</v>
      </c>
      <c r="B177" t="str">
        <f>Permutations!I169</f>
        <v>p2 - i2:i3</v>
      </c>
      <c r="C177" t="str">
        <f>Permutations!J169</f>
        <v>p13 - i3:i6</v>
      </c>
      <c r="D177" t="str">
        <f>Permutations!K169</f>
        <v>p151 - i6:i5</v>
      </c>
      <c r="E177" t="str">
        <f>Permutations!L169</f>
        <v>p41 - i5:i4</v>
      </c>
      <c r="F177" t="str">
        <f>Permutations!M169</f>
        <v>p91 - i4:i1</v>
      </c>
      <c r="G177" s="7">
        <f>VLOOKUP(B177,Vlookup!$A$1:$B$30,2,0)</f>
        <v>1.3601242124324544</v>
      </c>
      <c r="H177" s="7">
        <f>VLOOKUP(C177,Vlookup!$A$1:$B$30,2,0)</f>
        <v>2.0145521929129111</v>
      </c>
      <c r="I177" s="7">
        <f>VLOOKUP(D177,Vlookup!$A$1:$B$30,2,0)</f>
        <v>1.2266517321719024</v>
      </c>
      <c r="J177" s="7">
        <f>VLOOKUP(E177,Vlookup!$A$1:$B$30,2,0)</f>
        <v>1.25400669441983</v>
      </c>
      <c r="K177" s="7">
        <f>VLOOKUP(F177,Vlookup!$A$1:$B$30,2,0)</f>
        <v>2.9131157743633094</v>
      </c>
      <c r="L177" s="7">
        <f t="shared" si="1"/>
        <v>12.278235858010813</v>
      </c>
      <c r="M177" s="7">
        <f t="shared" si="2"/>
        <v>9.0272901149611524</v>
      </c>
      <c r="N177" s="7">
        <f t="shared" si="3"/>
        <v>4.4810405740385795</v>
      </c>
      <c r="O177" s="7">
        <f t="shared" si="4"/>
        <v>3.653066682671597</v>
      </c>
      <c r="P177" s="7">
        <f t="shared" si="5"/>
        <v>2.9131157743633094</v>
      </c>
      <c r="Q177">
        <v>1</v>
      </c>
      <c r="R177" s="7">
        <f t="shared" si="6"/>
        <v>33.35274900404545</v>
      </c>
      <c r="S177" s="7">
        <f>VLOOKUP($A177,Rotations!$A$1:$X$1441,18,0)</f>
        <v>2.9982536068577349E-2</v>
      </c>
      <c r="T177" s="7">
        <f>VLOOKUP($A177,Rotations!$A$1:$X$1441,19,0)</f>
        <v>0.36813264947130897</v>
      </c>
      <c r="U177" s="7">
        <f>VLOOKUP($A177,Rotations!$A$1:$X$1441,20,0)</f>
        <v>0.27066105147333452</v>
      </c>
      <c r="V177" s="7">
        <f>VLOOKUP($A177,Rotations!$A$1:$X$1441,21,0)</f>
        <v>8.7342598776789557E-2</v>
      </c>
      <c r="W177" s="7">
        <f>VLOOKUP($A177,Rotations!$A$1:$X$1441,22,0)</f>
        <v>0.10952820357411937</v>
      </c>
      <c r="X177" s="7">
        <f>VLOOKUP($A177,Rotations!$A$1:$X$1441,23,0)</f>
        <v>0.13435296063587027</v>
      </c>
    </row>
    <row r="178" spans="1:24" ht="15.75" customHeight="1" x14ac:dyDescent="0.3">
      <c r="A178">
        <v>169</v>
      </c>
      <c r="B178" t="str">
        <f>Permutations!I170</f>
        <v>p5 - i2:i4</v>
      </c>
      <c r="C178" t="str">
        <f>Permutations!J170</f>
        <v>p91 - i4:i1</v>
      </c>
      <c r="D178" t="str">
        <f>Permutations!K170</f>
        <v>p8 - i1:i3</v>
      </c>
      <c r="E178" t="str">
        <f>Permutations!L170</f>
        <v>p6 - i3:i5</v>
      </c>
      <c r="F178" t="str">
        <f>Permutations!M170</f>
        <v>p15 - i5:i6</v>
      </c>
      <c r="G178" s="7">
        <f>VLOOKUP(B178,Vlookup!$A$1:$B$30,2,0)</f>
        <v>0.9108240498099236</v>
      </c>
      <c r="H178" s="7">
        <f>VLOOKUP(C178,Vlookup!$A$1:$B$30,2,0)</f>
        <v>2.9131157743633094</v>
      </c>
      <c r="I178" s="7">
        <f>VLOOKUP(D178,Vlookup!$A$1:$B$30,2,0)</f>
        <v>1.1080774401297739</v>
      </c>
      <c r="J178" s="7">
        <f>VLOOKUP(E178,Vlookup!$A$1:$B$30,2,0)</f>
        <v>2.2414716085286912</v>
      </c>
      <c r="K178" s="7">
        <f>VLOOKUP(F178,Vlookup!$A$1:$B$30,2,0)</f>
        <v>1.3219359277692486</v>
      </c>
      <c r="L178" s="7">
        <f t="shared" si="1"/>
        <v>8.7117618665171275</v>
      </c>
      <c r="M178" s="7">
        <f t="shared" si="2"/>
        <v>9.5647033785890407</v>
      </c>
      <c r="N178" s="7">
        <f t="shared" si="3"/>
        <v>3.283324151673821</v>
      </c>
      <c r="O178" s="7">
        <f t="shared" si="4"/>
        <v>2.9630818503888054</v>
      </c>
      <c r="P178" s="7">
        <f t="shared" si="5"/>
        <v>1.3219359277692486</v>
      </c>
      <c r="Q178">
        <v>1</v>
      </c>
      <c r="R178" s="7">
        <f t="shared" si="6"/>
        <v>26.844807174938044</v>
      </c>
      <c r="S178" s="7">
        <f>VLOOKUP($A178,Rotations!$A$1:$X$1441,18,0)</f>
        <v>0.12230760795849892</v>
      </c>
      <c r="T178" s="7">
        <f>VLOOKUP($A178,Rotations!$A$1:$X$1441,19,0)</f>
        <v>0.32452316791644953</v>
      </c>
      <c r="U178" s="7">
        <f>VLOOKUP($A178,Rotations!$A$1:$X$1441,20,0)</f>
        <v>0.11037821322684334</v>
      </c>
      <c r="V178" s="7">
        <f>VLOOKUP($A178,Rotations!$A$1:$X$1441,21,0)</f>
        <v>0.35629622206854666</v>
      </c>
      <c r="W178" s="7">
        <f>VLOOKUP($A178,Rotations!$A$1:$X$1441,22,0)</f>
        <v>4.9243636549693326E-2</v>
      </c>
      <c r="X178" s="7">
        <f>VLOOKUP($A178,Rotations!$A$1:$X$1441,23,0)</f>
        <v>3.7251152279968197E-2</v>
      </c>
    </row>
    <row r="179" spans="1:24" ht="15.75" customHeight="1" x14ac:dyDescent="0.3">
      <c r="A179">
        <v>170</v>
      </c>
      <c r="B179" t="str">
        <f>Permutations!I171</f>
        <v>p5 - i2:i4</v>
      </c>
      <c r="C179" t="str">
        <f>Permutations!J171</f>
        <v>p91 - i4:i1</v>
      </c>
      <c r="D179" t="str">
        <f>Permutations!K171</f>
        <v>p8 - i1:i3</v>
      </c>
      <c r="E179" t="str">
        <f>Permutations!L171</f>
        <v>p13 - i3:i6</v>
      </c>
      <c r="F179" t="str">
        <f>Permutations!M171</f>
        <v>p151 - i6:i5</v>
      </c>
      <c r="G179" s="7">
        <f>VLOOKUP(B179,Vlookup!$A$1:$B$30,2,0)</f>
        <v>0.9108240498099236</v>
      </c>
      <c r="H179" s="7">
        <f>VLOOKUP(C179,Vlookup!$A$1:$B$30,2,0)</f>
        <v>2.9131157743633094</v>
      </c>
      <c r="I179" s="7">
        <f>VLOOKUP(D179,Vlookup!$A$1:$B$30,2,0)</f>
        <v>1.1080774401297739</v>
      </c>
      <c r="J179" s="7">
        <f>VLOOKUP(E179,Vlookup!$A$1:$B$30,2,0)</f>
        <v>2.0145521929129111</v>
      </c>
      <c r="K179" s="7">
        <f>VLOOKUP(F179,Vlookup!$A$1:$B$30,2,0)</f>
        <v>1.2266517321719024</v>
      </c>
      <c r="L179" s="7">
        <f t="shared" si="1"/>
        <v>7.2654437918125758</v>
      </c>
      <c r="M179" s="7">
        <f t="shared" si="2"/>
        <v>7.9767807990234481</v>
      </c>
      <c r="N179" s="7">
        <f t="shared" si="3"/>
        <v>2.7382299286635301</v>
      </c>
      <c r="O179" s="7">
        <f t="shared" si="4"/>
        <v>2.471153936987327</v>
      </c>
      <c r="P179" s="7">
        <f t="shared" si="5"/>
        <v>1.2266517321719024</v>
      </c>
      <c r="Q179">
        <v>1</v>
      </c>
      <c r="R179" s="7">
        <f t="shared" si="6"/>
        <v>22.678260188658783</v>
      </c>
      <c r="S179" s="7">
        <f>VLOOKUP($A179,Rotations!$A$1:$X$1441,18,0)</f>
        <v>0.12074250431401687</v>
      </c>
      <c r="T179" s="7">
        <f>VLOOKUP($A179,Rotations!$A$1:$X$1441,19,0)</f>
        <v>0.32037042221810147</v>
      </c>
      <c r="U179" s="7">
        <f>VLOOKUP($A179,Rotations!$A$1:$X$1441,20,0)</f>
        <v>0.10896576352991715</v>
      </c>
      <c r="V179" s="7">
        <f>VLOOKUP($A179,Rotations!$A$1:$X$1441,21,0)</f>
        <v>0.35173689395329244</v>
      </c>
      <c r="W179" s="7">
        <f>VLOOKUP($A179,Rotations!$A$1:$X$1441,22,0)</f>
        <v>4.4095093348478824E-2</v>
      </c>
      <c r="X179" s="7">
        <f>VLOOKUP($A179,Rotations!$A$1:$X$1441,23,0)</f>
        <v>5.4089322636193281E-2</v>
      </c>
    </row>
    <row r="180" spans="1:24" ht="15.75" customHeight="1" x14ac:dyDescent="0.3">
      <c r="A180">
        <v>171</v>
      </c>
      <c r="B180" t="str">
        <f>Permutations!I172</f>
        <v>p5 - i2:i4</v>
      </c>
      <c r="C180" t="str">
        <f>Permutations!J172</f>
        <v>p91 - i4:i1</v>
      </c>
      <c r="D180" t="str">
        <f>Permutations!K172</f>
        <v>p10 - i1:i5</v>
      </c>
      <c r="E180" t="str">
        <f>Permutations!L172</f>
        <v>p61 - i5:i3</v>
      </c>
      <c r="F180" t="str">
        <f>Permutations!M172</f>
        <v>p13 - i3:i6</v>
      </c>
      <c r="G180" s="7">
        <f>VLOOKUP(B180,Vlookup!$A$1:$B$30,2,0)</f>
        <v>0.9108240498099236</v>
      </c>
      <c r="H180" s="7">
        <f>VLOOKUP(C180,Vlookup!$A$1:$B$30,2,0)</f>
        <v>2.9131157743633094</v>
      </c>
      <c r="I180" s="7">
        <f>VLOOKUP(D180,Vlookup!$A$1:$B$30,2,0)</f>
        <v>1.0847108741813811</v>
      </c>
      <c r="J180" s="7">
        <f>VLOOKUP(E180,Vlookup!$A$1:$B$30,2,0)</f>
        <v>1.9746367445127702</v>
      </c>
      <c r="K180" s="7">
        <f>VLOOKUP(F180,Vlookup!$A$1:$B$30,2,0)</f>
        <v>2.0145521929129111</v>
      </c>
      <c r="L180" s="7">
        <f t="shared" si="1"/>
        <v>11.449116275467212</v>
      </c>
      <c r="M180" s="7">
        <f t="shared" si="2"/>
        <v>12.570063644955889</v>
      </c>
      <c r="N180" s="7">
        <f t="shared" si="3"/>
        <v>4.3149893854469976</v>
      </c>
      <c r="O180" s="7">
        <f t="shared" si="4"/>
        <v>3.9780087838646128</v>
      </c>
      <c r="P180" s="7">
        <f t="shared" si="5"/>
        <v>2.0145521929129111</v>
      </c>
      <c r="Q180">
        <v>1</v>
      </c>
      <c r="R180" s="7">
        <f t="shared" si="6"/>
        <v>35.326730282647617</v>
      </c>
      <c r="S180" s="7">
        <f>VLOOKUP($A180,Rotations!$A$1:$X$1441,18,0)</f>
        <v>0.12214516743901735</v>
      </c>
      <c r="T180" s="7">
        <f>VLOOKUP($A180,Rotations!$A$1:$X$1441,19,0)</f>
        <v>0.32409215865332952</v>
      </c>
      <c r="U180" s="7">
        <f>VLOOKUP($A180,Rotations!$A$1:$X$1441,20,0)</f>
        <v>5.7026285104637975E-2</v>
      </c>
      <c r="V180" s="7">
        <f>VLOOKUP($A180,Rotations!$A$1:$X$1441,21,0)</f>
        <v>0.35582301402884903</v>
      </c>
      <c r="W180" s="7">
        <f>VLOOKUP($A180,Rotations!$A$1:$X$1441,22,0)</f>
        <v>0.1126061979706794</v>
      </c>
      <c r="X180" s="7">
        <f>VLOOKUP($A180,Rotations!$A$1:$X$1441,23,0)</f>
        <v>2.8307176803486878E-2</v>
      </c>
    </row>
    <row r="181" spans="1:24" ht="15.75" customHeight="1" x14ac:dyDescent="0.3">
      <c r="A181">
        <v>172</v>
      </c>
      <c r="B181" t="str">
        <f>Permutations!I173</f>
        <v>p5 - i2:i4</v>
      </c>
      <c r="C181" t="str">
        <f>Permutations!J173</f>
        <v>p91 - i4:i1</v>
      </c>
      <c r="D181" t="str">
        <f>Permutations!K173</f>
        <v>p10 - i1:i5</v>
      </c>
      <c r="E181" t="str">
        <f>Permutations!L173</f>
        <v>p15 - i5:i6</v>
      </c>
      <c r="F181" t="str">
        <f>Permutations!M173</f>
        <v>p131 - i6:i3</v>
      </c>
      <c r="G181" s="7">
        <f>VLOOKUP(B181,Vlookup!$A$1:$B$30,2,0)</f>
        <v>0.9108240498099236</v>
      </c>
      <c r="H181" s="7">
        <f>VLOOKUP(C181,Vlookup!$A$1:$B$30,2,0)</f>
        <v>2.9131157743633094</v>
      </c>
      <c r="I181" s="7">
        <f>VLOOKUP(D181,Vlookup!$A$1:$B$30,2,0)</f>
        <v>1.0847108741813811</v>
      </c>
      <c r="J181" s="7">
        <f>VLOOKUP(E181,Vlookup!$A$1:$B$30,2,0)</f>
        <v>1.3219359277692486</v>
      </c>
      <c r="K181" s="7">
        <f>VLOOKUP(F181,Vlookup!$A$1:$B$30,2,0)</f>
        <v>1.4032439022773779</v>
      </c>
      <c r="L181" s="7">
        <f t="shared" si="1"/>
        <v>5.3388755563197297</v>
      </c>
      <c r="M181" s="7">
        <f t="shared" si="2"/>
        <v>5.8615882589330832</v>
      </c>
      <c r="N181" s="7">
        <f t="shared" si="3"/>
        <v>2.0121370769118134</v>
      </c>
      <c r="O181" s="7">
        <f t="shared" si="4"/>
        <v>1.8549985298435865</v>
      </c>
      <c r="P181" s="7">
        <f t="shared" si="5"/>
        <v>1.4032439022773779</v>
      </c>
      <c r="Q181">
        <v>1</v>
      </c>
      <c r="R181" s="7">
        <f t="shared" si="6"/>
        <v>17.470843324285589</v>
      </c>
      <c r="S181" s="7">
        <f>VLOOKUP($A181,Rotations!$A$1:$X$1441,18,0)</f>
        <v>0.11517114769810878</v>
      </c>
      <c r="T181" s="7">
        <f>VLOOKUP($A181,Rotations!$A$1:$X$1441,19,0)</f>
        <v>0.30558774165745917</v>
      </c>
      <c r="U181" s="7">
        <f>VLOOKUP($A181,Rotations!$A$1:$X$1441,20,0)</f>
        <v>5.7238221500729505E-2</v>
      </c>
      <c r="V181" s="7">
        <f>VLOOKUP($A181,Rotations!$A$1:$X$1441,21,0)</f>
        <v>0.33550688711088728</v>
      </c>
      <c r="W181" s="7">
        <f>VLOOKUP($A181,Rotations!$A$1:$X$1441,22,0)</f>
        <v>0.1061768167347148</v>
      </c>
      <c r="X181" s="7">
        <f>VLOOKUP($A181,Rotations!$A$1:$X$1441,23,0)</f>
        <v>8.0319185298100587E-2</v>
      </c>
    </row>
    <row r="182" spans="1:24" ht="15.75" customHeight="1" x14ac:dyDescent="0.3">
      <c r="A182">
        <v>173</v>
      </c>
      <c r="B182" t="str">
        <f>Permutations!I174</f>
        <v>p5 - i2:i4</v>
      </c>
      <c r="C182" t="str">
        <f>Permutations!J174</f>
        <v>p91 - i4:i1</v>
      </c>
      <c r="D182" t="str">
        <f>Permutations!K174</f>
        <v>p11 - i1:i6</v>
      </c>
      <c r="E182" t="str">
        <f>Permutations!L174</f>
        <v>p131 - i6:i3</v>
      </c>
      <c r="F182" t="str">
        <f>Permutations!M174</f>
        <v>p6 - i3:i5</v>
      </c>
      <c r="G182" s="7">
        <f>VLOOKUP(B182,Vlookup!$A$1:$B$30,2,0)</f>
        <v>0.9108240498099236</v>
      </c>
      <c r="H182" s="7">
        <f>VLOOKUP(C182,Vlookup!$A$1:$B$30,2,0)</f>
        <v>2.9131157743633094</v>
      </c>
      <c r="I182" s="7">
        <f>VLOOKUP(D182,Vlookup!$A$1:$B$30,2,0)</f>
        <v>1.1613557664474019</v>
      </c>
      <c r="J182" s="7">
        <f>VLOOKUP(E182,Vlookup!$A$1:$B$30,2,0)</f>
        <v>1.4032439022773779</v>
      </c>
      <c r="K182" s="7">
        <f>VLOOKUP(F182,Vlookup!$A$1:$B$30,2,0)</f>
        <v>2.2414716085286912</v>
      </c>
      <c r="L182" s="7">
        <f t="shared" si="1"/>
        <v>9.6922346728122317</v>
      </c>
      <c r="M182" s="7">
        <f t="shared" si="2"/>
        <v>10.641171228224449</v>
      </c>
      <c r="N182" s="7">
        <f t="shared" si="3"/>
        <v>3.6528487202161348</v>
      </c>
      <c r="O182" s="7">
        <f t="shared" si="4"/>
        <v>3.1453313667957521</v>
      </c>
      <c r="P182" s="7">
        <f t="shared" si="5"/>
        <v>2.2414716085286912</v>
      </c>
      <c r="Q182">
        <v>1</v>
      </c>
      <c r="R182" s="7">
        <f t="shared" si="6"/>
        <v>30.373057596577258</v>
      </c>
      <c r="S182" s="7">
        <f>VLOOKUP($A182,Rotations!$A$1:$X$1441,18,0)</f>
        <v>0.12026608478916441</v>
      </c>
      <c r="T182" s="7">
        <f>VLOOKUP($A182,Rotations!$A$1:$X$1441,19,0)</f>
        <v>0.31910632118593324</v>
      </c>
      <c r="U182" s="7">
        <f>VLOOKUP($A182,Rotations!$A$1:$X$1441,20,0)</f>
        <v>7.3798023178979613E-2</v>
      </c>
      <c r="V182" s="7">
        <f>VLOOKUP($A182,Rotations!$A$1:$X$1441,21,0)</f>
        <v>0.3503490287202301</v>
      </c>
      <c r="W182" s="7">
        <f>VLOOKUP($A182,Rotations!$A$1:$X$1441,22,0)</f>
        <v>3.2923916099664927E-2</v>
      </c>
      <c r="X182" s="7">
        <f>VLOOKUP($A182,Rotations!$A$1:$X$1441,23,0)</f>
        <v>0.10355662602602775</v>
      </c>
    </row>
    <row r="183" spans="1:24" ht="15.75" customHeight="1" x14ac:dyDescent="0.3">
      <c r="A183">
        <v>174</v>
      </c>
      <c r="B183" t="str">
        <f>Permutations!I175</f>
        <v>p5 - i2:i4</v>
      </c>
      <c r="C183" t="str">
        <f>Permutations!J175</f>
        <v>p91 - i4:i1</v>
      </c>
      <c r="D183" t="str">
        <f>Permutations!K175</f>
        <v>p11 - i1:i6</v>
      </c>
      <c r="E183" t="str">
        <f>Permutations!L175</f>
        <v>p151 - i6:i5</v>
      </c>
      <c r="F183" t="str">
        <f>Permutations!M175</f>
        <v>p61 - i5:i3</v>
      </c>
      <c r="G183" s="7">
        <f>VLOOKUP(B183,Vlookup!$A$1:$B$30,2,0)</f>
        <v>0.9108240498099236</v>
      </c>
      <c r="H183" s="7">
        <f>VLOOKUP(C183,Vlookup!$A$1:$B$30,2,0)</f>
        <v>2.9131157743633094</v>
      </c>
      <c r="I183" s="7">
        <f>VLOOKUP(D183,Vlookup!$A$1:$B$30,2,0)</f>
        <v>1.1613557664474019</v>
      </c>
      <c r="J183" s="7">
        <f>VLOOKUP(E183,Vlookup!$A$1:$B$30,2,0)</f>
        <v>1.2266517321719024</v>
      </c>
      <c r="K183" s="7">
        <f>VLOOKUP(F183,Vlookup!$A$1:$B$30,2,0)</f>
        <v>1.9746367445127702</v>
      </c>
      <c r="L183" s="7">
        <f t="shared" si="1"/>
        <v>7.4639033245997606</v>
      </c>
      <c r="M183" s="7">
        <f t="shared" si="2"/>
        <v>8.1946708874863088</v>
      </c>
      <c r="N183" s="7">
        <f t="shared" si="3"/>
        <v>2.8130261624350772</v>
      </c>
      <c r="O183" s="7">
        <f t="shared" si="4"/>
        <v>2.4221915830668759</v>
      </c>
      <c r="P183" s="7">
        <f t="shared" si="5"/>
        <v>1.9746367445127702</v>
      </c>
      <c r="Q183">
        <v>1</v>
      </c>
      <c r="R183" s="7">
        <f t="shared" si="6"/>
        <v>23.868428702100793</v>
      </c>
      <c r="S183" s="7">
        <f>VLOOKUP($A183,Rotations!$A$1:$X$1441,18,0)</f>
        <v>0.11785552361004338</v>
      </c>
      <c r="T183" s="7">
        <f>VLOOKUP($A183,Rotations!$A$1:$X$1441,19,0)</f>
        <v>0.31271029265293954</v>
      </c>
      <c r="U183" s="7">
        <f>VLOOKUP($A183,Rotations!$A$1:$X$1441,20,0)</f>
        <v>4.1896348204604875E-2</v>
      </c>
      <c r="V183" s="7">
        <f>VLOOKUP($A183,Rotations!$A$1:$X$1441,21,0)</f>
        <v>0.34332678492426483</v>
      </c>
      <c r="W183" s="7">
        <f>VLOOKUP($A183,Rotations!$A$1:$X$1441,22,0)</f>
        <v>8.2730068625714415E-2</v>
      </c>
      <c r="X183" s="7">
        <f>VLOOKUP($A183,Rotations!$A$1:$X$1441,23,0)</f>
        <v>0.10148098198243294</v>
      </c>
    </row>
    <row r="184" spans="1:24" ht="15.75" customHeight="1" x14ac:dyDescent="0.3">
      <c r="A184">
        <v>175</v>
      </c>
      <c r="B184" t="str">
        <f>Permutations!I176</f>
        <v>p5 - i2:i4</v>
      </c>
      <c r="C184" t="str">
        <f>Permutations!J176</f>
        <v>p31 - i4:i3</v>
      </c>
      <c r="D184" t="str">
        <f>Permutations!K176</f>
        <v>p81 - i3:i1</v>
      </c>
      <c r="E184" t="str">
        <f>Permutations!L176</f>
        <v>p10 - i1:i5</v>
      </c>
      <c r="F184" t="str">
        <f>Permutations!M176</f>
        <v>p15 - i5:i6</v>
      </c>
      <c r="G184" s="7">
        <f>VLOOKUP(B184,Vlookup!$A$1:$B$30,2,0)</f>
        <v>0.9108240498099236</v>
      </c>
      <c r="H184" s="7">
        <f>VLOOKUP(C184,Vlookup!$A$1:$B$30,2,0)</f>
        <v>2.2388599512381115</v>
      </c>
      <c r="I184" s="7">
        <f>VLOOKUP(D184,Vlookup!$A$1:$B$30,2,0)</f>
        <v>1.7021844231989158</v>
      </c>
      <c r="J184" s="7">
        <f>VLOOKUP(E184,Vlookup!$A$1:$B$30,2,0)</f>
        <v>1.0847108741813811</v>
      </c>
      <c r="K184" s="7">
        <f>VLOOKUP(F184,Vlookup!$A$1:$B$30,2,0)</f>
        <v>1.3219359277692486</v>
      </c>
      <c r="L184" s="7">
        <f t="shared" si="1"/>
        <v>4.9772840819729822</v>
      </c>
      <c r="M184" s="7">
        <f t="shared" si="2"/>
        <v>5.4645944878285464</v>
      </c>
      <c r="N184" s="7">
        <f t="shared" si="3"/>
        <v>2.4407933532450623</v>
      </c>
      <c r="O184" s="7">
        <f t="shared" si="4"/>
        <v>1.4339182758223568</v>
      </c>
      <c r="P184" s="7">
        <f t="shared" si="5"/>
        <v>1.3219359277692486</v>
      </c>
      <c r="Q184">
        <v>1</v>
      </c>
      <c r="R184" s="7">
        <f t="shared" si="6"/>
        <v>16.638526126638197</v>
      </c>
      <c r="S184" s="7">
        <f>VLOOKUP($A184,Rotations!$A$1:$X$1441,18,0)</f>
        <v>8.6180606678055507E-2</v>
      </c>
      <c r="T184" s="7">
        <f>VLOOKUP($A184,Rotations!$A$1:$X$1441,19,0)</f>
        <v>0.29914212617693192</v>
      </c>
      <c r="U184" s="7">
        <f>VLOOKUP($A184,Rotations!$A$1:$X$1441,20,0)</f>
        <v>0.14669528626921854</v>
      </c>
      <c r="V184" s="7">
        <f>VLOOKUP($A184,Rotations!$A$1:$X$1441,21,0)</f>
        <v>0.32843020146356339</v>
      </c>
      <c r="W184" s="7">
        <f>VLOOKUP($A184,Rotations!$A$1:$X$1441,22,0)</f>
        <v>7.9450302130597728E-2</v>
      </c>
      <c r="X184" s="7">
        <f>VLOOKUP($A184,Rotations!$A$1:$X$1441,23,0)</f>
        <v>6.0101477281632835E-2</v>
      </c>
    </row>
    <row r="185" spans="1:24" ht="15.75" customHeight="1" x14ac:dyDescent="0.3">
      <c r="A185">
        <v>176</v>
      </c>
      <c r="B185" t="str">
        <f>Permutations!I177</f>
        <v>p5 - i2:i4</v>
      </c>
      <c r="C185" t="str">
        <f>Permutations!J177</f>
        <v>p31 - i4:i3</v>
      </c>
      <c r="D185" t="str">
        <f>Permutations!K177</f>
        <v>p81 - i3:i1</v>
      </c>
      <c r="E185" t="str">
        <f>Permutations!L177</f>
        <v>p11 - i1:i6</v>
      </c>
      <c r="F185" t="str">
        <f>Permutations!M177</f>
        <v>p151 - i6:i5</v>
      </c>
      <c r="G185" s="7">
        <f>VLOOKUP(B185,Vlookup!$A$1:$B$30,2,0)</f>
        <v>0.9108240498099236</v>
      </c>
      <c r="H185" s="7">
        <f>VLOOKUP(C185,Vlookup!$A$1:$B$30,2,0)</f>
        <v>2.2388599512381115</v>
      </c>
      <c r="I185" s="7">
        <f>VLOOKUP(D185,Vlookup!$A$1:$B$30,2,0)</f>
        <v>1.7021844231989158</v>
      </c>
      <c r="J185" s="7">
        <f>VLOOKUP(E185,Vlookup!$A$1:$B$30,2,0)</f>
        <v>1.1613557664474019</v>
      </c>
      <c r="K185" s="7">
        <f>VLOOKUP(F185,Vlookup!$A$1:$B$30,2,0)</f>
        <v>1.2266517321719024</v>
      </c>
      <c r="L185" s="7">
        <f t="shared" si="1"/>
        <v>4.944866671447949</v>
      </c>
      <c r="M185" s="7">
        <f t="shared" si="2"/>
        <v>5.429003189452315</v>
      </c>
      <c r="N185" s="7">
        <f t="shared" si="3"/>
        <v>2.4248962899398965</v>
      </c>
      <c r="O185" s="7">
        <f t="shared" si="4"/>
        <v>1.4245790625805328</v>
      </c>
      <c r="P185" s="7">
        <f t="shared" si="5"/>
        <v>1.2266517321719024</v>
      </c>
      <c r="Q185">
        <v>1</v>
      </c>
      <c r="R185" s="7">
        <f t="shared" si="6"/>
        <v>16.449996945592595</v>
      </c>
      <c r="S185" s="7">
        <f>VLOOKUP($A185,Rotations!$A$1:$X$1441,18,0)</f>
        <v>8.6600566996592451E-2</v>
      </c>
      <c r="T185" s="7">
        <f>VLOOKUP($A185,Rotations!$A$1:$X$1441,19,0)</f>
        <v>0.30059985347126855</v>
      </c>
      <c r="U185" s="7">
        <f>VLOOKUP($A185,Rotations!$A$1:$X$1441,20,0)</f>
        <v>0.1474101361817938</v>
      </c>
      <c r="V185" s="7">
        <f>VLOOKUP($A185,Rotations!$A$1:$X$1441,21,0)</f>
        <v>0.33003065030397427</v>
      </c>
      <c r="W185" s="7">
        <f>VLOOKUP($A185,Rotations!$A$1:$X$1441,22,0)</f>
        <v>6.0790284843665422E-2</v>
      </c>
      <c r="X185" s="7">
        <f>VLOOKUP($A185,Rotations!$A$1:$X$1441,23,0)</f>
        <v>7.4568508202705538E-2</v>
      </c>
    </row>
    <row r="186" spans="1:24" ht="15.75" customHeight="1" x14ac:dyDescent="0.3">
      <c r="A186">
        <v>177</v>
      </c>
      <c r="B186" t="str">
        <f>Permutations!I178</f>
        <v>p5 - i2:i4</v>
      </c>
      <c r="C186" t="str">
        <f>Permutations!J178</f>
        <v>p31 - i4:i3</v>
      </c>
      <c r="D186" t="str">
        <f>Permutations!K178</f>
        <v>p6 - i3:i5</v>
      </c>
      <c r="E186" t="str">
        <f>Permutations!L178</f>
        <v>p101 - i5:i1</v>
      </c>
      <c r="F186" t="str">
        <f>Permutations!M178</f>
        <v>p11 - i1:i6</v>
      </c>
      <c r="G186" s="7">
        <f>VLOOKUP(B186,Vlookup!$A$1:$B$30,2,0)</f>
        <v>0.9108240498099236</v>
      </c>
      <c r="H186" s="7">
        <f>VLOOKUP(C186,Vlookup!$A$1:$B$30,2,0)</f>
        <v>2.2388599512381115</v>
      </c>
      <c r="I186" s="7">
        <f>VLOOKUP(D186,Vlookup!$A$1:$B$30,2,0)</f>
        <v>2.2414716085286912</v>
      </c>
      <c r="J186" s="7">
        <f>VLOOKUP(E186,Vlookup!$A$1:$B$30,2,0)</f>
        <v>1.530542412441888</v>
      </c>
      <c r="K186" s="7">
        <f>VLOOKUP(F186,Vlookup!$A$1:$B$30,2,0)</f>
        <v>1.1613557664474019</v>
      </c>
      <c r="L186" s="7">
        <f t="shared" si="1"/>
        <v>8.1246621154820868</v>
      </c>
      <c r="M186" s="7">
        <f t="shared" si="2"/>
        <v>8.9201225167227314</v>
      </c>
      <c r="N186" s="7">
        <f t="shared" si="3"/>
        <v>3.9842253249426416</v>
      </c>
      <c r="O186" s="7">
        <f t="shared" si="4"/>
        <v>1.7775042564817045</v>
      </c>
      <c r="P186" s="7">
        <f t="shared" si="5"/>
        <v>1.1613557664474019</v>
      </c>
      <c r="Q186">
        <v>1</v>
      </c>
      <c r="R186" s="7">
        <f t="shared" si="6"/>
        <v>24.967869980076564</v>
      </c>
      <c r="S186" s="7">
        <f>VLOOKUP($A186,Rotations!$A$1:$X$1441,18,0)</f>
        <v>4.6514010501261055E-2</v>
      </c>
      <c r="T186" s="7">
        <f>VLOOKUP($A186,Rotations!$A$1:$X$1441,19,0)</f>
        <v>0.32540469499261515</v>
      </c>
      <c r="U186" s="7">
        <f>VLOOKUP($A186,Rotations!$A$1:$X$1441,20,0)</f>
        <v>0.15957409775531137</v>
      </c>
      <c r="V186" s="7">
        <f>VLOOKUP($A186,Rotations!$A$1:$X$1441,21,0)</f>
        <v>0.35726405671932204</v>
      </c>
      <c r="W186" s="7">
        <f>VLOOKUP($A186,Rotations!$A$1:$X$1441,22,0)</f>
        <v>7.1191665844947405E-2</v>
      </c>
      <c r="X186" s="7">
        <f>VLOOKUP($A186,Rotations!$A$1:$X$1441,23,0)</f>
        <v>4.0051474186543062E-2</v>
      </c>
    </row>
    <row r="187" spans="1:24" ht="15.75" customHeight="1" x14ac:dyDescent="0.3">
      <c r="A187">
        <v>178</v>
      </c>
      <c r="B187" t="str">
        <f>Permutations!I179</f>
        <v>p5 - i2:i4</v>
      </c>
      <c r="C187" t="str">
        <f>Permutations!J179</f>
        <v>p31 - i4:i3</v>
      </c>
      <c r="D187" t="str">
        <f>Permutations!K179</f>
        <v>p6 - i3:i5</v>
      </c>
      <c r="E187" t="str">
        <f>Permutations!L179</f>
        <v>p15 - i5:i6</v>
      </c>
      <c r="F187" t="str">
        <f>Permutations!M179</f>
        <v>p111 - i6:i1</v>
      </c>
      <c r="G187" s="7">
        <f>VLOOKUP(B187,Vlookup!$A$1:$B$30,2,0)</f>
        <v>0.9108240498099236</v>
      </c>
      <c r="H187" s="7">
        <f>VLOOKUP(C187,Vlookup!$A$1:$B$30,2,0)</f>
        <v>2.2388599512381115</v>
      </c>
      <c r="I187" s="7">
        <f>VLOOKUP(D187,Vlookup!$A$1:$B$30,2,0)</f>
        <v>2.2414716085286912</v>
      </c>
      <c r="J187" s="7">
        <f>VLOOKUP(E187,Vlookup!$A$1:$B$30,2,0)</f>
        <v>1.3219359277692486</v>
      </c>
      <c r="K187" s="7">
        <f>VLOOKUP(F187,Vlookup!$A$1:$B$30,2,0)</f>
        <v>1.6397534939100344</v>
      </c>
      <c r="L187" s="7">
        <f t="shared" si="1"/>
        <v>9.9079459883358716</v>
      </c>
      <c r="M187" s="7">
        <f t="shared" si="2"/>
        <v>10.878002167821023</v>
      </c>
      <c r="N187" s="7">
        <f t="shared" si="3"/>
        <v>4.8587238169164539</v>
      </c>
      <c r="O187" s="7">
        <f t="shared" si="4"/>
        <v>2.1676490562848283</v>
      </c>
      <c r="P187" s="7">
        <f t="shared" si="5"/>
        <v>1.6397534939100344</v>
      </c>
      <c r="Q187">
        <v>1</v>
      </c>
      <c r="R187" s="7">
        <f t="shared" si="6"/>
        <v>30.452074523268216</v>
      </c>
      <c r="S187" s="7">
        <f>VLOOKUP($A187,Rotations!$A$1:$X$1441,18,0)</f>
        <v>3.283848524789032E-2</v>
      </c>
      <c r="T187" s="7">
        <f>VLOOKUP($A187,Rotations!$A$1:$X$1441,19,0)</f>
        <v>0.32536193817486159</v>
      </c>
      <c r="U187" s="7">
        <f>VLOOKUP($A187,Rotations!$A$1:$X$1441,20,0)</f>
        <v>0.15955313038538432</v>
      </c>
      <c r="V187" s="7">
        <f>VLOOKUP($A187,Rotations!$A$1:$X$1441,21,0)</f>
        <v>0.35721711371450959</v>
      </c>
      <c r="W187" s="7">
        <f>VLOOKUP($A187,Rotations!$A$1:$X$1441,22,0)</f>
        <v>7.1182311557412711E-2</v>
      </c>
      <c r="X187" s="7">
        <f>VLOOKUP($A187,Rotations!$A$1:$X$1441,23,0)</f>
        <v>5.3847020919941278E-2</v>
      </c>
    </row>
    <row r="188" spans="1:24" ht="15.75" customHeight="1" x14ac:dyDescent="0.3">
      <c r="A188">
        <v>179</v>
      </c>
      <c r="B188" t="str">
        <f>Permutations!I180</f>
        <v>p5 - i2:i4</v>
      </c>
      <c r="C188" t="str">
        <f>Permutations!J180</f>
        <v>p31 - i4:i3</v>
      </c>
      <c r="D188" t="str">
        <f>Permutations!K180</f>
        <v>p13 - i3:i6</v>
      </c>
      <c r="E188" t="str">
        <f>Permutations!L180</f>
        <v>p111 - i6:i1</v>
      </c>
      <c r="F188" t="str">
        <f>Permutations!M180</f>
        <v>p10 - i1:i5</v>
      </c>
      <c r="G188" s="7">
        <f>VLOOKUP(B188,Vlookup!$A$1:$B$30,2,0)</f>
        <v>0.9108240498099236</v>
      </c>
      <c r="H188" s="7">
        <f>VLOOKUP(C188,Vlookup!$A$1:$B$30,2,0)</f>
        <v>2.2388599512381115</v>
      </c>
      <c r="I188" s="7">
        <f>VLOOKUP(D188,Vlookup!$A$1:$B$30,2,0)</f>
        <v>2.0145521929129111</v>
      </c>
      <c r="J188" s="7">
        <f>VLOOKUP(E188,Vlookup!$A$1:$B$30,2,0)</f>
        <v>1.6397534939100344</v>
      </c>
      <c r="K188" s="7">
        <f>VLOOKUP(F188,Vlookup!$A$1:$B$30,2,0)</f>
        <v>1.0847108741813811</v>
      </c>
      <c r="L188" s="7">
        <f t="shared" si="1"/>
        <v>7.3068888257110931</v>
      </c>
      <c r="M188" s="7">
        <f t="shared" si="2"/>
        <v>8.0222835873031002</v>
      </c>
      <c r="N188" s="7">
        <f t="shared" si="3"/>
        <v>3.5832002724720224</v>
      </c>
      <c r="O188" s="7">
        <f t="shared" si="4"/>
        <v>1.7786584458211274</v>
      </c>
      <c r="P188" s="7">
        <f t="shared" si="5"/>
        <v>1.0847108741813811</v>
      </c>
      <c r="Q188">
        <v>1</v>
      </c>
      <c r="R188" s="7">
        <f t="shared" si="6"/>
        <v>22.775742005488723</v>
      </c>
      <c r="S188" s="7">
        <f>VLOOKUP($A188,Rotations!$A$1:$X$1441,18,0)</f>
        <v>4.762570957819845E-2</v>
      </c>
      <c r="T188" s="7">
        <f>VLOOKUP($A188,Rotations!$A$1:$X$1441,19,0)</f>
        <v>0.32081891443757166</v>
      </c>
      <c r="U188" s="7">
        <f>VLOOKUP($A188,Rotations!$A$1:$X$1441,20,0)</f>
        <v>0.15732529248041655</v>
      </c>
      <c r="V188" s="7">
        <f>VLOOKUP($A188,Rotations!$A$1:$X$1441,21,0)</f>
        <v>0.35222929665122704</v>
      </c>
      <c r="W188" s="7">
        <f>VLOOKUP($A188,Rotations!$A$1:$X$1441,22,0)</f>
        <v>4.3906363171790849E-2</v>
      </c>
      <c r="X188" s="7">
        <f>VLOOKUP($A188,Rotations!$A$1:$X$1441,23,0)</f>
        <v>7.8094423680795499E-2</v>
      </c>
    </row>
    <row r="189" spans="1:24" ht="15.75" customHeight="1" x14ac:dyDescent="0.3">
      <c r="A189">
        <v>180</v>
      </c>
      <c r="B189" t="str">
        <f>Permutations!I181</f>
        <v>p5 - i2:i4</v>
      </c>
      <c r="C189" t="str">
        <f>Permutations!J181</f>
        <v>p31 - i4:i3</v>
      </c>
      <c r="D189" t="str">
        <f>Permutations!K181</f>
        <v>p13 - i3:i6</v>
      </c>
      <c r="E189" t="str">
        <f>Permutations!L181</f>
        <v>p151 - i6:i5</v>
      </c>
      <c r="F189" t="str">
        <f>Permutations!M181</f>
        <v>p101 - i5:i1</v>
      </c>
      <c r="G189" s="7">
        <f>VLOOKUP(B189,Vlookup!$A$1:$B$30,2,0)</f>
        <v>0.9108240498099236</v>
      </c>
      <c r="H189" s="7">
        <f>VLOOKUP(C189,Vlookup!$A$1:$B$30,2,0)</f>
        <v>2.2388599512381115</v>
      </c>
      <c r="I189" s="7">
        <f>VLOOKUP(D189,Vlookup!$A$1:$B$30,2,0)</f>
        <v>2.0145521929129111</v>
      </c>
      <c r="J189" s="7">
        <f>VLOOKUP(E189,Vlookup!$A$1:$B$30,2,0)</f>
        <v>1.2266517321719024</v>
      </c>
      <c r="K189" s="7">
        <f>VLOOKUP(F189,Vlookup!$A$1:$B$30,2,0)</f>
        <v>1.530542412441888</v>
      </c>
      <c r="L189" s="7">
        <f t="shared" si="1"/>
        <v>7.7127026082557819</v>
      </c>
      <c r="M189" s="7">
        <f t="shared" si="2"/>
        <v>8.4678293352764626</v>
      </c>
      <c r="N189" s="7">
        <f t="shared" si="3"/>
        <v>3.7822059082318527</v>
      </c>
      <c r="O189" s="7">
        <f t="shared" si="4"/>
        <v>1.8774425013844043</v>
      </c>
      <c r="P189" s="7">
        <f t="shared" si="5"/>
        <v>1.530542412441888</v>
      </c>
      <c r="Q189">
        <v>1</v>
      </c>
      <c r="R189" s="7">
        <f t="shared" si="6"/>
        <v>24.37072276559039</v>
      </c>
      <c r="S189" s="7">
        <f>VLOOKUP($A189,Rotations!$A$1:$X$1441,18,0)</f>
        <v>4.1032841316135445E-2</v>
      </c>
      <c r="T189" s="7">
        <f>VLOOKUP($A189,Rotations!$A$1:$X$1441,19,0)</f>
        <v>0.31647410224310346</v>
      </c>
      <c r="U189" s="7">
        <f>VLOOKUP($A189,Rotations!$A$1:$X$1441,20,0)</f>
        <v>0.15519465485742753</v>
      </c>
      <c r="V189" s="7">
        <f>VLOOKUP($A189,Rotations!$A$1:$X$1441,21,0)</f>
        <v>0.34745909740651576</v>
      </c>
      <c r="W189" s="7">
        <f>VLOOKUP($A189,Rotations!$A$1:$X$1441,22,0)</f>
        <v>6.2802503937343115E-2</v>
      </c>
      <c r="X189" s="7">
        <f>VLOOKUP($A189,Rotations!$A$1:$X$1441,23,0)</f>
        <v>7.7036800239474665E-2</v>
      </c>
    </row>
    <row r="190" spans="1:24" ht="15.75" customHeight="1" x14ac:dyDescent="0.3">
      <c r="A190">
        <v>181</v>
      </c>
      <c r="B190" t="str">
        <f>Permutations!I182</f>
        <v>p5 - i2:i4</v>
      </c>
      <c r="C190" t="str">
        <f>Permutations!J182</f>
        <v>p4 - i4:i5</v>
      </c>
      <c r="D190" t="str">
        <f>Permutations!K182</f>
        <v>p101 - i5:i1</v>
      </c>
      <c r="E190" t="str">
        <f>Permutations!L182</f>
        <v>p8 - i1:i3</v>
      </c>
      <c r="F190" t="str">
        <f>Permutations!M182</f>
        <v>p13 - i3:i6</v>
      </c>
      <c r="G190" s="7">
        <f>VLOOKUP(B190,Vlookup!$A$1:$B$30,2,0)</f>
        <v>0.9108240498099236</v>
      </c>
      <c r="H190" s="7">
        <f>VLOOKUP(C190,Vlookup!$A$1:$B$30,2,0)</f>
        <v>1.89462595295753</v>
      </c>
      <c r="I190" s="7">
        <f>VLOOKUP(D190,Vlookup!$A$1:$B$30,2,0)</f>
        <v>1.530542412441888</v>
      </c>
      <c r="J190" s="7">
        <f>VLOOKUP(E190,Vlookup!$A$1:$B$30,2,0)</f>
        <v>1.1080774401297739</v>
      </c>
      <c r="K190" s="7">
        <f>VLOOKUP(F190,Vlookup!$A$1:$B$30,2,0)</f>
        <v>2.0145521929129111</v>
      </c>
      <c r="L190" s="7">
        <f t="shared" si="1"/>
        <v>5.8959253571887524</v>
      </c>
      <c r="M190" s="7">
        <f t="shared" si="2"/>
        <v>6.4731770734634759</v>
      </c>
      <c r="N190" s="7">
        <f t="shared" si="3"/>
        <v>3.4165989668613914</v>
      </c>
      <c r="O190" s="7">
        <f t="shared" si="4"/>
        <v>2.2322798369307613</v>
      </c>
      <c r="P190" s="7">
        <f t="shared" si="5"/>
        <v>2.0145521929129111</v>
      </c>
      <c r="Q190">
        <v>1</v>
      </c>
      <c r="R190" s="7">
        <f t="shared" si="6"/>
        <v>21.032533427357293</v>
      </c>
      <c r="S190" s="7">
        <f>VLOOKUP($A190,Rotations!$A$1:$X$1441,18,0)</f>
        <v>0.10613461495928043</v>
      </c>
      <c r="T190" s="7">
        <f>VLOOKUP($A190,Rotations!$A$1:$X$1441,19,0)</f>
        <v>0.28032406925928594</v>
      </c>
      <c r="U190" s="7">
        <f>VLOOKUP($A190,Rotations!$A$1:$X$1441,20,0)</f>
        <v>9.5782669257168829E-2</v>
      </c>
      <c r="V190" s="7">
        <f>VLOOKUP($A190,Rotations!$A$1:$X$1441,21,0)</f>
        <v>0.30776972711445827</v>
      </c>
      <c r="W190" s="7">
        <f>VLOOKUP($A190,Rotations!$A$1:$X$1441,22,0)</f>
        <v>0.16244352962336797</v>
      </c>
      <c r="X190" s="7">
        <f>VLOOKUP($A190,Rotations!$A$1:$X$1441,23,0)</f>
        <v>4.7545389786438512E-2</v>
      </c>
    </row>
    <row r="191" spans="1:24" ht="15.75" customHeight="1" x14ac:dyDescent="0.3">
      <c r="A191">
        <v>182</v>
      </c>
      <c r="B191" t="str">
        <f>Permutations!I183</f>
        <v>p5 - i2:i4</v>
      </c>
      <c r="C191" t="str">
        <f>Permutations!J183</f>
        <v>p4 - i4:i5</v>
      </c>
      <c r="D191" t="str">
        <f>Permutations!K183</f>
        <v>p101 - i5:i1</v>
      </c>
      <c r="E191" t="str">
        <f>Permutations!L183</f>
        <v>p11 - i1:i6</v>
      </c>
      <c r="F191" t="str">
        <f>Permutations!M183</f>
        <v>p131 - i6:i3</v>
      </c>
      <c r="G191" s="7">
        <f>VLOOKUP(B191,Vlookup!$A$1:$B$30,2,0)</f>
        <v>0.9108240498099236</v>
      </c>
      <c r="H191" s="7">
        <f>VLOOKUP(C191,Vlookup!$A$1:$B$30,2,0)</f>
        <v>1.89462595295753</v>
      </c>
      <c r="I191" s="7">
        <f>VLOOKUP(D191,Vlookup!$A$1:$B$30,2,0)</f>
        <v>1.530542412441888</v>
      </c>
      <c r="J191" s="7">
        <f>VLOOKUP(E191,Vlookup!$A$1:$B$30,2,0)</f>
        <v>1.1613557664474019</v>
      </c>
      <c r="K191" s="7">
        <f>VLOOKUP(F191,Vlookup!$A$1:$B$30,2,0)</f>
        <v>1.4032439022773779</v>
      </c>
      <c r="L191" s="7">
        <f t="shared" si="1"/>
        <v>4.3042925813913131</v>
      </c>
      <c r="M191" s="7">
        <f t="shared" si="2"/>
        <v>4.725712482328019</v>
      </c>
      <c r="N191" s="7">
        <f t="shared" si="3"/>
        <v>2.4942720091800363</v>
      </c>
      <c r="O191" s="7">
        <f t="shared" si="4"/>
        <v>1.6296653976419875</v>
      </c>
      <c r="P191" s="7">
        <f t="shared" si="5"/>
        <v>1.4032439022773779</v>
      </c>
      <c r="Q191">
        <v>1</v>
      </c>
      <c r="R191" s="7">
        <f t="shared" si="6"/>
        <v>15.557186372818736</v>
      </c>
      <c r="S191" s="7">
        <f>VLOOKUP($A191,Rotations!$A$1:$X$1441,18,0)</f>
        <v>0.10475322198937673</v>
      </c>
      <c r="T191" s="7">
        <f>VLOOKUP($A191,Rotations!$A$1:$X$1441,19,0)</f>
        <v>0.27667551691170222</v>
      </c>
      <c r="U191" s="7">
        <f>VLOOKUP($A191,Rotations!$A$1:$X$1441,20,0)</f>
        <v>6.4278975390253332E-2</v>
      </c>
      <c r="V191" s="7">
        <f>VLOOKUP($A191,Rotations!$A$1:$X$1441,21,0)</f>
        <v>0.30376395635297571</v>
      </c>
      <c r="W191" s="7">
        <f>VLOOKUP($A191,Rotations!$A$1:$X$1441,22,0)</f>
        <v>0.1603292490946813</v>
      </c>
      <c r="X191" s="7">
        <f>VLOOKUP($A191,Rotations!$A$1:$X$1441,23,0)</f>
        <v>9.0199080261010631E-2</v>
      </c>
    </row>
    <row r="192" spans="1:24" ht="15.75" customHeight="1" x14ac:dyDescent="0.3">
      <c r="A192">
        <v>183</v>
      </c>
      <c r="B192" t="str">
        <f>Permutations!I184</f>
        <v>p5 - i2:i4</v>
      </c>
      <c r="C192" t="str">
        <f>Permutations!J184</f>
        <v>p4 - i4:i5</v>
      </c>
      <c r="D192" t="str">
        <f>Permutations!K184</f>
        <v>p61 - i5:i3</v>
      </c>
      <c r="E192" t="str">
        <f>Permutations!L184</f>
        <v>p81 - i3:i1</v>
      </c>
      <c r="F192" t="str">
        <f>Permutations!M184</f>
        <v>p11 - i1:i6</v>
      </c>
      <c r="G192" s="7">
        <f>VLOOKUP(B192,Vlookup!$A$1:$B$30,2,0)</f>
        <v>0.9108240498099236</v>
      </c>
      <c r="H192" s="7">
        <f>VLOOKUP(C192,Vlookup!$A$1:$B$30,2,0)</f>
        <v>1.89462595295753</v>
      </c>
      <c r="I192" s="7">
        <f>VLOOKUP(D192,Vlookup!$A$1:$B$30,2,0)</f>
        <v>1.9746367445127702</v>
      </c>
      <c r="J192" s="7">
        <f>VLOOKUP(E192,Vlookup!$A$1:$B$30,2,0)</f>
        <v>1.7021844231989158</v>
      </c>
      <c r="K192" s="7">
        <f>VLOOKUP(F192,Vlookup!$A$1:$B$30,2,0)</f>
        <v>1.1613557664474019</v>
      </c>
      <c r="L192" s="7">
        <f t="shared" si="1"/>
        <v>6.7362326539099149</v>
      </c>
      <c r="M192" s="7">
        <f t="shared" si="2"/>
        <v>7.3957562443763694</v>
      </c>
      <c r="N192" s="7">
        <f t="shared" si="3"/>
        <v>3.9035442498987831</v>
      </c>
      <c r="O192" s="7">
        <f t="shared" si="4"/>
        <v>1.9768416954390056</v>
      </c>
      <c r="P192" s="7">
        <f t="shared" si="5"/>
        <v>1.1613557664474019</v>
      </c>
      <c r="Q192">
        <v>1</v>
      </c>
      <c r="R192" s="7">
        <f t="shared" si="6"/>
        <v>22.173730610071473</v>
      </c>
      <c r="S192" s="7">
        <f>VLOOKUP($A192,Rotations!$A$1:$X$1441,18,0)</f>
        <v>5.2375298810562146E-2</v>
      </c>
      <c r="T192" s="7">
        <f>VLOOKUP($A192,Rotations!$A$1:$X$1441,19,0)</f>
        <v>0.30379338381833987</v>
      </c>
      <c r="U192" s="7">
        <f>VLOOKUP($A192,Rotations!$A$1:$X$1441,20,0)</f>
        <v>8.9152417795727593E-2</v>
      </c>
      <c r="V192" s="7">
        <f>VLOOKUP($A192,Rotations!$A$1:$X$1441,21,0)</f>
        <v>0.33353684927592481</v>
      </c>
      <c r="W192" s="7">
        <f>VLOOKUP($A192,Rotations!$A$1:$X$1441,22,0)</f>
        <v>0.17604364004159789</v>
      </c>
      <c r="X192" s="7">
        <f>VLOOKUP($A192,Rotations!$A$1:$X$1441,23,0)</f>
        <v>4.5098410257847749E-2</v>
      </c>
    </row>
    <row r="193" spans="1:24" ht="15.75" customHeight="1" x14ac:dyDescent="0.3">
      <c r="A193">
        <v>184</v>
      </c>
      <c r="B193" t="str">
        <f>Permutations!I185</f>
        <v>p5 - i2:i4</v>
      </c>
      <c r="C193" t="str">
        <f>Permutations!J185</f>
        <v>p4 - i4:i5</v>
      </c>
      <c r="D193" t="str">
        <f>Permutations!K185</f>
        <v>p61 - i5:i3</v>
      </c>
      <c r="E193" t="str">
        <f>Permutations!L185</f>
        <v>p13 - i3:i6</v>
      </c>
      <c r="F193" t="str">
        <f>Permutations!M185</f>
        <v>p111 - i6:i1</v>
      </c>
      <c r="G193" s="7">
        <f>VLOOKUP(B193,Vlookup!$A$1:$B$30,2,0)</f>
        <v>0.9108240498099236</v>
      </c>
      <c r="H193" s="7">
        <f>VLOOKUP(C193,Vlookup!$A$1:$B$30,2,0)</f>
        <v>1.89462595295753</v>
      </c>
      <c r="I193" s="7">
        <f>VLOOKUP(D193,Vlookup!$A$1:$B$30,2,0)</f>
        <v>1.9746367445127702</v>
      </c>
      <c r="J193" s="7">
        <f>VLOOKUP(E193,Vlookup!$A$1:$B$30,2,0)</f>
        <v>2.0145521929129111</v>
      </c>
      <c r="K193" s="7">
        <f>VLOOKUP(F193,Vlookup!$A$1:$B$30,2,0)</f>
        <v>1.6397534939100344</v>
      </c>
      <c r="L193" s="7">
        <f t="shared" si="1"/>
        <v>11.25647144978733</v>
      </c>
      <c r="M193" s="7">
        <f t="shared" si="2"/>
        <v>12.358557563490336</v>
      </c>
      <c r="N193" s="7">
        <f t="shared" si="3"/>
        <v>6.5229538021468061</v>
      </c>
      <c r="O193" s="7">
        <f t="shared" si="4"/>
        <v>3.3033689969930675</v>
      </c>
      <c r="P193" s="7">
        <f t="shared" si="5"/>
        <v>1.6397534939100344</v>
      </c>
      <c r="Q193">
        <v>1</v>
      </c>
      <c r="R193" s="7">
        <f t="shared" si="6"/>
        <v>36.081105306327572</v>
      </c>
      <c r="S193" s="7">
        <f>VLOOKUP($A193,Rotations!$A$1:$X$1441,18,0)</f>
        <v>2.7715337196852149E-2</v>
      </c>
      <c r="T193" s="7">
        <f>VLOOKUP($A193,Rotations!$A$1:$X$1441,19,0)</f>
        <v>0.31197690187759503</v>
      </c>
      <c r="U193" s="7">
        <f>VLOOKUP($A193,Rotations!$A$1:$X$1441,20,0)</f>
        <v>9.1553985637290142E-2</v>
      </c>
      <c r="V193" s="7">
        <f>VLOOKUP($A193,Rotations!$A$1:$X$1441,21,0)</f>
        <v>0.3425215901388422</v>
      </c>
      <c r="W193" s="7">
        <f>VLOOKUP($A193,Rotations!$A$1:$X$1441,22,0)</f>
        <v>0.18078586414598752</v>
      </c>
      <c r="X193" s="7">
        <f>VLOOKUP($A193,Rotations!$A$1:$X$1441,23,0)</f>
        <v>4.544632100343305E-2</v>
      </c>
    </row>
    <row r="194" spans="1:24" ht="15.75" customHeight="1" x14ac:dyDescent="0.3">
      <c r="A194">
        <v>185</v>
      </c>
      <c r="B194" t="str">
        <f>Permutations!I186</f>
        <v>p5 - i2:i4</v>
      </c>
      <c r="C194" t="str">
        <f>Permutations!J186</f>
        <v>p4 - i4:i5</v>
      </c>
      <c r="D194" t="str">
        <f>Permutations!K186</f>
        <v>p15 - i5:i6</v>
      </c>
      <c r="E194" t="str">
        <f>Permutations!L186</f>
        <v>p111 - i6:i1</v>
      </c>
      <c r="F194" t="str">
        <f>Permutations!M186</f>
        <v>p8 - i1:i3</v>
      </c>
      <c r="G194" s="7">
        <f>VLOOKUP(B194,Vlookup!$A$1:$B$30,2,0)</f>
        <v>0.9108240498099236</v>
      </c>
      <c r="H194" s="7">
        <f>VLOOKUP(C194,Vlookup!$A$1:$B$30,2,0)</f>
        <v>1.89462595295753</v>
      </c>
      <c r="I194" s="7">
        <f>VLOOKUP(D194,Vlookup!$A$1:$B$30,2,0)</f>
        <v>1.3219359277692486</v>
      </c>
      <c r="J194" s="7">
        <f>VLOOKUP(E194,Vlookup!$A$1:$B$30,2,0)</f>
        <v>1.6397534939100344</v>
      </c>
      <c r="K194" s="7">
        <f>VLOOKUP(F194,Vlookup!$A$1:$B$30,2,0)</f>
        <v>1.1080774401297739</v>
      </c>
      <c r="L194" s="7">
        <f t="shared" si="1"/>
        <v>4.1449286151489515</v>
      </c>
      <c r="M194" s="7">
        <f t="shared" si="2"/>
        <v>4.5507456857490114</v>
      </c>
      <c r="N194" s="7">
        <f t="shared" si="3"/>
        <v>2.401923017387813</v>
      </c>
      <c r="O194" s="7">
        <f t="shared" si="4"/>
        <v>1.8169738539756839</v>
      </c>
      <c r="P194" s="7">
        <f t="shared" si="5"/>
        <v>1.1080774401297739</v>
      </c>
      <c r="Q194">
        <v>1</v>
      </c>
      <c r="R194" s="7">
        <f t="shared" si="6"/>
        <v>15.022648612391233</v>
      </c>
      <c r="S194" s="7">
        <f>VLOOKUP($A194,Rotations!$A$1:$X$1441,18,0)</f>
        <v>7.3760457873972438E-2</v>
      </c>
      <c r="T194" s="7">
        <f>VLOOKUP($A194,Rotations!$A$1:$X$1441,19,0)</f>
        <v>0.27591197278821139</v>
      </c>
      <c r="U194" s="7">
        <f>VLOOKUP($A194,Rotations!$A$1:$X$1441,20,0)</f>
        <v>6.6566157926050612E-2</v>
      </c>
      <c r="V194" s="7">
        <f>VLOOKUP($A194,Rotations!$A$1:$X$1441,21,0)</f>
        <v>0.30292565599886223</v>
      </c>
      <c r="W194" s="7">
        <f>VLOOKUP($A194,Rotations!$A$1:$X$1441,22,0)</f>
        <v>0.15988678690165317</v>
      </c>
      <c r="X194" s="7">
        <f>VLOOKUP($A194,Rotations!$A$1:$X$1441,23,0)</f>
        <v>0.12094896851125021</v>
      </c>
    </row>
    <row r="195" spans="1:24" ht="15.75" customHeight="1" x14ac:dyDescent="0.3">
      <c r="A195">
        <v>186</v>
      </c>
      <c r="B195" t="str">
        <f>Permutations!I187</f>
        <v>p5 - i2:i4</v>
      </c>
      <c r="C195" t="str">
        <f>Permutations!J187</f>
        <v>p4 - i4:i5</v>
      </c>
      <c r="D195" t="str">
        <f>Permutations!K187</f>
        <v>p15 - i5:i6</v>
      </c>
      <c r="E195" t="str">
        <f>Permutations!L187</f>
        <v>p131 - i6:i3</v>
      </c>
      <c r="F195" t="str">
        <f>Permutations!M187</f>
        <v>p81 - i3:i1</v>
      </c>
      <c r="G195" s="7">
        <f>VLOOKUP(B195,Vlookup!$A$1:$B$30,2,0)</f>
        <v>0.9108240498099236</v>
      </c>
      <c r="H195" s="7">
        <f>VLOOKUP(C195,Vlookup!$A$1:$B$30,2,0)</f>
        <v>1.89462595295753</v>
      </c>
      <c r="I195" s="7">
        <f>VLOOKUP(D195,Vlookup!$A$1:$B$30,2,0)</f>
        <v>1.3219359277692486</v>
      </c>
      <c r="J195" s="7">
        <f>VLOOKUP(E195,Vlookup!$A$1:$B$30,2,0)</f>
        <v>1.4032439022773779</v>
      </c>
      <c r="K195" s="7">
        <f>VLOOKUP(F195,Vlookup!$A$1:$B$30,2,0)</f>
        <v>1.7021844231989158</v>
      </c>
      <c r="L195" s="7">
        <f t="shared" si="1"/>
        <v>5.4488914118582983</v>
      </c>
      <c r="M195" s="7">
        <f t="shared" si="2"/>
        <v>5.9823754247545482</v>
      </c>
      <c r="N195" s="7">
        <f t="shared" si="3"/>
        <v>3.1575496025566423</v>
      </c>
      <c r="O195" s="7">
        <f t="shared" si="4"/>
        <v>2.3885799124054143</v>
      </c>
      <c r="P195" s="7">
        <f t="shared" si="5"/>
        <v>1.7021844231989158</v>
      </c>
      <c r="Q195">
        <v>1</v>
      </c>
      <c r="R195" s="7">
        <f t="shared" si="6"/>
        <v>19.679580774773818</v>
      </c>
      <c r="S195" s="7">
        <f>VLOOKUP($A195,Rotations!$A$1:$X$1441,18,0)</f>
        <v>5.0814090576657277E-2</v>
      </c>
      <c r="T195" s="7">
        <f>VLOOKUP($A195,Rotations!$A$1:$X$1441,19,0)</f>
        <v>0.27688046174453751</v>
      </c>
      <c r="U195" s="7">
        <f>VLOOKUP($A195,Rotations!$A$1:$X$1441,20,0)</f>
        <v>8.6494953458604834E-2</v>
      </c>
      <c r="V195" s="7">
        <f>VLOOKUP($A195,Rotations!$A$1:$X$1441,21,0)</f>
        <v>0.30398896669704617</v>
      </c>
      <c r="W195" s="7">
        <f>VLOOKUP($A195,Rotations!$A$1:$X$1441,22,0)</f>
        <v>0.16044801150460142</v>
      </c>
      <c r="X195" s="7">
        <f>VLOOKUP($A195,Rotations!$A$1:$X$1441,23,0)</f>
        <v>0.12137351601855283</v>
      </c>
    </row>
    <row r="196" spans="1:24" ht="15.75" customHeight="1" x14ac:dyDescent="0.3">
      <c r="A196">
        <v>187</v>
      </c>
      <c r="B196" t="str">
        <f>Permutations!I188</f>
        <v>p5 - i2:i4</v>
      </c>
      <c r="C196" t="str">
        <f>Permutations!J188</f>
        <v>p14 - i4:i6</v>
      </c>
      <c r="D196" t="str">
        <f>Permutations!K188</f>
        <v>p111 - i6:i1</v>
      </c>
      <c r="E196" t="str">
        <f>Permutations!L188</f>
        <v>p8 - i1:i3</v>
      </c>
      <c r="F196" t="str">
        <f>Permutations!M188</f>
        <v>p6 - i3:i5</v>
      </c>
      <c r="G196" s="7">
        <f>VLOOKUP(B196,Vlookup!$A$1:$B$30,2,0)</f>
        <v>0.9108240498099236</v>
      </c>
      <c r="H196" s="7">
        <f>VLOOKUP(C196,Vlookup!$A$1:$B$30,2,0)</f>
        <v>1.478275916473532</v>
      </c>
      <c r="I196" s="7">
        <f>VLOOKUP(D196,Vlookup!$A$1:$B$30,2,0)</f>
        <v>1.6397534939100344</v>
      </c>
      <c r="J196" s="7">
        <f>VLOOKUP(E196,Vlookup!$A$1:$B$30,2,0)</f>
        <v>1.1080774401297739</v>
      </c>
      <c r="K196" s="7">
        <f>VLOOKUP(F196,Vlookup!$A$1:$B$30,2,0)</f>
        <v>2.2414716085286912</v>
      </c>
      <c r="L196" s="7">
        <f t="shared" si="1"/>
        <v>5.4836775701805118</v>
      </c>
      <c r="M196" s="7">
        <f t="shared" si="2"/>
        <v>6.0205673876583301</v>
      </c>
      <c r="N196" s="7">
        <f t="shared" si="3"/>
        <v>4.0726953071254517</v>
      </c>
      <c r="O196" s="7">
        <f t="shared" si="4"/>
        <v>2.4837241221020387</v>
      </c>
      <c r="P196" s="7">
        <f t="shared" si="5"/>
        <v>2.2414716085286912</v>
      </c>
      <c r="Q196">
        <v>1</v>
      </c>
      <c r="R196" s="7">
        <f t="shared" si="6"/>
        <v>21.302135995595023</v>
      </c>
      <c r="S196" s="7">
        <f>VLOOKUP($A196,Rotations!$A$1:$X$1441,18,0)</f>
        <v>0.11659507396890327</v>
      </c>
      <c r="T196" s="7">
        <f>VLOOKUP($A196,Rotations!$A$1:$X$1441,19,0)</f>
        <v>0.25742383633803007</v>
      </c>
      <c r="U196" s="7">
        <f>VLOOKUP($A196,Rotations!$A$1:$X$1441,20,0)</f>
        <v>0.10522285694693694</v>
      </c>
      <c r="V196" s="7">
        <f>VLOOKUP($A196,Rotations!$A$1:$X$1441,21,0)</f>
        <v>0.28262740360418775</v>
      </c>
      <c r="W196" s="7">
        <f>VLOOKUP($A196,Rotations!$A$1:$X$1441,22,0)</f>
        <v>4.6943649228733952E-2</v>
      </c>
      <c r="X196" s="7">
        <f>VLOOKUP($A196,Rotations!$A$1:$X$1441,23,0)</f>
        <v>0.19118717991320808</v>
      </c>
    </row>
    <row r="197" spans="1:24" ht="15.75" customHeight="1" x14ac:dyDescent="0.3">
      <c r="A197">
        <v>188</v>
      </c>
      <c r="B197" t="str">
        <f>Permutations!I189</f>
        <v>p5 - i2:i4</v>
      </c>
      <c r="C197" t="str">
        <f>Permutations!J189</f>
        <v>p14 - i4:i6</v>
      </c>
      <c r="D197" t="str">
        <f>Permutations!K189</f>
        <v>p111 - i6:i1</v>
      </c>
      <c r="E197" t="str">
        <f>Permutations!L189</f>
        <v>p10 - i1:i5</v>
      </c>
      <c r="F197" t="str">
        <f>Permutations!M189</f>
        <v>p61 - i5:i3</v>
      </c>
      <c r="G197" s="7">
        <f>VLOOKUP(B197,Vlookup!$A$1:$B$30,2,0)</f>
        <v>0.9108240498099236</v>
      </c>
      <c r="H197" s="7">
        <f>VLOOKUP(C197,Vlookup!$A$1:$B$30,2,0)</f>
        <v>1.478275916473532</v>
      </c>
      <c r="I197" s="7">
        <f>VLOOKUP(D197,Vlookup!$A$1:$B$30,2,0)</f>
        <v>1.6397534939100344</v>
      </c>
      <c r="J197" s="7">
        <f>VLOOKUP(E197,Vlookup!$A$1:$B$30,2,0)</f>
        <v>1.0847108741813811</v>
      </c>
      <c r="K197" s="7">
        <f>VLOOKUP(F197,Vlookup!$A$1:$B$30,2,0)</f>
        <v>1.9746367445127702</v>
      </c>
      <c r="L197" s="7">
        <f t="shared" si="1"/>
        <v>4.7290049011373325</v>
      </c>
      <c r="M197" s="7">
        <f t="shared" si="2"/>
        <v>5.1920070645084637</v>
      </c>
      <c r="N197" s="7">
        <f t="shared" si="3"/>
        <v>3.5122043230563746</v>
      </c>
      <c r="O197" s="7">
        <f t="shared" si="4"/>
        <v>2.1419099493311236</v>
      </c>
      <c r="P197" s="7">
        <f t="shared" si="5"/>
        <v>1.9746367445127702</v>
      </c>
      <c r="Q197">
        <v>1</v>
      </c>
      <c r="R197" s="7">
        <f t="shared" si="6"/>
        <v>18.549762982546067</v>
      </c>
      <c r="S197" s="7">
        <f>VLOOKUP($A197,Rotations!$A$1:$X$1441,18,0)</f>
        <v>0.11546831899396773</v>
      </c>
      <c r="T197" s="7">
        <f>VLOOKUP($A197,Rotations!$A$1:$X$1441,19,0)</f>
        <v>0.25493613614292382</v>
      </c>
      <c r="U197" s="7">
        <f>VLOOKUP($A197,Rotations!$A$1:$X$1441,20,0)</f>
        <v>5.3909044602937779E-2</v>
      </c>
      <c r="V197" s="7">
        <f>VLOOKUP($A197,Rotations!$A$1:$X$1441,21,0)</f>
        <v>0.27989614041935479</v>
      </c>
      <c r="W197" s="7">
        <f>VLOOKUP($A197,Rotations!$A$1:$X$1441,22,0)</f>
        <v>0.10645078033453877</v>
      </c>
      <c r="X197" s="7">
        <f>VLOOKUP($A197,Rotations!$A$1:$X$1441,23,0)</f>
        <v>0.18933957950627697</v>
      </c>
    </row>
    <row r="198" spans="1:24" ht="15.75" customHeight="1" x14ac:dyDescent="0.3">
      <c r="A198">
        <v>189</v>
      </c>
      <c r="B198" t="str">
        <f>Permutations!I190</f>
        <v>p5 - i2:i4</v>
      </c>
      <c r="C198" t="str">
        <f>Permutations!J190</f>
        <v>p14 - i4:i6</v>
      </c>
      <c r="D198" t="str">
        <f>Permutations!K190</f>
        <v>p131 - i6:i3</v>
      </c>
      <c r="E198" t="str">
        <f>Permutations!L190</f>
        <v>p81 - i3:i1</v>
      </c>
      <c r="F198" t="str">
        <f>Permutations!M190</f>
        <v>p10 - i1:i5</v>
      </c>
      <c r="G198" s="7">
        <f>VLOOKUP(B198,Vlookup!$A$1:$B$30,2,0)</f>
        <v>0.9108240498099236</v>
      </c>
      <c r="H198" s="7">
        <f>VLOOKUP(C198,Vlookup!$A$1:$B$30,2,0)</f>
        <v>1.478275916473532</v>
      </c>
      <c r="I198" s="7">
        <f>VLOOKUP(D198,Vlookup!$A$1:$B$30,2,0)</f>
        <v>1.4032439022773779</v>
      </c>
      <c r="J198" s="7">
        <f>VLOOKUP(E198,Vlookup!$A$1:$B$30,2,0)</f>
        <v>1.7021844231989158</v>
      </c>
      <c r="K198" s="7">
        <f>VLOOKUP(F198,Vlookup!$A$1:$B$30,2,0)</f>
        <v>1.0847108741813811</v>
      </c>
      <c r="L198" s="7">
        <f t="shared" si="1"/>
        <v>3.4885404303760739</v>
      </c>
      <c r="M198" s="7">
        <f t="shared" si="2"/>
        <v>3.8300925750742785</v>
      </c>
      <c r="N198" s="7">
        <f t="shared" si="3"/>
        <v>2.5909186048373636</v>
      </c>
      <c r="O198" s="7">
        <f t="shared" si="4"/>
        <v>1.8463779537060261</v>
      </c>
      <c r="P198" s="7">
        <f t="shared" si="5"/>
        <v>1.0847108741813811</v>
      </c>
      <c r="Q198">
        <v>1</v>
      </c>
      <c r="R198" s="7">
        <f t="shared" si="6"/>
        <v>13.840640438175123</v>
      </c>
      <c r="S198" s="7">
        <f>VLOOKUP($A198,Rotations!$A$1:$X$1441,18,0)</f>
        <v>7.8371436569477079E-2</v>
      </c>
      <c r="T198" s="7">
        <f>VLOOKUP($A198,Rotations!$A$1:$X$1441,19,0)</f>
        <v>0.25205050633018505</v>
      </c>
      <c r="U198" s="7">
        <f>VLOOKUP($A198,Rotations!$A$1:$X$1441,20,0)</f>
        <v>0.13340263855228576</v>
      </c>
      <c r="V198" s="7">
        <f>VLOOKUP($A198,Rotations!$A$1:$X$1441,21,0)</f>
        <v>0.27672798756552863</v>
      </c>
      <c r="W198" s="7">
        <f>VLOOKUP($A198,Rotations!$A$1:$X$1441,22,0)</f>
        <v>7.2250991886315424E-2</v>
      </c>
      <c r="X198" s="7">
        <f>VLOOKUP($A198,Rotations!$A$1:$X$1441,23,0)</f>
        <v>0.18719643909620803</v>
      </c>
    </row>
    <row r="199" spans="1:24" ht="15.75" customHeight="1" x14ac:dyDescent="0.3">
      <c r="A199">
        <v>190</v>
      </c>
      <c r="B199" t="str">
        <f>Permutations!I191</f>
        <v>p5 - i2:i4</v>
      </c>
      <c r="C199" t="str">
        <f>Permutations!J191</f>
        <v>p14 - i4:i6</v>
      </c>
      <c r="D199" t="str">
        <f>Permutations!K191</f>
        <v>p131 - i6:i3</v>
      </c>
      <c r="E199" t="str">
        <f>Permutations!L191</f>
        <v>p6 - i3:i5</v>
      </c>
      <c r="F199" t="str">
        <f>Permutations!M191</f>
        <v>p101 - i5:i1</v>
      </c>
      <c r="G199" s="7">
        <f>VLOOKUP(B199,Vlookup!$A$1:$B$30,2,0)</f>
        <v>0.9108240498099236</v>
      </c>
      <c r="H199" s="7">
        <f>VLOOKUP(C199,Vlookup!$A$1:$B$30,2,0)</f>
        <v>1.478275916473532</v>
      </c>
      <c r="I199" s="7">
        <f>VLOOKUP(D199,Vlookup!$A$1:$B$30,2,0)</f>
        <v>1.4032439022773779</v>
      </c>
      <c r="J199" s="7">
        <f>VLOOKUP(E199,Vlookup!$A$1:$B$30,2,0)</f>
        <v>2.2414716085286912</v>
      </c>
      <c r="K199" s="7">
        <f>VLOOKUP(F199,Vlookup!$A$1:$B$30,2,0)</f>
        <v>1.530542412441888</v>
      </c>
      <c r="L199" s="7">
        <f t="shared" si="1"/>
        <v>6.4818916275807963</v>
      </c>
      <c r="M199" s="7">
        <f t="shared" si="2"/>
        <v>7.1165134791219851</v>
      </c>
      <c r="N199" s="7">
        <f t="shared" si="3"/>
        <v>4.8140630580647112</v>
      </c>
      <c r="O199" s="7">
        <f t="shared" si="4"/>
        <v>3.4306673631375024</v>
      </c>
      <c r="P199" s="7">
        <f t="shared" si="5"/>
        <v>1.530542412441888</v>
      </c>
      <c r="Q199">
        <v>1</v>
      </c>
      <c r="R199" s="7">
        <f t="shared" si="6"/>
        <v>24.373677940346884</v>
      </c>
      <c r="S199" s="7">
        <f>VLOOKUP($A199,Rotations!$A$1:$X$1441,18,0)</f>
        <v>4.1027866309197983E-2</v>
      </c>
      <c r="T199" s="7">
        <f>VLOOKUP($A199,Rotations!$A$1:$X$1441,19,0)</f>
        <v>0.26593818312709461</v>
      </c>
      <c r="U199" s="7">
        <f>VLOOKUP($A199,Rotations!$A$1:$X$1441,20,0)</f>
        <v>0.14075296192613421</v>
      </c>
      <c r="V199" s="7">
        <f>VLOOKUP($A199,Rotations!$A$1:$X$1441,21,0)</f>
        <v>0.29197536360902221</v>
      </c>
      <c r="W199" s="7">
        <f>VLOOKUP($A199,Rotations!$A$1:$X$1441,22,0)</f>
        <v>6.2794889478223148E-2</v>
      </c>
      <c r="X199" s="7">
        <f>VLOOKUP($A199,Rotations!$A$1:$X$1441,23,0)</f>
        <v>0.19751073555032778</v>
      </c>
    </row>
    <row r="200" spans="1:24" ht="15.75" customHeight="1" x14ac:dyDescent="0.3">
      <c r="A200">
        <v>191</v>
      </c>
      <c r="B200" t="str">
        <f>Permutations!I192</f>
        <v>p5 - i2:i4</v>
      </c>
      <c r="C200" t="str">
        <f>Permutations!J192</f>
        <v>p14 - i4:i6</v>
      </c>
      <c r="D200" t="str">
        <f>Permutations!K192</f>
        <v>p151 - i6:i5</v>
      </c>
      <c r="E200" t="str">
        <f>Permutations!L192</f>
        <v>p101 - i5:i1</v>
      </c>
      <c r="F200" t="str">
        <f>Permutations!M192</f>
        <v>p8 - i1:i3</v>
      </c>
      <c r="G200" s="7">
        <f>VLOOKUP(B200,Vlookup!$A$1:$B$30,2,0)</f>
        <v>0.9108240498099236</v>
      </c>
      <c r="H200" s="7">
        <f>VLOOKUP(C200,Vlookup!$A$1:$B$30,2,0)</f>
        <v>1.478275916473532</v>
      </c>
      <c r="I200" s="7">
        <f>VLOOKUP(D200,Vlookup!$A$1:$B$30,2,0)</f>
        <v>1.2266517321719024</v>
      </c>
      <c r="J200" s="7">
        <f>VLOOKUP(E200,Vlookup!$A$1:$B$30,2,0)</f>
        <v>1.530542412441888</v>
      </c>
      <c r="K200" s="7">
        <f>VLOOKUP(F200,Vlookup!$A$1:$B$30,2,0)</f>
        <v>1.1080774401297739</v>
      </c>
      <c r="L200" s="7">
        <f t="shared" si="1"/>
        <v>2.8010879750360949</v>
      </c>
      <c r="M200" s="7">
        <f t="shared" si="2"/>
        <v>3.075333787706465</v>
      </c>
      <c r="N200" s="7">
        <f t="shared" si="3"/>
        <v>2.0803516809248701</v>
      </c>
      <c r="O200" s="7">
        <f t="shared" si="4"/>
        <v>1.695959518388656</v>
      </c>
      <c r="P200" s="7">
        <f t="shared" si="5"/>
        <v>1.1080774401297739</v>
      </c>
      <c r="Q200">
        <v>1</v>
      </c>
      <c r="R200" s="7">
        <f t="shared" si="6"/>
        <v>11.760810402185861</v>
      </c>
      <c r="S200" s="7">
        <f>VLOOKUP($A200,Rotations!$A$1:$X$1441,18,0)</f>
        <v>9.4217779407771679E-2</v>
      </c>
      <c r="T200" s="7">
        <f>VLOOKUP($A200,Rotations!$A$1:$X$1441,19,0)</f>
        <v>0.23817134017528974</v>
      </c>
      <c r="U200" s="7">
        <f>VLOOKUP($A200,Rotations!$A$1:$X$1441,20,0)</f>
        <v>8.5028154166496922E-2</v>
      </c>
      <c r="V200" s="7">
        <f>VLOOKUP($A200,Rotations!$A$1:$X$1441,21,0)</f>
        <v>0.26148995541454223</v>
      </c>
      <c r="W200" s="7">
        <f>VLOOKUP($A200,Rotations!$A$1:$X$1441,22,0)</f>
        <v>0.14420430738968851</v>
      </c>
      <c r="X200" s="7">
        <f>VLOOKUP($A200,Rotations!$A$1:$X$1441,23,0)</f>
        <v>0.17688846344621087</v>
      </c>
    </row>
    <row r="201" spans="1:24" ht="15.75" customHeight="1" x14ac:dyDescent="0.3">
      <c r="A201">
        <v>192</v>
      </c>
      <c r="B201" t="str">
        <f>Permutations!I193</f>
        <v>p5 - i2:i4</v>
      </c>
      <c r="C201" t="str">
        <f>Permutations!J193</f>
        <v>p14 - i4:i6</v>
      </c>
      <c r="D201" t="str">
        <f>Permutations!K193</f>
        <v>p151 - i6:i5</v>
      </c>
      <c r="E201" t="str">
        <f>Permutations!L193</f>
        <v>p61 - i5:i3</v>
      </c>
      <c r="F201" t="str">
        <f>Permutations!M193</f>
        <v>p81 - i3:i1</v>
      </c>
      <c r="G201" s="7">
        <f>VLOOKUP(B201,Vlookup!$A$1:$B$30,2,0)</f>
        <v>0.9108240498099236</v>
      </c>
      <c r="H201" s="7">
        <f>VLOOKUP(C201,Vlookup!$A$1:$B$30,2,0)</f>
        <v>1.478275916473532</v>
      </c>
      <c r="I201" s="7">
        <f>VLOOKUP(D201,Vlookup!$A$1:$B$30,2,0)</f>
        <v>1.2266517321719024</v>
      </c>
      <c r="J201" s="7">
        <f>VLOOKUP(E201,Vlookup!$A$1:$B$30,2,0)</f>
        <v>1.9746367445127702</v>
      </c>
      <c r="K201" s="7">
        <f>VLOOKUP(F201,Vlookup!$A$1:$B$30,2,0)</f>
        <v>1.7021844231989158</v>
      </c>
      <c r="L201" s="7">
        <f t="shared" si="1"/>
        <v>5.5514328835778901</v>
      </c>
      <c r="M201" s="7">
        <f t="shared" si="2"/>
        <v>6.094956413081535</v>
      </c>
      <c r="N201" s="7">
        <f t="shared" si="3"/>
        <v>4.1230167826999589</v>
      </c>
      <c r="O201" s="7">
        <f t="shared" si="4"/>
        <v>3.3611959079858544</v>
      </c>
      <c r="P201" s="7">
        <f t="shared" si="5"/>
        <v>1.7021844231989158</v>
      </c>
      <c r="Q201">
        <v>1</v>
      </c>
      <c r="R201" s="7">
        <f t="shared" si="6"/>
        <v>21.832786410544156</v>
      </c>
      <c r="S201" s="7">
        <f>VLOOKUP($A201,Rotations!$A$1:$X$1441,18,0)</f>
        <v>4.5802674069904771E-2</v>
      </c>
      <c r="T201" s="7">
        <f>VLOOKUP($A201,Rotations!$A$1:$X$1441,19,0)</f>
        <v>0.25427047098746969</v>
      </c>
      <c r="U201" s="7">
        <f>VLOOKUP($A201,Rotations!$A$1:$X$1441,20,0)</f>
        <v>7.796459834264878E-2</v>
      </c>
      <c r="V201" s="7">
        <f>VLOOKUP($A201,Rotations!$A$1:$X$1441,21,0)</f>
        <v>0.27916530205864942</v>
      </c>
      <c r="W201" s="7">
        <f>VLOOKUP($A201,Rotations!$A$1:$X$1441,22,0)</f>
        <v>0.15395176065857372</v>
      </c>
      <c r="X201" s="7">
        <f>VLOOKUP($A201,Rotations!$A$1:$X$1441,23,0)</f>
        <v>0.18884519388275359</v>
      </c>
    </row>
    <row r="202" spans="1:24" ht="15.75" customHeight="1" x14ac:dyDescent="0.3">
      <c r="A202">
        <v>193</v>
      </c>
      <c r="B202" t="str">
        <f>Permutations!I194</f>
        <v>p7 - i2:i5</v>
      </c>
      <c r="C202" t="str">
        <f>Permutations!J194</f>
        <v>p101 - i5:i1</v>
      </c>
      <c r="D202" t="str">
        <f>Permutations!K194</f>
        <v>p8 - i1:i3</v>
      </c>
      <c r="E202" t="str">
        <f>Permutations!L194</f>
        <v>p3 - i3:i4</v>
      </c>
      <c r="F202" t="str">
        <f>Permutations!M194</f>
        <v>p14 - i4:i6</v>
      </c>
      <c r="G202" s="7">
        <f>VLOOKUP(B202,Vlookup!$A$1:$B$30,2,0)</f>
        <v>1.7991741228251155</v>
      </c>
      <c r="H202" s="7">
        <f>VLOOKUP(C202,Vlookup!$A$1:$B$30,2,0)</f>
        <v>1.530542412441888</v>
      </c>
      <c r="I202" s="7">
        <f>VLOOKUP(D202,Vlookup!$A$1:$B$30,2,0)</f>
        <v>1.1080774401297739</v>
      </c>
      <c r="J202" s="7">
        <f>VLOOKUP(E202,Vlookup!$A$1:$B$30,2,0)</f>
        <v>1.4338636587362954</v>
      </c>
      <c r="K202" s="7">
        <f>VLOOKUP(F202,Vlookup!$A$1:$B$30,2,0)</f>
        <v>1.478275916473532</v>
      </c>
      <c r="L202" s="7">
        <f t="shared" si="1"/>
        <v>6.4677323140871739</v>
      </c>
      <c r="M202" s="7">
        <f t="shared" si="2"/>
        <v>3.5948340030209822</v>
      </c>
      <c r="N202" s="7">
        <f t="shared" si="3"/>
        <v>2.3487320402220293</v>
      </c>
      <c r="O202" s="7">
        <f t="shared" si="4"/>
        <v>2.1196461142164886</v>
      </c>
      <c r="P202" s="7">
        <f t="shared" si="5"/>
        <v>1.478275916473532</v>
      </c>
      <c r="Q202">
        <v>1</v>
      </c>
      <c r="R202" s="7">
        <f t="shared" si="6"/>
        <v>17.009220388020207</v>
      </c>
      <c r="S202" s="7">
        <f>VLOOKUP($A202,Rotations!$A$1:$X$1441,18,0)</f>
        <v>0.13808581384930899</v>
      </c>
      <c r="T202" s="7">
        <f>VLOOKUP($A202,Rotations!$A$1:$X$1441,19,0)</f>
        <v>0.38024860437709851</v>
      </c>
      <c r="U202" s="7">
        <f>VLOOKUP($A202,Rotations!$A$1:$X$1441,20,0)</f>
        <v>0.12461747604313365</v>
      </c>
      <c r="V202" s="7">
        <f>VLOOKUP($A202,Rotations!$A$1:$X$1441,21,0)</f>
        <v>8.6910268827764675E-2</v>
      </c>
      <c r="W202" s="7">
        <f>VLOOKUP($A202,Rotations!$A$1:$X$1441,22,0)</f>
        <v>0.21134619465292281</v>
      </c>
      <c r="X202" s="7">
        <f>VLOOKUP($A202,Rotations!$A$1:$X$1441,23,0)</f>
        <v>5.8791642249771292E-2</v>
      </c>
    </row>
    <row r="203" spans="1:24" ht="15.75" customHeight="1" x14ac:dyDescent="0.3">
      <c r="A203">
        <v>194</v>
      </c>
      <c r="B203" t="str">
        <f>Permutations!I195</f>
        <v>p7 - i2:i5</v>
      </c>
      <c r="C203" t="str">
        <f>Permutations!J195</f>
        <v>p101 - i5:i1</v>
      </c>
      <c r="D203" t="str">
        <f>Permutations!K195</f>
        <v>p8 - i1:i3</v>
      </c>
      <c r="E203" t="str">
        <f>Permutations!L195</f>
        <v>p13 - i3:i6</v>
      </c>
      <c r="F203" t="str">
        <f>Permutations!M195</f>
        <v>p141 - i6:i4</v>
      </c>
      <c r="G203" s="7">
        <f>VLOOKUP(B203,Vlookup!$A$1:$B$30,2,0)</f>
        <v>1.7991741228251155</v>
      </c>
      <c r="H203" s="7">
        <f>VLOOKUP(C203,Vlookup!$A$1:$B$30,2,0)</f>
        <v>1.530542412441888</v>
      </c>
      <c r="I203" s="7">
        <f>VLOOKUP(D203,Vlookup!$A$1:$B$30,2,0)</f>
        <v>1.1080774401297739</v>
      </c>
      <c r="J203" s="7">
        <f>VLOOKUP(E203,Vlookup!$A$1:$B$30,2,0)</f>
        <v>2.0145521929129111</v>
      </c>
      <c r="K203" s="7">
        <f>VLOOKUP(F203,Vlookup!$A$1:$B$30,2,0)</f>
        <v>0.88688155974910687</v>
      </c>
      <c r="L203" s="7">
        <f t="shared" si="1"/>
        <v>5.4517110115749077</v>
      </c>
      <c r="M203" s="7">
        <f t="shared" si="2"/>
        <v>3.0301186207672179</v>
      </c>
      <c r="N203" s="7">
        <f t="shared" si="3"/>
        <v>1.9797678235736356</v>
      </c>
      <c r="O203" s="7">
        <f t="shared" si="4"/>
        <v>1.7866691910465862</v>
      </c>
      <c r="P203" s="7">
        <f t="shared" si="5"/>
        <v>0.88688155974910687</v>
      </c>
      <c r="Q203">
        <v>1</v>
      </c>
      <c r="R203" s="7">
        <f t="shared" si="6"/>
        <v>14.135148206711454</v>
      </c>
      <c r="S203" s="7">
        <f>VLOOKUP($A203,Rotations!$A$1:$X$1441,18,0)</f>
        <v>0.14005992683073742</v>
      </c>
      <c r="T203" s="7">
        <f>VLOOKUP($A203,Rotations!$A$1:$X$1441,19,0)</f>
        <v>0.38568474358029031</v>
      </c>
      <c r="U203" s="7">
        <f>VLOOKUP($A203,Rotations!$A$1:$X$1441,20,0)</f>
        <v>0.12639904194271304</v>
      </c>
      <c r="V203" s="7">
        <f>VLOOKUP($A203,Rotations!$A$1:$X$1441,21,0)</f>
        <v>7.0745632474174827E-2</v>
      </c>
      <c r="W203" s="7">
        <f>VLOOKUP($A203,Rotations!$A$1:$X$1441,22,0)</f>
        <v>0.21436765829795115</v>
      </c>
      <c r="X203" s="7">
        <f>VLOOKUP($A203,Rotations!$A$1:$X$1441,23,0)</f>
        <v>6.2742996874133247E-2</v>
      </c>
    </row>
    <row r="204" spans="1:24" ht="15.75" customHeight="1" x14ac:dyDescent="0.3">
      <c r="A204">
        <v>195</v>
      </c>
      <c r="B204" t="str">
        <f>Permutations!I196</f>
        <v>p7 - i2:i5</v>
      </c>
      <c r="C204" t="str">
        <f>Permutations!J196</f>
        <v>p101 - i5:i1</v>
      </c>
      <c r="D204" t="str">
        <f>Permutations!K196</f>
        <v>p9 - i1:i4</v>
      </c>
      <c r="E204" t="str">
        <f>Permutations!L196</f>
        <v>p31 - i4:i3</v>
      </c>
      <c r="F204" t="str">
        <f>Permutations!M196</f>
        <v>p13 - i3:i6</v>
      </c>
      <c r="G204" s="7">
        <f>VLOOKUP(B204,Vlookup!$A$1:$B$30,2,0)</f>
        <v>1.7991741228251155</v>
      </c>
      <c r="H204" s="7">
        <f>VLOOKUP(C204,Vlookup!$A$1:$B$30,2,0)</f>
        <v>1.530542412441888</v>
      </c>
      <c r="I204" s="7">
        <f>VLOOKUP(D204,Vlookup!$A$1:$B$30,2,0)</f>
        <v>1.2538815092968505</v>
      </c>
      <c r="J204" s="7">
        <f>VLOOKUP(E204,Vlookup!$A$1:$B$30,2,0)</f>
        <v>2.2388599512381115</v>
      </c>
      <c r="K204" s="7">
        <f>VLOOKUP(F204,Vlookup!$A$1:$B$30,2,0)</f>
        <v>2.0145521929129111</v>
      </c>
      <c r="L204" s="7">
        <f t="shared" si="1"/>
        <v>15.573295133135332</v>
      </c>
      <c r="M204" s="7">
        <f t="shared" si="2"/>
        <v>8.6558020902844515</v>
      </c>
      <c r="N204" s="7">
        <f t="shared" si="3"/>
        <v>5.6553820527421017</v>
      </c>
      <c r="O204" s="7">
        <f t="shared" si="4"/>
        <v>4.5103002243916306</v>
      </c>
      <c r="P204" s="7">
        <f t="shared" si="5"/>
        <v>2.0145521929129111</v>
      </c>
      <c r="Q204">
        <v>1</v>
      </c>
      <c r="R204" s="7">
        <f t="shared" si="6"/>
        <v>37.409331693466427</v>
      </c>
      <c r="S204" s="7">
        <f>VLOOKUP($A204,Rotations!$A$1:$X$1441,18,0)</f>
        <v>0.15117570394153337</v>
      </c>
      <c r="T204" s="7">
        <f>VLOOKUP($A204,Rotations!$A$1:$X$1441,19,0)</f>
        <v>0.41629439576048938</v>
      </c>
      <c r="U204" s="7">
        <f>VLOOKUP($A204,Rotations!$A$1:$X$1441,20,0)</f>
        <v>5.3851595356480382E-2</v>
      </c>
      <c r="V204" s="7">
        <f>VLOOKUP($A204,Rotations!$A$1:$X$1441,21,0)</f>
        <v>0.12056618015390418</v>
      </c>
      <c r="W204" s="7">
        <f>VLOOKUP($A204,Rotations!$A$1:$X$1441,22,0)</f>
        <v>0.23138082661327508</v>
      </c>
      <c r="X204" s="7">
        <f>VLOOKUP($A204,Rotations!$A$1:$X$1441,23,0)</f>
        <v>2.6731298174317582E-2</v>
      </c>
    </row>
    <row r="205" spans="1:24" ht="15.75" customHeight="1" x14ac:dyDescent="0.3">
      <c r="A205">
        <v>196</v>
      </c>
      <c r="B205" t="str">
        <f>Permutations!I197</f>
        <v>p7 - i2:i5</v>
      </c>
      <c r="C205" t="str">
        <f>Permutations!J197</f>
        <v>p101 - i5:i1</v>
      </c>
      <c r="D205" t="str">
        <f>Permutations!K197</f>
        <v>p9 - i1:i4</v>
      </c>
      <c r="E205" t="str">
        <f>Permutations!L197</f>
        <v>p14 - i4:i6</v>
      </c>
      <c r="F205" t="str">
        <f>Permutations!M197</f>
        <v>p131 - i6:i3</v>
      </c>
      <c r="G205" s="7">
        <f>VLOOKUP(B205,Vlookup!$A$1:$B$30,2,0)</f>
        <v>1.7991741228251155</v>
      </c>
      <c r="H205" s="7">
        <f>VLOOKUP(C205,Vlookup!$A$1:$B$30,2,0)</f>
        <v>1.530542412441888</v>
      </c>
      <c r="I205" s="7">
        <f>VLOOKUP(D205,Vlookup!$A$1:$B$30,2,0)</f>
        <v>1.2538815092968505</v>
      </c>
      <c r="J205" s="7">
        <f>VLOOKUP(E205,Vlookup!$A$1:$B$30,2,0)</f>
        <v>1.478275916473532</v>
      </c>
      <c r="K205" s="7">
        <f>VLOOKUP(F205,Vlookup!$A$1:$B$30,2,0)</f>
        <v>1.4032439022773779</v>
      </c>
      <c r="L205" s="7">
        <f t="shared" si="1"/>
        <v>7.1624850433717766</v>
      </c>
      <c r="M205" s="7">
        <f t="shared" si="2"/>
        <v>3.9809849155261499</v>
      </c>
      <c r="N205" s="7">
        <f t="shared" si="3"/>
        <v>2.6010288138142665</v>
      </c>
      <c r="O205" s="7">
        <f t="shared" si="4"/>
        <v>2.0743816656749861</v>
      </c>
      <c r="P205" s="7">
        <f t="shared" si="5"/>
        <v>1.4032439022773779</v>
      </c>
      <c r="Q205">
        <v>1</v>
      </c>
      <c r="R205" s="7">
        <f t="shared" si="6"/>
        <v>18.222124340664557</v>
      </c>
      <c r="S205" s="7">
        <f>VLOOKUP($A205,Rotations!$A$1:$X$1441,18,0)</f>
        <v>0.14274015285966421</v>
      </c>
      <c r="T205" s="7">
        <f>VLOOKUP($A205,Rotations!$A$1:$X$1441,19,0)</f>
        <v>0.39306531496922947</v>
      </c>
      <c r="U205" s="7">
        <f>VLOOKUP($A205,Rotations!$A$1:$X$1441,20,0)</f>
        <v>5.4878343562193593E-2</v>
      </c>
      <c r="V205" s="7">
        <f>VLOOKUP($A205,Rotations!$A$1:$X$1441,21,0)</f>
        <v>0.1138386297280273</v>
      </c>
      <c r="W205" s="7">
        <f>VLOOKUP($A205,Rotations!$A$1:$X$1441,22,0)</f>
        <v>0.2184698579101543</v>
      </c>
      <c r="X205" s="7">
        <f>VLOOKUP($A205,Rotations!$A$1:$X$1441,23,0)</f>
        <v>7.700770097073116E-2</v>
      </c>
    </row>
    <row r="206" spans="1:24" ht="15.75" customHeight="1" x14ac:dyDescent="0.3">
      <c r="A206">
        <v>197</v>
      </c>
      <c r="B206" t="str">
        <f>Permutations!I198</f>
        <v>p7 - i2:i5</v>
      </c>
      <c r="C206" t="str">
        <f>Permutations!J198</f>
        <v>p101 - i5:i1</v>
      </c>
      <c r="D206" t="str">
        <f>Permutations!K198</f>
        <v>p11 - i1:i6</v>
      </c>
      <c r="E206" t="str">
        <f>Permutations!L198</f>
        <v>p131 - i6:i3</v>
      </c>
      <c r="F206" t="str">
        <f>Permutations!M198</f>
        <v>p3 - i3:i4</v>
      </c>
      <c r="G206" s="7">
        <f>VLOOKUP(B206,Vlookup!$A$1:$B$30,2,0)</f>
        <v>1.7991741228251155</v>
      </c>
      <c r="H206" s="7">
        <f>VLOOKUP(C206,Vlookup!$A$1:$B$30,2,0)</f>
        <v>1.530542412441888</v>
      </c>
      <c r="I206" s="7">
        <f>VLOOKUP(D206,Vlookup!$A$1:$B$30,2,0)</f>
        <v>1.1613557664474019</v>
      </c>
      <c r="J206" s="7">
        <f>VLOOKUP(E206,Vlookup!$A$1:$B$30,2,0)</f>
        <v>1.4032439022773779</v>
      </c>
      <c r="K206" s="7">
        <f>VLOOKUP(F206,Vlookup!$A$1:$B$30,2,0)</f>
        <v>1.4338636587362954</v>
      </c>
      <c r="L206" s="7">
        <f t="shared" si="1"/>
        <v>6.4346490750300571</v>
      </c>
      <c r="M206" s="7">
        <f t="shared" si="2"/>
        <v>3.5764459889664173</v>
      </c>
      <c r="N206" s="7">
        <f t="shared" si="3"/>
        <v>2.3367179895788799</v>
      </c>
      <c r="O206" s="7">
        <f t="shared" si="4"/>
        <v>2.0120604358188379</v>
      </c>
      <c r="P206" s="7">
        <f t="shared" si="5"/>
        <v>1.4338636587362954</v>
      </c>
      <c r="Q206">
        <v>1</v>
      </c>
      <c r="R206" s="7">
        <f t="shared" si="6"/>
        <v>16.793737148130489</v>
      </c>
      <c r="S206" s="7">
        <f>VLOOKUP($A206,Rotations!$A$1:$X$1441,18,0)</f>
        <v>0.13914222718669905</v>
      </c>
      <c r="T206" s="7">
        <f>VLOOKUP($A206,Rotations!$A$1:$X$1441,19,0)</f>
        <v>0.38315766278063812</v>
      </c>
      <c r="U206" s="7">
        <f>VLOOKUP($A206,Rotations!$A$1:$X$1441,20,0)</f>
        <v>8.538085633285715E-2</v>
      </c>
      <c r="V206" s="7">
        <f>VLOOKUP($A206,Rotations!$A$1:$X$1441,21,0)</f>
        <v>5.9546007608635335E-2</v>
      </c>
      <c r="W206" s="7">
        <f>VLOOKUP($A206,Rotations!$A$1:$X$1441,22,0)</f>
        <v>0.21296308007086762</v>
      </c>
      <c r="X206" s="7">
        <f>VLOOKUP($A206,Rotations!$A$1:$X$1441,23,0)</f>
        <v>0.11981016602030264</v>
      </c>
    </row>
    <row r="207" spans="1:24" ht="15.75" customHeight="1" x14ac:dyDescent="0.3">
      <c r="A207">
        <v>198</v>
      </c>
      <c r="B207" t="str">
        <f>Permutations!I199</f>
        <v>p7 - i2:i5</v>
      </c>
      <c r="C207" t="str">
        <f>Permutations!J199</f>
        <v>p101 - i5:i1</v>
      </c>
      <c r="D207" t="str">
        <f>Permutations!K199</f>
        <v>p11 - i1:i6</v>
      </c>
      <c r="E207" t="str">
        <f>Permutations!L199</f>
        <v>p141 - i6:i4</v>
      </c>
      <c r="F207" t="str">
        <f>Permutations!M199</f>
        <v>p31 - i4:i3</v>
      </c>
      <c r="G207" s="7">
        <f>VLOOKUP(B207,Vlookup!$A$1:$B$30,2,0)</f>
        <v>1.7991741228251155</v>
      </c>
      <c r="H207" s="7">
        <f>VLOOKUP(C207,Vlookup!$A$1:$B$30,2,0)</f>
        <v>1.530542412441888</v>
      </c>
      <c r="I207" s="7">
        <f>VLOOKUP(D207,Vlookup!$A$1:$B$30,2,0)</f>
        <v>1.1613557664474019</v>
      </c>
      <c r="J207" s="7">
        <f>VLOOKUP(E207,Vlookup!$A$1:$B$30,2,0)</f>
        <v>0.88688155974910687</v>
      </c>
      <c r="K207" s="7">
        <f>VLOOKUP(F207,Vlookup!$A$1:$B$30,2,0)</f>
        <v>2.2388599512381115</v>
      </c>
      <c r="L207" s="7">
        <f t="shared" si="1"/>
        <v>6.3500390827176894</v>
      </c>
      <c r="M207" s="7">
        <f t="shared" si="2"/>
        <v>3.529418860664066</v>
      </c>
      <c r="N207" s="7">
        <f t="shared" si="3"/>
        <v>2.3059921972584161</v>
      </c>
      <c r="O207" s="7">
        <f t="shared" si="4"/>
        <v>1.9856036056138657</v>
      </c>
      <c r="P207" s="7">
        <f t="shared" si="5"/>
        <v>2.2388599512381115</v>
      </c>
      <c r="Q207">
        <v>1</v>
      </c>
      <c r="R207" s="7">
        <f t="shared" si="6"/>
        <v>17.409913697492147</v>
      </c>
      <c r="S207" s="7">
        <f>VLOOKUP($A207,Rotations!$A$1:$X$1441,18,0)</f>
        <v>0.13245282184199386</v>
      </c>
      <c r="T207" s="7">
        <f>VLOOKUP($A207,Rotations!$A$1:$X$1441,19,0)</f>
        <v>0.36473696498750569</v>
      </c>
      <c r="U207" s="7">
        <f>VLOOKUP($A207,Rotations!$A$1:$X$1441,20,0)</f>
        <v>5.7438538603671964E-2</v>
      </c>
      <c r="V207" s="7">
        <f>VLOOKUP($A207,Rotations!$A$1:$X$1441,21,0)</f>
        <v>0.1285968437374054</v>
      </c>
      <c r="W207" s="7">
        <f>VLOOKUP($A207,Rotations!$A$1:$X$1441,22,0)</f>
        <v>0.20272466147678087</v>
      </c>
      <c r="X207" s="7">
        <f>VLOOKUP($A207,Rotations!$A$1:$X$1441,23,0)</f>
        <v>0.11405016935264227</v>
      </c>
    </row>
    <row r="208" spans="1:24" ht="15.75" customHeight="1" x14ac:dyDescent="0.3">
      <c r="A208">
        <v>199</v>
      </c>
      <c r="B208" t="str">
        <f>Permutations!I200</f>
        <v>p7 - i2:i5</v>
      </c>
      <c r="C208" t="str">
        <f>Permutations!J200</f>
        <v>p61 - i5:i3</v>
      </c>
      <c r="D208" t="str">
        <f>Permutations!K200</f>
        <v>p81 - i3:i1</v>
      </c>
      <c r="E208" t="str">
        <f>Permutations!L200</f>
        <v>p9 - i1:i4</v>
      </c>
      <c r="F208" t="str">
        <f>Permutations!M200</f>
        <v>p14 - i4:i6</v>
      </c>
      <c r="G208" s="7">
        <f>VLOOKUP(B208,Vlookup!$A$1:$B$30,2,0)</f>
        <v>1.7991741228251155</v>
      </c>
      <c r="H208" s="7">
        <f>VLOOKUP(C208,Vlookup!$A$1:$B$30,2,0)</f>
        <v>1.9746367445127702</v>
      </c>
      <c r="I208" s="7">
        <f>VLOOKUP(D208,Vlookup!$A$1:$B$30,2,0)</f>
        <v>1.7021844231989158</v>
      </c>
      <c r="J208" s="7">
        <f>VLOOKUP(E208,Vlookup!$A$1:$B$30,2,0)</f>
        <v>1.2538815092968505</v>
      </c>
      <c r="K208" s="7">
        <f>VLOOKUP(F208,Vlookup!$A$1:$B$30,2,0)</f>
        <v>1.478275916473532</v>
      </c>
      <c r="L208" s="7">
        <f t="shared" si="1"/>
        <v>11.209313660714642</v>
      </c>
      <c r="M208" s="7">
        <f t="shared" si="2"/>
        <v>6.2302550478624337</v>
      </c>
      <c r="N208" s="7">
        <f t="shared" si="3"/>
        <v>3.1551398327694509</v>
      </c>
      <c r="O208" s="7">
        <f t="shared" si="4"/>
        <v>1.8535828373050172</v>
      </c>
      <c r="P208" s="7">
        <f t="shared" si="5"/>
        <v>1.478275916473532</v>
      </c>
      <c r="Q208">
        <v>1</v>
      </c>
      <c r="R208" s="7">
        <f t="shared" si="6"/>
        <v>24.926567295125075</v>
      </c>
      <c r="S208" s="7">
        <f>VLOOKUP($A208,Rotations!$A$1:$X$1441,18,0)</f>
        <v>7.4361736831189143E-2</v>
      </c>
      <c r="T208" s="7">
        <f>VLOOKUP($A208,Rotations!$A$1:$X$1441,19,0)</f>
        <v>0.44969343463938832</v>
      </c>
      <c r="U208" s="7">
        <f>VLOOKUP($A208,Rotations!$A$1:$X$1441,20,0)</f>
        <v>0.12657739011606728</v>
      </c>
      <c r="V208" s="7">
        <f>VLOOKUP($A208,Rotations!$A$1:$X$1441,21,0)</f>
        <v>5.930523440997993E-2</v>
      </c>
      <c r="W208" s="7">
        <f>VLOOKUP($A208,Rotations!$A$1:$X$1441,22,0)</f>
        <v>0.24994436554771399</v>
      </c>
      <c r="X208" s="7">
        <f>VLOOKUP($A208,Rotations!$A$1:$X$1441,23,0)</f>
        <v>4.011783845566138E-2</v>
      </c>
    </row>
    <row r="209" spans="1:24" ht="15.75" customHeight="1" x14ac:dyDescent="0.3">
      <c r="A209">
        <v>200</v>
      </c>
      <c r="B209" t="str">
        <f>Permutations!I201</f>
        <v>p7 - i2:i5</v>
      </c>
      <c r="C209" t="str">
        <f>Permutations!J201</f>
        <v>p61 - i5:i3</v>
      </c>
      <c r="D209" t="str">
        <f>Permutations!K201</f>
        <v>p81 - i3:i1</v>
      </c>
      <c r="E209" t="str">
        <f>Permutations!L201</f>
        <v>p11 - i1:i6</v>
      </c>
      <c r="F209" t="str">
        <f>Permutations!M201</f>
        <v>p141 - i6:i4</v>
      </c>
      <c r="G209" s="7">
        <f>VLOOKUP(B209,Vlookup!$A$1:$B$30,2,0)</f>
        <v>1.7991741228251155</v>
      </c>
      <c r="H209" s="7">
        <f>VLOOKUP(C209,Vlookup!$A$1:$B$30,2,0)</f>
        <v>1.9746367445127702</v>
      </c>
      <c r="I209" s="7">
        <f>VLOOKUP(D209,Vlookup!$A$1:$B$30,2,0)</f>
        <v>1.7021844231989158</v>
      </c>
      <c r="J209" s="7">
        <f>VLOOKUP(E209,Vlookup!$A$1:$B$30,2,0)</f>
        <v>1.1613557664474019</v>
      </c>
      <c r="K209" s="7">
        <f>VLOOKUP(F209,Vlookup!$A$1:$B$30,2,0)</f>
        <v>0.88688155974910687</v>
      </c>
      <c r="L209" s="7">
        <f t="shared" si="1"/>
        <v>6.228707371791014</v>
      </c>
      <c r="M209" s="7">
        <f t="shared" si="2"/>
        <v>3.46198141289989</v>
      </c>
      <c r="N209" s="7">
        <f t="shared" si="3"/>
        <v>1.7532244462280142</v>
      </c>
      <c r="O209" s="7">
        <f t="shared" si="4"/>
        <v>1.0299850135704913</v>
      </c>
      <c r="P209" s="7">
        <f t="shared" si="5"/>
        <v>0.88688155974910687</v>
      </c>
      <c r="Q209">
        <v>1</v>
      </c>
      <c r="R209" s="7">
        <f t="shared" si="6"/>
        <v>14.360779804238515</v>
      </c>
      <c r="S209" s="7">
        <f>VLOOKUP($A209,Rotations!$A$1:$X$1441,18,0)</f>
        <v>7.1722081085492051E-2</v>
      </c>
      <c r="T209" s="7">
        <f>VLOOKUP($A209,Rotations!$A$1:$X$1441,19,0)</f>
        <v>0.43373044198843863</v>
      </c>
      <c r="U209" s="7">
        <f>VLOOKUP($A209,Rotations!$A$1:$X$1441,20,0)</f>
        <v>0.12208420922313414</v>
      </c>
      <c r="V209" s="7">
        <f>VLOOKUP($A209,Rotations!$A$1:$X$1441,21,0)</f>
        <v>6.9634101603929258E-2</v>
      </c>
      <c r="W209" s="7">
        <f>VLOOKUP($A209,Rotations!$A$1:$X$1441,22,0)</f>
        <v>0.2410719654567855</v>
      </c>
      <c r="X209" s="7">
        <f>VLOOKUP($A209,Rotations!$A$1:$X$1441,23,0)</f>
        <v>6.175720064222056E-2</v>
      </c>
    </row>
    <row r="210" spans="1:24" ht="15.75" customHeight="1" x14ac:dyDescent="0.3">
      <c r="A210">
        <v>201</v>
      </c>
      <c r="B210" t="str">
        <f>Permutations!I202</f>
        <v>p7 - i2:i5</v>
      </c>
      <c r="C210" t="str">
        <f>Permutations!J202</f>
        <v>p61 - i5:i3</v>
      </c>
      <c r="D210" t="str">
        <f>Permutations!K202</f>
        <v>p3 - i3:i4</v>
      </c>
      <c r="E210" t="str">
        <f>Permutations!L202</f>
        <v>p91 - i4:i1</v>
      </c>
      <c r="F210" t="str">
        <f>Permutations!M202</f>
        <v>p11 - i1:i6</v>
      </c>
      <c r="G210" s="7">
        <f>VLOOKUP(B210,Vlookup!$A$1:$B$30,2,0)</f>
        <v>1.7991741228251155</v>
      </c>
      <c r="H210" s="7">
        <f>VLOOKUP(C210,Vlookup!$A$1:$B$30,2,0)</f>
        <v>1.9746367445127702</v>
      </c>
      <c r="I210" s="7">
        <f>VLOOKUP(D210,Vlookup!$A$1:$B$30,2,0)</f>
        <v>1.4338636587362954</v>
      </c>
      <c r="J210" s="7">
        <f>VLOOKUP(E210,Vlookup!$A$1:$B$30,2,0)</f>
        <v>2.9131157743633094</v>
      </c>
      <c r="K210" s="7">
        <f>VLOOKUP(F210,Vlookup!$A$1:$B$30,2,0)</f>
        <v>1.1613557664474019</v>
      </c>
      <c r="L210" s="7">
        <f t="shared" si="1"/>
        <v>17.234206548301827</v>
      </c>
      <c r="M210" s="7">
        <f t="shared" si="2"/>
        <v>9.5789542155264957</v>
      </c>
      <c r="N210" s="7">
        <f t="shared" si="3"/>
        <v>4.8509956285099136</v>
      </c>
      <c r="O210" s="7">
        <f t="shared" si="4"/>
        <v>3.3831638028857181</v>
      </c>
      <c r="P210" s="7">
        <f t="shared" si="5"/>
        <v>1.1613557664474019</v>
      </c>
      <c r="Q210">
        <v>1</v>
      </c>
      <c r="R210" s="7">
        <f t="shared" si="6"/>
        <v>37.208675961671354</v>
      </c>
      <c r="S210" s="7">
        <f>VLOOKUP($A210,Rotations!$A$1:$X$1441,18,0)</f>
        <v>3.1211961630768968E-2</v>
      </c>
      <c r="T210" s="7">
        <f>VLOOKUP($A210,Rotations!$A$1:$X$1441,19,0)</f>
        <v>0.46317709789122241</v>
      </c>
      <c r="U210" s="7">
        <f>VLOOKUP($A210,Rotations!$A$1:$X$1441,20,0)</f>
        <v>0.13037270214900748</v>
      </c>
      <c r="V210" s="7">
        <f>VLOOKUP($A210,Rotations!$A$1:$X$1441,21,0)</f>
        <v>9.0924057775415443E-2</v>
      </c>
      <c r="W210" s="7">
        <f>VLOOKUP($A210,Rotations!$A$1:$X$1441,22,0)</f>
        <v>0.25743872814484919</v>
      </c>
      <c r="X210" s="7">
        <f>VLOOKUP($A210,Rotations!$A$1:$X$1441,23,0)</f>
        <v>2.6875452408736601E-2</v>
      </c>
    </row>
    <row r="211" spans="1:24" ht="15.75" customHeight="1" x14ac:dyDescent="0.3">
      <c r="A211">
        <v>202</v>
      </c>
      <c r="B211" t="str">
        <f>Permutations!I203</f>
        <v>p7 - i2:i5</v>
      </c>
      <c r="C211" t="str">
        <f>Permutations!J203</f>
        <v>p61 - i5:i3</v>
      </c>
      <c r="D211" t="str">
        <f>Permutations!K203</f>
        <v>p3 - i3:i4</v>
      </c>
      <c r="E211" t="str">
        <f>Permutations!L203</f>
        <v>p14 - i4:i6</v>
      </c>
      <c r="F211" t="str">
        <f>Permutations!M203</f>
        <v>p111 - i6:i1</v>
      </c>
      <c r="G211" s="7">
        <f>VLOOKUP(B211,Vlookup!$A$1:$B$30,2,0)</f>
        <v>1.7991741228251155</v>
      </c>
      <c r="H211" s="7">
        <f>VLOOKUP(C211,Vlookup!$A$1:$B$30,2,0)</f>
        <v>1.9746367445127702</v>
      </c>
      <c r="I211" s="7">
        <f>VLOOKUP(D211,Vlookup!$A$1:$B$30,2,0)</f>
        <v>1.4338636587362954</v>
      </c>
      <c r="J211" s="7">
        <f>VLOOKUP(E211,Vlookup!$A$1:$B$30,2,0)</f>
        <v>1.478275916473532</v>
      </c>
      <c r="K211" s="7">
        <f>VLOOKUP(F211,Vlookup!$A$1:$B$30,2,0)</f>
        <v>1.6397534939100344</v>
      </c>
      <c r="L211" s="7">
        <f t="shared" si="1"/>
        <v>12.348162455893599</v>
      </c>
      <c r="M211" s="7">
        <f t="shared" si="2"/>
        <v>6.8632392491862637</v>
      </c>
      <c r="N211" s="7">
        <f t="shared" si="3"/>
        <v>3.4756971216393153</v>
      </c>
      <c r="O211" s="7">
        <f t="shared" si="4"/>
        <v>2.4240080990005324</v>
      </c>
      <c r="P211" s="7">
        <f t="shared" si="5"/>
        <v>1.6397534939100344</v>
      </c>
      <c r="Q211">
        <v>1</v>
      </c>
      <c r="R211" s="7">
        <f t="shared" si="6"/>
        <v>27.750860419629742</v>
      </c>
      <c r="S211" s="7">
        <f>VLOOKUP($A211,Rotations!$A$1:$X$1441,18,0)</f>
        <v>3.603491873328165E-2</v>
      </c>
      <c r="T211" s="7">
        <f>VLOOKUP($A211,Rotations!$A$1:$X$1441,19,0)</f>
        <v>0.44496503060348536</v>
      </c>
      <c r="U211" s="7">
        <f>VLOOKUP($A211,Rotations!$A$1:$X$1441,20,0)</f>
        <v>0.12524646331977365</v>
      </c>
      <c r="V211" s="7">
        <f>VLOOKUP($A211,Rotations!$A$1:$X$1441,21,0)</f>
        <v>8.7348934856300714E-2</v>
      </c>
      <c r="W211" s="7">
        <f>VLOOKUP($A211,Rotations!$A$1:$X$1441,22,0)</f>
        <v>0.24731626859149597</v>
      </c>
      <c r="X211" s="7">
        <f>VLOOKUP($A211,Rotations!$A$1:$X$1441,23,0)</f>
        <v>5.9088383895662733E-2</v>
      </c>
    </row>
    <row r="212" spans="1:24" ht="15.75" customHeight="1" x14ac:dyDescent="0.3">
      <c r="A212">
        <v>203</v>
      </c>
      <c r="B212" t="str">
        <f>Permutations!I204</f>
        <v>p7 - i2:i5</v>
      </c>
      <c r="C212" t="str">
        <f>Permutations!J204</f>
        <v>p61 - i5:i3</v>
      </c>
      <c r="D212" t="str">
        <f>Permutations!K204</f>
        <v>p13 - i3:i6</v>
      </c>
      <c r="E212" t="str">
        <f>Permutations!L204</f>
        <v>p111 - i6:i1</v>
      </c>
      <c r="F212" t="str">
        <f>Permutations!M204</f>
        <v>p9 - i1:i4</v>
      </c>
      <c r="G212" s="7">
        <f>VLOOKUP(B212,Vlookup!$A$1:$B$30,2,0)</f>
        <v>1.7991741228251155</v>
      </c>
      <c r="H212" s="7">
        <f>VLOOKUP(C212,Vlookup!$A$1:$B$30,2,0)</f>
        <v>1.9746367445127702</v>
      </c>
      <c r="I212" s="7">
        <f>VLOOKUP(D212,Vlookup!$A$1:$B$30,2,0)</f>
        <v>2.0145521929129111</v>
      </c>
      <c r="J212" s="7">
        <f>VLOOKUP(E212,Vlookup!$A$1:$B$30,2,0)</f>
        <v>1.6397534939100344</v>
      </c>
      <c r="K212" s="7">
        <f>VLOOKUP(F212,Vlookup!$A$1:$B$30,2,0)</f>
        <v>1.2538815092968505</v>
      </c>
      <c r="L212" s="7">
        <f t="shared" si="1"/>
        <v>14.715465226688101</v>
      </c>
      <c r="M212" s="7">
        <f t="shared" si="2"/>
        <v>8.179011158509466</v>
      </c>
      <c r="N212" s="7">
        <f t="shared" si="3"/>
        <v>4.1420333037140908</v>
      </c>
      <c r="O212" s="7">
        <f t="shared" si="4"/>
        <v>2.0560565858186979</v>
      </c>
      <c r="P212" s="7">
        <f t="shared" si="5"/>
        <v>1.2538815092968505</v>
      </c>
      <c r="Q212">
        <v>1</v>
      </c>
      <c r="R212" s="7">
        <f t="shared" si="6"/>
        <v>31.346447784027205</v>
      </c>
      <c r="S212" s="7">
        <f>VLOOKUP($A212,Rotations!$A$1:$X$1441,18,0)</f>
        <v>4.0000752810523378E-2</v>
      </c>
      <c r="T212" s="7">
        <f>VLOOKUP($A212,Rotations!$A$1:$X$1441,19,0)</f>
        <v>0.46944602233961791</v>
      </c>
      <c r="U212" s="7">
        <f>VLOOKUP($A212,Rotations!$A$1:$X$1441,20,0)</f>
        <v>0.13213724669066623</v>
      </c>
      <c r="V212" s="7">
        <f>VLOOKUP($A212,Rotations!$A$1:$X$1441,21,0)</f>
        <v>3.190154134496722E-2</v>
      </c>
      <c r="W212" s="7">
        <f>VLOOKUP($A212,Rotations!$A$1:$X$1441,22,0)</f>
        <v>0.26092306263413795</v>
      </c>
      <c r="X212" s="7">
        <f>VLOOKUP($A212,Rotations!$A$1:$X$1441,23,0)</f>
        <v>6.5591374180087328E-2</v>
      </c>
    </row>
    <row r="213" spans="1:24" ht="15.75" customHeight="1" x14ac:dyDescent="0.3">
      <c r="A213">
        <v>204</v>
      </c>
      <c r="B213" t="str">
        <f>Permutations!I205</f>
        <v>p7 - i2:i5</v>
      </c>
      <c r="C213" t="str">
        <f>Permutations!J205</f>
        <v>p61 - i5:i3</v>
      </c>
      <c r="D213" t="str">
        <f>Permutations!K205</f>
        <v>p13 - i3:i6</v>
      </c>
      <c r="E213" t="str">
        <f>Permutations!L205</f>
        <v>p141 - i6:i4</v>
      </c>
      <c r="F213" t="str">
        <f>Permutations!M205</f>
        <v>p91 - i4:i1</v>
      </c>
      <c r="G213" s="7">
        <f>VLOOKUP(B213,Vlookup!$A$1:$B$30,2,0)</f>
        <v>1.7991741228251155</v>
      </c>
      <c r="H213" s="7">
        <f>VLOOKUP(C213,Vlookup!$A$1:$B$30,2,0)</f>
        <v>1.9746367445127702</v>
      </c>
      <c r="I213" s="7">
        <f>VLOOKUP(D213,Vlookup!$A$1:$B$30,2,0)</f>
        <v>2.0145521929129111</v>
      </c>
      <c r="J213" s="7">
        <f>VLOOKUP(E213,Vlookup!$A$1:$B$30,2,0)</f>
        <v>0.88688155974910687</v>
      </c>
      <c r="K213" s="7">
        <f>VLOOKUP(F213,Vlookup!$A$1:$B$30,2,0)</f>
        <v>2.9131157743633094</v>
      </c>
      <c r="L213" s="7">
        <f t="shared" si="1"/>
        <v>18.491081117852655</v>
      </c>
      <c r="M213" s="7">
        <f t="shared" si="2"/>
        <v>10.277538390123921</v>
      </c>
      <c r="N213" s="7">
        <f t="shared" si="3"/>
        <v>5.2047742040067435</v>
      </c>
      <c r="O213" s="7">
        <f t="shared" si="4"/>
        <v>2.5835886616970591</v>
      </c>
      <c r="P213" s="7">
        <f t="shared" si="5"/>
        <v>2.9131157743633094</v>
      </c>
      <c r="Q213">
        <v>1</v>
      </c>
      <c r="R213" s="7">
        <f t="shared" si="6"/>
        <v>40.470098148043689</v>
      </c>
      <c r="S213" s="7">
        <f>VLOOKUP($A213,Rotations!$A$1:$X$1441,18,0)</f>
        <v>2.4709601551790149E-2</v>
      </c>
      <c r="T213" s="7">
        <f>VLOOKUP($A213,Rotations!$A$1:$X$1441,19,0)</f>
        <v>0.45690724668396948</v>
      </c>
      <c r="U213" s="7">
        <f>VLOOKUP($A213,Rotations!$A$1:$X$1441,20,0)</f>
        <v>0.12860789674804238</v>
      </c>
      <c r="V213" s="7">
        <f>VLOOKUP($A213,Rotations!$A$1:$X$1441,21,0)</f>
        <v>7.1981930058751989E-2</v>
      </c>
      <c r="W213" s="7">
        <f>VLOOKUP($A213,Rotations!$A$1:$X$1441,22,0)</f>
        <v>0.25395387855318885</v>
      </c>
      <c r="X213" s="7">
        <f>VLOOKUP($A213,Rotations!$A$1:$X$1441,23,0)</f>
        <v>6.3839446404257094E-2</v>
      </c>
    </row>
    <row r="214" spans="1:24" ht="15.75" customHeight="1" x14ac:dyDescent="0.3">
      <c r="A214">
        <v>205</v>
      </c>
      <c r="B214" t="str">
        <f>Permutations!I206</f>
        <v>p7 - i2:i5</v>
      </c>
      <c r="C214" t="str">
        <f>Permutations!J206</f>
        <v>p41 - i5:i4</v>
      </c>
      <c r="D214" t="str">
        <f>Permutations!K206</f>
        <v>p91 - i4:i1</v>
      </c>
      <c r="E214" t="str">
        <f>Permutations!L206</f>
        <v>p8 - i1:i3</v>
      </c>
      <c r="F214" t="str">
        <f>Permutations!M206</f>
        <v>p13 - i3:i6</v>
      </c>
      <c r="G214" s="7">
        <f>VLOOKUP(B214,Vlookup!$A$1:$B$30,2,0)</f>
        <v>1.7991741228251155</v>
      </c>
      <c r="H214" s="7">
        <f>VLOOKUP(C214,Vlookup!$A$1:$B$30,2,0)</f>
        <v>1.25400669441983</v>
      </c>
      <c r="I214" s="7">
        <f>VLOOKUP(D214,Vlookup!$A$1:$B$30,2,0)</f>
        <v>2.9131157743633094</v>
      </c>
      <c r="J214" s="7">
        <f>VLOOKUP(E214,Vlookup!$A$1:$B$30,2,0)</f>
        <v>1.1080774401297739</v>
      </c>
      <c r="K214" s="7">
        <f>VLOOKUP(F214,Vlookup!$A$1:$B$30,2,0)</f>
        <v>2.0145521929129111</v>
      </c>
      <c r="L214" s="7">
        <f t="shared" si="1"/>
        <v>14.671666024218837</v>
      </c>
      <c r="M214" s="7">
        <f t="shared" si="2"/>
        <v>8.1546670986913501</v>
      </c>
      <c r="N214" s="7">
        <f t="shared" si="3"/>
        <v>6.502889605756156</v>
      </c>
      <c r="O214" s="7">
        <f t="shared" si="4"/>
        <v>2.2322798369307613</v>
      </c>
      <c r="P214" s="7">
        <f t="shared" si="5"/>
        <v>2.0145521929129111</v>
      </c>
      <c r="Q214">
        <v>1</v>
      </c>
      <c r="R214" s="7">
        <f t="shared" si="6"/>
        <v>34.576054758510011</v>
      </c>
      <c r="S214" s="7">
        <f>VLOOKUP($A214,Rotations!$A$1:$X$1441,18,0)</f>
        <v>6.4561438617612751E-2</v>
      </c>
      <c r="T214" s="7">
        <f>VLOOKUP($A214,Rotations!$A$1:$X$1441,19,0)</f>
        <v>0.42433025186622197</v>
      </c>
      <c r="U214" s="7">
        <f>VLOOKUP($A214,Rotations!$A$1:$X$1441,20,0)</f>
        <v>5.8264374202990313E-2</v>
      </c>
      <c r="V214" s="7">
        <f>VLOOKUP($A214,Rotations!$A$1:$X$1441,21,0)</f>
        <v>0.18807494525255622</v>
      </c>
      <c r="W214" s="7">
        <f>VLOOKUP($A214,Rotations!$A$1:$X$1441,22,0)</f>
        <v>0.23584724039934854</v>
      </c>
      <c r="X214" s="7">
        <f>VLOOKUP($A214,Rotations!$A$1:$X$1441,23,0)</f>
        <v>2.8921749661270292E-2</v>
      </c>
    </row>
    <row r="215" spans="1:24" ht="15.75" customHeight="1" x14ac:dyDescent="0.3">
      <c r="A215">
        <v>206</v>
      </c>
      <c r="B215" t="str">
        <f>Permutations!I207</f>
        <v>p7 - i2:i5</v>
      </c>
      <c r="C215" t="str">
        <f>Permutations!J207</f>
        <v>p41 - i5:i4</v>
      </c>
      <c r="D215" t="str">
        <f>Permutations!K207</f>
        <v>p91 - i4:i1</v>
      </c>
      <c r="E215" t="str">
        <f>Permutations!L207</f>
        <v>p11 - i1:i6</v>
      </c>
      <c r="F215" t="str">
        <f>Permutations!M207</f>
        <v>p131 - i6:i3</v>
      </c>
      <c r="G215" s="7">
        <f>VLOOKUP(B215,Vlookup!$A$1:$B$30,2,0)</f>
        <v>1.7991741228251155</v>
      </c>
      <c r="H215" s="7">
        <f>VLOOKUP(C215,Vlookup!$A$1:$B$30,2,0)</f>
        <v>1.25400669441983</v>
      </c>
      <c r="I215" s="7">
        <f>VLOOKUP(D215,Vlookup!$A$1:$B$30,2,0)</f>
        <v>2.9131157743633094</v>
      </c>
      <c r="J215" s="7">
        <f>VLOOKUP(E215,Vlookup!$A$1:$B$30,2,0)</f>
        <v>1.1613557664474019</v>
      </c>
      <c r="K215" s="7">
        <f>VLOOKUP(F215,Vlookup!$A$1:$B$30,2,0)</f>
        <v>1.4032439022773779</v>
      </c>
      <c r="L215" s="7">
        <f t="shared" si="1"/>
        <v>10.710980787383534</v>
      </c>
      <c r="M215" s="7">
        <f t="shared" si="2"/>
        <v>5.9532763680287033</v>
      </c>
      <c r="N215" s="7">
        <f t="shared" si="3"/>
        <v>4.7474039768049288</v>
      </c>
      <c r="O215" s="7">
        <f t="shared" si="4"/>
        <v>1.6296653976419875</v>
      </c>
      <c r="P215" s="7">
        <f t="shared" si="5"/>
        <v>1.4032439022773779</v>
      </c>
      <c r="Q215">
        <v>1</v>
      </c>
      <c r="R215" s="7">
        <f t="shared" si="6"/>
        <v>25.44457043213653</v>
      </c>
      <c r="S215" s="7">
        <f>VLOOKUP($A215,Rotations!$A$1:$X$1441,18,0)</f>
        <v>6.4047667929332294E-2</v>
      </c>
      <c r="T215" s="7">
        <f>VLOOKUP($A215,Rotations!$A$1:$X$1441,19,0)</f>
        <v>0.42095349245336638</v>
      </c>
      <c r="U215" s="7">
        <f>VLOOKUP($A215,Rotations!$A$1:$X$1441,20,0)</f>
        <v>3.9301115444928029E-2</v>
      </c>
      <c r="V215" s="7">
        <f>VLOOKUP($A215,Rotations!$A$1:$X$1441,21,0)</f>
        <v>0.18657827175612093</v>
      </c>
      <c r="W215" s="7">
        <f>VLOOKUP($A215,Rotations!$A$1:$X$1441,22,0)</f>
        <v>0.23397040181545792</v>
      </c>
      <c r="X215" s="7">
        <f>VLOOKUP($A215,Rotations!$A$1:$X$1441,23,0)</f>
        <v>5.5149050600794537E-2</v>
      </c>
    </row>
    <row r="216" spans="1:24" ht="15.75" customHeight="1" x14ac:dyDescent="0.3">
      <c r="A216">
        <v>207</v>
      </c>
      <c r="B216" t="str">
        <f>Permutations!I208</f>
        <v>p7 - i2:i5</v>
      </c>
      <c r="C216" t="str">
        <f>Permutations!J208</f>
        <v>p41 - i5:i4</v>
      </c>
      <c r="D216" t="str">
        <f>Permutations!K208</f>
        <v>p31 - i4:i3</v>
      </c>
      <c r="E216" t="str">
        <f>Permutations!L208</f>
        <v>p81 - i3:i1</v>
      </c>
      <c r="F216" t="str">
        <f>Permutations!M208</f>
        <v>p11 - i1:i6</v>
      </c>
      <c r="G216" s="7">
        <f>VLOOKUP(B216,Vlookup!$A$1:$B$30,2,0)</f>
        <v>1.7991741228251155</v>
      </c>
      <c r="H216" s="7">
        <f>VLOOKUP(C216,Vlookup!$A$1:$B$30,2,0)</f>
        <v>1.25400669441983</v>
      </c>
      <c r="I216" s="7">
        <f>VLOOKUP(D216,Vlookup!$A$1:$B$30,2,0)</f>
        <v>2.2388599512381115</v>
      </c>
      <c r="J216" s="7">
        <f>VLOOKUP(E216,Vlookup!$A$1:$B$30,2,0)</f>
        <v>1.7021844231989158</v>
      </c>
      <c r="K216" s="7">
        <f>VLOOKUP(F216,Vlookup!$A$1:$B$30,2,0)</f>
        <v>1.1613557664474019</v>
      </c>
      <c r="L216" s="7">
        <f t="shared" si="1"/>
        <v>9.9855472585901612</v>
      </c>
      <c r="M216" s="7">
        <f t="shared" si="2"/>
        <v>5.5500727427707579</v>
      </c>
      <c r="N216" s="7">
        <f t="shared" si="3"/>
        <v>4.4258717018560381</v>
      </c>
      <c r="O216" s="7">
        <f t="shared" si="4"/>
        <v>1.9768416954390056</v>
      </c>
      <c r="P216" s="7">
        <f t="shared" si="5"/>
        <v>1.1613557664474019</v>
      </c>
      <c r="Q216">
        <v>1</v>
      </c>
      <c r="R216" s="7">
        <f t="shared" si="6"/>
        <v>24.099689165103364</v>
      </c>
      <c r="S216" s="7">
        <f>VLOOKUP($A216,Rotations!$A$1:$X$1441,18,0)</f>
        <v>4.8189657488572873E-2</v>
      </c>
      <c r="T216" s="7">
        <f>VLOOKUP($A216,Rotations!$A$1:$X$1441,19,0)</f>
        <v>0.41434340460495866</v>
      </c>
      <c r="U216" s="7">
        <f>VLOOKUP($A216,Rotations!$A$1:$X$1441,20,0)</f>
        <v>8.2027684336339737E-2</v>
      </c>
      <c r="V216" s="7">
        <f>VLOOKUP($A216,Rotations!$A$1:$X$1441,21,0)</f>
        <v>0.1836484973534328</v>
      </c>
      <c r="W216" s="7">
        <f>VLOOKUP($A216,Rotations!$A$1:$X$1441,22,0)</f>
        <v>0.23029644510134717</v>
      </c>
      <c r="X216" s="7">
        <f>VLOOKUP($A216,Rotations!$A$1:$X$1441,23,0)</f>
        <v>4.149431111534882E-2</v>
      </c>
    </row>
    <row r="217" spans="1:24" ht="15.75" customHeight="1" x14ac:dyDescent="0.3">
      <c r="A217">
        <v>208</v>
      </c>
      <c r="B217" t="str">
        <f>Permutations!I209</f>
        <v>p7 - i2:i5</v>
      </c>
      <c r="C217" t="str">
        <f>Permutations!J209</f>
        <v>p41 - i5:i4</v>
      </c>
      <c r="D217" t="str">
        <f>Permutations!K209</f>
        <v>p31 - i4:i3</v>
      </c>
      <c r="E217" t="str">
        <f>Permutations!L209</f>
        <v>p13 - i3:i6</v>
      </c>
      <c r="F217" t="str">
        <f>Permutations!M209</f>
        <v>p111 - i6:i1</v>
      </c>
      <c r="G217" s="7">
        <f>VLOOKUP(B217,Vlookup!$A$1:$B$30,2,0)</f>
        <v>1.7991741228251155</v>
      </c>
      <c r="H217" s="7">
        <f>VLOOKUP(C217,Vlookup!$A$1:$B$30,2,0)</f>
        <v>1.25400669441983</v>
      </c>
      <c r="I217" s="7">
        <f>VLOOKUP(D217,Vlookup!$A$1:$B$30,2,0)</f>
        <v>2.2388599512381115</v>
      </c>
      <c r="J217" s="7">
        <f>VLOOKUP(E217,Vlookup!$A$1:$B$30,2,0)</f>
        <v>2.0145521929129111</v>
      </c>
      <c r="K217" s="7">
        <f>VLOOKUP(F217,Vlookup!$A$1:$B$30,2,0)</f>
        <v>1.6397534939100344</v>
      </c>
      <c r="L217" s="7">
        <f t="shared" si="1"/>
        <v>16.6861854988902</v>
      </c>
      <c r="M217" s="7">
        <f t="shared" si="2"/>
        <v>9.2743583220778376</v>
      </c>
      <c r="N217" s="7">
        <f t="shared" si="3"/>
        <v>7.3957805515293886</v>
      </c>
      <c r="O217" s="7">
        <f t="shared" si="4"/>
        <v>3.3033689969930675</v>
      </c>
      <c r="P217" s="7">
        <f t="shared" si="5"/>
        <v>1.6397534939100344</v>
      </c>
      <c r="Q217">
        <v>1</v>
      </c>
      <c r="R217" s="7">
        <f t="shared" si="6"/>
        <v>39.299446863400526</v>
      </c>
      <c r="S217" s="7">
        <f>VLOOKUP($A217,Rotations!$A$1:$X$1441,18,0)</f>
        <v>2.544565076134182E-2</v>
      </c>
      <c r="T217" s="7">
        <f>VLOOKUP($A217,Rotations!$A$1:$X$1441,19,0)</f>
        <v>0.42459084874372627</v>
      </c>
      <c r="U217" s="7">
        <f>VLOOKUP($A217,Rotations!$A$1:$X$1441,20,0)</f>
        <v>8.4056373833329617E-2</v>
      </c>
      <c r="V217" s="7">
        <f>VLOOKUP($A217,Rotations!$A$1:$X$1441,21,0)</f>
        <v>0.18819044902174081</v>
      </c>
      <c r="W217" s="7">
        <f>VLOOKUP($A217,Rotations!$A$1:$X$1441,22,0)</f>
        <v>0.23599208289913678</v>
      </c>
      <c r="X217" s="7">
        <f>VLOOKUP($A217,Rotations!$A$1:$X$1441,23,0)</f>
        <v>4.1724594740724777E-2</v>
      </c>
    </row>
    <row r="218" spans="1:24" ht="15.75" customHeight="1" x14ac:dyDescent="0.3">
      <c r="A218">
        <v>209</v>
      </c>
      <c r="B218" t="str">
        <f>Permutations!I210</f>
        <v>p7 - i2:i5</v>
      </c>
      <c r="C218" t="str">
        <f>Permutations!J210</f>
        <v>p41 - i5:i4</v>
      </c>
      <c r="D218" t="str">
        <f>Permutations!K210</f>
        <v>p14 - i4:i6</v>
      </c>
      <c r="E218" t="str">
        <f>Permutations!L210</f>
        <v>p111 - i6:i1</v>
      </c>
      <c r="F218" t="str">
        <f>Permutations!M210</f>
        <v>p8 - i1:i3</v>
      </c>
      <c r="G218" s="7">
        <f>VLOOKUP(B218,Vlookup!$A$1:$B$30,2,0)</f>
        <v>1.7991741228251155</v>
      </c>
      <c r="H218" s="7">
        <f>VLOOKUP(C218,Vlookup!$A$1:$B$30,2,0)</f>
        <v>1.25400669441983</v>
      </c>
      <c r="I218" s="7">
        <f>VLOOKUP(D218,Vlookup!$A$1:$B$30,2,0)</f>
        <v>1.478275916473532</v>
      </c>
      <c r="J218" s="7">
        <f>VLOOKUP(E218,Vlookup!$A$1:$B$30,2,0)</f>
        <v>1.6397534939100344</v>
      </c>
      <c r="K218" s="7">
        <f>VLOOKUP(F218,Vlookup!$A$1:$B$30,2,0)</f>
        <v>1.1080774401297739</v>
      </c>
      <c r="L218" s="7">
        <f t="shared" si="1"/>
        <v>6.06006427631897</v>
      </c>
      <c r="M218" s="7">
        <f t="shared" si="2"/>
        <v>3.3682477973856586</v>
      </c>
      <c r="N218" s="7">
        <f t="shared" si="3"/>
        <v>2.6859886891943496</v>
      </c>
      <c r="O218" s="7">
        <f t="shared" si="4"/>
        <v>1.8169738539756839</v>
      </c>
      <c r="P218" s="7">
        <f t="shared" si="5"/>
        <v>1.1080774401297739</v>
      </c>
      <c r="Q218">
        <v>1</v>
      </c>
      <c r="R218" s="7">
        <f t="shared" si="6"/>
        <v>16.039352057004436</v>
      </c>
      <c r="S218" s="7">
        <f>VLOOKUP($A218,Rotations!$A$1:$X$1441,18,0)</f>
        <v>6.9084925387984927E-2</v>
      </c>
      <c r="T218" s="7">
        <f>VLOOKUP($A218,Rotations!$A$1:$X$1441,19,0)</f>
        <v>0.37782475593660408</v>
      </c>
      <c r="U218" s="7">
        <f>VLOOKUP($A218,Rotations!$A$1:$X$1441,20,0)</f>
        <v>6.2346658172098467E-2</v>
      </c>
      <c r="V218" s="7">
        <f>VLOOKUP($A218,Rotations!$A$1:$X$1441,21,0)</f>
        <v>0.16746241865932296</v>
      </c>
      <c r="W218" s="7">
        <f>VLOOKUP($A218,Rotations!$A$1:$X$1441,22,0)</f>
        <v>0.20999899406252723</v>
      </c>
      <c r="X218" s="7">
        <f>VLOOKUP($A218,Rotations!$A$1:$X$1441,23,0)</f>
        <v>0.11328224778146233</v>
      </c>
    </row>
    <row r="219" spans="1:24" ht="15.75" customHeight="1" x14ac:dyDescent="0.3">
      <c r="A219">
        <v>210</v>
      </c>
      <c r="B219" t="str">
        <f>Permutations!I211</f>
        <v>p7 - i2:i5</v>
      </c>
      <c r="C219" t="str">
        <f>Permutations!J211</f>
        <v>p41 - i5:i4</v>
      </c>
      <c r="D219" t="str">
        <f>Permutations!K211</f>
        <v>p14 - i4:i6</v>
      </c>
      <c r="E219" t="str">
        <f>Permutations!L211</f>
        <v>p131 - i6:i3</v>
      </c>
      <c r="F219" t="str">
        <f>Permutations!M211</f>
        <v>p81 - i3:i1</v>
      </c>
      <c r="G219" s="7">
        <f>VLOOKUP(B219,Vlookup!$A$1:$B$30,2,0)</f>
        <v>1.7991741228251155</v>
      </c>
      <c r="H219" s="7">
        <f>VLOOKUP(C219,Vlookup!$A$1:$B$30,2,0)</f>
        <v>1.25400669441983</v>
      </c>
      <c r="I219" s="7">
        <f>VLOOKUP(D219,Vlookup!$A$1:$B$30,2,0)</f>
        <v>1.478275916473532</v>
      </c>
      <c r="J219" s="7">
        <f>VLOOKUP(E219,Vlookup!$A$1:$B$30,2,0)</f>
        <v>1.4032439022773779</v>
      </c>
      <c r="K219" s="7">
        <f>VLOOKUP(F219,Vlookup!$A$1:$B$30,2,0)</f>
        <v>1.7021844231989158</v>
      </c>
      <c r="L219" s="7">
        <f t="shared" si="1"/>
        <v>7.9665140841893818</v>
      </c>
      <c r="M219" s="7">
        <f t="shared" si="2"/>
        <v>4.4278727573516496</v>
      </c>
      <c r="N219" s="7">
        <f t="shared" si="3"/>
        <v>3.5309801590813823</v>
      </c>
      <c r="O219" s="7">
        <f t="shared" si="4"/>
        <v>2.3885799124054143</v>
      </c>
      <c r="P219" s="7">
        <f t="shared" si="5"/>
        <v>1.7021844231989158</v>
      </c>
      <c r="Q219">
        <v>1</v>
      </c>
      <c r="R219" s="7">
        <f t="shared" si="6"/>
        <v>21.016131336226742</v>
      </c>
      <c r="S219" s="7">
        <f>VLOOKUP($A219,Rotations!$A$1:$X$1441,18,0)</f>
        <v>4.7582496702247054E-2</v>
      </c>
      <c r="T219" s="7">
        <f>VLOOKUP($A219,Rotations!$A$1:$X$1441,19,0)</f>
        <v>0.37906663013934599</v>
      </c>
      <c r="U219" s="7">
        <f>VLOOKUP($A219,Rotations!$A$1:$X$1441,20,0)</f>
        <v>8.0994184703478717E-2</v>
      </c>
      <c r="V219" s="7">
        <f>VLOOKUP($A219,Rotations!$A$1:$X$1441,21,0)</f>
        <v>0.16801285177518965</v>
      </c>
      <c r="W219" s="7">
        <f>VLOOKUP($A219,Rotations!$A$1:$X$1441,22,0)</f>
        <v>0.21068924087465446</v>
      </c>
      <c r="X219" s="7">
        <f>VLOOKUP($A219,Rotations!$A$1:$X$1441,23,0)</f>
        <v>0.11365459580508419</v>
      </c>
    </row>
    <row r="220" spans="1:24" ht="15.75" customHeight="1" x14ac:dyDescent="0.3">
      <c r="A220">
        <v>211</v>
      </c>
      <c r="B220" t="str">
        <f>Permutations!I212</f>
        <v>p7 - i2:i5</v>
      </c>
      <c r="C220" t="str">
        <f>Permutations!J212</f>
        <v>p15 - i5:i6</v>
      </c>
      <c r="D220" t="str">
        <f>Permutations!K212</f>
        <v>p111 - i6:i1</v>
      </c>
      <c r="E220" t="str">
        <f>Permutations!L212</f>
        <v>p8 - i1:i3</v>
      </c>
      <c r="F220" t="str">
        <f>Permutations!M212</f>
        <v>p3 - i3:i4</v>
      </c>
      <c r="G220" s="7">
        <f>VLOOKUP(B220,Vlookup!$A$1:$B$30,2,0)</f>
        <v>1.7991741228251155</v>
      </c>
      <c r="H220" s="7">
        <f>VLOOKUP(C220,Vlookup!$A$1:$B$30,2,0)</f>
        <v>1.3219359277692486</v>
      </c>
      <c r="I220" s="7">
        <f>VLOOKUP(D220,Vlookup!$A$1:$B$30,2,0)</f>
        <v>1.6397534939100344</v>
      </c>
      <c r="J220" s="7">
        <f>VLOOKUP(E220,Vlookup!$A$1:$B$30,2,0)</f>
        <v>1.1080774401297739</v>
      </c>
      <c r="K220" s="7">
        <f>VLOOKUP(F220,Vlookup!$A$1:$B$30,2,0)</f>
        <v>1.4338636587362954</v>
      </c>
      <c r="L220" s="7">
        <f t="shared" si="1"/>
        <v>6.1964098804158594</v>
      </c>
      <c r="M220" s="7">
        <f t="shared" si="2"/>
        <v>3.4440301257146122</v>
      </c>
      <c r="N220" s="7">
        <f t="shared" si="3"/>
        <v>2.6052927780897615</v>
      </c>
      <c r="O220" s="7">
        <f t="shared" si="4"/>
        <v>1.5888319724676261</v>
      </c>
      <c r="P220" s="7">
        <f t="shared" si="5"/>
        <v>1.4338636587362954</v>
      </c>
      <c r="Q220">
        <v>1</v>
      </c>
      <c r="R220" s="7">
        <f t="shared" si="6"/>
        <v>16.268428415424154</v>
      </c>
      <c r="S220" s="7">
        <f>VLOOKUP($A220,Rotations!$A$1:$X$1441,18,0)</f>
        <v>9.766351929613859E-2</v>
      </c>
      <c r="T220" s="7">
        <f>VLOOKUP($A220,Rotations!$A$1:$X$1441,19,0)</f>
        <v>0.38088558539194983</v>
      </c>
      <c r="U220" s="7">
        <f>VLOOKUP($A220,Rotations!$A$1:$X$1441,20,0)</f>
        <v>8.8137810372441644E-2</v>
      </c>
      <c r="V220" s="7">
        <f>VLOOKUP($A220,Rotations!$A$1:$X$1441,21,0)</f>
        <v>6.1468752510346759E-2</v>
      </c>
      <c r="W220" s="7">
        <f>VLOOKUP($A220,Rotations!$A$1:$X$1441,22,0)</f>
        <v>0.21170023543572994</v>
      </c>
      <c r="X220" s="7">
        <f>VLOOKUP($A220,Rotations!$A$1:$X$1441,23,0)</f>
        <v>0.1601440969933933</v>
      </c>
    </row>
    <row r="221" spans="1:24" ht="15.75" customHeight="1" x14ac:dyDescent="0.3">
      <c r="A221">
        <v>212</v>
      </c>
      <c r="B221" t="str">
        <f>Permutations!I213</f>
        <v>p7 - i2:i5</v>
      </c>
      <c r="C221" t="str">
        <f>Permutations!J213</f>
        <v>p15 - i5:i6</v>
      </c>
      <c r="D221" t="str">
        <f>Permutations!K213</f>
        <v>p111 - i6:i1</v>
      </c>
      <c r="E221" t="str">
        <f>Permutations!L213</f>
        <v>p9 - i1:i4</v>
      </c>
      <c r="F221" t="str">
        <f>Permutations!M213</f>
        <v>p31 - i4:i3</v>
      </c>
      <c r="G221" s="7">
        <f>VLOOKUP(B221,Vlookup!$A$1:$B$30,2,0)</f>
        <v>1.7991741228251155</v>
      </c>
      <c r="H221" s="7">
        <f>VLOOKUP(C221,Vlookup!$A$1:$B$30,2,0)</f>
        <v>1.3219359277692486</v>
      </c>
      <c r="I221" s="7">
        <f>VLOOKUP(D221,Vlookup!$A$1:$B$30,2,0)</f>
        <v>1.6397534939100344</v>
      </c>
      <c r="J221" s="7">
        <f>VLOOKUP(E221,Vlookup!$A$1:$B$30,2,0)</f>
        <v>1.2538815092968505</v>
      </c>
      <c r="K221" s="7">
        <f>VLOOKUP(F221,Vlookup!$A$1:$B$30,2,0)</f>
        <v>2.2388599512381115</v>
      </c>
      <c r="L221" s="7">
        <f t="shared" si="1"/>
        <v>10.948272360807303</v>
      </c>
      <c r="M221" s="7">
        <f t="shared" si="2"/>
        <v>6.0851655334037407</v>
      </c>
      <c r="N221" s="7">
        <f t="shared" si="3"/>
        <v>4.6032227474688483</v>
      </c>
      <c r="O221" s="7">
        <f t="shared" si="4"/>
        <v>2.8072650947627165</v>
      </c>
      <c r="P221" s="7">
        <f t="shared" si="5"/>
        <v>2.2388599512381115</v>
      </c>
      <c r="Q221">
        <v>1</v>
      </c>
      <c r="R221" s="7">
        <f t="shared" si="6"/>
        <v>27.68278568768072</v>
      </c>
      <c r="S221" s="7">
        <f>VLOOKUP($A221,Rotations!$A$1:$X$1441,18,0)</f>
        <v>0.10140833102688773</v>
      </c>
      <c r="T221" s="7">
        <f>VLOOKUP($A221,Rotations!$A$1:$X$1441,19,0)</f>
        <v>0.39549026909092672</v>
      </c>
      <c r="U221" s="7">
        <f>VLOOKUP($A221,Rotations!$A$1:$X$1441,20,0)</f>
        <v>3.6123532193691618E-2</v>
      </c>
      <c r="V221" s="7">
        <f>VLOOKUP($A221,Rotations!$A$1:$X$1441,21,0)</f>
        <v>8.0875529525716763E-2</v>
      </c>
      <c r="W221" s="7">
        <f>VLOOKUP($A221,Rotations!$A$1:$X$1441,22,0)</f>
        <v>0.21981767304985264</v>
      </c>
      <c r="X221" s="7">
        <f>VLOOKUP($A221,Rotations!$A$1:$X$1441,23,0)</f>
        <v>0.1662846651129245</v>
      </c>
    </row>
    <row r="222" spans="1:24" ht="15.75" customHeight="1" x14ac:dyDescent="0.3">
      <c r="A222">
        <v>213</v>
      </c>
      <c r="B222" t="str">
        <f>Permutations!I214</f>
        <v>p7 - i2:i5</v>
      </c>
      <c r="C222" t="str">
        <f>Permutations!J214</f>
        <v>p15 - i5:i6</v>
      </c>
      <c r="D222" t="str">
        <f>Permutations!K214</f>
        <v>p131 - i6:i3</v>
      </c>
      <c r="E222" t="str">
        <f>Permutations!L214</f>
        <v>p81 - i3:i1</v>
      </c>
      <c r="F222" t="str">
        <f>Permutations!M214</f>
        <v>p9 - i1:i4</v>
      </c>
      <c r="G222" s="7">
        <f>VLOOKUP(B222,Vlookup!$A$1:$B$30,2,0)</f>
        <v>1.7991741228251155</v>
      </c>
      <c r="H222" s="7">
        <f>VLOOKUP(C222,Vlookup!$A$1:$B$30,2,0)</f>
        <v>1.3219359277692486</v>
      </c>
      <c r="I222" s="7">
        <f>VLOOKUP(D222,Vlookup!$A$1:$B$30,2,0)</f>
        <v>1.4032439022773779</v>
      </c>
      <c r="J222" s="7">
        <f>VLOOKUP(E222,Vlookup!$A$1:$B$30,2,0)</f>
        <v>1.7021844231989158</v>
      </c>
      <c r="K222" s="7">
        <f>VLOOKUP(F222,Vlookup!$A$1:$B$30,2,0)</f>
        <v>1.2538815092968505</v>
      </c>
      <c r="L222" s="7">
        <f t="shared" si="1"/>
        <v>7.1232777032197916</v>
      </c>
      <c r="M222" s="7">
        <f t="shared" si="2"/>
        <v>3.959193061333393</v>
      </c>
      <c r="N222" s="7">
        <f t="shared" si="3"/>
        <v>2.99499618564304</v>
      </c>
      <c r="O222" s="7">
        <f t="shared" si="4"/>
        <v>2.1343375736622456</v>
      </c>
      <c r="P222" s="7">
        <f t="shared" si="5"/>
        <v>1.2538815092968505</v>
      </c>
      <c r="Q222">
        <v>1</v>
      </c>
      <c r="R222" s="7">
        <f t="shared" si="6"/>
        <v>18.465686033155322</v>
      </c>
      <c r="S222" s="7">
        <f>VLOOKUP($A222,Rotations!$A$1:$X$1441,18,0)</f>
        <v>6.7903326583452883E-2</v>
      </c>
      <c r="T222" s="7">
        <f>VLOOKUP($A222,Rotations!$A$1:$X$1441,19,0)</f>
        <v>0.38575754458458117</v>
      </c>
      <c r="U222" s="7">
        <f>VLOOKUP($A222,Rotations!$A$1:$X$1441,20,0)</f>
        <v>0.11558398479374238</v>
      </c>
      <c r="V222" s="7">
        <f>VLOOKUP($A222,Rotations!$A$1:$X$1441,21,0)</f>
        <v>5.4154500309627818E-2</v>
      </c>
      <c r="W222" s="7">
        <f>VLOOKUP($A222,Rotations!$A$1:$X$1441,22,0)</f>
        <v>0.21440812186585556</v>
      </c>
      <c r="X222" s="7">
        <f>VLOOKUP($A222,Rotations!$A$1:$X$1441,23,0)</f>
        <v>0.16219252186274016</v>
      </c>
    </row>
    <row r="223" spans="1:24" ht="15.75" customHeight="1" x14ac:dyDescent="0.3">
      <c r="A223">
        <v>214</v>
      </c>
      <c r="B223" t="str">
        <f>Permutations!I215</f>
        <v>p7 - i2:i5</v>
      </c>
      <c r="C223" t="str">
        <f>Permutations!J215</f>
        <v>p15 - i5:i6</v>
      </c>
      <c r="D223" t="str">
        <f>Permutations!K215</f>
        <v>p131 - i6:i3</v>
      </c>
      <c r="E223" t="str">
        <f>Permutations!L215</f>
        <v>p3 - i3:i4</v>
      </c>
      <c r="F223" t="str">
        <f>Permutations!M215</f>
        <v>p91 - i4:i1</v>
      </c>
      <c r="G223" s="7">
        <f>VLOOKUP(B223,Vlookup!$A$1:$B$30,2,0)</f>
        <v>1.7991741228251155</v>
      </c>
      <c r="H223" s="7">
        <f>VLOOKUP(C223,Vlookup!$A$1:$B$30,2,0)</f>
        <v>1.3219359277692486</v>
      </c>
      <c r="I223" s="7">
        <f>VLOOKUP(D223,Vlookup!$A$1:$B$30,2,0)</f>
        <v>1.4032439022773779</v>
      </c>
      <c r="J223" s="7">
        <f>VLOOKUP(E223,Vlookup!$A$1:$B$30,2,0)</f>
        <v>1.4338636587362954</v>
      </c>
      <c r="K223" s="7">
        <f>VLOOKUP(F223,Vlookup!$A$1:$B$30,2,0)</f>
        <v>2.9131157743633094</v>
      </c>
      <c r="L223" s="7">
        <f t="shared" si="1"/>
        <v>13.940628965171982</v>
      </c>
      <c r="M223" s="7">
        <f t="shared" si="2"/>
        <v>7.7483489720728089</v>
      </c>
      <c r="N223" s="7">
        <f t="shared" si="3"/>
        <v>5.8613649945561717</v>
      </c>
      <c r="O223" s="7">
        <f t="shared" si="4"/>
        <v>4.1770108425509909</v>
      </c>
      <c r="P223" s="7">
        <f t="shared" si="5"/>
        <v>2.9131157743633094</v>
      </c>
      <c r="Q223">
        <v>1</v>
      </c>
      <c r="R223" s="7">
        <f t="shared" si="6"/>
        <v>35.640469548715267</v>
      </c>
      <c r="S223" s="7">
        <f>VLOOKUP($A223,Rotations!$A$1:$X$1441,18,0)</f>
        <v>2.8057991734175877E-2</v>
      </c>
      <c r="T223" s="7">
        <f>VLOOKUP($A223,Rotations!$A$1:$X$1441,19,0)</f>
        <v>0.39114605227400828</v>
      </c>
      <c r="U223" s="7">
        <f>VLOOKUP($A223,Rotations!$A$1:$X$1441,20,0)</f>
        <v>0.11719853569385871</v>
      </c>
      <c r="V223" s="7">
        <f>VLOOKUP($A223,Rotations!$A$1:$X$1441,21,0)</f>
        <v>8.1736178317783098E-2</v>
      </c>
      <c r="W223" s="7">
        <f>VLOOKUP($A223,Rotations!$A$1:$X$1441,22,0)</f>
        <v>0.21740311141192903</v>
      </c>
      <c r="X223" s="7">
        <f>VLOOKUP($A223,Rotations!$A$1:$X$1441,23,0)</f>
        <v>0.1644581305682449</v>
      </c>
    </row>
    <row r="224" spans="1:24" ht="15.75" customHeight="1" x14ac:dyDescent="0.3">
      <c r="A224">
        <v>215</v>
      </c>
      <c r="B224" t="str">
        <f>Permutations!I216</f>
        <v>p7 - i2:i5</v>
      </c>
      <c r="C224" t="str">
        <f>Permutations!J216</f>
        <v>p15 - i5:i6</v>
      </c>
      <c r="D224" t="str">
        <f>Permutations!K216</f>
        <v>p141 - i6:i4</v>
      </c>
      <c r="E224" t="str">
        <f>Permutations!L216</f>
        <v>p91 - i4:i1</v>
      </c>
      <c r="F224" t="str">
        <f>Permutations!M216</f>
        <v>p8 - i1:i3</v>
      </c>
      <c r="G224" s="7">
        <f>VLOOKUP(B224,Vlookup!$A$1:$B$30,2,0)</f>
        <v>1.7991741228251155</v>
      </c>
      <c r="H224" s="7">
        <f>VLOOKUP(C224,Vlookup!$A$1:$B$30,2,0)</f>
        <v>1.3219359277692486</v>
      </c>
      <c r="I224" s="7">
        <f>VLOOKUP(D224,Vlookup!$A$1:$B$30,2,0)</f>
        <v>0.88688155974910687</v>
      </c>
      <c r="J224" s="7">
        <f>VLOOKUP(E224,Vlookup!$A$1:$B$30,2,0)</f>
        <v>2.9131157743633094</v>
      </c>
      <c r="K224" s="7">
        <f>VLOOKUP(F224,Vlookup!$A$1:$B$30,2,0)</f>
        <v>1.1080774401297739</v>
      </c>
      <c r="L224" s="7">
        <f t="shared" si="1"/>
        <v>6.8089020251435901</v>
      </c>
      <c r="M224" s="7">
        <f t="shared" si="2"/>
        <v>3.7844597355880452</v>
      </c>
      <c r="N224" s="7">
        <f t="shared" si="3"/>
        <v>2.8628163106015858</v>
      </c>
      <c r="O224" s="7">
        <f t="shared" si="4"/>
        <v>3.2279578700581602</v>
      </c>
      <c r="P224" s="7">
        <f t="shared" si="5"/>
        <v>1.1080774401297739</v>
      </c>
      <c r="Q224">
        <v>1</v>
      </c>
      <c r="R224" s="7">
        <f t="shared" si="6"/>
        <v>18.792213381521155</v>
      </c>
      <c r="S224" s="7">
        <f>VLOOKUP($A224,Rotations!$A$1:$X$1441,18,0)</f>
        <v>5.8964711480946341E-2</v>
      </c>
      <c r="T224" s="7">
        <f>VLOOKUP($A224,Rotations!$A$1:$X$1441,19,0)</f>
        <v>0.36232570836168509</v>
      </c>
      <c r="U224" s="7">
        <f>VLOOKUP($A224,Rotations!$A$1:$X$1441,20,0)</f>
        <v>5.3213529438917745E-2</v>
      </c>
      <c r="V224" s="7">
        <f>VLOOKUP($A224,Rotations!$A$1:$X$1441,21,0)</f>
        <v>0.17177103114592612</v>
      </c>
      <c r="W224" s="7">
        <f>VLOOKUP($A224,Rotations!$A$1:$X$1441,22,0)</f>
        <v>0.20138445955011333</v>
      </c>
      <c r="X224" s="7">
        <f>VLOOKUP($A224,Rotations!$A$1:$X$1441,23,0)</f>
        <v>0.15234056002241139</v>
      </c>
    </row>
    <row r="225" spans="1:24" ht="15.75" customHeight="1" x14ac:dyDescent="0.3">
      <c r="A225">
        <v>216</v>
      </c>
      <c r="B225" t="str">
        <f>Permutations!I217</f>
        <v>p7 - i2:i5</v>
      </c>
      <c r="C225" t="str">
        <f>Permutations!J217</f>
        <v>p15 - i5:i6</v>
      </c>
      <c r="D225" t="str">
        <f>Permutations!K217</f>
        <v>p141 - i6:i4</v>
      </c>
      <c r="E225" t="str">
        <f>Permutations!L217</f>
        <v>p31 - i4:i3</v>
      </c>
      <c r="F225" t="str">
        <f>Permutations!M217</f>
        <v>p81 - i3:i1</v>
      </c>
      <c r="G225" s="7">
        <f>VLOOKUP(B225,Vlookup!$A$1:$B$30,2,0)</f>
        <v>1.7991741228251155</v>
      </c>
      <c r="H225" s="7">
        <f>VLOOKUP(C225,Vlookup!$A$1:$B$30,2,0)</f>
        <v>1.3219359277692486</v>
      </c>
      <c r="I225" s="7">
        <f>VLOOKUP(D225,Vlookup!$A$1:$B$30,2,0)</f>
        <v>0.88688155974910687</v>
      </c>
      <c r="J225" s="7">
        <f>VLOOKUP(E225,Vlookup!$A$1:$B$30,2,0)</f>
        <v>2.2388599512381115</v>
      </c>
      <c r="K225" s="7">
        <f>VLOOKUP(F225,Vlookup!$A$1:$B$30,2,0)</f>
        <v>1.7021844231989158</v>
      </c>
      <c r="L225" s="7">
        <f t="shared" si="1"/>
        <v>8.0386434631264532</v>
      </c>
      <c r="M225" s="7">
        <f t="shared" si="2"/>
        <v>4.4679630287834193</v>
      </c>
      <c r="N225" s="7">
        <f t="shared" si="3"/>
        <v>3.3798635281235256</v>
      </c>
      <c r="O225" s="7">
        <f t="shared" si="4"/>
        <v>3.8109525347213977</v>
      </c>
      <c r="P225" s="7">
        <f t="shared" si="5"/>
        <v>1.7021844231989158</v>
      </c>
      <c r="Q225">
        <v>1</v>
      </c>
      <c r="R225" s="7">
        <f t="shared" si="6"/>
        <v>22.399606977953709</v>
      </c>
      <c r="S225" s="7">
        <f>VLOOKUP($A225,Rotations!$A$1:$X$1441,18,0)</f>
        <v>4.4643640443523258E-2</v>
      </c>
      <c r="T225" s="7">
        <f>VLOOKUP($A225,Rotations!$A$1:$X$1441,19,0)</f>
        <v>0.35887430842149598</v>
      </c>
      <c r="U225" s="7">
        <f>VLOOKUP($A225,Rotations!$A$1:$X$1441,20,0)</f>
        <v>7.5991709357858428E-2</v>
      </c>
      <c r="V225" s="7">
        <f>VLOOKUP($A225,Rotations!$A$1:$X$1441,21,0)</f>
        <v>0.17013479470743567</v>
      </c>
      <c r="W225" s="7">
        <f>VLOOKUP($A225,Rotations!$A$1:$X$1441,22,0)</f>
        <v>0.19946613497196214</v>
      </c>
      <c r="X225" s="7">
        <f>VLOOKUP($A225,Rotations!$A$1:$X$1441,23,0)</f>
        <v>0.15088941209772463</v>
      </c>
    </row>
    <row r="226" spans="1:24" ht="15.75" customHeight="1" x14ac:dyDescent="0.3">
      <c r="A226">
        <v>217</v>
      </c>
      <c r="B226" t="str">
        <f>Permutations!I218</f>
        <v>p12 - i2:i6</v>
      </c>
      <c r="C226" t="str">
        <f>Permutations!J218</f>
        <v>p111 - i6:i1</v>
      </c>
      <c r="D226" t="str">
        <f>Permutations!K218</f>
        <v>p8 - i1:i3</v>
      </c>
      <c r="E226" t="str">
        <f>Permutations!L218</f>
        <v>p3 - i3:i4</v>
      </c>
      <c r="F226" t="str">
        <f>Permutations!M218</f>
        <v>p4 - i4:i5</v>
      </c>
      <c r="G226" s="7">
        <f>VLOOKUP(B226,Vlookup!$A$1:$B$30,2,0)</f>
        <v>1.3354555559520354</v>
      </c>
      <c r="H226" s="7">
        <f>VLOOKUP(C226,Vlookup!$A$1:$B$30,2,0)</f>
        <v>1.6397534939100344</v>
      </c>
      <c r="I226" s="7">
        <f>VLOOKUP(D226,Vlookup!$A$1:$B$30,2,0)</f>
        <v>1.1080774401297739</v>
      </c>
      <c r="J226" s="7">
        <f>VLOOKUP(E226,Vlookup!$A$1:$B$30,2,0)</f>
        <v>1.4338636587362954</v>
      </c>
      <c r="K226" s="7">
        <f>VLOOKUP(F226,Vlookup!$A$1:$B$30,2,0)</f>
        <v>1.89462595295753</v>
      </c>
      <c r="L226" s="7">
        <f t="shared" si="1"/>
        <v>6.5918824914600984</v>
      </c>
      <c r="M226" s="7">
        <f t="shared" si="2"/>
        <v>4.9360553124216846</v>
      </c>
      <c r="N226" s="7">
        <f t="shared" si="3"/>
        <v>3.0102422899258681</v>
      </c>
      <c r="O226" s="7">
        <f t="shared" si="4"/>
        <v>2.7166353008444242</v>
      </c>
      <c r="P226" s="7">
        <f t="shared" si="5"/>
        <v>1.89462595295753</v>
      </c>
      <c r="Q226">
        <v>1</v>
      </c>
      <c r="R226" s="7">
        <f t="shared" si="6"/>
        <v>20.149441347609606</v>
      </c>
      <c r="S226" s="7">
        <f>VLOOKUP($A226,Rotations!$A$1:$X$1441,18,0)</f>
        <v>0.14939581887132483</v>
      </c>
      <c r="T226" s="7">
        <f>VLOOKUP($A226,Rotations!$A$1:$X$1441,19,0)</f>
        <v>0.32714964041631434</v>
      </c>
      <c r="U226" s="7">
        <f>VLOOKUP($A226,Rotations!$A$1:$X$1441,20,0)</f>
        <v>0.13482434842625091</v>
      </c>
      <c r="V226" s="7">
        <f>VLOOKUP($A226,Rotations!$A$1:$X$1441,21,0)</f>
        <v>9.4028708800023161E-2</v>
      </c>
      <c r="W226" s="7">
        <f>VLOOKUP($A226,Rotations!$A$1:$X$1441,22,0)</f>
        <v>4.96291675162812E-2</v>
      </c>
      <c r="X226" s="7">
        <f>VLOOKUP($A226,Rotations!$A$1:$X$1441,23,0)</f>
        <v>0.24497231596980554</v>
      </c>
    </row>
    <row r="227" spans="1:24" ht="15.75" customHeight="1" x14ac:dyDescent="0.3">
      <c r="A227">
        <v>218</v>
      </c>
      <c r="B227" t="str">
        <f>Permutations!I219</f>
        <v>p12 - i2:i6</v>
      </c>
      <c r="C227" t="str">
        <f>Permutations!J219</f>
        <v>p111 - i6:i1</v>
      </c>
      <c r="D227" t="str">
        <f>Permutations!K219</f>
        <v>p8 - i1:i3</v>
      </c>
      <c r="E227" t="str">
        <f>Permutations!L219</f>
        <v>p6 - i3:i5</v>
      </c>
      <c r="F227" t="str">
        <f>Permutations!M219</f>
        <v>p41 - i5:i4</v>
      </c>
      <c r="G227" s="7">
        <f>VLOOKUP(B227,Vlookup!$A$1:$B$30,2,0)</f>
        <v>1.3354555559520354</v>
      </c>
      <c r="H227" s="7">
        <f>VLOOKUP(C227,Vlookup!$A$1:$B$30,2,0)</f>
        <v>1.6397534939100344</v>
      </c>
      <c r="I227" s="7">
        <f>VLOOKUP(D227,Vlookup!$A$1:$B$30,2,0)</f>
        <v>1.1080774401297739</v>
      </c>
      <c r="J227" s="7">
        <f>VLOOKUP(E227,Vlookup!$A$1:$B$30,2,0)</f>
        <v>2.2414716085286912</v>
      </c>
      <c r="K227" s="7">
        <f>VLOOKUP(F227,Vlookup!$A$1:$B$30,2,0)</f>
        <v>1.25400669441983</v>
      </c>
      <c r="L227" s="7">
        <f t="shared" si="1"/>
        <v>6.8204214941069328</v>
      </c>
      <c r="M227" s="7">
        <f t="shared" si="2"/>
        <v>5.1071871794675419</v>
      </c>
      <c r="N227" s="7">
        <f t="shared" si="3"/>
        <v>3.114606676207972</v>
      </c>
      <c r="O227" s="7">
        <f t="shared" si="4"/>
        <v>2.8108204024469634</v>
      </c>
      <c r="P227" s="7">
        <f t="shared" si="5"/>
        <v>1.25400669441983</v>
      </c>
      <c r="Q227">
        <v>1</v>
      </c>
      <c r="R227" s="7">
        <f t="shared" si="6"/>
        <v>20.107042446649238</v>
      </c>
      <c r="S227" s="7">
        <f>VLOOKUP($A227,Rotations!$A$1:$X$1441,18,0)</f>
        <v>0.15490128319329277</v>
      </c>
      <c r="T227" s="7">
        <f>VLOOKUP($A227,Rotations!$A$1:$X$1441,19,0)</f>
        <v>0.3392056048125332</v>
      </c>
      <c r="U227" s="7">
        <f>VLOOKUP($A227,Rotations!$A$1:$X$1441,20,0)</f>
        <v>0.13979283178543128</v>
      </c>
      <c r="V227" s="7">
        <f>VLOOKUP($A227,Rotations!$A$1:$X$1441,21,0)</f>
        <v>4.9733818519224648E-2</v>
      </c>
      <c r="W227" s="7">
        <f>VLOOKUP($A227,Rotations!$A$1:$X$1441,22,0)</f>
        <v>6.2366541362168626E-2</v>
      </c>
      <c r="X227" s="7">
        <f>VLOOKUP($A227,Rotations!$A$1:$X$1441,23,0)</f>
        <v>0.25399992032734953</v>
      </c>
    </row>
    <row r="228" spans="1:24" ht="15.75" customHeight="1" x14ac:dyDescent="0.3">
      <c r="A228">
        <v>219</v>
      </c>
      <c r="B228" t="str">
        <f>Permutations!I220</f>
        <v>p12 - i2:i6</v>
      </c>
      <c r="C228" t="str">
        <f>Permutations!J220</f>
        <v>p111 - i6:i1</v>
      </c>
      <c r="D228" t="str">
        <f>Permutations!K220</f>
        <v>p9 - i1:i4</v>
      </c>
      <c r="E228" t="str">
        <f>Permutations!L220</f>
        <v>p31 - i4:i3</v>
      </c>
      <c r="F228" t="str">
        <f>Permutations!M220</f>
        <v>p6 - i3:i5</v>
      </c>
      <c r="G228" s="7">
        <f>VLOOKUP(B228,Vlookup!$A$1:$B$30,2,0)</f>
        <v>1.3354555559520354</v>
      </c>
      <c r="H228" s="7">
        <f>VLOOKUP(C228,Vlookup!$A$1:$B$30,2,0)</f>
        <v>1.6397534939100344</v>
      </c>
      <c r="I228" s="7">
        <f>VLOOKUP(D228,Vlookup!$A$1:$B$30,2,0)</f>
        <v>1.2538815092968505</v>
      </c>
      <c r="J228" s="7">
        <f>VLOOKUP(E228,Vlookup!$A$1:$B$30,2,0)</f>
        <v>2.2388599512381115</v>
      </c>
      <c r="K228" s="7">
        <f>VLOOKUP(F228,Vlookup!$A$1:$B$30,2,0)</f>
        <v>2.2414716085286912</v>
      </c>
      <c r="L228" s="7">
        <f t="shared" si="1"/>
        <v>13.779221206574816</v>
      </c>
      <c r="M228" s="7">
        <f t="shared" si="2"/>
        <v>10.31799309618486</v>
      </c>
      <c r="N228" s="7">
        <f t="shared" si="3"/>
        <v>6.292405007524235</v>
      </c>
      <c r="O228" s="7">
        <f t="shared" si="4"/>
        <v>5.0183410161721573</v>
      </c>
      <c r="P228" s="7">
        <f t="shared" si="5"/>
        <v>2.2414716085286912</v>
      </c>
      <c r="Q228">
        <v>1</v>
      </c>
      <c r="R228" s="7">
        <f t="shared" si="6"/>
        <v>38.649431934984754</v>
      </c>
      <c r="S228" s="7">
        <f>VLOOKUP($A228,Rotations!$A$1:$X$1441,18,0)</f>
        <v>0.16280717962709476</v>
      </c>
      <c r="T228" s="7">
        <f>VLOOKUP($A228,Rotations!$A$1:$X$1441,19,0)</f>
        <v>0.3565180784481885</v>
      </c>
      <c r="U228" s="7">
        <f>VLOOKUP($A228,Rotations!$A$1:$X$1441,20,0)</f>
        <v>5.7994943167579971E-2</v>
      </c>
      <c r="V228" s="7">
        <f>VLOOKUP($A228,Rotations!$A$1:$X$1441,21,0)</f>
        <v>0.12984255563222516</v>
      </c>
      <c r="W228" s="7">
        <f>VLOOKUP($A228,Rotations!$A$1:$X$1441,22,0)</f>
        <v>2.5873601497744612E-2</v>
      </c>
      <c r="X228" s="7">
        <f>VLOOKUP($A228,Rotations!$A$1:$X$1441,23,0)</f>
        <v>0.26696364162716718</v>
      </c>
    </row>
    <row r="229" spans="1:24" ht="15.75" customHeight="1" x14ac:dyDescent="0.3">
      <c r="A229">
        <v>220</v>
      </c>
      <c r="B229" t="str">
        <f>Permutations!I221</f>
        <v>p12 - i2:i6</v>
      </c>
      <c r="C229" t="str">
        <f>Permutations!J221</f>
        <v>p111 - i6:i1</v>
      </c>
      <c r="D229" t="str">
        <f>Permutations!K221</f>
        <v>p9 - i1:i4</v>
      </c>
      <c r="E229" t="str">
        <f>Permutations!L221</f>
        <v>p4 - i4:i5</v>
      </c>
      <c r="F229" t="str">
        <f>Permutations!M221</f>
        <v>p61 - i5:i3</v>
      </c>
      <c r="G229" s="7">
        <f>VLOOKUP(B229,Vlookup!$A$1:$B$30,2,0)</f>
        <v>1.3354555559520354</v>
      </c>
      <c r="H229" s="7">
        <f>VLOOKUP(C229,Vlookup!$A$1:$B$30,2,0)</f>
        <v>1.6397534939100344</v>
      </c>
      <c r="I229" s="7">
        <f>VLOOKUP(D229,Vlookup!$A$1:$B$30,2,0)</f>
        <v>1.2538815092968505</v>
      </c>
      <c r="J229" s="7">
        <f>VLOOKUP(E229,Vlookup!$A$1:$B$30,2,0)</f>
        <v>1.89462595295753</v>
      </c>
      <c r="K229" s="7">
        <f>VLOOKUP(F229,Vlookup!$A$1:$B$30,2,0)</f>
        <v>1.9746367445127702</v>
      </c>
      <c r="L229" s="7">
        <f t="shared" si="1"/>
        <v>10.272477494385745</v>
      </c>
      <c r="M229" s="7">
        <f t="shared" si="2"/>
        <v>7.6921148357217906</v>
      </c>
      <c r="N229" s="7">
        <f t="shared" si="3"/>
        <v>4.6910190246826335</v>
      </c>
      <c r="O229" s="7">
        <f t="shared" si="4"/>
        <v>3.741198023817462</v>
      </c>
      <c r="P229" s="7">
        <f t="shared" si="5"/>
        <v>1.9746367445127702</v>
      </c>
      <c r="Q229">
        <v>1</v>
      </c>
      <c r="R229" s="7">
        <f t="shared" si="6"/>
        <v>29.3714461231204</v>
      </c>
      <c r="S229" s="7">
        <f>VLOOKUP($A229,Rotations!$A$1:$X$1441,18,0)</f>
        <v>0.15971358730580146</v>
      </c>
      <c r="T229" s="7">
        <f>VLOOKUP($A229,Rotations!$A$1:$X$1441,19,0)</f>
        <v>0.34974367456492145</v>
      </c>
      <c r="U229" s="7">
        <f>VLOOKUP($A229,Rotations!$A$1:$X$1441,20,0)</f>
        <v>3.4046672261493702E-2</v>
      </c>
      <c r="V229" s="7">
        <f>VLOOKUP($A229,Rotations!$A$1:$X$1441,21,0)</f>
        <v>0.12737534298226103</v>
      </c>
      <c r="W229" s="7">
        <f>VLOOKUP($A229,Rotations!$A$1:$X$1441,22,0)</f>
        <v>6.7229810075929153E-2</v>
      </c>
      <c r="X229" s="7">
        <f>VLOOKUP($A229,Rotations!$A$1:$X$1441,23,0)</f>
        <v>0.26189091280959326</v>
      </c>
    </row>
    <row r="230" spans="1:24" ht="15.75" customHeight="1" x14ac:dyDescent="0.3">
      <c r="A230">
        <v>221</v>
      </c>
      <c r="B230" t="str">
        <f>Permutations!I222</f>
        <v>p12 - i2:i6</v>
      </c>
      <c r="C230" t="str">
        <f>Permutations!J222</f>
        <v>p111 - i6:i1</v>
      </c>
      <c r="D230" t="str">
        <f>Permutations!K222</f>
        <v>p10 - i1:i5</v>
      </c>
      <c r="E230" t="str">
        <f>Permutations!L222</f>
        <v>p61 - i5:i3</v>
      </c>
      <c r="F230" t="str">
        <f>Permutations!M222</f>
        <v>p3 - i3:i4</v>
      </c>
      <c r="G230" s="7">
        <f>VLOOKUP(B230,Vlookup!$A$1:$B$30,2,0)</f>
        <v>1.3354555559520354</v>
      </c>
      <c r="H230" s="7">
        <f>VLOOKUP(C230,Vlookup!$A$1:$B$30,2,0)</f>
        <v>1.6397534939100344</v>
      </c>
      <c r="I230" s="7">
        <f>VLOOKUP(D230,Vlookup!$A$1:$B$30,2,0)</f>
        <v>1.0847108741813811</v>
      </c>
      <c r="J230" s="7">
        <f>VLOOKUP(E230,Vlookup!$A$1:$B$30,2,0)</f>
        <v>1.9746367445127702</v>
      </c>
      <c r="K230" s="7">
        <f>VLOOKUP(F230,Vlookup!$A$1:$B$30,2,0)</f>
        <v>1.4338636587362954</v>
      </c>
      <c r="L230" s="7">
        <f t="shared" si="1"/>
        <v>6.7253837479450702</v>
      </c>
      <c r="M230" s="7">
        <f t="shared" si="2"/>
        <v>5.0360221408870469</v>
      </c>
      <c r="N230" s="7">
        <f t="shared" si="3"/>
        <v>3.0712068366315979</v>
      </c>
      <c r="O230" s="7">
        <f t="shared" si="4"/>
        <v>2.8313598671622078</v>
      </c>
      <c r="P230" s="7">
        <f t="shared" si="5"/>
        <v>1.4338636587362954</v>
      </c>
      <c r="Q230">
        <v>1</v>
      </c>
      <c r="R230" s="7">
        <f t="shared" si="6"/>
        <v>20.097836251362221</v>
      </c>
      <c r="S230" s="7">
        <f>VLOOKUP($A230,Rotations!$A$1:$X$1441,18,0)</f>
        <v>0.15281281020604559</v>
      </c>
      <c r="T230" s="7">
        <f>VLOOKUP($A230,Rotations!$A$1:$X$1441,19,0)</f>
        <v>0.33463222925250113</v>
      </c>
      <c r="U230" s="7">
        <f>VLOOKUP($A230,Rotations!$A$1:$X$1441,20,0)</f>
        <v>7.1344180577603666E-2</v>
      </c>
      <c r="V230" s="7">
        <f>VLOOKUP($A230,Rotations!$A$1:$X$1441,21,0)</f>
        <v>4.9756600038584779E-2</v>
      </c>
      <c r="W230" s="7">
        <f>VLOOKUP($A230,Rotations!$A$1:$X$1441,22,0)</f>
        <v>0.14087884047569049</v>
      </c>
      <c r="X230" s="7">
        <f>VLOOKUP($A230,Rotations!$A$1:$X$1441,23,0)</f>
        <v>0.25057533944957422</v>
      </c>
    </row>
    <row r="231" spans="1:24" ht="15.75" customHeight="1" x14ac:dyDescent="0.3">
      <c r="A231">
        <v>222</v>
      </c>
      <c r="B231" t="str">
        <f>Permutations!I223</f>
        <v>p12 - i2:i6</v>
      </c>
      <c r="C231" t="str">
        <f>Permutations!J223</f>
        <v>p111 - i6:i1</v>
      </c>
      <c r="D231" t="str">
        <f>Permutations!K223</f>
        <v>p10 - i1:i5</v>
      </c>
      <c r="E231" t="str">
        <f>Permutations!L223</f>
        <v>p41 - i5:i4</v>
      </c>
      <c r="F231" t="str">
        <f>Permutations!M223</f>
        <v>p31 - i4:i3</v>
      </c>
      <c r="G231" s="7">
        <f>VLOOKUP(B231,Vlookup!$A$1:$B$30,2,0)</f>
        <v>1.3354555559520354</v>
      </c>
      <c r="H231" s="7">
        <f>VLOOKUP(C231,Vlookup!$A$1:$B$30,2,0)</f>
        <v>1.6397534939100344</v>
      </c>
      <c r="I231" s="7">
        <f>VLOOKUP(D231,Vlookup!$A$1:$B$30,2,0)</f>
        <v>1.0847108741813811</v>
      </c>
      <c r="J231" s="7">
        <f>VLOOKUP(E231,Vlookup!$A$1:$B$30,2,0)</f>
        <v>1.25400669441983</v>
      </c>
      <c r="K231" s="7">
        <f>VLOOKUP(F231,Vlookup!$A$1:$B$30,2,0)</f>
        <v>2.2388599512381115</v>
      </c>
      <c r="L231" s="7">
        <f t="shared" si="1"/>
        <v>6.6688167053412819</v>
      </c>
      <c r="M231" s="7">
        <f t="shared" si="2"/>
        <v>4.9936642785443635</v>
      </c>
      <c r="N231" s="7">
        <f t="shared" si="3"/>
        <v>3.045374989039872</v>
      </c>
      <c r="O231" s="7">
        <f t="shared" si="4"/>
        <v>2.8075453667210462</v>
      </c>
      <c r="P231" s="7">
        <f t="shared" si="5"/>
        <v>2.2388599512381115</v>
      </c>
      <c r="Q231">
        <v>1</v>
      </c>
      <c r="R231" s="7">
        <f t="shared" si="6"/>
        <v>20.754261290884678</v>
      </c>
      <c r="S231" s="7">
        <f>VLOOKUP($A231,Rotations!$A$1:$X$1441,18,0)</f>
        <v>0.14673492572715216</v>
      </c>
      <c r="T231" s="7">
        <f>VLOOKUP($A231,Rotations!$A$1:$X$1441,19,0)</f>
        <v>0.32132276894240713</v>
      </c>
      <c r="U231" s="7">
        <f>VLOOKUP($A231,Rotations!$A$1:$X$1441,20,0)</f>
        <v>4.8182876084305756E-2</v>
      </c>
      <c r="V231" s="7">
        <f>VLOOKUP($A231,Rotations!$A$1:$X$1441,21,0)</f>
        <v>0.10787471160062075</v>
      </c>
      <c r="W231" s="7">
        <f>VLOOKUP($A231,Rotations!$A$1:$X$1441,22,0)</f>
        <v>0.13527561050578693</v>
      </c>
      <c r="X231" s="7">
        <f>VLOOKUP($A231,Rotations!$A$1:$X$1441,23,0)</f>
        <v>0.24060910713972716</v>
      </c>
    </row>
    <row r="232" spans="1:24" ht="15.75" customHeight="1" x14ac:dyDescent="0.3">
      <c r="A232">
        <v>223</v>
      </c>
      <c r="B232" t="str">
        <f>Permutations!I224</f>
        <v>p12 - i2:i6</v>
      </c>
      <c r="C232" t="str">
        <f>Permutations!J224</f>
        <v>p131 - i6:i3</v>
      </c>
      <c r="D232" t="str">
        <f>Permutations!K224</f>
        <v>p81 - i3:i1</v>
      </c>
      <c r="E232" t="str">
        <f>Permutations!L224</f>
        <v>p9 - i1:i4</v>
      </c>
      <c r="F232" t="str">
        <f>Permutations!M224</f>
        <v>p4 - i4:i5</v>
      </c>
      <c r="G232" s="7">
        <f>VLOOKUP(B232,Vlookup!$A$1:$B$30,2,0)</f>
        <v>1.3354555559520354</v>
      </c>
      <c r="H232" s="7">
        <f>VLOOKUP(C232,Vlookup!$A$1:$B$30,2,0)</f>
        <v>1.4032439022773779</v>
      </c>
      <c r="I232" s="7">
        <f>VLOOKUP(D232,Vlookup!$A$1:$B$30,2,0)</f>
        <v>1.7021844231989158</v>
      </c>
      <c r="J232" s="7">
        <f>VLOOKUP(E232,Vlookup!$A$1:$B$30,2,0)</f>
        <v>1.2538815092968505</v>
      </c>
      <c r="K232" s="7">
        <f>VLOOKUP(F232,Vlookup!$A$1:$B$30,2,0)</f>
        <v>1.89462595295753</v>
      </c>
      <c r="L232" s="7">
        <f t="shared" si="1"/>
        <v>7.5779056711644293</v>
      </c>
      <c r="M232" s="7">
        <f t="shared" si="2"/>
        <v>5.6743975023281124</v>
      </c>
      <c r="N232" s="7">
        <f t="shared" si="3"/>
        <v>4.0437713594328946</v>
      </c>
      <c r="O232" s="7">
        <f t="shared" si="4"/>
        <v>2.3756364494473714</v>
      </c>
      <c r="P232" s="7">
        <f t="shared" si="5"/>
        <v>1.89462595295753</v>
      </c>
      <c r="Q232">
        <v>1</v>
      </c>
      <c r="R232" s="7">
        <f t="shared" si="6"/>
        <v>22.566336935330337</v>
      </c>
      <c r="S232" s="7">
        <f>VLOOKUP($A232,Rotations!$A$1:$X$1441,18,0)</f>
        <v>0.10527346357786692</v>
      </c>
      <c r="T232" s="7">
        <f>VLOOKUP($A232,Rotations!$A$1:$X$1441,19,0)</f>
        <v>0.33580574875226199</v>
      </c>
      <c r="U232" s="7">
        <f>VLOOKUP($A232,Rotations!$A$1:$X$1441,20,0)</f>
        <v>0.1791948498784435</v>
      </c>
      <c r="V232" s="7">
        <f>VLOOKUP($A232,Rotations!$A$1:$X$1441,21,0)</f>
        <v>8.395806365858445E-2</v>
      </c>
      <c r="W232" s="7">
        <f>VLOOKUP($A232,Rotations!$A$1:$X$1441,22,0)</f>
        <v>4.431379372140716E-2</v>
      </c>
      <c r="X232" s="7">
        <f>VLOOKUP($A232,Rotations!$A$1:$X$1441,23,0)</f>
        <v>0.25145408041143597</v>
      </c>
    </row>
    <row r="233" spans="1:24" ht="15.75" customHeight="1" x14ac:dyDescent="0.3">
      <c r="A233">
        <v>224</v>
      </c>
      <c r="B233" t="str">
        <f>Permutations!I225</f>
        <v>p12 - i2:i6</v>
      </c>
      <c r="C233" t="str">
        <f>Permutations!J225</f>
        <v>p131 - i6:i3</v>
      </c>
      <c r="D233" t="str">
        <f>Permutations!K225</f>
        <v>p81 - i3:i1</v>
      </c>
      <c r="E233" t="str">
        <f>Permutations!L225</f>
        <v>p10 - i1:i5</v>
      </c>
      <c r="F233" t="str">
        <f>Permutations!M225</f>
        <v>p41 - i5:i4</v>
      </c>
      <c r="G233" s="7">
        <f>VLOOKUP(B233,Vlookup!$A$1:$B$30,2,0)</f>
        <v>1.3354555559520354</v>
      </c>
      <c r="H233" s="7">
        <f>VLOOKUP(C233,Vlookup!$A$1:$B$30,2,0)</f>
        <v>1.4032439022773779</v>
      </c>
      <c r="I233" s="7">
        <f>VLOOKUP(D233,Vlookup!$A$1:$B$30,2,0)</f>
        <v>1.7021844231989158</v>
      </c>
      <c r="J233" s="7">
        <f>VLOOKUP(E233,Vlookup!$A$1:$B$30,2,0)</f>
        <v>1.0847108741813811</v>
      </c>
      <c r="K233" s="7">
        <f>VLOOKUP(F233,Vlookup!$A$1:$B$30,2,0)</f>
        <v>1.25400669441983</v>
      </c>
      <c r="L233" s="7">
        <f t="shared" si="1"/>
        <v>4.3389341969671626</v>
      </c>
      <c r="M233" s="7">
        <f t="shared" si="2"/>
        <v>3.2490292751629402</v>
      </c>
      <c r="N233" s="7">
        <f t="shared" si="3"/>
        <v>2.3153703143765436</v>
      </c>
      <c r="O233" s="7">
        <f t="shared" si="4"/>
        <v>1.3602346977334379</v>
      </c>
      <c r="P233" s="7">
        <f t="shared" si="5"/>
        <v>1.25400669441983</v>
      </c>
      <c r="Q233">
        <v>1</v>
      </c>
      <c r="R233" s="7">
        <f t="shared" si="6"/>
        <v>13.517575178659914</v>
      </c>
      <c r="S233" s="7">
        <f>VLOOKUP($A233,Rotations!$A$1:$X$1441,18,0)</f>
        <v>0.10062712282013636</v>
      </c>
      <c r="T233" s="7">
        <f>VLOOKUP($A233,Rotations!$A$1:$X$1441,19,0)</f>
        <v>0.3209846543940072</v>
      </c>
      <c r="U233" s="7">
        <f>VLOOKUP($A233,Rotations!$A$1:$X$1441,20,0)</f>
        <v>0.17128592101576026</v>
      </c>
      <c r="V233" s="7">
        <f>VLOOKUP($A233,Rotations!$A$1:$X$1441,21,0)</f>
        <v>7.3977765004680118E-2</v>
      </c>
      <c r="W233" s="7">
        <f>VLOOKUP($A233,Rotations!$A$1:$X$1441,22,0)</f>
        <v>9.2768612554085902E-2</v>
      </c>
      <c r="X233" s="7">
        <f>VLOOKUP($A233,Rotations!$A$1:$X$1441,23,0)</f>
        <v>0.24035592421133017</v>
      </c>
    </row>
    <row r="234" spans="1:24" ht="15.75" customHeight="1" x14ac:dyDescent="0.3">
      <c r="A234">
        <v>225</v>
      </c>
      <c r="B234" t="str">
        <f>Permutations!I226</f>
        <v>p12 - i2:i6</v>
      </c>
      <c r="C234" t="str">
        <f>Permutations!J226</f>
        <v>p131 - i6:i3</v>
      </c>
      <c r="D234" t="str">
        <f>Permutations!K226</f>
        <v>p3 - i3:i4</v>
      </c>
      <c r="E234" t="str">
        <f>Permutations!L226</f>
        <v>p91 - i4:i1</v>
      </c>
      <c r="F234" t="str">
        <f>Permutations!M226</f>
        <v>p10 - i1:i5</v>
      </c>
      <c r="G234" s="7">
        <f>VLOOKUP(B234,Vlookup!$A$1:$B$30,2,0)</f>
        <v>1.3354555559520354</v>
      </c>
      <c r="H234" s="7">
        <f>VLOOKUP(C234,Vlookup!$A$1:$B$30,2,0)</f>
        <v>1.4032439022773779</v>
      </c>
      <c r="I234" s="7">
        <f>VLOOKUP(D234,Vlookup!$A$1:$B$30,2,0)</f>
        <v>1.4338636587362954</v>
      </c>
      <c r="J234" s="7">
        <f>VLOOKUP(E234,Vlookup!$A$1:$B$30,2,0)</f>
        <v>2.9131157743633094</v>
      </c>
      <c r="K234" s="7">
        <f>VLOOKUP(F234,Vlookup!$A$1:$B$30,2,0)</f>
        <v>1.0847108741813811</v>
      </c>
      <c r="L234" s="7">
        <f t="shared" si="1"/>
        <v>8.490674646401267</v>
      </c>
      <c r="M234" s="7">
        <f t="shared" si="2"/>
        <v>6.3578863471411715</v>
      </c>
      <c r="N234" s="7">
        <f t="shared" si="3"/>
        <v>4.5308490824885927</v>
      </c>
      <c r="O234" s="7">
        <f t="shared" si="4"/>
        <v>3.1598883582011963</v>
      </c>
      <c r="P234" s="7">
        <f t="shared" si="5"/>
        <v>1.0847108741813811</v>
      </c>
      <c r="Q234">
        <v>1</v>
      </c>
      <c r="R234" s="7">
        <f t="shared" si="6"/>
        <v>24.624009308413612</v>
      </c>
      <c r="S234" s="7">
        <f>VLOOKUP($A234,Rotations!$A$1:$X$1441,18,0)</f>
        <v>4.4050944774893075E-2</v>
      </c>
      <c r="T234" s="7">
        <f>VLOOKUP($A234,Rotations!$A$1:$X$1441,19,0)</f>
        <v>0.34481284262267337</v>
      </c>
      <c r="U234" s="7">
        <f>VLOOKUP($A234,Rotations!$A$1:$X$1441,20,0)</f>
        <v>0.18400127394934332</v>
      </c>
      <c r="V234" s="7">
        <f>VLOOKUP($A234,Rotations!$A$1:$X$1441,21,0)</f>
        <v>0.12832550209934804</v>
      </c>
      <c r="W234" s="7">
        <f>VLOOKUP($A234,Rotations!$A$1:$X$1441,22,0)</f>
        <v>4.061077087305668E-2</v>
      </c>
      <c r="X234" s="7">
        <f>VLOOKUP($A234,Rotations!$A$1:$X$1441,23,0)</f>
        <v>0.25819866568068539</v>
      </c>
    </row>
    <row r="235" spans="1:24" ht="15.75" customHeight="1" x14ac:dyDescent="0.3">
      <c r="A235">
        <v>226</v>
      </c>
      <c r="B235" t="str">
        <f>Permutations!I227</f>
        <v>p12 - i2:i6</v>
      </c>
      <c r="C235" t="str">
        <f>Permutations!J227</f>
        <v>p131 - i6:i3</v>
      </c>
      <c r="D235" t="str">
        <f>Permutations!K227</f>
        <v>p3 - i3:i4</v>
      </c>
      <c r="E235" t="str">
        <f>Permutations!L227</f>
        <v>p4 - i4:i5</v>
      </c>
      <c r="F235" t="str">
        <f>Permutations!M227</f>
        <v>p101 - i5:i1</v>
      </c>
      <c r="G235" s="7">
        <f>VLOOKUP(B235,Vlookup!$A$1:$B$30,2,0)</f>
        <v>1.3354555559520354</v>
      </c>
      <c r="H235" s="7">
        <f>VLOOKUP(C235,Vlookup!$A$1:$B$30,2,0)</f>
        <v>1.4032439022773779</v>
      </c>
      <c r="I235" s="7">
        <f>VLOOKUP(D235,Vlookup!$A$1:$B$30,2,0)</f>
        <v>1.4338636587362954</v>
      </c>
      <c r="J235" s="7">
        <f>VLOOKUP(E235,Vlookup!$A$1:$B$30,2,0)</f>
        <v>1.89462595295753</v>
      </c>
      <c r="K235" s="7">
        <f>VLOOKUP(F235,Vlookup!$A$1:$B$30,2,0)</f>
        <v>1.530542412441888</v>
      </c>
      <c r="L235" s="7">
        <f t="shared" si="1"/>
        <v>7.7918271788516424</v>
      </c>
      <c r="M235" s="7">
        <f t="shared" si="2"/>
        <v>5.834583670062246</v>
      </c>
      <c r="N235" s="7">
        <f t="shared" si="3"/>
        <v>4.1579255470792189</v>
      </c>
      <c r="O235" s="7">
        <f t="shared" si="4"/>
        <v>2.899805376714629</v>
      </c>
      <c r="P235" s="7">
        <f t="shared" si="5"/>
        <v>1.530542412441888</v>
      </c>
      <c r="Q235">
        <v>1</v>
      </c>
      <c r="R235" s="7">
        <f t="shared" si="6"/>
        <v>23.214684185149626</v>
      </c>
      <c r="S235" s="7">
        <f>VLOOKUP($A235,Rotations!$A$1:$X$1441,18,0)</f>
        <v>4.3076183678591562E-2</v>
      </c>
      <c r="T235" s="7">
        <f>VLOOKUP($A235,Rotations!$A$1:$X$1441,19,0)</f>
        <v>0.3356421787480553</v>
      </c>
      <c r="U235" s="7">
        <f>VLOOKUP($A235,Rotations!$A$1:$X$1441,20,0)</f>
        <v>0.17910756458789276</v>
      </c>
      <c r="V235" s="7">
        <f>VLOOKUP($A235,Rotations!$A$1:$X$1441,21,0)</f>
        <v>0.12491254903952677</v>
      </c>
      <c r="W235" s="7">
        <f>VLOOKUP($A235,Rotations!$A$1:$X$1441,22,0)</f>
        <v>6.5929926086221419E-2</v>
      </c>
      <c r="X235" s="7">
        <f>VLOOKUP($A235,Rotations!$A$1:$X$1441,23,0)</f>
        <v>0.25133159785971221</v>
      </c>
    </row>
    <row r="236" spans="1:24" ht="15.75" customHeight="1" x14ac:dyDescent="0.3">
      <c r="A236">
        <v>227</v>
      </c>
      <c r="B236" t="str">
        <f>Permutations!I228</f>
        <v>p12 - i2:i6</v>
      </c>
      <c r="C236" t="str">
        <f>Permutations!J228</f>
        <v>p131 - i6:i3</v>
      </c>
      <c r="D236" t="str">
        <f>Permutations!K228</f>
        <v>p6 - i3:i5</v>
      </c>
      <c r="E236" t="str">
        <f>Permutations!L228</f>
        <v>p101 - i5:i1</v>
      </c>
      <c r="F236" t="str">
        <f>Permutations!M228</f>
        <v>p9 - i1:i4</v>
      </c>
      <c r="G236" s="7">
        <f>VLOOKUP(B236,Vlookup!$A$1:$B$30,2,0)</f>
        <v>1.3354555559520354</v>
      </c>
      <c r="H236" s="7">
        <f>VLOOKUP(C236,Vlookup!$A$1:$B$30,2,0)</f>
        <v>1.4032439022773779</v>
      </c>
      <c r="I236" s="7">
        <f>VLOOKUP(D236,Vlookup!$A$1:$B$30,2,0)</f>
        <v>2.2414716085286912</v>
      </c>
      <c r="J236" s="7">
        <f>VLOOKUP(E236,Vlookup!$A$1:$B$30,2,0)</f>
        <v>1.530542412441888</v>
      </c>
      <c r="K236" s="7">
        <f>VLOOKUP(F236,Vlookup!$A$1:$B$30,2,0)</f>
        <v>1.2538815092968505</v>
      </c>
      <c r="L236" s="7">
        <f t="shared" si="1"/>
        <v>8.0611631681744615</v>
      </c>
      <c r="M236" s="7">
        <f t="shared" si="2"/>
        <v>6.0362646530963922</v>
      </c>
      <c r="N236" s="7">
        <f t="shared" si="3"/>
        <v>4.3016503711862981</v>
      </c>
      <c r="O236" s="7">
        <f t="shared" si="4"/>
        <v>1.9191188301554771</v>
      </c>
      <c r="P236" s="7">
        <f t="shared" si="5"/>
        <v>1.2538815092968505</v>
      </c>
      <c r="Q236">
        <v>1</v>
      </c>
      <c r="R236" s="7">
        <f t="shared" si="6"/>
        <v>22.572078531909479</v>
      </c>
      <c r="S236" s="7">
        <f>VLOOKUP($A236,Rotations!$A$1:$X$1441,18,0)</f>
        <v>5.5550112831845563E-2</v>
      </c>
      <c r="T236" s="7">
        <f>VLOOKUP($A236,Rotations!$A$1:$X$1441,19,0)</f>
        <v>0.35712985655169655</v>
      </c>
      <c r="U236" s="7">
        <f>VLOOKUP($A236,Rotations!$A$1:$X$1441,20,0)</f>
        <v>0.19057395911081837</v>
      </c>
      <c r="V236" s="7">
        <f>VLOOKUP($A236,Rotations!$A$1:$X$1441,21,0)</f>
        <v>4.4302521745453328E-2</v>
      </c>
      <c r="W236" s="7">
        <f>VLOOKUP($A236,Rotations!$A$1:$X$1441,22,0)</f>
        <v>8.502180370507198E-2</v>
      </c>
      <c r="X236" s="7">
        <f>VLOOKUP($A236,Rotations!$A$1:$X$1441,23,0)</f>
        <v>0.26742174605511421</v>
      </c>
    </row>
    <row r="237" spans="1:24" ht="15.75" customHeight="1" x14ac:dyDescent="0.3">
      <c r="A237">
        <v>228</v>
      </c>
      <c r="B237" t="str">
        <f>Permutations!I229</f>
        <v>p12 - i2:i6</v>
      </c>
      <c r="C237" t="str">
        <f>Permutations!J229</f>
        <v>p131 - i6:i3</v>
      </c>
      <c r="D237" t="str">
        <f>Permutations!K229</f>
        <v>p6 - i3:i5</v>
      </c>
      <c r="E237" t="str">
        <f>Permutations!L229</f>
        <v>p41 - i5:i4</v>
      </c>
      <c r="F237" t="str">
        <f>Permutations!M229</f>
        <v>p91 - i4:i1</v>
      </c>
      <c r="G237" s="7">
        <f>VLOOKUP(B237,Vlookup!$A$1:$B$30,2,0)</f>
        <v>1.3354555559520354</v>
      </c>
      <c r="H237" s="7">
        <f>VLOOKUP(C237,Vlookup!$A$1:$B$30,2,0)</f>
        <v>1.4032439022773779</v>
      </c>
      <c r="I237" s="7">
        <f>VLOOKUP(D237,Vlookup!$A$1:$B$30,2,0)</f>
        <v>2.2414716085286912</v>
      </c>
      <c r="J237" s="7">
        <f>VLOOKUP(E237,Vlookup!$A$1:$B$30,2,0)</f>
        <v>1.25400669441983</v>
      </c>
      <c r="K237" s="7">
        <f>VLOOKUP(F237,Vlookup!$A$1:$B$30,2,0)</f>
        <v>2.9131157743633094</v>
      </c>
      <c r="L237" s="7">
        <f t="shared" si="1"/>
        <v>15.344524857198037</v>
      </c>
      <c r="M237" s="7">
        <f t="shared" si="2"/>
        <v>11.490105222003479</v>
      </c>
      <c r="N237" s="7">
        <f t="shared" si="3"/>
        <v>8.188245253270475</v>
      </c>
      <c r="O237" s="7">
        <f t="shared" si="4"/>
        <v>3.653066682671597</v>
      </c>
      <c r="P237" s="7">
        <f t="shared" si="5"/>
        <v>2.9131157743633094</v>
      </c>
      <c r="Q237">
        <v>1</v>
      </c>
      <c r="R237" s="7">
        <f t="shared" si="6"/>
        <v>42.589057789506903</v>
      </c>
      <c r="S237" s="7">
        <f>VLOOKUP($A237,Rotations!$A$1:$X$1441,18,0)</f>
        <v>2.3480209516313369E-2</v>
      </c>
      <c r="T237" s="7">
        <f>VLOOKUP($A237,Rotations!$A$1:$X$1441,19,0)</f>
        <v>0.36029265857528836</v>
      </c>
      <c r="U237" s="7">
        <f>VLOOKUP($A237,Rotations!$A$1:$X$1441,20,0)</f>
        <v>0.19226171411774917</v>
      </c>
      <c r="V237" s="7">
        <f>VLOOKUP($A237,Rotations!$A$1:$X$1441,21,0)</f>
        <v>6.8400568727327971E-2</v>
      </c>
      <c r="W237" s="7">
        <f>VLOOKUP($A237,Rotations!$A$1:$X$1441,22,0)</f>
        <v>8.5774771086192941E-2</v>
      </c>
      <c r="X237" s="7">
        <f>VLOOKUP($A237,Rotations!$A$1:$X$1441,23,0)</f>
        <v>0.26979007797712801</v>
      </c>
    </row>
    <row r="238" spans="1:24" ht="15.75" customHeight="1" x14ac:dyDescent="0.3">
      <c r="A238">
        <v>229</v>
      </c>
      <c r="B238" t="str">
        <f>Permutations!I230</f>
        <v>p12 - i2:i6</v>
      </c>
      <c r="C238" t="str">
        <f>Permutations!J230</f>
        <v>p141 - i6:i4</v>
      </c>
      <c r="D238" t="str">
        <f>Permutations!K230</f>
        <v>p91 - i4:i1</v>
      </c>
      <c r="E238" t="str">
        <f>Permutations!L230</f>
        <v>p8 - i1:i3</v>
      </c>
      <c r="F238" t="str">
        <f>Permutations!M230</f>
        <v>p6 - i3:i5</v>
      </c>
      <c r="G238" s="7">
        <f>VLOOKUP(B238,Vlookup!$A$1:$B$30,2,0)</f>
        <v>1.3354555559520354</v>
      </c>
      <c r="H238" s="7">
        <f>VLOOKUP(C238,Vlookup!$A$1:$B$30,2,0)</f>
        <v>0.88688155974910687</v>
      </c>
      <c r="I238" s="7">
        <f>VLOOKUP(D238,Vlookup!$A$1:$B$30,2,0)</f>
        <v>2.9131157743633094</v>
      </c>
      <c r="J238" s="7">
        <f>VLOOKUP(E238,Vlookup!$A$1:$B$30,2,0)</f>
        <v>1.1080774401297739</v>
      </c>
      <c r="K238" s="7">
        <f>VLOOKUP(F238,Vlookup!$A$1:$B$30,2,0)</f>
        <v>2.2414716085286912</v>
      </c>
      <c r="L238" s="7">
        <f t="shared" si="1"/>
        <v>8.5695134434370743</v>
      </c>
      <c r="M238" s="7">
        <f t="shared" si="2"/>
        <v>6.4169214806463097</v>
      </c>
      <c r="N238" s="7">
        <f t="shared" si="3"/>
        <v>7.2353759192621121</v>
      </c>
      <c r="O238" s="7">
        <f t="shared" si="4"/>
        <v>2.4837241221020387</v>
      </c>
      <c r="P238" s="7">
        <f t="shared" si="5"/>
        <v>2.2414716085286912</v>
      </c>
      <c r="Q238">
        <v>1</v>
      </c>
      <c r="R238" s="7">
        <f t="shared" si="6"/>
        <v>27.947006573976225</v>
      </c>
      <c r="S238" s="7">
        <f>VLOOKUP($A238,Rotations!$A$1:$X$1441,18,0)</f>
        <v>8.8872635268738953E-2</v>
      </c>
      <c r="T238" s="7">
        <f>VLOOKUP($A238,Rotations!$A$1:$X$1441,19,0)</f>
        <v>0.30663439466239145</v>
      </c>
      <c r="U238" s="7">
        <f>VLOOKUP($A238,Rotations!$A$1:$X$1441,20,0)</f>
        <v>8.0204354001043934E-2</v>
      </c>
      <c r="V238" s="7">
        <f>VLOOKUP($A238,Rotations!$A$1:$X$1441,21,0)</f>
        <v>0.25889627571060048</v>
      </c>
      <c r="W238" s="7">
        <f>VLOOKUP($A238,Rotations!$A$1:$X$1441,22,0)</f>
        <v>3.578200754177311E-2</v>
      </c>
      <c r="X238" s="7">
        <f>VLOOKUP($A238,Rotations!$A$1:$X$1441,23,0)</f>
        <v>0.22961033281545212</v>
      </c>
    </row>
    <row r="239" spans="1:24" ht="15.75" customHeight="1" x14ac:dyDescent="0.3">
      <c r="A239">
        <v>230</v>
      </c>
      <c r="B239" t="str">
        <f>Permutations!I231</f>
        <v>p12 - i2:i6</v>
      </c>
      <c r="C239" t="str">
        <f>Permutations!J231</f>
        <v>p141 - i6:i4</v>
      </c>
      <c r="D239" t="str">
        <f>Permutations!K231</f>
        <v>p91 - i4:i1</v>
      </c>
      <c r="E239" t="str">
        <f>Permutations!L231</f>
        <v>p10 - i1:i5</v>
      </c>
      <c r="F239" t="str">
        <f>Permutations!M231</f>
        <v>p61 - i5:i3</v>
      </c>
      <c r="G239" s="7">
        <f>VLOOKUP(B239,Vlookup!$A$1:$B$30,2,0)</f>
        <v>1.3354555559520354</v>
      </c>
      <c r="H239" s="7">
        <f>VLOOKUP(C239,Vlookup!$A$1:$B$30,2,0)</f>
        <v>0.88688155974910687</v>
      </c>
      <c r="I239" s="7">
        <f>VLOOKUP(D239,Vlookup!$A$1:$B$30,2,0)</f>
        <v>2.9131157743633094</v>
      </c>
      <c r="J239" s="7">
        <f>VLOOKUP(E239,Vlookup!$A$1:$B$30,2,0)</f>
        <v>1.0847108741813811</v>
      </c>
      <c r="K239" s="7">
        <f>VLOOKUP(F239,Vlookup!$A$1:$B$30,2,0)</f>
        <v>1.9746367445127702</v>
      </c>
      <c r="L239" s="7">
        <f t="shared" si="1"/>
        <v>7.3901629984131558</v>
      </c>
      <c r="M239" s="7">
        <f t="shared" si="2"/>
        <v>5.5338142594680129</v>
      </c>
      <c r="N239" s="7">
        <f t="shared" si="3"/>
        <v>6.2396316606622122</v>
      </c>
      <c r="O239" s="7">
        <f t="shared" si="4"/>
        <v>2.1419099493311236</v>
      </c>
      <c r="P239" s="7">
        <f t="shared" si="5"/>
        <v>1.9746367445127702</v>
      </c>
      <c r="Q239">
        <v>1</v>
      </c>
      <c r="R239" s="7">
        <f t="shared" si="6"/>
        <v>24.280155612387276</v>
      </c>
      <c r="S239" s="7">
        <f>VLOOKUP($A239,Rotations!$A$1:$X$1441,18,0)</f>
        <v>8.8216483597755926E-2</v>
      </c>
      <c r="T239" s="7">
        <f>VLOOKUP($A239,Rotations!$A$1:$X$1441,19,0)</f>
        <v>0.30437049565871954</v>
      </c>
      <c r="U239" s="7">
        <f>VLOOKUP($A239,Rotations!$A$1:$X$1441,20,0)</f>
        <v>4.1185897486168452E-2</v>
      </c>
      <c r="V239" s="7">
        <f>VLOOKUP($A239,Rotations!$A$1:$X$1441,21,0)</f>
        <v>0.25698482992748489</v>
      </c>
      <c r="W239" s="7">
        <f>VLOOKUP($A239,Rotations!$A$1:$X$1441,22,0)</f>
        <v>8.1327186531924361E-2</v>
      </c>
      <c r="X239" s="7">
        <f>VLOOKUP($A239,Rotations!$A$1:$X$1441,23,0)</f>
        <v>0.22791510679794677</v>
      </c>
    </row>
    <row r="240" spans="1:24" ht="15.75" customHeight="1" x14ac:dyDescent="0.3">
      <c r="A240">
        <v>231</v>
      </c>
      <c r="B240" t="str">
        <f>Permutations!I232</f>
        <v>p12 - i2:i6</v>
      </c>
      <c r="C240" t="str">
        <f>Permutations!J232</f>
        <v>p141 - i6:i4</v>
      </c>
      <c r="D240" t="str">
        <f>Permutations!K232</f>
        <v>p31 - i4:i3</v>
      </c>
      <c r="E240" t="str">
        <f>Permutations!L232</f>
        <v>p81 - i3:i1</v>
      </c>
      <c r="F240" t="str">
        <f>Permutations!M232</f>
        <v>p10 - i1:i5</v>
      </c>
      <c r="G240" s="7">
        <f>VLOOKUP(B240,Vlookup!$A$1:$B$30,2,0)</f>
        <v>1.3354555559520354</v>
      </c>
      <c r="H240" s="7">
        <f>VLOOKUP(C240,Vlookup!$A$1:$B$30,2,0)</f>
        <v>0.88688155974910687</v>
      </c>
      <c r="I240" s="7">
        <f>VLOOKUP(D240,Vlookup!$A$1:$B$30,2,0)</f>
        <v>2.2388599512381115</v>
      </c>
      <c r="J240" s="7">
        <f>VLOOKUP(E240,Vlookup!$A$1:$B$30,2,0)</f>
        <v>1.7021844231989158</v>
      </c>
      <c r="K240" s="7">
        <f>VLOOKUP(F240,Vlookup!$A$1:$B$30,2,0)</f>
        <v>1.0847108741813811</v>
      </c>
      <c r="L240" s="7">
        <f t="shared" si="1"/>
        <v>4.8960134018590908</v>
      </c>
      <c r="M240" s="7">
        <f t="shared" si="2"/>
        <v>3.6661747222046364</v>
      </c>
      <c r="N240" s="7">
        <f t="shared" si="3"/>
        <v>4.1337816554013971</v>
      </c>
      <c r="O240" s="7">
        <f t="shared" si="4"/>
        <v>1.8463779537060261</v>
      </c>
      <c r="P240" s="7">
        <f t="shared" si="5"/>
        <v>1.0847108741813811</v>
      </c>
      <c r="Q240">
        <v>1</v>
      </c>
      <c r="R240" s="7">
        <f t="shared" si="6"/>
        <v>16.627058607352531</v>
      </c>
      <c r="S240" s="7">
        <f>VLOOKUP($A240,Rotations!$A$1:$X$1441,18,0)</f>
        <v>6.5237688745604053E-2</v>
      </c>
      <c r="T240" s="7">
        <f>VLOOKUP($A240,Rotations!$A$1:$X$1441,19,0)</f>
        <v>0.29446058485017068</v>
      </c>
      <c r="U240" s="7">
        <f>VLOOKUP($A240,Rotations!$A$1:$X$1441,20,0)</f>
        <v>0.11104657758826643</v>
      </c>
      <c r="V240" s="7">
        <f>VLOOKUP($A240,Rotations!$A$1:$X$1441,21,0)</f>
        <v>0.24861773528442532</v>
      </c>
      <c r="W240" s="7">
        <f>VLOOKUP($A240,Rotations!$A$1:$X$1441,22,0)</f>
        <v>6.014292868119183E-2</v>
      </c>
      <c r="X240" s="7">
        <f>VLOOKUP($A240,Rotations!$A$1:$X$1441,23,0)</f>
        <v>0.2204944848503417</v>
      </c>
    </row>
    <row r="241" spans="1:24" ht="15.75" customHeight="1" x14ac:dyDescent="0.3">
      <c r="A241">
        <v>232</v>
      </c>
      <c r="B241" t="str">
        <f>Permutations!I233</f>
        <v>p12 - i2:i6</v>
      </c>
      <c r="C241" t="str">
        <f>Permutations!J233</f>
        <v>p141 - i6:i4</v>
      </c>
      <c r="D241" t="str">
        <f>Permutations!K233</f>
        <v>p31 - i4:i3</v>
      </c>
      <c r="E241" t="str">
        <f>Permutations!L233</f>
        <v>p6 - i3:i5</v>
      </c>
      <c r="F241" t="str">
        <f>Permutations!M233</f>
        <v>p101 - i5:i1</v>
      </c>
      <c r="G241" s="7">
        <f>VLOOKUP(B241,Vlookup!$A$1:$B$30,2,0)</f>
        <v>1.3354555559520354</v>
      </c>
      <c r="H241" s="7">
        <f>VLOOKUP(C241,Vlookup!$A$1:$B$30,2,0)</f>
        <v>0.88688155974910687</v>
      </c>
      <c r="I241" s="7">
        <f>VLOOKUP(D241,Vlookup!$A$1:$B$30,2,0)</f>
        <v>2.2388599512381115</v>
      </c>
      <c r="J241" s="7">
        <f>VLOOKUP(E241,Vlookup!$A$1:$B$30,2,0)</f>
        <v>2.2414716085286912</v>
      </c>
      <c r="K241" s="7">
        <f>VLOOKUP(F241,Vlookup!$A$1:$B$30,2,0)</f>
        <v>1.530542412441888</v>
      </c>
      <c r="L241" s="7">
        <f t="shared" si="1"/>
        <v>9.0970504459977413</v>
      </c>
      <c r="M241" s="7">
        <f t="shared" si="2"/>
        <v>6.8119454859076374</v>
      </c>
      <c r="N241" s="7">
        <f t="shared" si="3"/>
        <v>7.6807837653482096</v>
      </c>
      <c r="O241" s="7">
        <f t="shared" si="4"/>
        <v>3.4306673631375024</v>
      </c>
      <c r="P241" s="7">
        <f t="shared" si="5"/>
        <v>1.530542412441888</v>
      </c>
      <c r="Q241">
        <v>1</v>
      </c>
      <c r="R241" s="7">
        <f t="shared" si="6"/>
        <v>29.550989472832981</v>
      </c>
      <c r="S241" s="7">
        <f>VLOOKUP($A241,Rotations!$A$1:$X$1441,18,0)</f>
        <v>3.3839814430556607E-2</v>
      </c>
      <c r="T241" s="7">
        <f>VLOOKUP($A241,Rotations!$A$1:$X$1441,19,0)</f>
        <v>0.30784249895797583</v>
      </c>
      <c r="U241" s="7">
        <f>VLOOKUP($A241,Rotations!$A$1:$X$1441,20,0)</f>
        <v>0.11609314694154005</v>
      </c>
      <c r="V241" s="7">
        <f>VLOOKUP($A241,Rotations!$A$1:$X$1441,21,0)</f>
        <v>0.25991629730061527</v>
      </c>
      <c r="W241" s="7">
        <f>VLOOKUP($A241,Rotations!$A$1:$X$1441,22,0)</f>
        <v>5.179327121512993E-2</v>
      </c>
      <c r="X241" s="7">
        <f>VLOOKUP($A241,Rotations!$A$1:$X$1441,23,0)</f>
        <v>0.23051497115418224</v>
      </c>
    </row>
    <row r="242" spans="1:24" ht="15.75" customHeight="1" x14ac:dyDescent="0.3">
      <c r="A242">
        <v>233</v>
      </c>
      <c r="B242" t="str">
        <f>Permutations!I234</f>
        <v>p12 - i2:i6</v>
      </c>
      <c r="C242" t="str">
        <f>Permutations!J234</f>
        <v>p141 - i6:i4</v>
      </c>
      <c r="D242" t="str">
        <f>Permutations!K234</f>
        <v>p4 - i4:i5</v>
      </c>
      <c r="E242" t="str">
        <f>Permutations!L234</f>
        <v>p101 - i5:i1</v>
      </c>
      <c r="F242" t="str">
        <f>Permutations!M234</f>
        <v>p8 - i1:i3</v>
      </c>
      <c r="G242" s="7">
        <f>VLOOKUP(B242,Vlookup!$A$1:$B$30,2,0)</f>
        <v>1.3354555559520354</v>
      </c>
      <c r="H242" s="7">
        <f>VLOOKUP(C242,Vlookup!$A$1:$B$30,2,0)</f>
        <v>0.88688155974910687</v>
      </c>
      <c r="I242" s="7">
        <f>VLOOKUP(D242,Vlookup!$A$1:$B$30,2,0)</f>
        <v>1.89462595295753</v>
      </c>
      <c r="J242" s="7">
        <f>VLOOKUP(E242,Vlookup!$A$1:$B$30,2,0)</f>
        <v>1.530542412441888</v>
      </c>
      <c r="K242" s="7">
        <f>VLOOKUP(F242,Vlookup!$A$1:$B$30,2,0)</f>
        <v>1.1080774401297739</v>
      </c>
      <c r="L242" s="7">
        <f t="shared" si="1"/>
        <v>3.8056954238002203</v>
      </c>
      <c r="M242" s="7">
        <f t="shared" si="2"/>
        <v>2.8497357376203887</v>
      </c>
      <c r="N242" s="7">
        <f t="shared" si="3"/>
        <v>3.2132089187045008</v>
      </c>
      <c r="O242" s="7">
        <f t="shared" si="4"/>
        <v>1.695959518388656</v>
      </c>
      <c r="P242" s="7">
        <f t="shared" si="5"/>
        <v>1.1080774401297739</v>
      </c>
      <c r="Q242">
        <v>1</v>
      </c>
      <c r="R242" s="7">
        <f t="shared" si="6"/>
        <v>13.67267703864354</v>
      </c>
      <c r="S242" s="7">
        <f>VLOOKUP($A242,Rotations!$A$1:$X$1441,18,0)</f>
        <v>8.1043195637399895E-2</v>
      </c>
      <c r="T242" s="7">
        <f>VLOOKUP($A242,Rotations!$A$1:$X$1441,19,0)</f>
        <v>0.27834310815973035</v>
      </c>
      <c r="U242" s="7">
        <f>VLOOKUP($A242,Rotations!$A$1:$X$1441,20,0)</f>
        <v>7.3138566586021664E-2</v>
      </c>
      <c r="V242" s="7">
        <f>VLOOKUP($A242,Rotations!$A$1:$X$1441,21,0)</f>
        <v>0.23500949445546779</v>
      </c>
      <c r="W242" s="7">
        <f>VLOOKUP($A242,Rotations!$A$1:$X$1441,22,0)</f>
        <v>0.12404004816286594</v>
      </c>
      <c r="X242" s="7">
        <f>VLOOKUP($A242,Rotations!$A$1:$X$1441,23,0)</f>
        <v>0.20842558699851435</v>
      </c>
    </row>
    <row r="243" spans="1:24" ht="15.75" customHeight="1" x14ac:dyDescent="0.3">
      <c r="A243">
        <v>234</v>
      </c>
      <c r="B243" t="str">
        <f>Permutations!I235</f>
        <v>p12 - i2:i6</v>
      </c>
      <c r="C243" t="str">
        <f>Permutations!J235</f>
        <v>p141 - i6:i4</v>
      </c>
      <c r="D243" t="str">
        <f>Permutations!K235</f>
        <v>p4 - i4:i5</v>
      </c>
      <c r="E243" t="str">
        <f>Permutations!L235</f>
        <v>p61 - i5:i3</v>
      </c>
      <c r="F243" t="str">
        <f>Permutations!M235</f>
        <v>p81 - i3:i1</v>
      </c>
      <c r="G243" s="7">
        <f>VLOOKUP(B243,Vlookup!$A$1:$B$30,2,0)</f>
        <v>1.3354555559520354</v>
      </c>
      <c r="H243" s="7">
        <f>VLOOKUP(C243,Vlookup!$A$1:$B$30,2,0)</f>
        <v>0.88688155974910687</v>
      </c>
      <c r="I243" s="7">
        <f>VLOOKUP(D243,Vlookup!$A$1:$B$30,2,0)</f>
        <v>1.89462595295753</v>
      </c>
      <c r="J243" s="7">
        <f>VLOOKUP(E243,Vlookup!$A$1:$B$30,2,0)</f>
        <v>1.9746367445127702</v>
      </c>
      <c r="K243" s="7">
        <f>VLOOKUP(F243,Vlookup!$A$1:$B$30,2,0)</f>
        <v>1.7021844231989158</v>
      </c>
      <c r="L243" s="7">
        <f t="shared" si="1"/>
        <v>7.542448830188631</v>
      </c>
      <c r="M243" s="7">
        <f t="shared" si="2"/>
        <v>5.6478471309452765</v>
      </c>
      <c r="N243" s="7">
        <f t="shared" si="3"/>
        <v>6.3682090002446508</v>
      </c>
      <c r="O243" s="7">
        <f t="shared" si="4"/>
        <v>3.3611959079858544</v>
      </c>
      <c r="P243" s="7">
        <f t="shared" si="5"/>
        <v>1.7021844231989158</v>
      </c>
      <c r="Q243">
        <v>1</v>
      </c>
      <c r="R243" s="7">
        <f t="shared" si="6"/>
        <v>25.621885292563331</v>
      </c>
      <c r="S243" s="7">
        <f>VLOOKUP($A243,Rotations!$A$1:$X$1441,18,0)</f>
        <v>3.9029134217935427E-2</v>
      </c>
      <c r="T243" s="7">
        <f>VLOOKUP($A243,Rotations!$A$1:$X$1441,19,0)</f>
        <v>0.29437524772534213</v>
      </c>
      <c r="U243" s="7">
        <f>VLOOKUP($A243,Rotations!$A$1:$X$1441,20,0)</f>
        <v>6.6434784316709489E-2</v>
      </c>
      <c r="V243" s="7">
        <f>VLOOKUP($A243,Rotations!$A$1:$X$1441,21,0)</f>
        <v>0.24854568379841288</v>
      </c>
      <c r="W243" s="7">
        <f>VLOOKUP($A243,Rotations!$A$1:$X$1441,22,0)</f>
        <v>0.13118456622555524</v>
      </c>
      <c r="X243" s="7">
        <f>VLOOKUP($A243,Rotations!$A$1:$X$1441,23,0)</f>
        <v>0.22043058371604474</v>
      </c>
    </row>
    <row r="244" spans="1:24" ht="15.75" customHeight="1" x14ac:dyDescent="0.3">
      <c r="A244">
        <v>235</v>
      </c>
      <c r="B244" t="str">
        <f>Permutations!I236</f>
        <v>p12 - i2:i6</v>
      </c>
      <c r="C244" t="str">
        <f>Permutations!J236</f>
        <v>p151 - i6:i5</v>
      </c>
      <c r="D244" t="str">
        <f>Permutations!K236</f>
        <v>p101 - i5:i1</v>
      </c>
      <c r="E244" t="str">
        <f>Permutations!L236</f>
        <v>p8 - i1:i3</v>
      </c>
      <c r="F244" t="str">
        <f>Permutations!M236</f>
        <v>p3 - i3:i4</v>
      </c>
      <c r="G244" s="7">
        <f>VLOOKUP(B244,Vlookup!$A$1:$B$30,2,0)</f>
        <v>1.3354555559520354</v>
      </c>
      <c r="H244" s="7">
        <f>VLOOKUP(C244,Vlookup!$A$1:$B$30,2,0)</f>
        <v>1.2266517321719024</v>
      </c>
      <c r="I244" s="7">
        <f>VLOOKUP(D244,Vlookup!$A$1:$B$30,2,0)</f>
        <v>1.530542412441888</v>
      </c>
      <c r="J244" s="7">
        <f>VLOOKUP(E244,Vlookup!$A$1:$B$30,2,0)</f>
        <v>1.1080774401297739</v>
      </c>
      <c r="K244" s="7">
        <f>VLOOKUP(F244,Vlookup!$A$1:$B$30,2,0)</f>
        <v>1.4338636587362954</v>
      </c>
      <c r="L244" s="7">
        <f t="shared" si="1"/>
        <v>3.9835846943913</v>
      </c>
      <c r="M244" s="7">
        <f t="shared" si="2"/>
        <v>2.9829406726691365</v>
      </c>
      <c r="N244" s="7">
        <f t="shared" si="3"/>
        <v>2.4317747201054036</v>
      </c>
      <c r="O244" s="7">
        <f t="shared" si="4"/>
        <v>1.5888319724676261</v>
      </c>
      <c r="P244" s="7">
        <f t="shared" si="5"/>
        <v>1.4338636587362954</v>
      </c>
      <c r="Q244">
        <v>1</v>
      </c>
      <c r="R244" s="7">
        <f t="shared" si="6"/>
        <v>13.42099571836976</v>
      </c>
      <c r="S244" s="7">
        <f>VLOOKUP($A244,Rotations!$A$1:$X$1441,18,0)</f>
        <v>0.11838406075138966</v>
      </c>
      <c r="T244" s="7">
        <f>VLOOKUP($A244,Rotations!$A$1:$X$1441,19,0)</f>
        <v>0.2968173731654527</v>
      </c>
      <c r="U244" s="7">
        <f>VLOOKUP($A244,Rotations!$A$1:$X$1441,20,0)</f>
        <v>0.1068373531163354</v>
      </c>
      <c r="V244" s="7">
        <f>VLOOKUP($A244,Rotations!$A$1:$X$1441,21,0)</f>
        <v>7.45101198885912E-2</v>
      </c>
      <c r="W244" s="7">
        <f>VLOOKUP($A244,Rotations!$A$1:$X$1441,22,0)</f>
        <v>0.18119182593709893</v>
      </c>
      <c r="X244" s="7">
        <f>VLOOKUP($A244,Rotations!$A$1:$X$1441,23,0)</f>
        <v>0.22225926714113226</v>
      </c>
    </row>
    <row r="245" spans="1:24" ht="15.75" customHeight="1" x14ac:dyDescent="0.3">
      <c r="A245">
        <v>236</v>
      </c>
      <c r="B245" t="str">
        <f>Permutations!I237</f>
        <v>p12 - i2:i6</v>
      </c>
      <c r="C245" t="str">
        <f>Permutations!J237</f>
        <v>p151 - i6:i5</v>
      </c>
      <c r="D245" t="str">
        <f>Permutations!K237</f>
        <v>p101 - i5:i1</v>
      </c>
      <c r="E245" t="str">
        <f>Permutations!L237</f>
        <v>p9 - i1:i4</v>
      </c>
      <c r="F245" t="str">
        <f>Permutations!M237</f>
        <v>p31 - i4:i3</v>
      </c>
      <c r="G245" s="7">
        <f>VLOOKUP(B245,Vlookup!$A$1:$B$30,2,0)</f>
        <v>1.3354555559520354</v>
      </c>
      <c r="H245" s="7">
        <f>VLOOKUP(C245,Vlookup!$A$1:$B$30,2,0)</f>
        <v>1.2266517321719024</v>
      </c>
      <c r="I245" s="7">
        <f>VLOOKUP(D245,Vlookup!$A$1:$B$30,2,0)</f>
        <v>1.530542412441888</v>
      </c>
      <c r="J245" s="7">
        <f>VLOOKUP(E245,Vlookup!$A$1:$B$30,2,0)</f>
        <v>1.2538815092968505</v>
      </c>
      <c r="K245" s="7">
        <f>VLOOKUP(F245,Vlookup!$A$1:$B$30,2,0)</f>
        <v>2.2388599512381115</v>
      </c>
      <c r="L245" s="7">
        <f t="shared" si="1"/>
        <v>7.0384901980713153</v>
      </c>
      <c r="M245" s="7">
        <f t="shared" si="2"/>
        <v>5.2704788015604409</v>
      </c>
      <c r="N245" s="7">
        <f t="shared" si="3"/>
        <v>4.2966382905020328</v>
      </c>
      <c r="O245" s="7">
        <f t="shared" si="4"/>
        <v>2.8072650947627165</v>
      </c>
      <c r="P245" s="7">
        <f t="shared" si="5"/>
        <v>2.2388599512381115</v>
      </c>
      <c r="Q245">
        <v>1</v>
      </c>
      <c r="R245" s="7">
        <f t="shared" si="6"/>
        <v>22.651732336134618</v>
      </c>
      <c r="S245" s="7">
        <f>VLOOKUP($A245,Rotations!$A$1:$X$1441,18,0)</f>
        <v>0.12393158514788274</v>
      </c>
      <c r="T245" s="7">
        <f>VLOOKUP($A245,Rotations!$A$1:$X$1441,19,0)</f>
        <v>0.31072635388876363</v>
      </c>
      <c r="U245" s="7">
        <f>VLOOKUP($A245,Rotations!$A$1:$X$1441,20,0)</f>
        <v>4.4146733908062945E-2</v>
      </c>
      <c r="V245" s="7">
        <f>VLOOKUP($A245,Rotations!$A$1:$X$1441,21,0)</f>
        <v>9.8838354524727695E-2</v>
      </c>
      <c r="W245" s="7">
        <f>VLOOKUP($A245,Rotations!$A$1:$X$1441,22,0)</f>
        <v>0.18968254730998771</v>
      </c>
      <c r="X245" s="7">
        <f>VLOOKUP($A245,Rotations!$A$1:$X$1441,23,0)</f>
        <v>0.23267442522057527</v>
      </c>
    </row>
    <row r="246" spans="1:24" ht="15.75" customHeight="1" x14ac:dyDescent="0.3">
      <c r="A246">
        <v>237</v>
      </c>
      <c r="B246" t="str">
        <f>Permutations!I238</f>
        <v>p12 - i2:i6</v>
      </c>
      <c r="C246" t="str">
        <f>Permutations!J238</f>
        <v>p151 - i6:i5</v>
      </c>
      <c r="D246" t="str">
        <f>Permutations!K238</f>
        <v>p61 - i5:i3</v>
      </c>
      <c r="E246" t="str">
        <f>Permutations!L238</f>
        <v>p81 - i3:i1</v>
      </c>
      <c r="F246" t="str">
        <f>Permutations!M238</f>
        <v>p9 - i1:i4</v>
      </c>
      <c r="G246" s="7">
        <f>VLOOKUP(B246,Vlookup!$A$1:$B$30,2,0)</f>
        <v>1.3354555559520354</v>
      </c>
      <c r="H246" s="7">
        <f>VLOOKUP(C246,Vlookup!$A$1:$B$30,2,0)</f>
        <v>1.2266517321719024</v>
      </c>
      <c r="I246" s="7">
        <f>VLOOKUP(D246,Vlookup!$A$1:$B$30,2,0)</f>
        <v>1.9746367445127702</v>
      </c>
      <c r="J246" s="7">
        <f>VLOOKUP(E246,Vlookup!$A$1:$B$30,2,0)</f>
        <v>1.7021844231989158</v>
      </c>
      <c r="K246" s="7">
        <f>VLOOKUP(F246,Vlookup!$A$1:$B$30,2,0)</f>
        <v>1.2538815092968505</v>
      </c>
      <c r="L246" s="7">
        <f t="shared" si="1"/>
        <v>6.9040040875217201</v>
      </c>
      <c r="M246" s="7">
        <f t="shared" si="2"/>
        <v>5.1697745063480687</v>
      </c>
      <c r="N246" s="7">
        <f t="shared" si="3"/>
        <v>4.2145413981477011</v>
      </c>
      <c r="O246" s="7">
        <f t="shared" si="4"/>
        <v>2.1343375736622456</v>
      </c>
      <c r="P246" s="7">
        <f t="shared" si="5"/>
        <v>1.2538815092968505</v>
      </c>
      <c r="Q246">
        <v>1</v>
      </c>
      <c r="R246" s="7">
        <f t="shared" si="6"/>
        <v>20.676539074976588</v>
      </c>
      <c r="S246" s="7">
        <f>VLOOKUP($A246,Rotations!$A$1:$X$1441,18,0)</f>
        <v>6.0642717079007584E-2</v>
      </c>
      <c r="T246" s="7">
        <f>VLOOKUP($A246,Rotations!$A$1:$X$1441,19,0)</f>
        <v>0.33390520833717124</v>
      </c>
      <c r="U246" s="7">
        <f>VLOOKUP($A246,Rotations!$A$1:$X$1441,20,0)</f>
        <v>0.10322508839234558</v>
      </c>
      <c r="V246" s="7">
        <f>VLOOKUP($A246,Rotations!$A$1:$X$1441,21,0)</f>
        <v>4.8363993431097575E-2</v>
      </c>
      <c r="W246" s="7">
        <f>VLOOKUP($A246,Rotations!$A$1:$X$1441,22,0)</f>
        <v>0.20383205249510419</v>
      </c>
      <c r="X246" s="7">
        <f>VLOOKUP($A246,Rotations!$A$1:$X$1441,23,0)</f>
        <v>0.25003094026527367</v>
      </c>
    </row>
    <row r="247" spans="1:24" ht="15.75" customHeight="1" x14ac:dyDescent="0.3">
      <c r="A247">
        <v>238</v>
      </c>
      <c r="B247" t="str">
        <f>Permutations!I239</f>
        <v>p12 - i2:i6</v>
      </c>
      <c r="C247" t="str">
        <f>Permutations!J239</f>
        <v>p151 - i6:i5</v>
      </c>
      <c r="D247" t="str">
        <f>Permutations!K239</f>
        <v>p61 - i5:i3</v>
      </c>
      <c r="E247" t="str">
        <f>Permutations!L239</f>
        <v>p3 - i3:i4</v>
      </c>
      <c r="F247" t="str">
        <f>Permutations!M239</f>
        <v>p91 - i4:i1</v>
      </c>
      <c r="G247" s="7">
        <f>VLOOKUP(B247,Vlookup!$A$1:$B$30,2,0)</f>
        <v>1.3354555559520354</v>
      </c>
      <c r="H247" s="7">
        <f>VLOOKUP(C247,Vlookup!$A$1:$B$30,2,0)</f>
        <v>1.2266517321719024</v>
      </c>
      <c r="I247" s="7">
        <f>VLOOKUP(D247,Vlookup!$A$1:$B$30,2,0)</f>
        <v>1.9746367445127702</v>
      </c>
      <c r="J247" s="7">
        <f>VLOOKUP(E247,Vlookup!$A$1:$B$30,2,0)</f>
        <v>1.4338636587362954</v>
      </c>
      <c r="K247" s="7">
        <f>VLOOKUP(F247,Vlookup!$A$1:$B$30,2,0)</f>
        <v>2.9131157743633094</v>
      </c>
      <c r="L247" s="7">
        <f t="shared" si="1"/>
        <v>13.511498971136117</v>
      </c>
      <c r="M247" s="7">
        <f t="shared" si="2"/>
        <v>10.117520505206089</v>
      </c>
      <c r="N247" s="7">
        <f t="shared" si="3"/>
        <v>8.2480790919294318</v>
      </c>
      <c r="O247" s="7">
        <f t="shared" si="4"/>
        <v>4.1770108425509909</v>
      </c>
      <c r="P247" s="7">
        <f t="shared" si="5"/>
        <v>2.9131157743633094</v>
      </c>
      <c r="Q247">
        <v>1</v>
      </c>
      <c r="R247" s="7">
        <f t="shared" si="6"/>
        <v>39.967225185185946</v>
      </c>
      <c r="S247" s="7">
        <f>VLOOKUP($A247,Rotations!$A$1:$X$1441,18,0)</f>
        <v>2.502050105721763E-2</v>
      </c>
      <c r="T247" s="7">
        <f>VLOOKUP($A247,Rotations!$A$1:$X$1441,19,0)</f>
        <v>0.33806447429190611</v>
      </c>
      <c r="U247" s="7">
        <f>VLOOKUP($A247,Rotations!$A$1:$X$1441,20,0)</f>
        <v>0.10451090420205657</v>
      </c>
      <c r="V247" s="7">
        <f>VLOOKUP($A247,Rotations!$A$1:$X$1441,21,0)</f>
        <v>7.288761631225453E-2</v>
      </c>
      <c r="W247" s="7">
        <f>VLOOKUP($A247,Rotations!$A$1:$X$1441,22,0)</f>
        <v>0.20637107163963497</v>
      </c>
      <c r="X247" s="7">
        <f>VLOOKUP($A247,Rotations!$A$1:$X$1441,23,0)</f>
        <v>0.25314543249693</v>
      </c>
    </row>
    <row r="248" spans="1:24" ht="15.75" customHeight="1" x14ac:dyDescent="0.3">
      <c r="A248">
        <v>239</v>
      </c>
      <c r="B248" t="str">
        <f>Permutations!I240</f>
        <v>p12 - i2:i6</v>
      </c>
      <c r="C248" t="str">
        <f>Permutations!J240</f>
        <v>p151 - i6:i5</v>
      </c>
      <c r="D248" t="str">
        <f>Permutations!K240</f>
        <v>p41 - i5:i4</v>
      </c>
      <c r="E248" t="str">
        <f>Permutations!L240</f>
        <v>p91 - i4:i1</v>
      </c>
      <c r="F248" t="str">
        <f>Permutations!M240</f>
        <v>p8 - i1:i3</v>
      </c>
      <c r="G248" s="7">
        <f>VLOOKUP(B248,Vlookup!$A$1:$B$30,2,0)</f>
        <v>1.3354555559520354</v>
      </c>
      <c r="H248" s="7">
        <f>VLOOKUP(C248,Vlookup!$A$1:$B$30,2,0)</f>
        <v>1.2266517321719024</v>
      </c>
      <c r="I248" s="7">
        <f>VLOOKUP(D248,Vlookup!$A$1:$B$30,2,0)</f>
        <v>1.25400669441983</v>
      </c>
      <c r="J248" s="7">
        <f>VLOOKUP(E248,Vlookup!$A$1:$B$30,2,0)</f>
        <v>2.9131157743633094</v>
      </c>
      <c r="K248" s="7">
        <f>VLOOKUP(F248,Vlookup!$A$1:$B$30,2,0)</f>
        <v>1.1080774401297739</v>
      </c>
      <c r="L248" s="7">
        <f t="shared" si="1"/>
        <v>6.6309908479882438</v>
      </c>
      <c r="M248" s="7">
        <f t="shared" si="2"/>
        <v>4.9653399683983217</v>
      </c>
      <c r="N248" s="7">
        <f t="shared" si="3"/>
        <v>4.0478807783581088</v>
      </c>
      <c r="O248" s="7">
        <f t="shared" si="4"/>
        <v>3.2279578700581602</v>
      </c>
      <c r="P248" s="7">
        <f t="shared" si="5"/>
        <v>1.1080774401297739</v>
      </c>
      <c r="Q248">
        <v>1</v>
      </c>
      <c r="R248" s="7">
        <f t="shared" si="6"/>
        <v>20.980246904932606</v>
      </c>
      <c r="S248" s="7">
        <f>VLOOKUP($A248,Rotations!$A$1:$X$1441,18,0)</f>
        <v>5.2815271676772163E-2</v>
      </c>
      <c r="T248" s="7">
        <f>VLOOKUP($A248,Rotations!$A$1:$X$1441,19,0)</f>
        <v>0.31605876127364596</v>
      </c>
      <c r="U248" s="7">
        <f>VLOOKUP($A248,Rotations!$A$1:$X$1441,20,0)</f>
        <v>4.7663881389541363E-2</v>
      </c>
      <c r="V248" s="7">
        <f>VLOOKUP($A248,Rotations!$A$1:$X$1441,21,0)</f>
        <v>0.15385700104888872</v>
      </c>
      <c r="W248" s="7">
        <f>VLOOKUP($A248,Rotations!$A$1:$X$1441,22,0)</f>
        <v>0.19293770929866527</v>
      </c>
      <c r="X248" s="7">
        <f>VLOOKUP($A248,Rotations!$A$1:$X$1441,23,0)</f>
        <v>0.23666737531248666</v>
      </c>
    </row>
    <row r="249" spans="1:24" ht="15.75" customHeight="1" x14ac:dyDescent="0.3">
      <c r="A249">
        <v>240</v>
      </c>
      <c r="B249" t="str">
        <f>Permutations!I241</f>
        <v>p12 - i2:i6</v>
      </c>
      <c r="C249" t="str">
        <f>Permutations!J241</f>
        <v>p151 - i6:i5</v>
      </c>
      <c r="D249" t="str">
        <f>Permutations!K241</f>
        <v>p41 - i5:i4</v>
      </c>
      <c r="E249" t="str">
        <f>Permutations!L241</f>
        <v>p31 - i4:i3</v>
      </c>
      <c r="F249" t="str">
        <f>Permutations!M241</f>
        <v>p81 - i3:i1</v>
      </c>
      <c r="G249" s="7">
        <f>VLOOKUP(B249,Vlookup!$A$1:$B$30,2,0)</f>
        <v>1.3354555559520354</v>
      </c>
      <c r="H249" s="7">
        <f>VLOOKUP(C249,Vlookup!$A$1:$B$30,2,0)</f>
        <v>1.2266517321719024</v>
      </c>
      <c r="I249" s="7">
        <f>VLOOKUP(D249,Vlookup!$A$1:$B$30,2,0)</f>
        <v>1.25400669441983</v>
      </c>
      <c r="J249" s="7">
        <f>VLOOKUP(E249,Vlookup!$A$1:$B$30,2,0)</f>
        <v>2.2388599512381115</v>
      </c>
      <c r="K249" s="7">
        <f>VLOOKUP(F249,Vlookup!$A$1:$B$30,2,0)</f>
        <v>1.7021844231989158</v>
      </c>
      <c r="L249" s="7">
        <f t="shared" si="1"/>
        <v>7.8286001233962441</v>
      </c>
      <c r="M249" s="7">
        <f t="shared" si="2"/>
        <v>5.8621195505194459</v>
      </c>
      <c r="N249" s="7">
        <f t="shared" si="3"/>
        <v>4.778959990656853</v>
      </c>
      <c r="O249" s="7">
        <f t="shared" si="4"/>
        <v>3.8109525347213977</v>
      </c>
      <c r="P249" s="7">
        <f t="shared" si="5"/>
        <v>1.7021844231989158</v>
      </c>
      <c r="Q249">
        <v>1</v>
      </c>
      <c r="R249" s="7">
        <f t="shared" si="6"/>
        <v>24.982816622492859</v>
      </c>
      <c r="S249" s="7">
        <f>VLOOKUP($A249,Rotations!$A$1:$X$1441,18,0)</f>
        <v>4.0027512314190661E-2</v>
      </c>
      <c r="T249" s="7">
        <f>VLOOKUP($A249,Rotations!$A$1:$X$1441,19,0)</f>
        <v>0.3133593878421177</v>
      </c>
      <c r="U249" s="7">
        <f>VLOOKUP($A249,Rotations!$A$1:$X$1441,20,0)</f>
        <v>6.8134207960618129E-2</v>
      </c>
      <c r="V249" s="7">
        <f>VLOOKUP($A249,Rotations!$A$1:$X$1441,21,0)</f>
        <v>0.15254294951235686</v>
      </c>
      <c r="W249" s="7">
        <f>VLOOKUP($A249,Rotations!$A$1:$X$1441,22,0)</f>
        <v>0.19128987987504165</v>
      </c>
      <c r="X249" s="7">
        <f>VLOOKUP($A249,Rotations!$A$1:$X$1441,23,0)</f>
        <v>0.23464606249567493</v>
      </c>
    </row>
    <row r="250" spans="1:24" ht="15.75" customHeight="1" x14ac:dyDescent="0.3">
      <c r="A250">
        <v>241</v>
      </c>
      <c r="B250" t="str">
        <f>Permutations!I242</f>
        <v>p81 - i3:i1</v>
      </c>
      <c r="C250" t="str">
        <f>Permutations!J242</f>
        <v>p1 - i1:i2</v>
      </c>
      <c r="D250" t="str">
        <f>Permutations!K242</f>
        <v>p5 - i2:i4</v>
      </c>
      <c r="E250" t="str">
        <f>Permutations!L242</f>
        <v>p4 - i4:i5</v>
      </c>
      <c r="F250" t="str">
        <f>Permutations!M242</f>
        <v>p15 - i5:i6</v>
      </c>
      <c r="G250" s="7">
        <f>VLOOKUP(B250,Vlookup!$A$1:$B$30,2,0)</f>
        <v>1.7021844231989158</v>
      </c>
      <c r="H250" s="7">
        <f>VLOOKUP(C250,Vlookup!$A$1:$B$30,2,0)</f>
        <v>1.6373343116675814</v>
      </c>
      <c r="I250" s="7">
        <f>VLOOKUP(D250,Vlookup!$A$1:$B$30,2,0)</f>
        <v>0.9108240498099236</v>
      </c>
      <c r="J250" s="7">
        <f>VLOOKUP(E250,Vlookup!$A$1:$B$30,2,0)</f>
        <v>1.89462595295753</v>
      </c>
      <c r="K250" s="7">
        <f>VLOOKUP(F250,Vlookup!$A$1:$B$30,2,0)</f>
        <v>1.3219359277692486</v>
      </c>
      <c r="L250" s="7">
        <f t="shared" si="1"/>
        <v>6.3578803761107441</v>
      </c>
      <c r="M250" s="7">
        <f t="shared" si="2"/>
        <v>3.7351301594937505</v>
      </c>
      <c r="N250" s="7">
        <f t="shared" si="3"/>
        <v>2.281226340202704</v>
      </c>
      <c r="O250" s="7">
        <f t="shared" si="4"/>
        <v>2.5045741168986093</v>
      </c>
      <c r="P250" s="7">
        <f t="shared" si="5"/>
        <v>1.3219359277692486</v>
      </c>
      <c r="Q250">
        <v>1</v>
      </c>
      <c r="R250" s="7">
        <f t="shared" si="6"/>
        <v>17.200746920475058</v>
      </c>
      <c r="S250" s="7">
        <f>VLOOKUP($A250,Rotations!$A$1:$X$1441,18,0)</f>
        <v>0.2171493003625096</v>
      </c>
      <c r="T250" s="7">
        <f>VLOOKUP($A250,Rotations!$A$1:$X$1441,19,0)</f>
        <v>0.13262367911984255</v>
      </c>
      <c r="U250" s="7">
        <f>VLOOKUP($A250,Rotations!$A$1:$X$1441,20,0)</f>
        <v>0.36962815658560655</v>
      </c>
      <c r="V250" s="7">
        <f>VLOOKUP($A250,Rotations!$A$1:$X$1441,21,0)</f>
        <v>0.14560845110262438</v>
      </c>
      <c r="W250" s="7">
        <f>VLOOKUP($A250,Rotations!$A$1:$X$1441,22,0)</f>
        <v>7.6853402580772279E-2</v>
      </c>
      <c r="X250" s="7">
        <f>VLOOKUP($A250,Rotations!$A$1:$X$1441,23,0)</f>
        <v>5.8137010248644573E-2</v>
      </c>
    </row>
    <row r="251" spans="1:24" ht="15.75" customHeight="1" x14ac:dyDescent="0.3">
      <c r="A251">
        <v>242</v>
      </c>
      <c r="B251" t="str">
        <f>Permutations!I243</f>
        <v>p81 - i3:i1</v>
      </c>
      <c r="C251" t="str">
        <f>Permutations!J243</f>
        <v>p1 - i1:i2</v>
      </c>
      <c r="D251" t="str">
        <f>Permutations!K243</f>
        <v>p5 - i2:i4</v>
      </c>
      <c r="E251" t="str">
        <f>Permutations!L243</f>
        <v>p14 - i4:i6</v>
      </c>
      <c r="F251" t="str">
        <f>Permutations!M243</f>
        <v>p151 - i6:i5</v>
      </c>
      <c r="G251" s="7">
        <f>VLOOKUP(B251,Vlookup!$A$1:$B$30,2,0)</f>
        <v>1.7021844231989158</v>
      </c>
      <c r="H251" s="7">
        <f>VLOOKUP(C251,Vlookup!$A$1:$B$30,2,0)</f>
        <v>1.6373343116675814</v>
      </c>
      <c r="I251" s="7">
        <f>VLOOKUP(D251,Vlookup!$A$1:$B$30,2,0)</f>
        <v>0.9108240498099236</v>
      </c>
      <c r="J251" s="7">
        <f>VLOOKUP(E251,Vlookup!$A$1:$B$30,2,0)</f>
        <v>1.478275916473532</v>
      </c>
      <c r="K251" s="7">
        <f>VLOOKUP(F251,Vlookup!$A$1:$B$30,2,0)</f>
        <v>1.2266517321719024</v>
      </c>
      <c r="L251" s="7">
        <f t="shared" si="1"/>
        <v>4.6031512198181908</v>
      </c>
      <c r="M251" s="7">
        <f t="shared" si="2"/>
        <v>2.7042611582401204</v>
      </c>
      <c r="N251" s="7">
        <f t="shared" si="3"/>
        <v>1.6516243133547373</v>
      </c>
      <c r="O251" s="7">
        <f t="shared" si="4"/>
        <v>1.8133297135702644</v>
      </c>
      <c r="P251" s="7">
        <f t="shared" si="5"/>
        <v>1.2266517321719024</v>
      </c>
      <c r="Q251">
        <v>1</v>
      </c>
      <c r="R251" s="7">
        <f t="shared" si="6"/>
        <v>12.999018137155215</v>
      </c>
      <c r="S251" s="7">
        <f>VLOOKUP($A251,Rotations!$A$1:$X$1441,18,0)</f>
        <v>0.20803580160493088</v>
      </c>
      <c r="T251" s="7">
        <f>VLOOKUP($A251,Rotations!$A$1:$X$1441,19,0)</f>
        <v>0.12705762050088107</v>
      </c>
      <c r="U251" s="7">
        <f>VLOOKUP($A251,Rotations!$A$1:$X$1441,20,0)</f>
        <v>0.3541153009596133</v>
      </c>
      <c r="V251" s="7">
        <f>VLOOKUP($A251,Rotations!$A$1:$X$1441,21,0)</f>
        <v>0.13949743699389167</v>
      </c>
      <c r="W251" s="7">
        <f>VLOOKUP($A251,Rotations!$A$1:$X$1441,22,0)</f>
        <v>7.6928887201233351E-2</v>
      </c>
      <c r="X251" s="7">
        <f>VLOOKUP($A251,Rotations!$A$1:$X$1441,23,0)</f>
        <v>9.4364952739449781E-2</v>
      </c>
    </row>
    <row r="252" spans="1:24" ht="15.75" customHeight="1" x14ac:dyDescent="0.3">
      <c r="A252">
        <v>243</v>
      </c>
      <c r="B252" t="str">
        <f>Permutations!I244</f>
        <v>p81 - i3:i1</v>
      </c>
      <c r="C252" t="str">
        <f>Permutations!J244</f>
        <v>p1 - i1:i2</v>
      </c>
      <c r="D252" t="str">
        <f>Permutations!K244</f>
        <v>p7 - i2:i5</v>
      </c>
      <c r="E252" t="str">
        <f>Permutations!L244</f>
        <v>p41 - i5:i4</v>
      </c>
      <c r="F252" t="str">
        <f>Permutations!M244</f>
        <v>p14 - i4:i6</v>
      </c>
      <c r="G252" s="7">
        <f>VLOOKUP(B252,Vlookup!$A$1:$B$30,2,0)</f>
        <v>1.7021844231989158</v>
      </c>
      <c r="H252" s="7">
        <f>VLOOKUP(C252,Vlookup!$A$1:$B$30,2,0)</f>
        <v>1.6373343116675814</v>
      </c>
      <c r="I252" s="7">
        <f>VLOOKUP(D252,Vlookup!$A$1:$B$30,2,0)</f>
        <v>1.7991741228251155</v>
      </c>
      <c r="J252" s="7">
        <f>VLOOKUP(E252,Vlookup!$A$1:$B$30,2,0)</f>
        <v>1.25400669441983</v>
      </c>
      <c r="K252" s="7">
        <f>VLOOKUP(F252,Vlookup!$A$1:$B$30,2,0)</f>
        <v>1.478275916473532</v>
      </c>
      <c r="L252" s="7">
        <f t="shared" si="1"/>
        <v>9.2954951261551582</v>
      </c>
      <c r="M252" s="7">
        <f t="shared" si="2"/>
        <v>5.4609212723766616</v>
      </c>
      <c r="N252" s="7">
        <f t="shared" si="3"/>
        <v>3.3352512272309616</v>
      </c>
      <c r="O252" s="7">
        <f t="shared" si="4"/>
        <v>1.8537678954574186</v>
      </c>
      <c r="P252" s="7">
        <f t="shared" si="5"/>
        <v>1.478275916473532</v>
      </c>
      <c r="Q252">
        <v>1</v>
      </c>
      <c r="R252" s="7">
        <f t="shared" si="6"/>
        <v>22.423711437693733</v>
      </c>
      <c r="S252" s="7">
        <f>VLOOKUP($A252,Rotations!$A$1:$X$1441,18,0)</f>
        <v>0.24353333691214832</v>
      </c>
      <c r="T252" s="7">
        <f>VLOOKUP($A252,Rotations!$A$1:$X$1441,19,0)</f>
        <v>0.14873769832876471</v>
      </c>
      <c r="U252" s="7">
        <f>VLOOKUP($A252,Rotations!$A$1:$X$1441,20,0)</f>
        <v>0.41453865262151246</v>
      </c>
      <c r="V252" s="7">
        <f>VLOOKUP($A252,Rotations!$A$1:$X$1441,21,0)</f>
        <v>6.5924676233060364E-2</v>
      </c>
      <c r="W252" s="7">
        <f>VLOOKUP($A252,Rotations!$A$1:$X$1441,22,0)</f>
        <v>8.2669985323717568E-2</v>
      </c>
      <c r="X252" s="7">
        <f>VLOOKUP($A252,Rotations!$A$1:$X$1441,23,0)</f>
        <v>4.4595650580796516E-2</v>
      </c>
    </row>
    <row r="253" spans="1:24" ht="15.75" customHeight="1" x14ac:dyDescent="0.3">
      <c r="A253">
        <v>244</v>
      </c>
      <c r="B253" t="str">
        <f>Permutations!I245</f>
        <v>p81 - i3:i1</v>
      </c>
      <c r="C253" t="str">
        <f>Permutations!J245</f>
        <v>p1 - i1:i2</v>
      </c>
      <c r="D253" t="str">
        <f>Permutations!K245</f>
        <v>p7 - i2:i5</v>
      </c>
      <c r="E253" t="str">
        <f>Permutations!L245</f>
        <v>p15 - i5:i6</v>
      </c>
      <c r="F253" t="str">
        <f>Permutations!M245</f>
        <v>p141 - i6:i4</v>
      </c>
      <c r="G253" s="7">
        <f>VLOOKUP(B253,Vlookup!$A$1:$B$30,2,0)</f>
        <v>1.7021844231989158</v>
      </c>
      <c r="H253" s="7">
        <f>VLOOKUP(C253,Vlookup!$A$1:$B$30,2,0)</f>
        <v>1.6373343116675814</v>
      </c>
      <c r="I253" s="7">
        <f>VLOOKUP(D253,Vlookup!$A$1:$B$30,2,0)</f>
        <v>1.7991741228251155</v>
      </c>
      <c r="J253" s="7">
        <f>VLOOKUP(E253,Vlookup!$A$1:$B$30,2,0)</f>
        <v>1.3219359277692486</v>
      </c>
      <c r="K253" s="7">
        <f>VLOOKUP(F253,Vlookup!$A$1:$B$30,2,0)</f>
        <v>0.88688155974910687</v>
      </c>
      <c r="L253" s="7">
        <f t="shared" si="1"/>
        <v>5.8788611383041474</v>
      </c>
      <c r="M253" s="7">
        <f t="shared" si="2"/>
        <v>3.4537157420674793</v>
      </c>
      <c r="N253" s="7">
        <f t="shared" si="3"/>
        <v>2.1093528166217701</v>
      </c>
      <c r="O253" s="7">
        <f t="shared" si="4"/>
        <v>1.172400597508374</v>
      </c>
      <c r="P253" s="7">
        <f t="shared" si="5"/>
        <v>0.88688155974910687</v>
      </c>
      <c r="Q253">
        <v>1</v>
      </c>
      <c r="R253" s="7">
        <f t="shared" si="6"/>
        <v>14.501211854250876</v>
      </c>
      <c r="S253" s="7">
        <f>VLOOKUP($A253,Rotations!$A$1:$X$1441,18,0)</f>
        <v>0.23816738744183366</v>
      </c>
      <c r="T253" s="7">
        <f>VLOOKUP($A253,Rotations!$A$1:$X$1441,19,0)</f>
        <v>0.14546045101764621</v>
      </c>
      <c r="U253" s="7">
        <f>VLOOKUP($A253,Rotations!$A$1:$X$1441,20,0)</f>
        <v>0.40540481701747028</v>
      </c>
      <c r="V253" s="7">
        <f>VLOOKUP($A253,Rotations!$A$1:$X$1441,21,0)</f>
        <v>6.8959753850286701E-2</v>
      </c>
      <c r="W253" s="7">
        <f>VLOOKUP($A253,Rotations!$A$1:$X$1441,22,0)</f>
        <v>8.0848456618106523E-2</v>
      </c>
      <c r="X253" s="7">
        <f>VLOOKUP($A253,Rotations!$A$1:$X$1441,23,0)</f>
        <v>6.1159134054656748E-2</v>
      </c>
    </row>
    <row r="254" spans="1:24" ht="15.75" customHeight="1" x14ac:dyDescent="0.3">
      <c r="A254">
        <v>245</v>
      </c>
      <c r="B254" t="str">
        <f>Permutations!I246</f>
        <v>p81 - i3:i1</v>
      </c>
      <c r="C254" t="str">
        <f>Permutations!J246</f>
        <v>p1 - i1:i2</v>
      </c>
      <c r="D254" t="str">
        <f>Permutations!K246</f>
        <v>p12 - i2:i6</v>
      </c>
      <c r="E254" t="str">
        <f>Permutations!L246</f>
        <v>p141 - i6:i4</v>
      </c>
      <c r="F254" t="str">
        <f>Permutations!M246</f>
        <v>p4 - i4:i5</v>
      </c>
      <c r="G254" s="7">
        <f>VLOOKUP(B254,Vlookup!$A$1:$B$30,2,0)</f>
        <v>1.7021844231989158</v>
      </c>
      <c r="H254" s="7">
        <f>VLOOKUP(C254,Vlookup!$A$1:$B$30,2,0)</f>
        <v>1.6373343116675814</v>
      </c>
      <c r="I254" s="7">
        <f>VLOOKUP(D254,Vlookup!$A$1:$B$30,2,0)</f>
        <v>1.3354555559520354</v>
      </c>
      <c r="J254" s="7">
        <f>VLOOKUP(E254,Vlookup!$A$1:$B$30,2,0)</f>
        <v>0.88688155974910687</v>
      </c>
      <c r="K254" s="7">
        <f>VLOOKUP(F254,Vlookup!$A$1:$B$30,2,0)</f>
        <v>1.89462595295753</v>
      </c>
      <c r="L254" s="7">
        <f t="shared" si="1"/>
        <v>6.2540668798868246</v>
      </c>
      <c r="M254" s="7">
        <f t="shared" si="2"/>
        <v>3.6741417643415826</v>
      </c>
      <c r="N254" s="7">
        <f t="shared" si="3"/>
        <v>2.2439777497849951</v>
      </c>
      <c r="O254" s="7">
        <f t="shared" si="4"/>
        <v>1.6803088203001122</v>
      </c>
      <c r="P254" s="7">
        <f t="shared" si="5"/>
        <v>1.89462595295753</v>
      </c>
      <c r="Q254">
        <v>1</v>
      </c>
      <c r="R254" s="7">
        <f t="shared" si="6"/>
        <v>16.747121167271043</v>
      </c>
      <c r="S254" s="7">
        <f>VLOOKUP($A254,Rotations!$A$1:$X$1441,18,0)</f>
        <v>0.2193894537242598</v>
      </c>
      <c r="T254" s="7">
        <f>VLOOKUP($A254,Rotations!$A$1:$X$1441,19,0)</f>
        <v>0.13399185014379716</v>
      </c>
      <c r="U254" s="7">
        <f>VLOOKUP($A254,Rotations!$A$1:$X$1441,20,0)</f>
        <v>0.37344131074355447</v>
      </c>
      <c r="V254" s="7">
        <f>VLOOKUP($A254,Rotations!$A$1:$X$1441,21,0)</f>
        <v>0.11313144116137429</v>
      </c>
      <c r="W254" s="7">
        <f>VLOOKUP($A254,Rotations!$A$1:$X$1441,22,0)</f>
        <v>5.9711755233150365E-2</v>
      </c>
      <c r="X254" s="7">
        <f>VLOOKUP($A254,Rotations!$A$1:$X$1441,23,0)</f>
        <v>0.10033418899386394</v>
      </c>
    </row>
    <row r="255" spans="1:24" ht="15.75" customHeight="1" x14ac:dyDescent="0.3">
      <c r="A255">
        <v>246</v>
      </c>
      <c r="B255" t="str">
        <f>Permutations!I247</f>
        <v>p81 - i3:i1</v>
      </c>
      <c r="C255" t="str">
        <f>Permutations!J247</f>
        <v>p1 - i1:i2</v>
      </c>
      <c r="D255" t="str">
        <f>Permutations!K247</f>
        <v>p12 - i2:i6</v>
      </c>
      <c r="E255" t="str">
        <f>Permutations!L247</f>
        <v>p151 - i6:i5</v>
      </c>
      <c r="F255" t="str">
        <f>Permutations!M247</f>
        <v>p41 - i5:i4</v>
      </c>
      <c r="G255" s="7">
        <f>VLOOKUP(B255,Vlookup!$A$1:$B$30,2,0)</f>
        <v>1.7021844231989158</v>
      </c>
      <c r="H255" s="7">
        <f>VLOOKUP(C255,Vlookup!$A$1:$B$30,2,0)</f>
        <v>1.6373343116675814</v>
      </c>
      <c r="I255" s="7">
        <f>VLOOKUP(D255,Vlookup!$A$1:$B$30,2,0)</f>
        <v>1.3354555559520354</v>
      </c>
      <c r="J255" s="7">
        <f>VLOOKUP(E255,Vlookup!$A$1:$B$30,2,0)</f>
        <v>1.2266517321719024</v>
      </c>
      <c r="K255" s="7">
        <f>VLOOKUP(F255,Vlookup!$A$1:$B$30,2,0)</f>
        <v>1.25400669441983</v>
      </c>
      <c r="L255" s="7">
        <f t="shared" si="1"/>
        <v>5.7252511874506622</v>
      </c>
      <c r="M255" s="7">
        <f t="shared" si="2"/>
        <v>3.3634729054159687</v>
      </c>
      <c r="N255" s="7">
        <f t="shared" si="3"/>
        <v>2.0542371105570747</v>
      </c>
      <c r="O255" s="7">
        <f t="shared" si="4"/>
        <v>1.5382294838652459</v>
      </c>
      <c r="P255" s="7">
        <f t="shared" si="5"/>
        <v>1.25400669441983</v>
      </c>
      <c r="Q255">
        <v>1</v>
      </c>
      <c r="R255" s="7">
        <f t="shared" si="6"/>
        <v>14.935197381708782</v>
      </c>
      <c r="S255" s="7">
        <f>VLOOKUP($A255,Rotations!$A$1:$X$1441,18,0)</f>
        <v>0.22520444955988544</v>
      </c>
      <c r="T255" s="7">
        <f>VLOOKUP($A255,Rotations!$A$1:$X$1441,19,0)</f>
        <v>0.1375433519929847</v>
      </c>
      <c r="U255" s="7">
        <f>VLOOKUP($A255,Rotations!$A$1:$X$1441,20,0)</f>
        <v>0.38333950607592293</v>
      </c>
      <c r="V255" s="7">
        <f>VLOOKUP($A255,Rotations!$A$1:$X$1441,21,0)</f>
        <v>6.6955927962807207E-2</v>
      </c>
      <c r="W255" s="7">
        <f>VLOOKUP($A255,Rotations!$A$1:$X$1441,22,0)</f>
        <v>8.3963181896452133E-2</v>
      </c>
      <c r="X255" s="7">
        <f>VLOOKUP($A255,Rotations!$A$1:$X$1441,23,0)</f>
        <v>0.10299358251194751</v>
      </c>
    </row>
    <row r="256" spans="1:24" ht="15.75" customHeight="1" x14ac:dyDescent="0.3">
      <c r="A256">
        <v>247</v>
      </c>
      <c r="B256" t="str">
        <f>Permutations!I248</f>
        <v>p81 - i3:i1</v>
      </c>
      <c r="C256" t="str">
        <f>Permutations!J248</f>
        <v>p9 - i1:i4</v>
      </c>
      <c r="D256" t="str">
        <f>Permutations!K248</f>
        <v>p51 - i4:i2</v>
      </c>
      <c r="E256" t="str">
        <f>Permutations!L248</f>
        <v>p7 - i2:i5</v>
      </c>
      <c r="F256" t="str">
        <f>Permutations!M248</f>
        <v>p15 - i5:i6</v>
      </c>
      <c r="G256" s="7">
        <f>VLOOKUP(B256,Vlookup!$A$1:$B$30,2,0)</f>
        <v>1.7021844231989158</v>
      </c>
      <c r="H256" s="7">
        <f>VLOOKUP(C256,Vlookup!$A$1:$B$30,2,0)</f>
        <v>1.2538815092968505</v>
      </c>
      <c r="I256" s="7">
        <f>VLOOKUP(D256,Vlookup!$A$1:$B$30,2,0)</f>
        <v>1.4376356077157479</v>
      </c>
      <c r="J256" s="7">
        <f>VLOOKUP(E256,Vlookup!$A$1:$B$30,2,0)</f>
        <v>1.7991741228251155</v>
      </c>
      <c r="K256" s="7">
        <f>VLOOKUP(F256,Vlookup!$A$1:$B$30,2,0)</f>
        <v>1.3219359277692486</v>
      </c>
      <c r="L256" s="7">
        <f t="shared" si="1"/>
        <v>7.2978600891665639</v>
      </c>
      <c r="M256" s="7">
        <f t="shared" si="2"/>
        <v>4.2873498251450872</v>
      </c>
      <c r="N256" s="7">
        <f t="shared" si="3"/>
        <v>3.4192623412632823</v>
      </c>
      <c r="O256" s="7">
        <f t="shared" si="4"/>
        <v>2.3783929132752433</v>
      </c>
      <c r="P256" s="7">
        <f t="shared" si="5"/>
        <v>1.3219359277692486</v>
      </c>
      <c r="Q256">
        <v>1</v>
      </c>
      <c r="R256" s="7">
        <f t="shared" si="6"/>
        <v>19.704801096619427</v>
      </c>
      <c r="S256" s="7">
        <f>VLOOKUP($A256,Rotations!$A$1:$X$1441,18,0)</f>
        <v>0.21757894454872873</v>
      </c>
      <c r="T256" s="7">
        <f>VLOOKUP($A256,Rotations!$A$1:$X$1441,19,0)</f>
        <v>0.12070118858917497</v>
      </c>
      <c r="U256" s="7">
        <f>VLOOKUP($A256,Rotations!$A$1:$X$1441,20,0)</f>
        <v>0.37035949022690673</v>
      </c>
      <c r="V256" s="7">
        <f>VLOOKUP($A256,Rotations!$A$1:$X$1441,21,0)</f>
        <v>0.17352432660941164</v>
      </c>
      <c r="W256" s="7">
        <f>VLOOKUP($A256,Rotations!$A$1:$X$1441,22,0)</f>
        <v>6.7086996782527331E-2</v>
      </c>
      <c r="X256" s="7">
        <f>VLOOKUP($A256,Rotations!$A$1:$X$1441,23,0)</f>
        <v>5.0749053243250491E-2</v>
      </c>
    </row>
    <row r="257" spans="1:24" ht="15.75" customHeight="1" x14ac:dyDescent="0.3">
      <c r="A257">
        <v>248</v>
      </c>
      <c r="B257" t="str">
        <f>Permutations!I249</f>
        <v>p81 - i3:i1</v>
      </c>
      <c r="C257" t="str">
        <f>Permutations!J249</f>
        <v>p9 - i1:i4</v>
      </c>
      <c r="D257" t="str">
        <f>Permutations!K249</f>
        <v>p51 - i4:i2</v>
      </c>
      <c r="E257" t="str">
        <f>Permutations!L249</f>
        <v>p12 - i2:i6</v>
      </c>
      <c r="F257" t="str">
        <f>Permutations!M249</f>
        <v>p151 - i6:i5</v>
      </c>
      <c r="G257" s="7">
        <f>VLOOKUP(B257,Vlookup!$A$1:$B$30,2,0)</f>
        <v>1.7021844231989158</v>
      </c>
      <c r="H257" s="7">
        <f>VLOOKUP(C257,Vlookup!$A$1:$B$30,2,0)</f>
        <v>1.2538815092968505</v>
      </c>
      <c r="I257" s="7">
        <f>VLOOKUP(D257,Vlookup!$A$1:$B$30,2,0)</f>
        <v>1.4376356077157479</v>
      </c>
      <c r="J257" s="7">
        <f>VLOOKUP(E257,Vlookup!$A$1:$B$30,2,0)</f>
        <v>1.3354555559520354</v>
      </c>
      <c r="K257" s="7">
        <f>VLOOKUP(F257,Vlookup!$A$1:$B$30,2,0)</f>
        <v>1.2266517321719024</v>
      </c>
      <c r="L257" s="7">
        <f t="shared" si="1"/>
        <v>5.026464811625563</v>
      </c>
      <c r="M257" s="7">
        <f t="shared" si="2"/>
        <v>2.9529496000082793</v>
      </c>
      <c r="N257" s="7">
        <f t="shared" si="3"/>
        <v>2.3550467712569025</v>
      </c>
      <c r="O257" s="7">
        <f t="shared" si="4"/>
        <v>1.6381388709471552</v>
      </c>
      <c r="P257" s="7">
        <f t="shared" si="5"/>
        <v>1.2266517321719024</v>
      </c>
      <c r="Q257">
        <v>1</v>
      </c>
      <c r="R257" s="7">
        <f t="shared" si="6"/>
        <v>14.199251786009803</v>
      </c>
      <c r="S257" s="7">
        <f>VLOOKUP($A257,Rotations!$A$1:$X$1441,18,0)</f>
        <v>0.20796515510188732</v>
      </c>
      <c r="T257" s="7">
        <f>VLOOKUP($A257,Rotations!$A$1:$X$1441,19,0)</f>
        <v>0.11536797118853655</v>
      </c>
      <c r="U257" s="7">
        <f>VLOOKUP($A257,Rotations!$A$1:$X$1441,20,0)</f>
        <v>0.35399504758257921</v>
      </c>
      <c r="V257" s="7">
        <f>VLOOKUP($A257,Rotations!$A$1:$X$1441,21,0)</f>
        <v>0.16585710337056464</v>
      </c>
      <c r="W257" s="7">
        <f>VLOOKUP($A257,Rotations!$A$1:$X$1441,22,0)</f>
        <v>7.0426246049476851E-2</v>
      </c>
      <c r="X257" s="7">
        <f>VLOOKUP($A257,Rotations!$A$1:$X$1441,23,0)</f>
        <v>8.6388476706955375E-2</v>
      </c>
    </row>
    <row r="258" spans="1:24" ht="15.75" customHeight="1" x14ac:dyDescent="0.3">
      <c r="A258">
        <v>249</v>
      </c>
      <c r="B258" t="str">
        <f>Permutations!I250</f>
        <v>p81 - i3:i1</v>
      </c>
      <c r="C258" t="str">
        <f>Permutations!J250</f>
        <v>p9 - i1:i4</v>
      </c>
      <c r="D258" t="str">
        <f>Permutations!K250</f>
        <v>p4 - i4:i5</v>
      </c>
      <c r="E258" t="str">
        <f>Permutations!L250</f>
        <v>p71 - i5:i2</v>
      </c>
      <c r="F258" t="str">
        <f>Permutations!M250</f>
        <v>p12 - i2:i6</v>
      </c>
      <c r="G258" s="7">
        <f>VLOOKUP(B258,Vlookup!$A$1:$B$30,2,0)</f>
        <v>1.7021844231989158</v>
      </c>
      <c r="H258" s="7">
        <f>VLOOKUP(C258,Vlookup!$A$1:$B$30,2,0)</f>
        <v>1.2538815092968505</v>
      </c>
      <c r="I258" s="7">
        <f>VLOOKUP(D258,Vlookup!$A$1:$B$30,2,0)</f>
        <v>1.89462595295753</v>
      </c>
      <c r="J258" s="7">
        <f>VLOOKUP(E258,Vlookup!$A$1:$B$30,2,0)</f>
        <v>1.8243208303594776</v>
      </c>
      <c r="K258" s="7">
        <f>VLOOKUP(F258,Vlookup!$A$1:$B$30,2,0)</f>
        <v>1.3354555559520354</v>
      </c>
      <c r="L258" s="7">
        <f t="shared" si="1"/>
        <v>9.8518376912011725</v>
      </c>
      <c r="M258" s="7">
        <f t="shared" si="2"/>
        <v>5.7877616296632599</v>
      </c>
      <c r="N258" s="7">
        <f t="shared" si="3"/>
        <v>4.6158760510862864</v>
      </c>
      <c r="O258" s="7">
        <f t="shared" si="4"/>
        <v>2.436299388742595</v>
      </c>
      <c r="P258" s="7">
        <f t="shared" si="5"/>
        <v>1.3354555559520354</v>
      </c>
      <c r="Q258">
        <v>1</v>
      </c>
      <c r="R258" s="7">
        <f t="shared" si="6"/>
        <v>25.027230316645348</v>
      </c>
      <c r="S258" s="7">
        <f>VLOOKUP($A258,Rotations!$A$1:$X$1441,18,0)</f>
        <v>0.23125857541710801</v>
      </c>
      <c r="T258" s="7">
        <f>VLOOKUP($A258,Rotations!$A$1:$X$1441,19,0)</f>
        <v>5.3360101739417722E-2</v>
      </c>
      <c r="U258" s="7">
        <f>VLOOKUP($A258,Rotations!$A$1:$X$1441,20,0)</f>
        <v>0.39364474480617295</v>
      </c>
      <c r="V258" s="7">
        <f>VLOOKUP($A258,Rotations!$A$1:$X$1441,21,0)</f>
        <v>0.18443415402687671</v>
      </c>
      <c r="W258" s="7">
        <f>VLOOKUP($A258,Rotations!$A$1:$X$1441,22,0)</f>
        <v>9.7345945113320745E-2</v>
      </c>
      <c r="X258" s="7">
        <f>VLOOKUP($A258,Rotations!$A$1:$X$1441,23,0)</f>
        <v>3.995647889710395E-2</v>
      </c>
    </row>
    <row r="259" spans="1:24" ht="15.75" customHeight="1" x14ac:dyDescent="0.3">
      <c r="A259">
        <v>250</v>
      </c>
      <c r="B259" t="str">
        <f>Permutations!I251</f>
        <v>p81 - i3:i1</v>
      </c>
      <c r="C259" t="str">
        <f>Permutations!J251</f>
        <v>p9 - i1:i4</v>
      </c>
      <c r="D259" t="str">
        <f>Permutations!K251</f>
        <v>p4 - i4:i5</v>
      </c>
      <c r="E259" t="str">
        <f>Permutations!L251</f>
        <v>p15 - i5:i6</v>
      </c>
      <c r="F259" t="str">
        <f>Permutations!M251</f>
        <v>p121 - i6:i2</v>
      </c>
      <c r="G259" s="7">
        <f>VLOOKUP(B259,Vlookup!$A$1:$B$30,2,0)</f>
        <v>1.7021844231989158</v>
      </c>
      <c r="H259" s="7">
        <f>VLOOKUP(C259,Vlookup!$A$1:$B$30,2,0)</f>
        <v>1.2538815092968505</v>
      </c>
      <c r="I259" s="7">
        <f>VLOOKUP(D259,Vlookup!$A$1:$B$30,2,0)</f>
        <v>1.89462595295753</v>
      </c>
      <c r="J259" s="7">
        <f>VLOOKUP(E259,Vlookup!$A$1:$B$30,2,0)</f>
        <v>1.3219359277692486</v>
      </c>
      <c r="K259" s="7">
        <f>VLOOKUP(F259,Vlookup!$A$1:$B$30,2,0)</f>
        <v>1.2419340531937677</v>
      </c>
      <c r="L259" s="7">
        <f t="shared" si="1"/>
        <v>6.6388909258130226</v>
      </c>
      <c r="M259" s="7">
        <f t="shared" si="2"/>
        <v>3.9002183519788955</v>
      </c>
      <c r="N259" s="7">
        <f t="shared" si="3"/>
        <v>3.1105158845240912</v>
      </c>
      <c r="O259" s="7">
        <f t="shared" si="4"/>
        <v>1.6417572448369266</v>
      </c>
      <c r="P259" s="7">
        <f t="shared" si="5"/>
        <v>1.2419340531937677</v>
      </c>
      <c r="Q259">
        <v>1</v>
      </c>
      <c r="R259" s="7">
        <f t="shared" si="6"/>
        <v>17.533316460346704</v>
      </c>
      <c r="S259" s="7">
        <f>VLOOKUP($A259,Rotations!$A$1:$X$1441,18,0)</f>
        <v>0.22244612767924526</v>
      </c>
      <c r="T259" s="7">
        <f>VLOOKUP($A259,Rotations!$A$1:$X$1441,19,0)</f>
        <v>5.703427541854942E-2</v>
      </c>
      <c r="U259" s="7">
        <f>VLOOKUP($A259,Rotations!$A$1:$X$1441,20,0)</f>
        <v>0.37864433353652849</v>
      </c>
      <c r="V259" s="7">
        <f>VLOOKUP($A259,Rotations!$A$1:$X$1441,21,0)</f>
        <v>0.1774060196517199</v>
      </c>
      <c r="W259" s="7">
        <f>VLOOKUP($A259,Rotations!$A$1:$X$1441,22,0)</f>
        <v>9.3636434872428148E-2</v>
      </c>
      <c r="X259" s="7">
        <f>VLOOKUP($A259,Rotations!$A$1:$X$1441,23,0)</f>
        <v>7.083280884152876E-2</v>
      </c>
    </row>
    <row r="260" spans="1:24" ht="15.75" customHeight="1" x14ac:dyDescent="0.3">
      <c r="A260">
        <v>251</v>
      </c>
      <c r="B260" t="str">
        <f>Permutations!I252</f>
        <v>p81 - i3:i1</v>
      </c>
      <c r="C260" t="str">
        <f>Permutations!J252</f>
        <v>p9 - i1:i4</v>
      </c>
      <c r="D260" t="str">
        <f>Permutations!K252</f>
        <v>p14 - i4:i6</v>
      </c>
      <c r="E260" t="str">
        <f>Permutations!L252</f>
        <v>p121 - i6:i2</v>
      </c>
      <c r="F260" t="str">
        <f>Permutations!M252</f>
        <v>p7 - i2:i5</v>
      </c>
      <c r="G260" s="7">
        <f>VLOOKUP(B260,Vlookup!$A$1:$B$30,2,0)</f>
        <v>1.7021844231989158</v>
      </c>
      <c r="H260" s="7">
        <f>VLOOKUP(C260,Vlookup!$A$1:$B$30,2,0)</f>
        <v>1.2538815092968505</v>
      </c>
      <c r="I260" s="7">
        <f>VLOOKUP(D260,Vlookup!$A$1:$B$30,2,0)</f>
        <v>1.478275916473532</v>
      </c>
      <c r="J260" s="7">
        <f>VLOOKUP(E260,Vlookup!$A$1:$B$30,2,0)</f>
        <v>1.2419340531937677</v>
      </c>
      <c r="K260" s="7">
        <f>VLOOKUP(F260,Vlookup!$A$1:$B$30,2,0)</f>
        <v>1.7991741228251155</v>
      </c>
      <c r="L260" s="7">
        <f t="shared" si="1"/>
        <v>7.050019902068918</v>
      </c>
      <c r="M260" s="7">
        <f t="shared" si="2"/>
        <v>4.1417485708274846</v>
      </c>
      <c r="N260" s="7">
        <f t="shared" si="3"/>
        <v>3.3031419158179371</v>
      </c>
      <c r="O260" s="7">
        <f t="shared" si="4"/>
        <v>2.2344556107615374</v>
      </c>
      <c r="P260" s="7">
        <f t="shared" si="5"/>
        <v>1.7991741228251155</v>
      </c>
      <c r="Q260">
        <v>1</v>
      </c>
      <c r="R260" s="7">
        <f t="shared" si="6"/>
        <v>19.528540122300992</v>
      </c>
      <c r="S260" s="7">
        <f>VLOOKUP($A260,Rotations!$A$1:$X$1441,18,0)</f>
        <v>0.21208695298721972</v>
      </c>
      <c r="T260" s="7">
        <f>VLOOKUP($A260,Rotations!$A$1:$X$1441,19,0)</f>
        <v>9.2130497802573263E-2</v>
      </c>
      <c r="U260" s="7">
        <f>VLOOKUP($A260,Rotations!$A$1:$X$1441,20,0)</f>
        <v>0.36101110773856632</v>
      </c>
      <c r="V260" s="7">
        <f>VLOOKUP($A260,Rotations!$A$1:$X$1441,21,0)</f>
        <v>0.16914433414537991</v>
      </c>
      <c r="W260" s="7">
        <f>VLOOKUP($A260,Rotations!$A$1:$X$1441,22,0)</f>
        <v>5.1207104767551505E-2</v>
      </c>
      <c r="X260" s="7">
        <f>VLOOKUP($A260,Rotations!$A$1:$X$1441,23,0)</f>
        <v>0.11442000255870934</v>
      </c>
    </row>
    <row r="261" spans="1:24" ht="15.75" customHeight="1" x14ac:dyDescent="0.3">
      <c r="A261">
        <v>252</v>
      </c>
      <c r="B261" t="str">
        <f>Permutations!I253</f>
        <v>p81 - i3:i1</v>
      </c>
      <c r="C261" t="str">
        <f>Permutations!J253</f>
        <v>p9 - i1:i4</v>
      </c>
      <c r="D261" t="str">
        <f>Permutations!K253</f>
        <v>p14 - i4:i6</v>
      </c>
      <c r="E261" t="str">
        <f>Permutations!L253</f>
        <v>p151 - i6:i5</v>
      </c>
      <c r="F261" t="str">
        <f>Permutations!M253</f>
        <v>p71 - i5:i2</v>
      </c>
      <c r="G261" s="7">
        <f>VLOOKUP(B261,Vlookup!$A$1:$B$30,2,0)</f>
        <v>1.7021844231989158</v>
      </c>
      <c r="H261" s="7">
        <f>VLOOKUP(C261,Vlookup!$A$1:$B$30,2,0)</f>
        <v>1.2538815092968505</v>
      </c>
      <c r="I261" s="7">
        <f>VLOOKUP(D261,Vlookup!$A$1:$B$30,2,0)</f>
        <v>1.478275916473532</v>
      </c>
      <c r="J261" s="7">
        <f>VLOOKUP(E261,Vlookup!$A$1:$B$30,2,0)</f>
        <v>1.2266517321719024</v>
      </c>
      <c r="K261" s="7">
        <f>VLOOKUP(F261,Vlookup!$A$1:$B$30,2,0)</f>
        <v>1.8243208303594776</v>
      </c>
      <c r="L261" s="7">
        <f t="shared" si="1"/>
        <v>7.0605918159692047</v>
      </c>
      <c r="M261" s="7">
        <f t="shared" si="2"/>
        <v>4.147959363122494</v>
      </c>
      <c r="N261" s="7">
        <f t="shared" si="3"/>
        <v>3.3080951687760183</v>
      </c>
      <c r="O261" s="7">
        <f t="shared" si="4"/>
        <v>2.2378063065977365</v>
      </c>
      <c r="P261" s="7">
        <f t="shared" si="5"/>
        <v>1.8243208303594776</v>
      </c>
      <c r="Q261">
        <v>1</v>
      </c>
      <c r="R261" s="7">
        <f t="shared" si="6"/>
        <v>19.578773484824932</v>
      </c>
      <c r="S261" s="7">
        <f>VLOOKUP($A261,Rotations!$A$1:$X$1441,18,0)</f>
        <v>0.21186002107524685</v>
      </c>
      <c r="T261" s="7">
        <f>VLOOKUP($A261,Rotations!$A$1:$X$1441,19,0)</f>
        <v>5.1075722428428803E-2</v>
      </c>
      <c r="U261" s="7">
        <f>VLOOKUP($A261,Rotations!$A$1:$X$1441,20,0)</f>
        <v>0.36062482777287919</v>
      </c>
      <c r="V261" s="7">
        <f>VLOOKUP($A261,Rotations!$A$1:$X$1441,21,0)</f>
        <v>0.16896335060723025</v>
      </c>
      <c r="W261" s="7">
        <f>VLOOKUP($A261,Rotations!$A$1:$X$1441,22,0)</f>
        <v>9.3178504351841426E-2</v>
      </c>
      <c r="X261" s="7">
        <f>VLOOKUP($A261,Rotations!$A$1:$X$1441,23,0)</f>
        <v>0.11429757376437344</v>
      </c>
    </row>
    <row r="262" spans="1:24" ht="15.75" customHeight="1" x14ac:dyDescent="0.3">
      <c r="A262">
        <v>253</v>
      </c>
      <c r="B262" t="str">
        <f>Permutations!I254</f>
        <v>p81 - i3:i1</v>
      </c>
      <c r="C262" t="str">
        <f>Permutations!J254</f>
        <v>p10 - i1:i5</v>
      </c>
      <c r="D262" t="str">
        <f>Permutations!K254</f>
        <v>p71 - i5:i2</v>
      </c>
      <c r="E262" t="str">
        <f>Permutations!L254</f>
        <v>p5 - i2:i4</v>
      </c>
      <c r="F262" t="str">
        <f>Permutations!M254</f>
        <v>p14 - i4:i6</v>
      </c>
      <c r="G262" s="7">
        <f>VLOOKUP(B262,Vlookup!$A$1:$B$30,2,0)</f>
        <v>1.7021844231989158</v>
      </c>
      <c r="H262" s="7">
        <f>VLOOKUP(C262,Vlookup!$A$1:$B$30,2,0)</f>
        <v>1.0847108741813811</v>
      </c>
      <c r="I262" s="7">
        <f>VLOOKUP(D262,Vlookup!$A$1:$B$30,2,0)</f>
        <v>1.8243208303594776</v>
      </c>
      <c r="J262" s="7">
        <f>VLOOKUP(E262,Vlookup!$A$1:$B$30,2,0)</f>
        <v>0.9108240498099236</v>
      </c>
      <c r="K262" s="7">
        <f>VLOOKUP(F262,Vlookup!$A$1:$B$30,2,0)</f>
        <v>1.478275916473532</v>
      </c>
      <c r="L262" s="7">
        <f t="shared" si="1"/>
        <v>4.5353605060086544</v>
      </c>
      <c r="M262" s="7">
        <f t="shared" si="2"/>
        <v>2.6644354420100669</v>
      </c>
      <c r="N262" s="7">
        <f t="shared" si="3"/>
        <v>2.456355426528646</v>
      </c>
      <c r="O262" s="7">
        <f t="shared" si="4"/>
        <v>1.3464492569788988</v>
      </c>
      <c r="P262" s="7">
        <f t="shared" si="5"/>
        <v>1.478275916473532</v>
      </c>
      <c r="Q262">
        <v>1</v>
      </c>
      <c r="R262" s="7">
        <f t="shared" si="6"/>
        <v>13.480876547999797</v>
      </c>
      <c r="S262" s="7">
        <f>VLOOKUP($A262,Rotations!$A$1:$X$1441,18,0)</f>
        <v>0.19764556351533374</v>
      </c>
      <c r="T262" s="7">
        <f>VLOOKUP($A262,Rotations!$A$1:$X$1441,19,0)</f>
        <v>9.9878465037844741E-2</v>
      </c>
      <c r="U262" s="7">
        <f>VLOOKUP($A262,Rotations!$A$1:$X$1441,20,0)</f>
        <v>0.33642919953017308</v>
      </c>
      <c r="V262" s="7">
        <f>VLOOKUP($A262,Rotations!$A$1:$X$1441,21,0)</f>
        <v>0.10965725494258523</v>
      </c>
      <c r="W262" s="7">
        <f>VLOOKUP($A262,Rotations!$A$1:$X$1441,22,0)</f>
        <v>0.18221036427287093</v>
      </c>
      <c r="X262" s="7">
        <f>VLOOKUP($A262,Rotations!$A$1:$X$1441,23,0)</f>
        <v>7.4179152701192366E-2</v>
      </c>
    </row>
    <row r="263" spans="1:24" ht="15.75" customHeight="1" x14ac:dyDescent="0.3">
      <c r="A263">
        <v>254</v>
      </c>
      <c r="B263" t="str">
        <f>Permutations!I255</f>
        <v>p81 - i3:i1</v>
      </c>
      <c r="C263" t="str">
        <f>Permutations!J255</f>
        <v>p10 - i1:i5</v>
      </c>
      <c r="D263" t="str">
        <f>Permutations!K255</f>
        <v>p71 - i5:i2</v>
      </c>
      <c r="E263" t="str">
        <f>Permutations!L255</f>
        <v>p12 - i2:i6</v>
      </c>
      <c r="F263" t="str">
        <f>Permutations!M255</f>
        <v>p141 - i6:i4</v>
      </c>
      <c r="G263" s="7">
        <f>VLOOKUP(B263,Vlookup!$A$1:$B$30,2,0)</f>
        <v>1.7021844231989158</v>
      </c>
      <c r="H263" s="7">
        <f>VLOOKUP(C263,Vlookup!$A$1:$B$30,2,0)</f>
        <v>1.0847108741813811</v>
      </c>
      <c r="I263" s="7">
        <f>VLOOKUP(D263,Vlookup!$A$1:$B$30,2,0)</f>
        <v>1.8243208303594776</v>
      </c>
      <c r="J263" s="7">
        <f>VLOOKUP(E263,Vlookup!$A$1:$B$30,2,0)</f>
        <v>1.3354555559520354</v>
      </c>
      <c r="K263" s="7">
        <f>VLOOKUP(F263,Vlookup!$A$1:$B$30,2,0)</f>
        <v>0.88688155974910687</v>
      </c>
      <c r="L263" s="7">
        <f t="shared" si="1"/>
        <v>3.9894854654893805</v>
      </c>
      <c r="M263" s="7">
        <f t="shared" si="2"/>
        <v>2.3437445503066812</v>
      </c>
      <c r="N263" s="7">
        <f t="shared" si="3"/>
        <v>2.1607090019038284</v>
      </c>
      <c r="O263" s="7">
        <f t="shared" si="4"/>
        <v>1.1843909064383518</v>
      </c>
      <c r="P263" s="7">
        <f t="shared" si="5"/>
        <v>0.88688155974910687</v>
      </c>
      <c r="Q263">
        <v>1</v>
      </c>
      <c r="R263" s="7">
        <f t="shared" si="6"/>
        <v>11.565211483887349</v>
      </c>
      <c r="S263" s="7">
        <f>VLOOKUP($A263,Rotations!$A$1:$X$1441,18,0)</f>
        <v>0.20265470748822759</v>
      </c>
      <c r="T263" s="7">
        <f>VLOOKUP($A263,Rotations!$A$1:$X$1441,19,0)</f>
        <v>0.10240979234045525</v>
      </c>
      <c r="U263" s="7">
        <f>VLOOKUP($A263,Rotations!$A$1:$X$1441,20,0)</f>
        <v>0.34495568637439367</v>
      </c>
      <c r="V263" s="7">
        <f>VLOOKUP($A263,Rotations!$A$1:$X$1441,21,0)</f>
        <v>8.6466209579755621E-2</v>
      </c>
      <c r="W263" s="7">
        <f>VLOOKUP($A263,Rotations!$A$1:$X$1441,22,0)</f>
        <v>0.186828317399481</v>
      </c>
      <c r="X263" s="7">
        <f>VLOOKUP($A263,Rotations!$A$1:$X$1441,23,0)</f>
        <v>7.6685286817686826E-2</v>
      </c>
    </row>
    <row r="264" spans="1:24" ht="15.75" customHeight="1" x14ac:dyDescent="0.3">
      <c r="A264">
        <v>255</v>
      </c>
      <c r="B264" t="str">
        <f>Permutations!I256</f>
        <v>p81 - i3:i1</v>
      </c>
      <c r="C264" t="str">
        <f>Permutations!J256</f>
        <v>p10 - i1:i5</v>
      </c>
      <c r="D264" t="str">
        <f>Permutations!K256</f>
        <v>p41 - i5:i4</v>
      </c>
      <c r="E264" t="str">
        <f>Permutations!L256</f>
        <v>p51 - i4:i2</v>
      </c>
      <c r="F264" t="str">
        <f>Permutations!M256</f>
        <v>p12 - i2:i6</v>
      </c>
      <c r="G264" s="7">
        <f>VLOOKUP(B264,Vlookup!$A$1:$B$30,2,0)</f>
        <v>1.7021844231989158</v>
      </c>
      <c r="H264" s="7">
        <f>VLOOKUP(C264,Vlookup!$A$1:$B$30,2,0)</f>
        <v>1.0847108741813811</v>
      </c>
      <c r="I264" s="7">
        <f>VLOOKUP(D264,Vlookup!$A$1:$B$30,2,0)</f>
        <v>1.25400669441983</v>
      </c>
      <c r="J264" s="7">
        <f>VLOOKUP(E264,Vlookup!$A$1:$B$30,2,0)</f>
        <v>1.4376356077157479</v>
      </c>
      <c r="K264" s="7">
        <f>VLOOKUP(F264,Vlookup!$A$1:$B$30,2,0)</f>
        <v>1.3354555559520354</v>
      </c>
      <c r="L264" s="7">
        <f t="shared" si="1"/>
        <v>4.4452759003420255</v>
      </c>
      <c r="M264" s="7">
        <f t="shared" si="2"/>
        <v>2.6115125010884639</v>
      </c>
      <c r="N264" s="7">
        <f t="shared" si="3"/>
        <v>2.4075655211434501</v>
      </c>
      <c r="O264" s="7">
        <f t="shared" si="4"/>
        <v>1.9198984597584763</v>
      </c>
      <c r="P264" s="7">
        <f t="shared" si="5"/>
        <v>1.3354555559520354</v>
      </c>
      <c r="Q264">
        <v>1</v>
      </c>
      <c r="R264" s="7">
        <f t="shared" si="6"/>
        <v>13.719707938284452</v>
      </c>
      <c r="S264" s="7">
        <f>VLOOKUP($A264,Rotations!$A$1:$X$1441,18,0)</f>
        <v>0.19034752874010627</v>
      </c>
      <c r="T264" s="7">
        <f>VLOOKUP($A264,Rotations!$A$1:$X$1441,19,0)</f>
        <v>9.7338482856875172E-2</v>
      </c>
      <c r="U264" s="7">
        <f>VLOOKUP($A264,Rotations!$A$1:$X$1441,20,0)</f>
        <v>0.32400659841581686</v>
      </c>
      <c r="V264" s="7">
        <f>VLOOKUP($A264,Rotations!$A$1:$X$1441,21,0)</f>
        <v>0.13993726895607264</v>
      </c>
      <c r="W264" s="7">
        <f>VLOOKUP($A264,Rotations!$A$1:$X$1441,22,0)</f>
        <v>0.17548227206974337</v>
      </c>
      <c r="X264" s="7">
        <f>VLOOKUP($A264,Rotations!$A$1:$X$1441,23,0)</f>
        <v>7.2887848961385587E-2</v>
      </c>
    </row>
    <row r="265" spans="1:24" ht="15.75" customHeight="1" x14ac:dyDescent="0.3">
      <c r="A265">
        <v>256</v>
      </c>
      <c r="B265" t="str">
        <f>Permutations!I257</f>
        <v>p81 - i3:i1</v>
      </c>
      <c r="C265" t="str">
        <f>Permutations!J257</f>
        <v>p10 - i1:i5</v>
      </c>
      <c r="D265" t="str">
        <f>Permutations!K257</f>
        <v>p41 - i5:i4</v>
      </c>
      <c r="E265" t="str">
        <f>Permutations!L257</f>
        <v>p14 - i4:i6</v>
      </c>
      <c r="F265" t="str">
        <f>Permutations!M257</f>
        <v>p121 - i6:i2</v>
      </c>
      <c r="G265" s="7">
        <f>VLOOKUP(B265,Vlookup!$A$1:$B$30,2,0)</f>
        <v>1.7021844231989158</v>
      </c>
      <c r="H265" s="7">
        <f>VLOOKUP(C265,Vlookup!$A$1:$B$30,2,0)</f>
        <v>1.0847108741813811</v>
      </c>
      <c r="I265" s="7">
        <f>VLOOKUP(D265,Vlookup!$A$1:$B$30,2,0)</f>
        <v>1.25400669441983</v>
      </c>
      <c r="J265" s="7">
        <f>VLOOKUP(E265,Vlookup!$A$1:$B$30,2,0)</f>
        <v>1.478275916473532</v>
      </c>
      <c r="K265" s="7">
        <f>VLOOKUP(F265,Vlookup!$A$1:$B$30,2,0)</f>
        <v>1.2419340531937677</v>
      </c>
      <c r="L265" s="7">
        <f t="shared" ref="L265:L519" si="7">G265*H265*I265*J265*K265</f>
        <v>4.2508374475999071</v>
      </c>
      <c r="M265" s="7">
        <f t="shared" ref="M265:M519" si="8">H265*I265*J265*K265</f>
        <v>2.4972837194757704</v>
      </c>
      <c r="N265" s="7">
        <f t="shared" ref="N265:N519" si="9">I265*J265*K265</f>
        <v>2.3022574760859125</v>
      </c>
      <c r="O265" s="7">
        <f t="shared" ref="O265:O519" si="10">J265*K265</f>
        <v>1.8359212006847052</v>
      </c>
      <c r="P265" s="7">
        <f t="shared" ref="P265:P519" si="11">K265</f>
        <v>1.2419340531937677</v>
      </c>
      <c r="Q265">
        <v>1</v>
      </c>
      <c r="R265" s="7">
        <f t="shared" ref="R265:R519" si="12">SUM(L265:Q265)</f>
        <v>13.128233897040063</v>
      </c>
      <c r="S265" s="7">
        <f>VLOOKUP($A265,Rotations!$A$1:$X$1441,18,0)</f>
        <v>0.19022236647069615</v>
      </c>
      <c r="T265" s="7">
        <f>VLOOKUP($A265,Rotations!$A$1:$X$1441,19,0)</f>
        <v>7.6171708079139533E-2</v>
      </c>
      <c r="U265" s="7">
        <f>VLOOKUP($A265,Rotations!$A$1:$X$1441,20,0)</f>
        <v>0.32379354915045472</v>
      </c>
      <c r="V265" s="7">
        <f>VLOOKUP($A265,Rotations!$A$1:$X$1441,21,0)</f>
        <v>0.13984525375485871</v>
      </c>
      <c r="W265" s="7">
        <f>VLOOKUP($A265,Rotations!$A$1:$X$1441,22,0)</f>
        <v>0.17536688439143266</v>
      </c>
      <c r="X265" s="7">
        <f>VLOOKUP($A265,Rotations!$A$1:$X$1441,23,0)</f>
        <v>9.4600238153418212E-2</v>
      </c>
    </row>
    <row r="266" spans="1:24" ht="15.75" customHeight="1" x14ac:dyDescent="0.3">
      <c r="A266">
        <v>257</v>
      </c>
      <c r="B266" t="str">
        <f>Permutations!I258</f>
        <v>p81 - i3:i1</v>
      </c>
      <c r="C266" t="str">
        <f>Permutations!J258</f>
        <v>p10 - i1:i5</v>
      </c>
      <c r="D266" t="str">
        <f>Permutations!K258</f>
        <v>p15 - i5:i6</v>
      </c>
      <c r="E266" t="str">
        <f>Permutations!L258</f>
        <v>p121 - i6:i2</v>
      </c>
      <c r="F266" t="str">
        <f>Permutations!M258</f>
        <v>p5 - i2:i4</v>
      </c>
      <c r="G266" s="7">
        <f>VLOOKUP(B266,Vlookup!$A$1:$B$30,2,0)</f>
        <v>1.7021844231989158</v>
      </c>
      <c r="H266" s="7">
        <f>VLOOKUP(C266,Vlookup!$A$1:$B$30,2,0)</f>
        <v>1.0847108741813811</v>
      </c>
      <c r="I266" s="7">
        <f>VLOOKUP(D266,Vlookup!$A$1:$B$30,2,0)</f>
        <v>1.3219359277692486</v>
      </c>
      <c r="J266" s="7">
        <f>VLOOKUP(E266,Vlookup!$A$1:$B$30,2,0)</f>
        <v>1.2419340531937677</v>
      </c>
      <c r="K266" s="7">
        <f>VLOOKUP(F266,Vlookup!$A$1:$B$30,2,0)</f>
        <v>0.9108240498099236</v>
      </c>
      <c r="L266" s="7">
        <f t="shared" si="7"/>
        <v>2.7609849336056596</v>
      </c>
      <c r="M266" s="7">
        <f t="shared" si="8"/>
        <v>1.6220245561975826</v>
      </c>
      <c r="N266" s="7">
        <f t="shared" si="9"/>
        <v>1.4953519825471517</v>
      </c>
      <c r="O266" s="7">
        <f t="shared" si="10"/>
        <v>1.1311834039268005</v>
      </c>
      <c r="P266" s="7">
        <f t="shared" si="11"/>
        <v>0.9108240498099236</v>
      </c>
      <c r="Q266">
        <v>1</v>
      </c>
      <c r="R266" s="7">
        <f t="shared" si="12"/>
        <v>8.920368926087118</v>
      </c>
      <c r="S266" s="7">
        <f>VLOOKUP($A266,Rotations!$A$1:$X$1441,18,0)</f>
        <v>0.18183379741773492</v>
      </c>
      <c r="T266" s="7">
        <f>VLOOKUP($A266,Rotations!$A$1:$X$1441,19,0)</f>
        <v>0.10210609643579537</v>
      </c>
      <c r="U266" s="7">
        <f>VLOOKUP($A266,Rotations!$A$1:$X$1441,20,0)</f>
        <v>0.30951465757557561</v>
      </c>
      <c r="V266" s="7">
        <f>VLOOKUP($A266,Rotations!$A$1:$X$1441,21,0)</f>
        <v>0.11210298680310812</v>
      </c>
      <c r="W266" s="7">
        <f>VLOOKUP($A266,Rotations!$A$1:$X$1441,22,0)</f>
        <v>0.16763342356548491</v>
      </c>
      <c r="X266" s="7">
        <f>VLOOKUP($A266,Rotations!$A$1:$X$1441,23,0)</f>
        <v>0.12680903820230105</v>
      </c>
    </row>
    <row r="267" spans="1:24" ht="15.75" customHeight="1" x14ac:dyDescent="0.3">
      <c r="A267">
        <v>258</v>
      </c>
      <c r="B267" t="str">
        <f>Permutations!I259</f>
        <v>p81 - i3:i1</v>
      </c>
      <c r="C267" t="str">
        <f>Permutations!J259</f>
        <v>p10 - i1:i5</v>
      </c>
      <c r="D267" t="str">
        <f>Permutations!K259</f>
        <v>p15 - i5:i6</v>
      </c>
      <c r="E267" t="str">
        <f>Permutations!L259</f>
        <v>p141 - i6:i4</v>
      </c>
      <c r="F267" t="str">
        <f>Permutations!M259</f>
        <v>p51 - i4:i2</v>
      </c>
      <c r="G267" s="7">
        <f>VLOOKUP(B267,Vlookup!$A$1:$B$30,2,0)</f>
        <v>1.7021844231989158</v>
      </c>
      <c r="H267" s="7">
        <f>VLOOKUP(C267,Vlookup!$A$1:$B$30,2,0)</f>
        <v>1.0847108741813811</v>
      </c>
      <c r="I267" s="7">
        <f>VLOOKUP(D267,Vlookup!$A$1:$B$30,2,0)</f>
        <v>1.3219359277692486</v>
      </c>
      <c r="J267" s="7">
        <f>VLOOKUP(E267,Vlookup!$A$1:$B$30,2,0)</f>
        <v>0.88688155974910687</v>
      </c>
      <c r="K267" s="7">
        <f>VLOOKUP(F267,Vlookup!$A$1:$B$30,2,0)</f>
        <v>1.4376356077157479</v>
      </c>
      <c r="L267" s="7">
        <f t="shared" si="7"/>
        <v>3.1120420600095864</v>
      </c>
      <c r="M267" s="7">
        <f t="shared" si="8"/>
        <v>1.8282637401657833</v>
      </c>
      <c r="N267" s="7">
        <f t="shared" si="9"/>
        <v>1.6854848454852573</v>
      </c>
      <c r="O267" s="7">
        <f t="shared" si="10"/>
        <v>1.2750125101217977</v>
      </c>
      <c r="P267" s="7">
        <f t="shared" si="11"/>
        <v>1.4376356077157479</v>
      </c>
      <c r="Q267">
        <v>1</v>
      </c>
      <c r="R267" s="7">
        <f t="shared" si="12"/>
        <v>10.338438763498173</v>
      </c>
      <c r="S267" s="7">
        <f>VLOOKUP($A267,Rotations!$A$1:$X$1441,18,0)</f>
        <v>0.17684137634212399</v>
      </c>
      <c r="T267" s="7">
        <f>VLOOKUP($A267,Rotations!$A$1:$X$1441,19,0)</f>
        <v>9.6726403558213297E-2</v>
      </c>
      <c r="U267" s="7">
        <f>VLOOKUP($A267,Rotations!$A$1:$X$1441,20,0)</f>
        <v>0.30101663618662072</v>
      </c>
      <c r="V267" s="7">
        <f>VLOOKUP($A267,Rotations!$A$1:$X$1441,21,0)</f>
        <v>0.13905732196157067</v>
      </c>
      <c r="W267" s="7">
        <f>VLOOKUP($A267,Rotations!$A$1:$X$1441,22,0)</f>
        <v>0.16303088735565979</v>
      </c>
      <c r="X267" s="7">
        <f>VLOOKUP($A267,Rotations!$A$1:$X$1441,23,0)</f>
        <v>0.12332737459581153</v>
      </c>
    </row>
    <row r="268" spans="1:24" ht="15.75" customHeight="1" x14ac:dyDescent="0.3">
      <c r="A268">
        <v>259</v>
      </c>
      <c r="B268" t="str">
        <f>Permutations!I260</f>
        <v>p81 - i3:i1</v>
      </c>
      <c r="C268" t="str">
        <f>Permutations!J260</f>
        <v>p11 - i1:i6</v>
      </c>
      <c r="D268" t="str">
        <f>Permutations!K260</f>
        <v>p121 - i6:i2</v>
      </c>
      <c r="E268" t="str">
        <f>Permutations!L260</f>
        <v>p5 - i2:i4</v>
      </c>
      <c r="F268" t="str">
        <f>Permutations!M260</f>
        <v>p4 - i4:i5</v>
      </c>
      <c r="G268" s="7">
        <f>VLOOKUP(B268,Vlookup!$A$1:$B$30,2,0)</f>
        <v>1.7021844231989158</v>
      </c>
      <c r="H268" s="7">
        <f>VLOOKUP(C268,Vlookup!$A$1:$B$30,2,0)</f>
        <v>1.1613557664474019</v>
      </c>
      <c r="I268" s="7">
        <f>VLOOKUP(D268,Vlookup!$A$1:$B$30,2,0)</f>
        <v>1.2419340531937677</v>
      </c>
      <c r="J268" s="7">
        <f>VLOOKUP(E268,Vlookup!$A$1:$B$30,2,0)</f>
        <v>0.9108240498099236</v>
      </c>
      <c r="K268" s="7">
        <f>VLOOKUP(F268,Vlookup!$A$1:$B$30,2,0)</f>
        <v>1.89462595295753</v>
      </c>
      <c r="L268" s="7">
        <f t="shared" si="7"/>
        <v>4.2367066987760325</v>
      </c>
      <c r="M268" s="7">
        <f t="shared" si="8"/>
        <v>2.4889821813866613</v>
      </c>
      <c r="N268" s="7">
        <f t="shared" si="9"/>
        <v>2.1431694346345571</v>
      </c>
      <c r="O268" s="7">
        <f t="shared" si="10"/>
        <v>1.7256708833477632</v>
      </c>
      <c r="P268" s="7">
        <f t="shared" si="11"/>
        <v>1.89462595295753</v>
      </c>
      <c r="Q268">
        <v>1</v>
      </c>
      <c r="R268" s="7">
        <f t="shared" si="12"/>
        <v>13.489155151102544</v>
      </c>
      <c r="S268" s="7">
        <f>VLOOKUP($A268,Rotations!$A$1:$X$1441,18,0)</f>
        <v>0.18451727728724529</v>
      </c>
      <c r="T268" s="7">
        <f>VLOOKUP($A268,Rotations!$A$1:$X$1441,19,0)</f>
        <v>0.12793024203644915</v>
      </c>
      <c r="U268" s="7">
        <f>VLOOKUP($A268,Rotations!$A$1:$X$1441,20,0)</f>
        <v>0.31408243520942397</v>
      </c>
      <c r="V268" s="7">
        <f>VLOOKUP($A268,Rotations!$A$1:$X$1441,21,0)</f>
        <v>0.14045549419028452</v>
      </c>
      <c r="W268" s="7">
        <f>VLOOKUP($A268,Rotations!$A$1:$X$1441,22,0)</f>
        <v>7.4133627258210044E-2</v>
      </c>
      <c r="X268" s="7">
        <f>VLOOKUP($A268,Rotations!$A$1:$X$1441,23,0)</f>
        <v>0.15888092401838702</v>
      </c>
    </row>
    <row r="269" spans="1:24" ht="15.75" customHeight="1" x14ac:dyDescent="0.3">
      <c r="A269">
        <v>260</v>
      </c>
      <c r="B269" t="str">
        <f>Permutations!I261</f>
        <v>p81 - i3:i1</v>
      </c>
      <c r="C269" t="str">
        <f>Permutations!J261</f>
        <v>p11 - i1:i6</v>
      </c>
      <c r="D269" t="str">
        <f>Permutations!K261</f>
        <v>p121 - i6:i2</v>
      </c>
      <c r="E269" t="str">
        <f>Permutations!L261</f>
        <v>p7 - i2:i5</v>
      </c>
      <c r="F269" t="str">
        <f>Permutations!M261</f>
        <v>p41 - i5:i4</v>
      </c>
      <c r="G269" s="7">
        <f>VLOOKUP(B269,Vlookup!$A$1:$B$30,2,0)</f>
        <v>1.7021844231989158</v>
      </c>
      <c r="H269" s="7">
        <f>VLOOKUP(C269,Vlookup!$A$1:$B$30,2,0)</f>
        <v>1.1613557664474019</v>
      </c>
      <c r="I269" s="7">
        <f>VLOOKUP(D269,Vlookup!$A$1:$B$30,2,0)</f>
        <v>1.2419340531937677</v>
      </c>
      <c r="J269" s="7">
        <f>VLOOKUP(E269,Vlookup!$A$1:$B$30,2,0)</f>
        <v>1.7991741228251155</v>
      </c>
      <c r="K269" s="7">
        <f>VLOOKUP(F269,Vlookup!$A$1:$B$30,2,0)</f>
        <v>1.25400669441983</v>
      </c>
      <c r="L269" s="7">
        <f t="shared" si="7"/>
        <v>5.539154502880228</v>
      </c>
      <c r="M269" s="7">
        <f t="shared" si="8"/>
        <v>3.254144749175</v>
      </c>
      <c r="N269" s="7">
        <f t="shared" si="9"/>
        <v>2.8020222942789181</v>
      </c>
      <c r="O269" s="7">
        <f t="shared" si="10"/>
        <v>2.2561763944496205</v>
      </c>
      <c r="P269" s="7">
        <f t="shared" si="11"/>
        <v>1.25400669441983</v>
      </c>
      <c r="Q269">
        <v>1</v>
      </c>
      <c r="R269" s="7">
        <f t="shared" si="12"/>
        <v>16.105504635203594</v>
      </c>
      <c r="S269" s="7">
        <f>VLOOKUP($A269,Rotations!$A$1:$X$1441,18,0)</f>
        <v>0.20205170982733775</v>
      </c>
      <c r="T269" s="7">
        <f>VLOOKUP($A269,Rotations!$A$1:$X$1441,19,0)</f>
        <v>0.14008728354391606</v>
      </c>
      <c r="U269" s="7">
        <f>VLOOKUP($A269,Rotations!$A$1:$X$1441,20,0)</f>
        <v>0.34392927314880167</v>
      </c>
      <c r="V269" s="7">
        <f>VLOOKUP($A269,Rotations!$A$1:$X$1441,21,0)</f>
        <v>6.2090572301235984E-2</v>
      </c>
      <c r="W269" s="7">
        <f>VLOOKUP($A269,Rotations!$A$1:$X$1441,22,0)</f>
        <v>7.7861993326108395E-2</v>
      </c>
      <c r="X269" s="7">
        <f>VLOOKUP($A269,Rotations!$A$1:$X$1441,23,0)</f>
        <v>0.17397916785260029</v>
      </c>
    </row>
    <row r="270" spans="1:24" ht="15.75" customHeight="1" x14ac:dyDescent="0.3">
      <c r="A270">
        <v>261</v>
      </c>
      <c r="B270" t="str">
        <f>Permutations!I262</f>
        <v>p81 - i3:i1</v>
      </c>
      <c r="C270" t="str">
        <f>Permutations!J262</f>
        <v>p11 - i1:i6</v>
      </c>
      <c r="D270" t="str">
        <f>Permutations!K262</f>
        <v>p141 - i6:i4</v>
      </c>
      <c r="E270" t="str">
        <f>Permutations!L262</f>
        <v>p51 - i4:i2</v>
      </c>
      <c r="F270" t="str">
        <f>Permutations!M262</f>
        <v>p7 - i2:i5</v>
      </c>
      <c r="G270" s="7">
        <f>VLOOKUP(B270,Vlookup!$A$1:$B$30,2,0)</f>
        <v>1.7021844231989158</v>
      </c>
      <c r="H270" s="7">
        <f>VLOOKUP(C270,Vlookup!$A$1:$B$30,2,0)</f>
        <v>1.1613557664474019</v>
      </c>
      <c r="I270" s="7">
        <f>VLOOKUP(D270,Vlookup!$A$1:$B$30,2,0)</f>
        <v>0.88688155974910687</v>
      </c>
      <c r="J270" s="7">
        <f>VLOOKUP(E270,Vlookup!$A$1:$B$30,2,0)</f>
        <v>1.4376356077157479</v>
      </c>
      <c r="K270" s="7">
        <f>VLOOKUP(F270,Vlookup!$A$1:$B$30,2,0)</f>
        <v>1.7991741228251155</v>
      </c>
      <c r="L270" s="7">
        <f t="shared" si="7"/>
        <v>4.5348145843086849</v>
      </c>
      <c r="M270" s="7">
        <f t="shared" si="8"/>
        <v>2.6641147237068514</v>
      </c>
      <c r="N270" s="7">
        <f t="shared" si="9"/>
        <v>2.2939695144894339</v>
      </c>
      <c r="O270" s="7">
        <f t="shared" si="10"/>
        <v>2.5865567834541325</v>
      </c>
      <c r="P270" s="7">
        <f t="shared" si="11"/>
        <v>1.7991741228251155</v>
      </c>
      <c r="Q270">
        <v>1</v>
      </c>
      <c r="R270" s="7">
        <f t="shared" si="12"/>
        <v>14.878629728784217</v>
      </c>
      <c r="S270" s="7">
        <f>VLOOKUP($A270,Rotations!$A$1:$X$1441,18,0)</f>
        <v>0.17905645696342934</v>
      </c>
      <c r="T270" s="7">
        <f>VLOOKUP($A270,Rotations!$A$1:$X$1441,19,0)</f>
        <v>0.12092337504336376</v>
      </c>
      <c r="U270" s="7">
        <f>VLOOKUP($A270,Rotations!$A$1:$X$1441,20,0)</f>
        <v>0.3047871119163364</v>
      </c>
      <c r="V270" s="7">
        <f>VLOOKUP($A270,Rotations!$A$1:$X$1441,21,0)</f>
        <v>0.17384374976750555</v>
      </c>
      <c r="W270" s="7">
        <f>VLOOKUP($A270,Rotations!$A$1:$X$1441,22,0)</f>
        <v>6.721049036292627E-2</v>
      </c>
      <c r="X270" s="7">
        <f>VLOOKUP($A270,Rotations!$A$1:$X$1441,23,0)</f>
        <v>0.15417881594643876</v>
      </c>
    </row>
    <row r="271" spans="1:24" ht="15.75" customHeight="1" x14ac:dyDescent="0.3">
      <c r="A271">
        <v>262</v>
      </c>
      <c r="B271" t="str">
        <f>Permutations!I263</f>
        <v>p81 - i3:i1</v>
      </c>
      <c r="C271" t="str">
        <f>Permutations!J263</f>
        <v>p11 - i1:i6</v>
      </c>
      <c r="D271" t="str">
        <f>Permutations!K263</f>
        <v>p141 - i6:i4</v>
      </c>
      <c r="E271" t="str">
        <f>Permutations!L263</f>
        <v>p4 - i4:i5</v>
      </c>
      <c r="F271" t="str">
        <f>Permutations!M263</f>
        <v>p71 - i5:i2</v>
      </c>
      <c r="G271" s="7">
        <f>VLOOKUP(B271,Vlookup!$A$1:$B$30,2,0)</f>
        <v>1.7021844231989158</v>
      </c>
      <c r="H271" s="7">
        <f>VLOOKUP(C271,Vlookup!$A$1:$B$30,2,0)</f>
        <v>1.1613557664474019</v>
      </c>
      <c r="I271" s="7">
        <f>VLOOKUP(D271,Vlookup!$A$1:$B$30,2,0)</f>
        <v>0.88688155974910687</v>
      </c>
      <c r="J271" s="7">
        <f>VLOOKUP(E271,Vlookup!$A$1:$B$30,2,0)</f>
        <v>1.89462595295753</v>
      </c>
      <c r="K271" s="7">
        <f>VLOOKUP(F271,Vlookup!$A$1:$B$30,2,0)</f>
        <v>1.8243208303594776</v>
      </c>
      <c r="L271" s="7">
        <f t="shared" si="7"/>
        <v>6.0598547794828796</v>
      </c>
      <c r="M271" s="7">
        <f t="shared" si="8"/>
        <v>3.5600459602929471</v>
      </c>
      <c r="N271" s="7">
        <f t="shared" si="9"/>
        <v>3.0654223823102549</v>
      </c>
      <c r="O271" s="7">
        <f t="shared" si="10"/>
        <v>3.4564055917200975</v>
      </c>
      <c r="P271" s="7">
        <f t="shared" si="11"/>
        <v>1.8243208303594776</v>
      </c>
      <c r="Q271">
        <v>1</v>
      </c>
      <c r="R271" s="7">
        <f t="shared" si="12"/>
        <v>18.966049544165656</v>
      </c>
      <c r="S271" s="7">
        <f>VLOOKUP($A271,Rotations!$A$1:$X$1441,18,0)</f>
        <v>0.18770624594240237</v>
      </c>
      <c r="T271" s="7">
        <f>VLOOKUP($A271,Rotations!$A$1:$X$1441,19,0)</f>
        <v>5.2725792879077464E-2</v>
      </c>
      <c r="U271" s="7">
        <f>VLOOKUP($A271,Rotations!$A$1:$X$1441,20,0)</f>
        <v>0.31951064798030199</v>
      </c>
      <c r="V271" s="7">
        <f>VLOOKUP($A271,Rotations!$A$1:$X$1441,21,0)</f>
        <v>0.18224172533511906</v>
      </c>
      <c r="W271" s="7">
        <f>VLOOKUP($A271,Rotations!$A$1:$X$1441,22,0)</f>
        <v>9.6188762246520426E-2</v>
      </c>
      <c r="X271" s="7">
        <f>VLOOKUP($A271,Rotations!$A$1:$X$1441,23,0)</f>
        <v>0.16162682561657871</v>
      </c>
    </row>
    <row r="272" spans="1:24" ht="15.75" customHeight="1" x14ac:dyDescent="0.3">
      <c r="A272">
        <v>263</v>
      </c>
      <c r="B272" t="str">
        <f>Permutations!I264</f>
        <v>p81 - i3:i1</v>
      </c>
      <c r="C272" t="str">
        <f>Permutations!J264</f>
        <v>p11 - i1:i6</v>
      </c>
      <c r="D272" t="str">
        <f>Permutations!K264</f>
        <v>p151 - i6:i5</v>
      </c>
      <c r="E272" t="str">
        <f>Permutations!L264</f>
        <v>p71 - i5:i2</v>
      </c>
      <c r="F272" t="str">
        <f>Permutations!M264</f>
        <v>p5 - i2:i4</v>
      </c>
      <c r="G272" s="7">
        <f>VLOOKUP(B272,Vlookup!$A$1:$B$30,2,0)</f>
        <v>1.7021844231989158</v>
      </c>
      <c r="H272" s="7">
        <f>VLOOKUP(C272,Vlookup!$A$1:$B$30,2,0)</f>
        <v>1.1613557664474019</v>
      </c>
      <c r="I272" s="7">
        <f>VLOOKUP(D272,Vlookup!$A$1:$B$30,2,0)</f>
        <v>1.2266517321719024</v>
      </c>
      <c r="J272" s="7">
        <f>VLOOKUP(E272,Vlookup!$A$1:$B$30,2,0)</f>
        <v>1.8243208303594776</v>
      </c>
      <c r="K272" s="7">
        <f>VLOOKUP(F272,Vlookup!$A$1:$B$30,2,0)</f>
        <v>0.9108240498099236</v>
      </c>
      <c r="L272" s="7">
        <f t="shared" si="7"/>
        <v>4.029293242341538</v>
      </c>
      <c r="M272" s="7">
        <f t="shared" si="8"/>
        <v>2.3671308393066397</v>
      </c>
      <c r="N272" s="7">
        <f t="shared" si="9"/>
        <v>2.0382478028655377</v>
      </c>
      <c r="O272" s="7">
        <f t="shared" si="10"/>
        <v>1.6616352868606219</v>
      </c>
      <c r="P272" s="7">
        <f t="shared" si="11"/>
        <v>0.9108240498099236</v>
      </c>
      <c r="Q272">
        <v>1</v>
      </c>
      <c r="R272" s="7">
        <f t="shared" si="12"/>
        <v>12.007131221184261</v>
      </c>
      <c r="S272" s="7">
        <f>VLOOKUP($A272,Rotations!$A$1:$X$1441,18,0)</f>
        <v>0.19714374697015846</v>
      </c>
      <c r="T272" s="7">
        <f>VLOOKUP($A272,Rotations!$A$1:$X$1441,19,0)</f>
        <v>7.5856924775082879E-2</v>
      </c>
      <c r="U272" s="7">
        <f>VLOOKUP($A272,Rotations!$A$1:$X$1441,20,0)</f>
        <v>0.33557501522367217</v>
      </c>
      <c r="V272" s="7">
        <f>VLOOKUP($A272,Rotations!$A$1:$X$1441,21,0)</f>
        <v>8.3283840376100274E-2</v>
      </c>
      <c r="W272" s="7">
        <f>VLOOKUP($A272,Rotations!$A$1:$X$1441,22,0)</f>
        <v>0.13838736799419563</v>
      </c>
      <c r="X272" s="7">
        <f>VLOOKUP($A272,Rotations!$A$1:$X$1441,23,0)</f>
        <v>0.16975310466079055</v>
      </c>
    </row>
    <row r="273" spans="1:24" ht="15.75" customHeight="1" x14ac:dyDescent="0.3">
      <c r="A273">
        <v>264</v>
      </c>
      <c r="B273" t="str">
        <f>Permutations!I265</f>
        <v>p81 - i3:i1</v>
      </c>
      <c r="C273" t="str">
        <f>Permutations!J265</f>
        <v>p11 - i1:i6</v>
      </c>
      <c r="D273" t="str">
        <f>Permutations!K265</f>
        <v>p151 - i6:i5</v>
      </c>
      <c r="E273" t="str">
        <f>Permutations!L265</f>
        <v>p41 - i5:i4</v>
      </c>
      <c r="F273" t="str">
        <f>Permutations!M265</f>
        <v>p51 - i4:i2</v>
      </c>
      <c r="G273" s="7">
        <f>VLOOKUP(B273,Vlookup!$A$1:$B$30,2,0)</f>
        <v>1.7021844231989158</v>
      </c>
      <c r="H273" s="7">
        <f>VLOOKUP(C273,Vlookup!$A$1:$B$30,2,0)</f>
        <v>1.1613557664474019</v>
      </c>
      <c r="I273" s="7">
        <f>VLOOKUP(D273,Vlookup!$A$1:$B$30,2,0)</f>
        <v>1.2266517321719024</v>
      </c>
      <c r="J273" s="7">
        <f>VLOOKUP(E273,Vlookup!$A$1:$B$30,2,0)</f>
        <v>1.25400669441983</v>
      </c>
      <c r="K273" s="7">
        <f>VLOOKUP(F273,Vlookup!$A$1:$B$30,2,0)</f>
        <v>1.4376356077157479</v>
      </c>
      <c r="L273" s="7">
        <f t="shared" si="7"/>
        <v>4.3716143708324564</v>
      </c>
      <c r="M273" s="7">
        <f t="shared" si="8"/>
        <v>2.5682377956537046</v>
      </c>
      <c r="N273" s="7">
        <f t="shared" si="9"/>
        <v>2.2114134788428941</v>
      </c>
      <c r="O273" s="7">
        <f t="shared" si="10"/>
        <v>1.8028046762118686</v>
      </c>
      <c r="P273" s="7">
        <f t="shared" si="11"/>
        <v>1.4376356077157479</v>
      </c>
      <c r="Q273">
        <v>1</v>
      </c>
      <c r="R273" s="7">
        <f t="shared" si="12"/>
        <v>13.391705929256672</v>
      </c>
      <c r="S273" s="7">
        <f>VLOOKUP($A273,Rotations!$A$1:$X$1441,18,0)</f>
        <v>0.19177824014511188</v>
      </c>
      <c r="T273" s="7">
        <f>VLOOKUP($A273,Rotations!$A$1:$X$1441,19,0)</f>
        <v>7.467308536213553E-2</v>
      </c>
      <c r="U273" s="7">
        <f>VLOOKUP($A273,Rotations!$A$1:$X$1441,20,0)</f>
        <v>0.32644193308351044</v>
      </c>
      <c r="V273" s="7">
        <f>VLOOKUP($A273,Rotations!$A$1:$X$1441,21,0)</f>
        <v>0.10735268645460364</v>
      </c>
      <c r="W273" s="7">
        <f>VLOOKUP($A273,Rotations!$A$1:$X$1441,22,0)</f>
        <v>0.13462098747802598</v>
      </c>
      <c r="X273" s="7">
        <f>VLOOKUP($A273,Rotations!$A$1:$X$1441,23,0)</f>
        <v>0.16513306747661252</v>
      </c>
    </row>
    <row r="274" spans="1:24" ht="15.75" customHeight="1" x14ac:dyDescent="0.3">
      <c r="A274">
        <v>265</v>
      </c>
      <c r="B274" t="str">
        <f>Permutations!I266</f>
        <v>p21 - i3:i2</v>
      </c>
      <c r="C274" t="str">
        <f>Permutations!J266</f>
        <v>p11 - i2:i1</v>
      </c>
      <c r="D274" t="str">
        <f>Permutations!K266</f>
        <v>p9 - i1:i4</v>
      </c>
      <c r="E274" t="str">
        <f>Permutations!L266</f>
        <v>p4 - i4:i5</v>
      </c>
      <c r="F274" t="str">
        <f>Permutations!M266</f>
        <v>p15 - i5:i6</v>
      </c>
      <c r="G274" s="7">
        <f>VLOOKUP(B274,Vlookup!$A$1:$B$30,2,0)</f>
        <v>1.5059827029565431</v>
      </c>
      <c r="H274" s="7">
        <f>VLOOKUP(C274,Vlookup!$A$1:$B$30,2,0)</f>
        <v>1.7440097060445605</v>
      </c>
      <c r="I274" s="7">
        <f>VLOOKUP(D274,Vlookup!$A$1:$B$30,2,0)</f>
        <v>1.2538815092968505</v>
      </c>
      <c r="J274" s="7">
        <f>VLOOKUP(E274,Vlookup!$A$1:$B$30,2,0)</f>
        <v>1.89462595295753</v>
      </c>
      <c r="K274" s="7">
        <f>VLOOKUP(F274,Vlookup!$A$1:$B$30,2,0)</f>
        <v>1.3219359277692486</v>
      </c>
      <c r="L274" s="7">
        <f t="shared" si="7"/>
        <v>8.2482016038859012</v>
      </c>
      <c r="M274" s="7">
        <f t="shared" si="8"/>
        <v>5.4769564004241511</v>
      </c>
      <c r="N274" s="7">
        <f t="shared" si="9"/>
        <v>3.1404391738426547</v>
      </c>
      <c r="O274" s="7">
        <f t="shared" si="10"/>
        <v>2.5045741168986093</v>
      </c>
      <c r="P274" s="7">
        <f t="shared" si="11"/>
        <v>1.3219359277692486</v>
      </c>
      <c r="Q274">
        <v>1</v>
      </c>
      <c r="R274" s="7">
        <f t="shared" si="12"/>
        <v>21.692107222820567</v>
      </c>
      <c r="S274" s="7">
        <f>VLOOKUP($A274,Rotations!$A$1:$X$1441,18,0)</f>
        <v>0.14477335657546653</v>
      </c>
      <c r="T274" s="7">
        <f>VLOOKUP($A274,Rotations!$A$1:$X$1441,19,0)</f>
        <v>0.2524861390442637</v>
      </c>
      <c r="U274" s="7">
        <f>VLOOKUP($A274,Rotations!$A$1:$X$1441,20,0)</f>
        <v>0.38023975813694183</v>
      </c>
      <c r="V274" s="7">
        <f>VLOOKUP($A274,Rotations!$A$1:$X$1441,21,0)</f>
        <v>0.11546015752050788</v>
      </c>
      <c r="W274" s="7">
        <f>VLOOKUP($A274,Rotations!$A$1:$X$1441,22,0)</f>
        <v>6.0940871912090834E-2</v>
      </c>
      <c r="X274" s="7">
        <f>VLOOKUP($A274,Rotations!$A$1:$X$1441,23,0)</f>
        <v>4.6099716810729129E-2</v>
      </c>
    </row>
    <row r="275" spans="1:24" ht="15.75" customHeight="1" x14ac:dyDescent="0.3">
      <c r="A275">
        <v>266</v>
      </c>
      <c r="B275" t="str">
        <f>Permutations!I267</f>
        <v>p21 - i3:i2</v>
      </c>
      <c r="C275" t="str">
        <f>Permutations!J267</f>
        <v>p11 - i2:i1</v>
      </c>
      <c r="D275" t="str">
        <f>Permutations!K267</f>
        <v>p9 - i1:i4</v>
      </c>
      <c r="E275" t="str">
        <f>Permutations!L267</f>
        <v>p14 - i4:i6</v>
      </c>
      <c r="F275" t="str">
        <f>Permutations!M267</f>
        <v>p151 - i6:i5</v>
      </c>
      <c r="G275" s="7">
        <f>VLOOKUP(B275,Vlookup!$A$1:$B$30,2,0)</f>
        <v>1.5059827029565431</v>
      </c>
      <c r="H275" s="7">
        <f>VLOOKUP(C275,Vlookup!$A$1:$B$30,2,0)</f>
        <v>1.7440097060445605</v>
      </c>
      <c r="I275" s="7">
        <f>VLOOKUP(D275,Vlookup!$A$1:$B$30,2,0)</f>
        <v>1.2538815092968505</v>
      </c>
      <c r="J275" s="7">
        <f>VLOOKUP(E275,Vlookup!$A$1:$B$30,2,0)</f>
        <v>1.478275916473532</v>
      </c>
      <c r="K275" s="7">
        <f>VLOOKUP(F275,Vlookup!$A$1:$B$30,2,0)</f>
        <v>1.2266517321719024</v>
      </c>
      <c r="L275" s="7">
        <f t="shared" si="7"/>
        <v>5.9717574141367278</v>
      </c>
      <c r="M275" s="7">
        <f t="shared" si="8"/>
        <v>3.9653559117332371</v>
      </c>
      <c r="N275" s="7">
        <f t="shared" si="9"/>
        <v>2.273700598104309</v>
      </c>
      <c r="O275" s="7">
        <f t="shared" si="10"/>
        <v>1.8133297135702644</v>
      </c>
      <c r="P275" s="7">
        <f t="shared" si="11"/>
        <v>1.2266517321719024</v>
      </c>
      <c r="Q275">
        <v>1</v>
      </c>
      <c r="R275" s="7">
        <f t="shared" si="12"/>
        <v>16.250795369716442</v>
      </c>
      <c r="S275" s="7">
        <f>VLOOKUP($A275,Rotations!$A$1:$X$1441,18,0)</f>
        <v>0.13991318863945443</v>
      </c>
      <c r="T275" s="7">
        <f>VLOOKUP($A275,Rotations!$A$1:$X$1441,19,0)</f>
        <v>0.24400995899085204</v>
      </c>
      <c r="U275" s="7">
        <f>VLOOKUP($A275,Rotations!$A$1:$X$1441,20,0)</f>
        <v>0.36747477758935859</v>
      </c>
      <c r="V275" s="7">
        <f>VLOOKUP($A275,Rotations!$A$1:$X$1441,21,0)</f>
        <v>0.1115840592608425</v>
      </c>
      <c r="W275" s="7">
        <f>VLOOKUP($A275,Rotations!$A$1:$X$1441,22,0)</f>
        <v>6.1535449634884477E-2</v>
      </c>
      <c r="X275" s="7">
        <f>VLOOKUP($A275,Rotations!$A$1:$X$1441,23,0)</f>
        <v>7.5482565884607902E-2</v>
      </c>
    </row>
    <row r="276" spans="1:24" ht="15.75" customHeight="1" x14ac:dyDescent="0.3">
      <c r="A276">
        <v>267</v>
      </c>
      <c r="B276" t="str">
        <f>Permutations!I268</f>
        <v>p21 - i3:i2</v>
      </c>
      <c r="C276" t="str">
        <f>Permutations!J268</f>
        <v>p11 - i2:i1</v>
      </c>
      <c r="D276" t="str">
        <f>Permutations!K268</f>
        <v>p10 - i1:i5</v>
      </c>
      <c r="E276" t="str">
        <f>Permutations!L268</f>
        <v>p41 - i5:i4</v>
      </c>
      <c r="F276" t="str">
        <f>Permutations!M268</f>
        <v>p14 - i4:i6</v>
      </c>
      <c r="G276" s="7">
        <f>VLOOKUP(B276,Vlookup!$A$1:$B$30,2,0)</f>
        <v>1.5059827029565431</v>
      </c>
      <c r="H276" s="7">
        <f>VLOOKUP(C276,Vlookup!$A$1:$B$30,2,0)</f>
        <v>1.7440097060445605</v>
      </c>
      <c r="I276" s="7">
        <f>VLOOKUP(D276,Vlookup!$A$1:$B$30,2,0)</f>
        <v>1.0847108741813811</v>
      </c>
      <c r="J276" s="7">
        <f>VLOOKUP(E276,Vlookup!$A$1:$B$30,2,0)</f>
        <v>1.25400669441983</v>
      </c>
      <c r="K276" s="7">
        <f>VLOOKUP(F276,Vlookup!$A$1:$B$30,2,0)</f>
        <v>1.478275916473532</v>
      </c>
      <c r="L276" s="7">
        <f t="shared" si="7"/>
        <v>5.2812683089620149</v>
      </c>
      <c r="M276" s="7">
        <f t="shared" si="8"/>
        <v>3.5068585439884781</v>
      </c>
      <c r="N276" s="7">
        <f t="shared" si="9"/>
        <v>2.0108021944109957</v>
      </c>
      <c r="O276" s="7">
        <f t="shared" si="10"/>
        <v>1.8537678954574186</v>
      </c>
      <c r="P276" s="7">
        <f t="shared" si="11"/>
        <v>1.478275916473532</v>
      </c>
      <c r="Q276">
        <v>1</v>
      </c>
      <c r="R276" s="7">
        <f t="shared" si="12"/>
        <v>15.130972859292438</v>
      </c>
      <c r="S276" s="7">
        <f>VLOOKUP($A276,Rotations!$A$1:$X$1441,18,0)</f>
        <v>0.13289312016550836</v>
      </c>
      <c r="T276" s="7">
        <f>VLOOKUP($A276,Rotations!$A$1:$X$1441,19,0)</f>
        <v>0.23176689143519272</v>
      </c>
      <c r="U276" s="7">
        <f>VLOOKUP($A276,Rotations!$A$1:$X$1441,20,0)</f>
        <v>0.34903692961940719</v>
      </c>
      <c r="V276" s="7">
        <f>VLOOKUP($A276,Rotations!$A$1:$X$1441,21,0)</f>
        <v>9.7698669492072551E-2</v>
      </c>
      <c r="W276" s="7">
        <f>VLOOKUP($A276,Rotations!$A$1:$X$1441,22,0)</f>
        <v>0.1225147855789694</v>
      </c>
      <c r="X276" s="7">
        <f>VLOOKUP($A276,Rotations!$A$1:$X$1441,23,0)</f>
        <v>6.6089603708849851E-2</v>
      </c>
    </row>
    <row r="277" spans="1:24" ht="15.75" customHeight="1" x14ac:dyDescent="0.3">
      <c r="A277">
        <v>268</v>
      </c>
      <c r="B277" t="str">
        <f>Permutations!I269</f>
        <v>p21 - i3:i2</v>
      </c>
      <c r="C277" t="str">
        <f>Permutations!J269</f>
        <v>p11 - i2:i1</v>
      </c>
      <c r="D277" t="str">
        <f>Permutations!K269</f>
        <v>p10 - i1:i5</v>
      </c>
      <c r="E277" t="str">
        <f>Permutations!L269</f>
        <v>p15 - i5:i6</v>
      </c>
      <c r="F277" t="str">
        <f>Permutations!M269</f>
        <v>p141 - i6:i4</v>
      </c>
      <c r="G277" s="7">
        <f>VLOOKUP(B277,Vlookup!$A$1:$B$30,2,0)</f>
        <v>1.5059827029565431</v>
      </c>
      <c r="H277" s="7">
        <f>VLOOKUP(C277,Vlookup!$A$1:$B$30,2,0)</f>
        <v>1.7440097060445605</v>
      </c>
      <c r="I277" s="7">
        <f>VLOOKUP(D277,Vlookup!$A$1:$B$30,2,0)</f>
        <v>1.0847108741813811</v>
      </c>
      <c r="J277" s="7">
        <f>VLOOKUP(E277,Vlookup!$A$1:$B$30,2,0)</f>
        <v>1.3219359277692486</v>
      </c>
      <c r="K277" s="7">
        <f>VLOOKUP(F277,Vlookup!$A$1:$B$30,2,0)</f>
        <v>0.88688155974910687</v>
      </c>
      <c r="L277" s="7">
        <f t="shared" si="7"/>
        <v>3.3400956701223286</v>
      </c>
      <c r="M277" s="7">
        <f t="shared" si="8"/>
        <v>2.2178844840415883</v>
      </c>
      <c r="N277" s="7">
        <f t="shared" si="9"/>
        <v>1.2717156770140818</v>
      </c>
      <c r="O277" s="7">
        <f t="shared" si="10"/>
        <v>1.172400597508374</v>
      </c>
      <c r="P277" s="7">
        <f t="shared" si="11"/>
        <v>0.88688155974910687</v>
      </c>
      <c r="Q277">
        <v>1</v>
      </c>
      <c r="R277" s="7">
        <f t="shared" si="12"/>
        <v>9.888977988435478</v>
      </c>
      <c r="S277" s="7">
        <f>VLOOKUP($A277,Rotations!$A$1:$X$1441,18,0)</f>
        <v>0.12859930303225178</v>
      </c>
      <c r="T277" s="7">
        <f>VLOOKUP($A277,Rotations!$A$1:$X$1441,19,0)</f>
        <v>0.22427843267881284</v>
      </c>
      <c r="U277" s="7">
        <f>VLOOKUP($A277,Rotations!$A$1:$X$1441,20,0)</f>
        <v>0.33775944026049559</v>
      </c>
      <c r="V277" s="7">
        <f>VLOOKUP($A277,Rotations!$A$1:$X$1441,21,0)</f>
        <v>0.10112268438350611</v>
      </c>
      <c r="W277" s="7">
        <f>VLOOKUP($A277,Rotations!$A$1:$X$1441,22,0)</f>
        <v>0.11855629559287328</v>
      </c>
      <c r="X277" s="7">
        <f>VLOOKUP($A277,Rotations!$A$1:$X$1441,23,0)</f>
        <v>8.9683844052060549E-2</v>
      </c>
    </row>
    <row r="278" spans="1:24" ht="15.75" customHeight="1" x14ac:dyDescent="0.3">
      <c r="A278">
        <v>269</v>
      </c>
      <c r="B278" t="str">
        <f>Permutations!I270</f>
        <v>p21 - i3:i2</v>
      </c>
      <c r="C278" t="str">
        <f>Permutations!J270</f>
        <v>p11 - i2:i1</v>
      </c>
      <c r="D278" t="str">
        <f>Permutations!K270</f>
        <v>p11 - i1:i6</v>
      </c>
      <c r="E278" t="str">
        <f>Permutations!L270</f>
        <v>p141 - i6:i4</v>
      </c>
      <c r="F278" t="str">
        <f>Permutations!M270</f>
        <v>p4 - i4:i5</v>
      </c>
      <c r="G278" s="7">
        <f>VLOOKUP(B278,Vlookup!$A$1:$B$30,2,0)</f>
        <v>1.5059827029565431</v>
      </c>
      <c r="H278" s="7">
        <f>VLOOKUP(C278,Vlookup!$A$1:$B$30,2,0)</f>
        <v>1.7440097060445605</v>
      </c>
      <c r="I278" s="7">
        <f>VLOOKUP(D278,Vlookup!$A$1:$B$30,2,0)</f>
        <v>1.1613557664474019</v>
      </c>
      <c r="J278" s="7">
        <f>VLOOKUP(E278,Vlookup!$A$1:$B$30,2,0)</f>
        <v>0.88688155974910687</v>
      </c>
      <c r="K278" s="7">
        <f>VLOOKUP(F278,Vlookup!$A$1:$B$30,2,0)</f>
        <v>1.89462595295753</v>
      </c>
      <c r="L278" s="7">
        <f t="shared" si="7"/>
        <v>5.1253469469968591</v>
      </c>
      <c r="M278" s="7">
        <f t="shared" si="8"/>
        <v>3.4033239139697855</v>
      </c>
      <c r="N278" s="7">
        <f t="shared" si="9"/>
        <v>1.9514363378679667</v>
      </c>
      <c r="O278" s="7">
        <f t="shared" si="10"/>
        <v>1.6803088203001122</v>
      </c>
      <c r="P278" s="7">
        <f t="shared" si="11"/>
        <v>1.89462595295753</v>
      </c>
      <c r="Q278">
        <v>1</v>
      </c>
      <c r="R278" s="7">
        <f t="shared" si="12"/>
        <v>15.055041972092255</v>
      </c>
      <c r="S278" s="7">
        <f>VLOOKUP($A278,Rotations!$A$1:$X$1441,18,0)</f>
        <v>0.12962011939158802</v>
      </c>
      <c r="T278" s="7">
        <f>VLOOKUP($A278,Rotations!$A$1:$X$1441,19,0)</f>
        <v>0.22605874631758419</v>
      </c>
      <c r="U278" s="7">
        <f>VLOOKUP($A278,Rotations!$A$1:$X$1441,20,0)</f>
        <v>0.34044056180632293</v>
      </c>
      <c r="V278" s="7">
        <f>VLOOKUP($A278,Rotations!$A$1:$X$1441,21,0)</f>
        <v>0.12584660716785945</v>
      </c>
      <c r="W278" s="7">
        <f>VLOOKUP($A278,Rotations!$A$1:$X$1441,22,0)</f>
        <v>6.6422930062481012E-2</v>
      </c>
      <c r="X278" s="7">
        <f>VLOOKUP($A278,Rotations!$A$1:$X$1441,23,0)</f>
        <v>0.11161103525416433</v>
      </c>
    </row>
    <row r="279" spans="1:24" ht="15.75" customHeight="1" x14ac:dyDescent="0.3">
      <c r="A279">
        <v>270</v>
      </c>
      <c r="B279" t="str">
        <f>Permutations!I271</f>
        <v>p21 - i3:i2</v>
      </c>
      <c r="C279" t="str">
        <f>Permutations!J271</f>
        <v>p11 - i2:i1</v>
      </c>
      <c r="D279" t="str">
        <f>Permutations!K271</f>
        <v>p11 - i1:i6</v>
      </c>
      <c r="E279" t="str">
        <f>Permutations!L271</f>
        <v>p151 - i6:i5</v>
      </c>
      <c r="F279" t="str">
        <f>Permutations!M271</f>
        <v>p41 - i5:i4</v>
      </c>
      <c r="G279" s="7">
        <f>VLOOKUP(B279,Vlookup!$A$1:$B$30,2,0)</f>
        <v>1.5059827029565431</v>
      </c>
      <c r="H279" s="7">
        <f>VLOOKUP(C279,Vlookup!$A$1:$B$30,2,0)</f>
        <v>1.7440097060445605</v>
      </c>
      <c r="I279" s="7">
        <f>VLOOKUP(D279,Vlookup!$A$1:$B$30,2,0)</f>
        <v>1.1613557664474019</v>
      </c>
      <c r="J279" s="7">
        <f>VLOOKUP(E279,Vlookup!$A$1:$B$30,2,0)</f>
        <v>1.2266517321719024</v>
      </c>
      <c r="K279" s="7">
        <f>VLOOKUP(F279,Vlookup!$A$1:$B$30,2,0)</f>
        <v>1.25400669441983</v>
      </c>
      <c r="L279" s="7">
        <f t="shared" si="7"/>
        <v>4.6919707220849896</v>
      </c>
      <c r="M279" s="7">
        <f t="shared" si="8"/>
        <v>3.1155541912093137</v>
      </c>
      <c r="N279" s="7">
        <f t="shared" si="9"/>
        <v>1.7864316812063141</v>
      </c>
      <c r="O279" s="7">
        <f t="shared" si="10"/>
        <v>1.5382294838652459</v>
      </c>
      <c r="P279" s="7">
        <f t="shared" si="11"/>
        <v>1.25400669441983</v>
      </c>
      <c r="Q279">
        <v>1</v>
      </c>
      <c r="R279" s="7">
        <f t="shared" si="12"/>
        <v>13.386192772785694</v>
      </c>
      <c r="S279" s="7">
        <f>VLOOKUP($A279,Rotations!$A$1:$X$1441,18,0)</f>
        <v>0.13345330606908284</v>
      </c>
      <c r="T279" s="7">
        <f>VLOOKUP($A279,Rotations!$A$1:$X$1441,19,0)</f>
        <v>0.23274386108821593</v>
      </c>
      <c r="U279" s="7">
        <f>VLOOKUP($A279,Rotations!$A$1:$X$1441,20,0)</f>
        <v>0.35050822901817369</v>
      </c>
      <c r="V279" s="7">
        <f>VLOOKUP($A279,Rotations!$A$1:$X$1441,21,0)</f>
        <v>7.4703839767869859E-2</v>
      </c>
      <c r="W279" s="7">
        <f>VLOOKUP($A279,Rotations!$A$1:$X$1441,22,0)</f>
        <v>9.367911516777512E-2</v>
      </c>
      <c r="X279" s="7">
        <f>VLOOKUP($A279,Rotations!$A$1:$X$1441,23,0)</f>
        <v>0.11491164888888249</v>
      </c>
    </row>
    <row r="280" spans="1:24" ht="15.75" customHeight="1" x14ac:dyDescent="0.3">
      <c r="A280">
        <v>271</v>
      </c>
      <c r="B280" t="str">
        <f>Permutations!I272</f>
        <v>p21 - i3:i2</v>
      </c>
      <c r="C280" t="str">
        <f>Permutations!J272</f>
        <v>p5 - i2:i4</v>
      </c>
      <c r="D280" t="str">
        <f>Permutations!K272</f>
        <v>p91 - i4:i1</v>
      </c>
      <c r="E280" t="str">
        <f>Permutations!L272</f>
        <v>p10 - i1:i5</v>
      </c>
      <c r="F280" t="str">
        <f>Permutations!M272</f>
        <v>p15 - i5:i6</v>
      </c>
      <c r="G280" s="7">
        <f>VLOOKUP(B280,Vlookup!$A$1:$B$30,2,0)</f>
        <v>1.5059827029565431</v>
      </c>
      <c r="H280" s="7">
        <f>VLOOKUP(C280,Vlookup!$A$1:$B$30,2,0)</f>
        <v>0.9108240498099236</v>
      </c>
      <c r="I280" s="7">
        <f>VLOOKUP(D280,Vlookup!$A$1:$B$30,2,0)</f>
        <v>2.9131157743633094</v>
      </c>
      <c r="J280" s="7">
        <f>VLOOKUP(E280,Vlookup!$A$1:$B$30,2,0)</f>
        <v>1.0847108741813811</v>
      </c>
      <c r="K280" s="7">
        <f>VLOOKUP(F280,Vlookup!$A$1:$B$30,2,0)</f>
        <v>1.3219359277692486</v>
      </c>
      <c r="L280" s="7">
        <f t="shared" si="7"/>
        <v>5.7297624653890677</v>
      </c>
      <c r="M280" s="7">
        <f t="shared" si="8"/>
        <v>3.8046668491878464</v>
      </c>
      <c r="N280" s="7">
        <f t="shared" si="9"/>
        <v>4.1771699484459459</v>
      </c>
      <c r="O280" s="7">
        <f t="shared" si="10"/>
        <v>1.4339182758223568</v>
      </c>
      <c r="P280" s="7">
        <f t="shared" si="11"/>
        <v>1.3219359277692486</v>
      </c>
      <c r="Q280">
        <v>1</v>
      </c>
      <c r="R280" s="7">
        <f t="shared" si="12"/>
        <v>17.467453466614469</v>
      </c>
      <c r="S280" s="7">
        <f>VLOOKUP($A280,Rotations!$A$1:$X$1441,18,0)</f>
        <v>8.2090859927750989E-2</v>
      </c>
      <c r="T280" s="7">
        <f>VLOOKUP($A280,Rotations!$A$1:$X$1441,19,0)</f>
        <v>0.21781462629682702</v>
      </c>
      <c r="U280" s="7">
        <f>VLOOKUP($A280,Rotations!$A$1:$X$1441,20,0)</f>
        <v>0.32802505965396495</v>
      </c>
      <c r="V280" s="7">
        <f>VLOOKUP($A280,Rotations!$A$1:$X$1441,21,0)</f>
        <v>0.23914017898658027</v>
      </c>
      <c r="W280" s="7">
        <f>VLOOKUP($A280,Rotations!$A$1:$X$1441,22,0)</f>
        <v>7.5679945579695623E-2</v>
      </c>
      <c r="X280" s="7">
        <f>VLOOKUP($A280,Rotations!$A$1:$X$1441,23,0)</f>
        <v>5.7249329555180972E-2</v>
      </c>
    </row>
    <row r="281" spans="1:24" ht="15.75" customHeight="1" x14ac:dyDescent="0.3">
      <c r="A281">
        <v>272</v>
      </c>
      <c r="B281" t="str">
        <f>Permutations!I273</f>
        <v>p21 - i3:i2</v>
      </c>
      <c r="C281" t="str">
        <f>Permutations!J273</f>
        <v>p5 - i2:i4</v>
      </c>
      <c r="D281" t="str">
        <f>Permutations!K273</f>
        <v>p91 - i4:i1</v>
      </c>
      <c r="E281" t="str">
        <f>Permutations!L273</f>
        <v>p11 - i1:i6</v>
      </c>
      <c r="F281" t="str">
        <f>Permutations!M273</f>
        <v>p151 - i6:i5</v>
      </c>
      <c r="G281" s="7">
        <f>VLOOKUP(B281,Vlookup!$A$1:$B$30,2,0)</f>
        <v>1.5059827029565431</v>
      </c>
      <c r="H281" s="7">
        <f>VLOOKUP(C281,Vlookup!$A$1:$B$30,2,0)</f>
        <v>0.9108240498099236</v>
      </c>
      <c r="I281" s="7">
        <f>VLOOKUP(D281,Vlookup!$A$1:$B$30,2,0)</f>
        <v>2.9131157743633094</v>
      </c>
      <c r="J281" s="7">
        <f>VLOOKUP(E281,Vlookup!$A$1:$B$30,2,0)</f>
        <v>1.1613557664474019</v>
      </c>
      <c r="K281" s="7">
        <f>VLOOKUP(F281,Vlookup!$A$1:$B$30,2,0)</f>
        <v>1.2266517321719024</v>
      </c>
      <c r="L281" s="7">
        <f t="shared" si="7"/>
        <v>5.6924441088330928</v>
      </c>
      <c r="M281" s="7">
        <f t="shared" si="8"/>
        <v>3.7798867793485904</v>
      </c>
      <c r="N281" s="7">
        <f t="shared" si="9"/>
        <v>4.1499637390310467</v>
      </c>
      <c r="O281" s="7">
        <f t="shared" si="10"/>
        <v>1.4245790625805328</v>
      </c>
      <c r="P281" s="7">
        <f t="shared" si="11"/>
        <v>1.2266517321719024</v>
      </c>
      <c r="Q281">
        <v>1</v>
      </c>
      <c r="R281" s="7">
        <f t="shared" si="12"/>
        <v>17.273525421965168</v>
      </c>
      <c r="S281" s="7">
        <f>VLOOKUP($A281,Rotations!$A$1:$X$1441,18,0)</f>
        <v>8.2471819028270013E-2</v>
      </c>
      <c r="T281" s="7">
        <f>VLOOKUP($A281,Rotations!$A$1:$X$1441,19,0)</f>
        <v>0.21882543875739766</v>
      </c>
      <c r="U281" s="7">
        <f>VLOOKUP($A281,Rotations!$A$1:$X$1441,20,0)</f>
        <v>0.3295473257355172</v>
      </c>
      <c r="V281" s="7">
        <f>VLOOKUP($A281,Rotations!$A$1:$X$1441,21,0)</f>
        <v>0.24024995695168955</v>
      </c>
      <c r="W281" s="7">
        <f>VLOOKUP($A281,Rotations!$A$1:$X$1441,22,0)</f>
        <v>5.7892061728660855E-2</v>
      </c>
      <c r="X281" s="7">
        <f>VLOOKUP($A281,Rotations!$A$1:$X$1441,23,0)</f>
        <v>7.1013397798464536E-2</v>
      </c>
    </row>
    <row r="282" spans="1:24" ht="15.75" customHeight="1" x14ac:dyDescent="0.3">
      <c r="A282">
        <v>273</v>
      </c>
      <c r="B282" t="str">
        <f>Permutations!I274</f>
        <v>p21 - i3:i2</v>
      </c>
      <c r="C282" t="str">
        <f>Permutations!J274</f>
        <v>p5 - i2:i4</v>
      </c>
      <c r="D282" t="str">
        <f>Permutations!K274</f>
        <v>p4 - i4:i5</v>
      </c>
      <c r="E282" t="str">
        <f>Permutations!L274</f>
        <v>p101 - i5:i1</v>
      </c>
      <c r="F282" t="str">
        <f>Permutations!M274</f>
        <v>p11 - i1:i6</v>
      </c>
      <c r="G282" s="7">
        <f>VLOOKUP(B282,Vlookup!$A$1:$B$30,2,0)</f>
        <v>1.5059827029565431</v>
      </c>
      <c r="H282" s="7">
        <f>VLOOKUP(C282,Vlookup!$A$1:$B$30,2,0)</f>
        <v>0.9108240498099236</v>
      </c>
      <c r="I282" s="7">
        <f>VLOOKUP(D282,Vlookup!$A$1:$B$30,2,0)</f>
        <v>1.89462595295753</v>
      </c>
      <c r="J282" s="7">
        <f>VLOOKUP(E282,Vlookup!$A$1:$B$30,2,0)</f>
        <v>1.530542412441888</v>
      </c>
      <c r="K282" s="7">
        <f>VLOOKUP(F282,Vlookup!$A$1:$B$30,2,0)</f>
        <v>1.1613557664474019</v>
      </c>
      <c r="L282" s="7">
        <f t="shared" si="7"/>
        <v>4.6194322779662844</v>
      </c>
      <c r="M282" s="7">
        <f t="shared" si="8"/>
        <v>3.0673873404371919</v>
      </c>
      <c r="N282" s="7">
        <f t="shared" si="9"/>
        <v>3.367705695822715</v>
      </c>
      <c r="O282" s="7">
        <f t="shared" si="10"/>
        <v>1.7775042564817045</v>
      </c>
      <c r="P282" s="7">
        <f t="shared" si="11"/>
        <v>1.1613557664474019</v>
      </c>
      <c r="Q282">
        <v>1</v>
      </c>
      <c r="R282" s="7">
        <f t="shared" si="12"/>
        <v>14.993385337155296</v>
      </c>
      <c r="S282" s="7">
        <f>VLOOKUP($A282,Rotations!$A$1:$X$1441,18,0)</f>
        <v>7.7457874944988681E-2</v>
      </c>
      <c r="T282" s="7">
        <f>VLOOKUP($A282,Rotations!$A$1:$X$1441,19,0)</f>
        <v>0.20458270573730009</v>
      </c>
      <c r="U282" s="7">
        <f>VLOOKUP($A282,Rotations!$A$1:$X$1441,20,0)</f>
        <v>0.30809801616442228</v>
      </c>
      <c r="V282" s="7">
        <f>VLOOKUP($A282,Rotations!$A$1:$X$1441,21,0)</f>
        <v>0.22461276223436755</v>
      </c>
      <c r="W282" s="7">
        <f>VLOOKUP($A282,Rotations!$A$1:$X$1441,22,0)</f>
        <v>0.11855256278092506</v>
      </c>
      <c r="X282" s="7">
        <f>VLOOKUP($A282,Rotations!$A$1:$X$1441,23,0)</f>
        <v>6.6696078137996453E-2</v>
      </c>
    </row>
    <row r="283" spans="1:24" ht="15.75" customHeight="1" x14ac:dyDescent="0.3">
      <c r="A283">
        <v>274</v>
      </c>
      <c r="B283" t="str">
        <f>Permutations!I275</f>
        <v>p21 - i3:i2</v>
      </c>
      <c r="C283" t="str">
        <f>Permutations!J275</f>
        <v>p5 - i2:i4</v>
      </c>
      <c r="D283" t="str">
        <f>Permutations!K275</f>
        <v>p4 - i4:i5</v>
      </c>
      <c r="E283" t="str">
        <f>Permutations!L275</f>
        <v>p15 - i5:i6</v>
      </c>
      <c r="F283" t="str">
        <f>Permutations!M275</f>
        <v>p111 - i6:i1</v>
      </c>
      <c r="G283" s="7">
        <f>VLOOKUP(B283,Vlookup!$A$1:$B$30,2,0)</f>
        <v>1.5059827029565431</v>
      </c>
      <c r="H283" s="7">
        <f>VLOOKUP(C283,Vlookup!$A$1:$B$30,2,0)</f>
        <v>0.9108240498099236</v>
      </c>
      <c r="I283" s="7">
        <f>VLOOKUP(D283,Vlookup!$A$1:$B$30,2,0)</f>
        <v>1.89462595295753</v>
      </c>
      <c r="J283" s="7">
        <f>VLOOKUP(E283,Vlookup!$A$1:$B$30,2,0)</f>
        <v>1.3219359277692486</v>
      </c>
      <c r="K283" s="7">
        <f>VLOOKUP(F283,Vlookup!$A$1:$B$30,2,0)</f>
        <v>1.6397534939100344</v>
      </c>
      <c r="L283" s="7">
        <f t="shared" si="7"/>
        <v>5.6333524836250408</v>
      </c>
      <c r="M283" s="7">
        <f t="shared" si="8"/>
        <v>3.7406488617469846</v>
      </c>
      <c r="N283" s="7">
        <f t="shared" si="9"/>
        <v>4.106884158941134</v>
      </c>
      <c r="O283" s="7">
        <f t="shared" si="10"/>
        <v>2.1676490562848283</v>
      </c>
      <c r="P283" s="7">
        <f t="shared" si="11"/>
        <v>1.6397534939100344</v>
      </c>
      <c r="Q283">
        <v>1</v>
      </c>
      <c r="R283" s="7">
        <f t="shared" si="12"/>
        <v>18.288288054508023</v>
      </c>
      <c r="S283" s="7">
        <f>VLOOKUP($A283,Rotations!$A$1:$X$1441,18,0)</f>
        <v>5.4679803654640174E-2</v>
      </c>
      <c r="T283" s="7">
        <f>VLOOKUP($A283,Rotations!$A$1:$X$1441,19,0)</f>
        <v>0.20453794530127836</v>
      </c>
      <c r="U283" s="7">
        <f>VLOOKUP($A283,Rotations!$A$1:$X$1441,20,0)</f>
        <v>0.30803060772199681</v>
      </c>
      <c r="V283" s="7">
        <f>VLOOKUP($A283,Rotations!$A$1:$X$1441,21,0)</f>
        <v>0.22456361944325326</v>
      </c>
      <c r="W283" s="7">
        <f>VLOOKUP($A283,Rotations!$A$1:$X$1441,22,0)</f>
        <v>0.11852662478982047</v>
      </c>
      <c r="X283" s="7">
        <f>VLOOKUP($A283,Rotations!$A$1:$X$1441,23,0)</f>
        <v>8.9661399089010899E-2</v>
      </c>
    </row>
    <row r="284" spans="1:24" ht="15.75" customHeight="1" x14ac:dyDescent="0.3">
      <c r="A284">
        <v>275</v>
      </c>
      <c r="B284" t="str">
        <f>Permutations!I276</f>
        <v>p21 - i3:i2</v>
      </c>
      <c r="C284" t="str">
        <f>Permutations!J276</f>
        <v>p5 - i2:i4</v>
      </c>
      <c r="D284" t="str">
        <f>Permutations!K276</f>
        <v>p14 - i4:i6</v>
      </c>
      <c r="E284" t="str">
        <f>Permutations!L276</f>
        <v>p111 - i6:i1</v>
      </c>
      <c r="F284" t="str">
        <f>Permutations!M276</f>
        <v>p10 - i1:i5</v>
      </c>
      <c r="G284" s="7">
        <f>VLOOKUP(B284,Vlookup!$A$1:$B$30,2,0)</f>
        <v>1.5059827029565431</v>
      </c>
      <c r="H284" s="7">
        <f>VLOOKUP(C284,Vlookup!$A$1:$B$30,2,0)</f>
        <v>0.9108240498099236</v>
      </c>
      <c r="I284" s="7">
        <f>VLOOKUP(D284,Vlookup!$A$1:$B$30,2,0)</f>
        <v>1.478275916473532</v>
      </c>
      <c r="J284" s="7">
        <f>VLOOKUP(E284,Vlookup!$A$1:$B$30,2,0)</f>
        <v>1.6397534939100344</v>
      </c>
      <c r="K284" s="7">
        <f>VLOOKUP(F284,Vlookup!$A$1:$B$30,2,0)</f>
        <v>1.0847108741813811</v>
      </c>
      <c r="L284" s="7">
        <f t="shared" si="7"/>
        <v>3.6066378300211359</v>
      </c>
      <c r="M284" s="7">
        <f t="shared" si="8"/>
        <v>2.3948733427951003</v>
      </c>
      <c r="N284" s="7">
        <f t="shared" si="9"/>
        <v>2.6293479440896155</v>
      </c>
      <c r="O284" s="7">
        <f t="shared" si="10"/>
        <v>1.7786584458211274</v>
      </c>
      <c r="P284" s="7">
        <f t="shared" si="11"/>
        <v>1.0847108741813811</v>
      </c>
      <c r="Q284">
        <v>1</v>
      </c>
      <c r="R284" s="7">
        <f t="shared" si="12"/>
        <v>12.494228436908362</v>
      </c>
      <c r="S284" s="7">
        <f>VLOOKUP($A284,Rotations!$A$1:$X$1441,18,0)</f>
        <v>8.6816955497396667E-2</v>
      </c>
      <c r="T284" s="7">
        <f>VLOOKUP($A284,Rotations!$A$1:$X$1441,19,0)</f>
        <v>0.19167837012812777</v>
      </c>
      <c r="U284" s="7">
        <f>VLOOKUP($A284,Rotations!$A$1:$X$1441,20,0)</f>
        <v>0.2886643099438625</v>
      </c>
      <c r="V284" s="7">
        <f>VLOOKUP($A284,Rotations!$A$1:$X$1441,21,0)</f>
        <v>0.21044500325625831</v>
      </c>
      <c r="W284" s="7">
        <f>VLOOKUP($A284,Rotations!$A$1:$X$1441,22,0)</f>
        <v>8.0036955066866478E-2</v>
      </c>
      <c r="X284" s="7">
        <f>VLOOKUP($A284,Rotations!$A$1:$X$1441,23,0)</f>
        <v>0.14235840610748815</v>
      </c>
    </row>
    <row r="285" spans="1:24" ht="15.75" customHeight="1" x14ac:dyDescent="0.3">
      <c r="A285">
        <v>276</v>
      </c>
      <c r="B285" t="str">
        <f>Permutations!I277</f>
        <v>p21 - i3:i2</v>
      </c>
      <c r="C285" t="str">
        <f>Permutations!J277</f>
        <v>p5 - i2:i4</v>
      </c>
      <c r="D285" t="str">
        <f>Permutations!K277</f>
        <v>p14 - i4:i6</v>
      </c>
      <c r="E285" t="str">
        <f>Permutations!L277</f>
        <v>p151 - i6:i5</v>
      </c>
      <c r="F285" t="str">
        <f>Permutations!M277</f>
        <v>p101 - i5:i1</v>
      </c>
      <c r="G285" s="7">
        <f>VLOOKUP(B285,Vlookup!$A$1:$B$30,2,0)</f>
        <v>1.5059827029565431</v>
      </c>
      <c r="H285" s="7">
        <f>VLOOKUP(C285,Vlookup!$A$1:$B$30,2,0)</f>
        <v>0.9108240498099236</v>
      </c>
      <c r="I285" s="7">
        <f>VLOOKUP(D285,Vlookup!$A$1:$B$30,2,0)</f>
        <v>1.478275916473532</v>
      </c>
      <c r="J285" s="7">
        <f>VLOOKUP(E285,Vlookup!$A$1:$B$30,2,0)</f>
        <v>1.2266517321719024</v>
      </c>
      <c r="K285" s="7">
        <f>VLOOKUP(F285,Vlookup!$A$1:$B$30,2,0)</f>
        <v>1.530542412441888</v>
      </c>
      <c r="L285" s="7">
        <f t="shared" si="7"/>
        <v>3.8069451530119456</v>
      </c>
      <c r="M285" s="7">
        <f t="shared" si="8"/>
        <v>2.5278810610096363</v>
      </c>
      <c r="N285" s="7">
        <f t="shared" si="9"/>
        <v>2.7753780343603904</v>
      </c>
      <c r="O285" s="7">
        <f t="shared" si="10"/>
        <v>1.8774425013844043</v>
      </c>
      <c r="P285" s="7">
        <f t="shared" si="11"/>
        <v>1.530542412441888</v>
      </c>
      <c r="Q285">
        <v>1</v>
      </c>
      <c r="R285" s="7">
        <f t="shared" si="12"/>
        <v>13.518189162208264</v>
      </c>
      <c r="S285" s="7">
        <f>VLOOKUP($A285,Rotations!$A$1:$X$1441,18,0)</f>
        <v>7.3974405003565211E-2</v>
      </c>
      <c r="T285" s="7">
        <f>VLOOKUP($A285,Rotations!$A$1:$X$1441,19,0)</f>
        <v>0.18699849740796898</v>
      </c>
      <c r="U285" s="7">
        <f>VLOOKUP($A285,Rotations!$A$1:$X$1441,20,0)</f>
        <v>0.28161650257526522</v>
      </c>
      <c r="V285" s="7">
        <f>VLOOKUP($A285,Rotations!$A$1:$X$1441,21,0)</f>
        <v>0.20530693875177425</v>
      </c>
      <c r="W285" s="7">
        <f>VLOOKUP($A285,Rotations!$A$1:$X$1441,22,0)</f>
        <v>0.11322096429310997</v>
      </c>
      <c r="X285" s="7">
        <f>VLOOKUP($A285,Rotations!$A$1:$X$1441,23,0)</f>
        <v>0.13888269196831646</v>
      </c>
    </row>
    <row r="286" spans="1:24" ht="15.75" customHeight="1" x14ac:dyDescent="0.3">
      <c r="A286">
        <v>277</v>
      </c>
      <c r="B286" t="str">
        <f>Permutations!I278</f>
        <v>p21 - i3:i2</v>
      </c>
      <c r="C286" t="str">
        <f>Permutations!J278</f>
        <v>p7 - i2:i5</v>
      </c>
      <c r="D286" t="str">
        <f>Permutations!K278</f>
        <v>p101 - i5:i1</v>
      </c>
      <c r="E286" t="str">
        <f>Permutations!L278</f>
        <v>p9 - i1:i4</v>
      </c>
      <c r="F286" t="str">
        <f>Permutations!M278</f>
        <v>p14 - i4:i6</v>
      </c>
      <c r="G286" s="7">
        <f>VLOOKUP(B286,Vlookup!$A$1:$B$30,2,0)</f>
        <v>1.5059827029565431</v>
      </c>
      <c r="H286" s="7">
        <f>VLOOKUP(C286,Vlookup!$A$1:$B$30,2,0)</f>
        <v>1.7991741228251155</v>
      </c>
      <c r="I286" s="7">
        <f>VLOOKUP(D286,Vlookup!$A$1:$B$30,2,0)</f>
        <v>1.530542412441888</v>
      </c>
      <c r="J286" s="7">
        <f>VLOOKUP(E286,Vlookup!$A$1:$B$30,2,0)</f>
        <v>1.2538815092968505</v>
      </c>
      <c r="K286" s="7">
        <f>VLOOKUP(F286,Vlookup!$A$1:$B$30,2,0)</f>
        <v>1.478275916473532</v>
      </c>
      <c r="L286" s="7">
        <f t="shared" si="7"/>
        <v>7.686887908792543</v>
      </c>
      <c r="M286" s="7">
        <f t="shared" si="8"/>
        <v>5.1042338625149251</v>
      </c>
      <c r="N286" s="7">
        <f t="shared" si="9"/>
        <v>2.8369871474697006</v>
      </c>
      <c r="O286" s="7">
        <f t="shared" si="10"/>
        <v>1.8535828373050172</v>
      </c>
      <c r="P286" s="7">
        <f t="shared" si="11"/>
        <v>1.478275916473532</v>
      </c>
      <c r="Q286">
        <v>1</v>
      </c>
      <c r="R286" s="7">
        <f t="shared" si="12"/>
        <v>19.959967672555717</v>
      </c>
      <c r="S286" s="7">
        <f>VLOOKUP($A286,Rotations!$A$1:$X$1441,18,0)</f>
        <v>9.2865022013719545E-2</v>
      </c>
      <c r="T286" s="7">
        <f>VLOOKUP($A286,Rotations!$A$1:$X$1441,19,0)</f>
        <v>0.25572355357734744</v>
      </c>
      <c r="U286" s="7">
        <f>VLOOKUP($A286,Rotations!$A$1:$X$1441,20,0)</f>
        <v>0.38511524842606609</v>
      </c>
      <c r="V286" s="7">
        <f>VLOOKUP($A286,Rotations!$A$1:$X$1441,21,0)</f>
        <v>7.4062039614729014E-2</v>
      </c>
      <c r="W286" s="7">
        <f>VLOOKUP($A286,Rotations!$A$1:$X$1441,22,0)</f>
        <v>0.14213385482434734</v>
      </c>
      <c r="X286" s="7">
        <f>VLOOKUP($A286,Rotations!$A$1:$X$1441,23,0)</f>
        <v>5.0100281543790592E-2</v>
      </c>
    </row>
    <row r="287" spans="1:24" ht="15.75" customHeight="1" x14ac:dyDescent="0.3">
      <c r="A287">
        <v>278</v>
      </c>
      <c r="B287" t="str">
        <f>Permutations!I279</f>
        <v>p21 - i3:i2</v>
      </c>
      <c r="C287" t="str">
        <f>Permutations!J279</f>
        <v>p7 - i2:i5</v>
      </c>
      <c r="D287" t="str">
        <f>Permutations!K279</f>
        <v>p101 - i5:i1</v>
      </c>
      <c r="E287" t="str">
        <f>Permutations!L279</f>
        <v>p11 - i1:i6</v>
      </c>
      <c r="F287" t="str">
        <f>Permutations!M279</f>
        <v>p141 - i6:i4</v>
      </c>
      <c r="G287" s="7">
        <f>VLOOKUP(B287,Vlookup!$A$1:$B$30,2,0)</f>
        <v>1.5059827029565431</v>
      </c>
      <c r="H287" s="7">
        <f>VLOOKUP(C287,Vlookup!$A$1:$B$30,2,0)</f>
        <v>1.7991741228251155</v>
      </c>
      <c r="I287" s="7">
        <f>VLOOKUP(D287,Vlookup!$A$1:$B$30,2,0)</f>
        <v>1.530542412441888</v>
      </c>
      <c r="J287" s="7">
        <f>VLOOKUP(E287,Vlookup!$A$1:$B$30,2,0)</f>
        <v>1.1613557664474019</v>
      </c>
      <c r="K287" s="7">
        <f>VLOOKUP(F287,Vlookup!$A$1:$B$30,2,0)</f>
        <v>0.88688155974910687</v>
      </c>
      <c r="L287" s="7">
        <f t="shared" si="7"/>
        <v>4.2713922397791846</v>
      </c>
      <c r="M287" s="7">
        <f t="shared" si="8"/>
        <v>2.8362824031070168</v>
      </c>
      <c r="N287" s="7">
        <f t="shared" si="9"/>
        <v>1.5764357474491706</v>
      </c>
      <c r="O287" s="7">
        <f t="shared" si="10"/>
        <v>1.0299850135704913</v>
      </c>
      <c r="P287" s="7">
        <f t="shared" si="11"/>
        <v>0.88688155974910687</v>
      </c>
      <c r="Q287">
        <v>1</v>
      </c>
      <c r="R287" s="7">
        <f t="shared" si="12"/>
        <v>11.600976963654968</v>
      </c>
      <c r="S287" s="7">
        <f>VLOOKUP($A287,Rotations!$A$1:$X$1441,18,0)</f>
        <v>8.8784334008882249E-2</v>
      </c>
      <c r="T287" s="7">
        <f>VLOOKUP($A287,Rotations!$A$1:$X$1441,19,0)</f>
        <v>0.24448651281636768</v>
      </c>
      <c r="U287" s="7">
        <f>VLOOKUP($A287,Rotations!$A$1:$X$1441,20,0)</f>
        <v>0.36819245940761292</v>
      </c>
      <c r="V287" s="7">
        <f>VLOOKUP($A287,Rotations!$A$1:$X$1441,21,0)</f>
        <v>8.619963673171048E-2</v>
      </c>
      <c r="W287" s="7">
        <f>VLOOKUP($A287,Rotations!$A$1:$X$1441,22,0)</f>
        <v>0.13588818876100101</v>
      </c>
      <c r="X287" s="7">
        <f>VLOOKUP($A287,Rotations!$A$1:$X$1441,23,0)</f>
        <v>7.6448868274425805E-2</v>
      </c>
    </row>
    <row r="288" spans="1:24" ht="15.75" customHeight="1" x14ac:dyDescent="0.3">
      <c r="A288">
        <v>279</v>
      </c>
      <c r="B288" t="str">
        <f>Permutations!I280</f>
        <v>p21 - i3:i2</v>
      </c>
      <c r="C288" t="str">
        <f>Permutations!J280</f>
        <v>p7 - i2:i5</v>
      </c>
      <c r="D288" t="str">
        <f>Permutations!K280</f>
        <v>p41 - i5:i4</v>
      </c>
      <c r="E288" t="str">
        <f>Permutations!L280</f>
        <v>p91 - i4:i1</v>
      </c>
      <c r="F288" t="str">
        <f>Permutations!M280</f>
        <v>p11 - i1:i6</v>
      </c>
      <c r="G288" s="7">
        <f>VLOOKUP(B288,Vlookup!$A$1:$B$30,2,0)</f>
        <v>1.5059827029565431</v>
      </c>
      <c r="H288" s="7">
        <f>VLOOKUP(C288,Vlookup!$A$1:$B$30,2,0)</f>
        <v>1.7991741228251155</v>
      </c>
      <c r="I288" s="7">
        <f>VLOOKUP(D288,Vlookup!$A$1:$B$30,2,0)</f>
        <v>1.25400669441983</v>
      </c>
      <c r="J288" s="7">
        <f>VLOOKUP(E288,Vlookup!$A$1:$B$30,2,0)</f>
        <v>2.9131157743633094</v>
      </c>
      <c r="K288" s="7">
        <f>VLOOKUP(F288,Vlookup!$A$1:$B$30,2,0)</f>
        <v>1.1613557664474019</v>
      </c>
      <c r="L288" s="7">
        <f t="shared" si="7"/>
        <v>11.495187523224274</v>
      </c>
      <c r="M288" s="7">
        <f t="shared" si="8"/>
        <v>7.6330143106271651</v>
      </c>
      <c r="N288" s="7">
        <f t="shared" si="9"/>
        <v>4.2425100571375403</v>
      </c>
      <c r="O288" s="7">
        <f t="shared" si="10"/>
        <v>3.3831638028857181</v>
      </c>
      <c r="P288" s="7">
        <f t="shared" si="11"/>
        <v>1.1613557664474019</v>
      </c>
      <c r="Q288">
        <v>1</v>
      </c>
      <c r="R288" s="7">
        <f t="shared" si="12"/>
        <v>28.915231460322097</v>
      </c>
      <c r="S288" s="7">
        <f>VLOOKUP($A288,Rotations!$A$1:$X$1441,18,0)</f>
        <v>4.0164152517368962E-2</v>
      </c>
      <c r="T288" s="7">
        <f>VLOOKUP($A288,Rotations!$A$1:$X$1441,19,0)</f>
        <v>0.26397901469684926</v>
      </c>
      <c r="U288" s="7">
        <f>VLOOKUP($A288,Rotations!$A$1:$X$1441,20,0)</f>
        <v>0.39754783007696615</v>
      </c>
      <c r="V288" s="7">
        <f>VLOOKUP($A288,Rotations!$A$1:$X$1441,21,0)</f>
        <v>0.11700282626228134</v>
      </c>
      <c r="W288" s="7">
        <f>VLOOKUP($A288,Rotations!$A$1:$X$1441,22,0)</f>
        <v>0.14672232739894109</v>
      </c>
      <c r="X288" s="7">
        <f>VLOOKUP($A288,Rotations!$A$1:$X$1441,23,0)</f>
        <v>3.458384904759329E-2</v>
      </c>
    </row>
    <row r="289" spans="1:24" ht="15.75" customHeight="1" x14ac:dyDescent="0.3">
      <c r="A289">
        <v>280</v>
      </c>
      <c r="B289" t="str">
        <f>Permutations!I281</f>
        <v>p21 - i3:i2</v>
      </c>
      <c r="C289" t="str">
        <f>Permutations!J281</f>
        <v>p7 - i2:i5</v>
      </c>
      <c r="D289" t="str">
        <f>Permutations!K281</f>
        <v>p41 - i5:i4</v>
      </c>
      <c r="E289" t="str">
        <f>Permutations!L281</f>
        <v>p14 - i4:i6</v>
      </c>
      <c r="F289" t="str">
        <f>Permutations!M281</f>
        <v>p111 - i6:i1</v>
      </c>
      <c r="G289" s="7">
        <f>VLOOKUP(B289,Vlookup!$A$1:$B$30,2,0)</f>
        <v>1.5059827029565431</v>
      </c>
      <c r="H289" s="7">
        <f>VLOOKUP(C289,Vlookup!$A$1:$B$30,2,0)</f>
        <v>1.7991741228251155</v>
      </c>
      <c r="I289" s="7">
        <f>VLOOKUP(D289,Vlookup!$A$1:$B$30,2,0)</f>
        <v>1.25400669441983</v>
      </c>
      <c r="J289" s="7">
        <f>VLOOKUP(E289,Vlookup!$A$1:$B$30,2,0)</f>
        <v>1.478275916473532</v>
      </c>
      <c r="K289" s="7">
        <f>VLOOKUP(F289,Vlookup!$A$1:$B$30,2,0)</f>
        <v>1.6397534939100344</v>
      </c>
      <c r="L289" s="7">
        <f t="shared" si="7"/>
        <v>8.236204121141915</v>
      </c>
      <c r="M289" s="7">
        <f t="shared" si="8"/>
        <v>5.4689898529196999</v>
      </c>
      <c r="N289" s="7">
        <f t="shared" si="9"/>
        <v>3.0397223834745537</v>
      </c>
      <c r="O289" s="7">
        <f t="shared" si="10"/>
        <v>2.4240080990005324</v>
      </c>
      <c r="P289" s="7">
        <f t="shared" si="11"/>
        <v>1.6397534939100344</v>
      </c>
      <c r="Q289">
        <v>1</v>
      </c>
      <c r="R289" s="7">
        <f t="shared" si="12"/>
        <v>21.808677950446736</v>
      </c>
      <c r="S289" s="7">
        <f>VLOOKUP($A289,Rotations!$A$1:$X$1441,18,0)</f>
        <v>4.5853306755786895E-2</v>
      </c>
      <c r="T289" s="7">
        <f>VLOOKUP($A289,Rotations!$A$1:$X$1441,19,0)</f>
        <v>0.25077126937021282</v>
      </c>
      <c r="U289" s="7">
        <f>VLOOKUP($A289,Rotations!$A$1:$X$1441,20,0)</f>
        <v>0.37765719406999643</v>
      </c>
      <c r="V289" s="7">
        <f>VLOOKUP($A289,Rotations!$A$1:$X$1441,21,0)</f>
        <v>0.11114878694198325</v>
      </c>
      <c r="W289" s="7">
        <f>VLOOKUP($A289,Rotations!$A$1:$X$1441,22,0)</f>
        <v>0.1393813229018904</v>
      </c>
      <c r="X289" s="7">
        <f>VLOOKUP($A289,Rotations!$A$1:$X$1441,23,0)</f>
        <v>7.5188119960130154E-2</v>
      </c>
    </row>
    <row r="290" spans="1:24" ht="15.75" customHeight="1" x14ac:dyDescent="0.3">
      <c r="A290">
        <v>281</v>
      </c>
      <c r="B290" t="str">
        <f>Permutations!I282</f>
        <v>p21 - i3:i2</v>
      </c>
      <c r="C290" t="str">
        <f>Permutations!J282</f>
        <v>p7 - i2:i5</v>
      </c>
      <c r="D290" t="str">
        <f>Permutations!K282</f>
        <v>p15 - i5:i6</v>
      </c>
      <c r="E290" t="str">
        <f>Permutations!L282</f>
        <v>p111 - i6:i1</v>
      </c>
      <c r="F290" t="str">
        <f>Permutations!M282</f>
        <v>p9 - i1:i4</v>
      </c>
      <c r="G290" s="7">
        <f>VLOOKUP(B290,Vlookup!$A$1:$B$30,2,0)</f>
        <v>1.5059827029565431</v>
      </c>
      <c r="H290" s="7">
        <f>VLOOKUP(C290,Vlookup!$A$1:$B$30,2,0)</f>
        <v>1.7991741228251155</v>
      </c>
      <c r="I290" s="7">
        <f>VLOOKUP(D290,Vlookup!$A$1:$B$30,2,0)</f>
        <v>1.3219359277692486</v>
      </c>
      <c r="J290" s="7">
        <f>VLOOKUP(E290,Vlookup!$A$1:$B$30,2,0)</f>
        <v>1.6397534939100344</v>
      </c>
      <c r="K290" s="7">
        <f>VLOOKUP(F290,Vlookup!$A$1:$B$30,2,0)</f>
        <v>1.2538815092968505</v>
      </c>
      <c r="L290" s="7">
        <f t="shared" si="7"/>
        <v>7.3644216975318262</v>
      </c>
      <c r="M290" s="7">
        <f t="shared" si="8"/>
        <v>4.8901104130040833</v>
      </c>
      <c r="N290" s="7">
        <f t="shared" si="9"/>
        <v>2.717975070320314</v>
      </c>
      <c r="O290" s="7">
        <f t="shared" si="10"/>
        <v>2.0560565858186979</v>
      </c>
      <c r="P290" s="7">
        <f t="shared" si="11"/>
        <v>1.2538815092968505</v>
      </c>
      <c r="Q290">
        <v>1</v>
      </c>
      <c r="R290" s="7">
        <f t="shared" si="12"/>
        <v>19.282445275971771</v>
      </c>
      <c r="S290" s="7">
        <f>VLOOKUP($A290,Rotations!$A$1:$X$1441,18,0)</f>
        <v>6.5027100627083667E-2</v>
      </c>
      <c r="T290" s="7">
        <f>VLOOKUP($A290,Rotations!$A$1:$X$1441,19,0)</f>
        <v>0.25360426766504274</v>
      </c>
      <c r="U290" s="7">
        <f>VLOOKUP($A290,Rotations!$A$1:$X$1441,20,0)</f>
        <v>0.38192364049951566</v>
      </c>
      <c r="V290" s="7">
        <f>VLOOKUP($A290,Rotations!$A$1:$X$1441,21,0)</f>
        <v>5.1860642449021721E-2</v>
      </c>
      <c r="W290" s="7">
        <f>VLOOKUP($A290,Rotations!$A$1:$X$1441,22,0)</f>
        <v>0.14095593330723649</v>
      </c>
      <c r="X290" s="7">
        <f>VLOOKUP($A290,Rotations!$A$1:$X$1441,23,0)</f>
        <v>0.10662841545209983</v>
      </c>
    </row>
    <row r="291" spans="1:24" ht="15.75" customHeight="1" x14ac:dyDescent="0.3">
      <c r="A291">
        <v>282</v>
      </c>
      <c r="B291" t="str">
        <f>Permutations!I283</f>
        <v>p21 - i3:i2</v>
      </c>
      <c r="C291" t="str">
        <f>Permutations!J283</f>
        <v>p7 - i2:i5</v>
      </c>
      <c r="D291" t="str">
        <f>Permutations!K283</f>
        <v>p15 - i5:i6</v>
      </c>
      <c r="E291" t="str">
        <f>Permutations!L283</f>
        <v>p141 - i6:i4</v>
      </c>
      <c r="F291" t="str">
        <f>Permutations!M283</f>
        <v>p91 - i4:i1</v>
      </c>
      <c r="G291" s="7">
        <f>VLOOKUP(B291,Vlookup!$A$1:$B$30,2,0)</f>
        <v>1.5059827029565431</v>
      </c>
      <c r="H291" s="7">
        <f>VLOOKUP(C291,Vlookup!$A$1:$B$30,2,0)</f>
        <v>1.7991741228251155</v>
      </c>
      <c r="I291" s="7">
        <f>VLOOKUP(D291,Vlookup!$A$1:$B$30,2,0)</f>
        <v>1.3219359277692486</v>
      </c>
      <c r="J291" s="7">
        <f>VLOOKUP(E291,Vlookup!$A$1:$B$30,2,0)</f>
        <v>0.88688155974910687</v>
      </c>
      <c r="K291" s="7">
        <f>VLOOKUP(F291,Vlookup!$A$1:$B$30,2,0)</f>
        <v>2.9131157743633094</v>
      </c>
      <c r="L291" s="7">
        <f t="shared" si="7"/>
        <v>9.2539458927988836</v>
      </c>
      <c r="M291" s="7">
        <f t="shared" si="8"/>
        <v>6.1447889637985558</v>
      </c>
      <c r="N291" s="7">
        <f t="shared" si="9"/>
        <v>3.4153386744746137</v>
      </c>
      <c r="O291" s="7">
        <f t="shared" si="10"/>
        <v>2.5835886616970591</v>
      </c>
      <c r="P291" s="7">
        <f t="shared" si="11"/>
        <v>2.9131157743633094</v>
      </c>
      <c r="Q291">
        <v>1</v>
      </c>
      <c r="R291" s="7">
        <f t="shared" si="12"/>
        <v>25.310777967132424</v>
      </c>
      <c r="S291" s="7">
        <f>VLOOKUP($A291,Rotations!$A$1:$X$1441,18,0)</f>
        <v>3.9508860663965389E-2</v>
      </c>
      <c r="T291" s="7">
        <f>VLOOKUP($A291,Rotations!$A$1:$X$1441,19,0)</f>
        <v>0.24277361098018937</v>
      </c>
      <c r="U291" s="7">
        <f>VLOOKUP($A291,Rotations!$A$1:$X$1441,20,0)</f>
        <v>0.36561285887046585</v>
      </c>
      <c r="V291" s="7">
        <f>VLOOKUP($A291,Rotations!$A$1:$X$1441,21,0)</f>
        <v>0.11509388522731961</v>
      </c>
      <c r="W291" s="7">
        <f>VLOOKUP($A291,Rotations!$A$1:$X$1441,22,0)</f>
        <v>0.13493613981006974</v>
      </c>
      <c r="X291" s="7">
        <f>VLOOKUP($A291,Rotations!$A$1:$X$1441,23,0)</f>
        <v>0.10207464444798992</v>
      </c>
    </row>
    <row r="292" spans="1:24" ht="15.75" customHeight="1" x14ac:dyDescent="0.3">
      <c r="A292">
        <v>283</v>
      </c>
      <c r="B292" t="str">
        <f>Permutations!I284</f>
        <v>p21 - i3:i2</v>
      </c>
      <c r="C292" t="str">
        <f>Permutations!J284</f>
        <v>p12 - i2:i6</v>
      </c>
      <c r="D292" t="str">
        <f>Permutations!K284</f>
        <v>p111 - i6:i1</v>
      </c>
      <c r="E292" t="str">
        <f>Permutations!L284</f>
        <v>p9 - i1:i4</v>
      </c>
      <c r="F292" t="str">
        <f>Permutations!M284</f>
        <v>p4 - i4:i5</v>
      </c>
      <c r="G292" s="7">
        <f>VLOOKUP(B292,Vlookup!$A$1:$B$30,2,0)</f>
        <v>1.5059827029565431</v>
      </c>
      <c r="H292" s="7">
        <f>VLOOKUP(C292,Vlookup!$A$1:$B$30,2,0)</f>
        <v>1.3354555559520354</v>
      </c>
      <c r="I292" s="7">
        <f>VLOOKUP(D292,Vlookup!$A$1:$B$30,2,0)</f>
        <v>1.6397534939100344</v>
      </c>
      <c r="J292" s="7">
        <f>VLOOKUP(E292,Vlookup!$A$1:$B$30,2,0)</f>
        <v>1.2538815092968505</v>
      </c>
      <c r="K292" s="7">
        <f>VLOOKUP(F292,Vlookup!$A$1:$B$30,2,0)</f>
        <v>1.89462595295753</v>
      </c>
      <c r="L292" s="7">
        <f t="shared" si="7"/>
        <v>7.8344401652833975</v>
      </c>
      <c r="M292" s="7">
        <f t="shared" si="8"/>
        <v>5.2022112537566585</v>
      </c>
      <c r="N292" s="7">
        <f t="shared" si="9"/>
        <v>3.895458168241356</v>
      </c>
      <c r="O292" s="7">
        <f t="shared" si="10"/>
        <v>2.3756364494473714</v>
      </c>
      <c r="P292" s="7">
        <f t="shared" si="11"/>
        <v>1.89462595295753</v>
      </c>
      <c r="Q292">
        <v>1</v>
      </c>
      <c r="R292" s="7">
        <f t="shared" si="12"/>
        <v>22.202371989686309</v>
      </c>
      <c r="S292" s="7">
        <f>VLOOKUP($A292,Rotations!$A$1:$X$1441,18,0)</f>
        <v>0.10699921839661673</v>
      </c>
      <c r="T292" s="7">
        <f>VLOOKUP($A292,Rotations!$A$1:$X$1441,19,0)</f>
        <v>0.23430880521113903</v>
      </c>
      <c r="U292" s="7">
        <f>VLOOKUP($A292,Rotations!$A$1:$X$1441,20,0)</f>
        <v>0.3528650077983892</v>
      </c>
      <c r="V292" s="7">
        <f>VLOOKUP($A292,Rotations!$A$1:$X$1441,21,0)</f>
        <v>8.5334393723231122E-2</v>
      </c>
      <c r="W292" s="7">
        <f>VLOOKUP($A292,Rotations!$A$1:$X$1441,22,0)</f>
        <v>4.5040232659128987E-2</v>
      </c>
      <c r="X292" s="7">
        <f>VLOOKUP($A292,Rotations!$A$1:$X$1441,23,0)</f>
        <v>0.17545234221149511</v>
      </c>
    </row>
    <row r="293" spans="1:24" ht="15.75" customHeight="1" x14ac:dyDescent="0.3">
      <c r="A293">
        <v>284</v>
      </c>
      <c r="B293" t="str">
        <f>Permutations!I285</f>
        <v>p21 - i3:i2</v>
      </c>
      <c r="C293" t="str">
        <f>Permutations!J285</f>
        <v>p12 - i2:i6</v>
      </c>
      <c r="D293" t="str">
        <f>Permutations!K285</f>
        <v>p111 - i6:i1</v>
      </c>
      <c r="E293" t="str">
        <f>Permutations!L285</f>
        <v>p10 - i1:i5</v>
      </c>
      <c r="F293" t="str">
        <f>Permutations!M285</f>
        <v>p41 - i5:i4</v>
      </c>
      <c r="G293" s="7">
        <f>VLOOKUP(B293,Vlookup!$A$1:$B$30,2,0)</f>
        <v>1.5059827029565431</v>
      </c>
      <c r="H293" s="7">
        <f>VLOOKUP(C293,Vlookup!$A$1:$B$30,2,0)</f>
        <v>1.3354555559520354</v>
      </c>
      <c r="I293" s="7">
        <f>VLOOKUP(D293,Vlookup!$A$1:$B$30,2,0)</f>
        <v>1.6397534939100344</v>
      </c>
      <c r="J293" s="7">
        <f>VLOOKUP(E293,Vlookup!$A$1:$B$30,2,0)</f>
        <v>1.0847108741813811</v>
      </c>
      <c r="K293" s="7">
        <f>VLOOKUP(F293,Vlookup!$A$1:$B$30,2,0)</f>
        <v>1.25400669441983</v>
      </c>
      <c r="L293" s="7">
        <f t="shared" si="7"/>
        <v>4.4858199379008346</v>
      </c>
      <c r="M293" s="7">
        <f t="shared" si="8"/>
        <v>2.9786663081151463</v>
      </c>
      <c r="N293" s="7">
        <f t="shared" si="9"/>
        <v>2.2304495981460644</v>
      </c>
      <c r="O293" s="7">
        <f t="shared" si="10"/>
        <v>1.3602346977334379</v>
      </c>
      <c r="P293" s="7">
        <f t="shared" si="11"/>
        <v>1.25400669441983</v>
      </c>
      <c r="Q293">
        <v>1</v>
      </c>
      <c r="R293" s="7">
        <f t="shared" si="12"/>
        <v>13.309177236315314</v>
      </c>
      <c r="S293" s="7">
        <f>VLOOKUP($A293,Rotations!$A$1:$X$1441,18,0)</f>
        <v>0.10220276382088536</v>
      </c>
      <c r="T293" s="7">
        <f>VLOOKUP($A293,Rotations!$A$1:$X$1441,19,0)</f>
        <v>0.22380544305831176</v>
      </c>
      <c r="U293" s="7">
        <f>VLOOKUP($A293,Rotations!$A$1:$X$1441,20,0)</f>
        <v>0.33704712607334303</v>
      </c>
      <c r="V293" s="7">
        <f>VLOOKUP($A293,Rotations!$A$1:$X$1441,21,0)</f>
        <v>7.5136124663770204E-2</v>
      </c>
      <c r="W293" s="7">
        <f>VLOOKUP($A293,Rotations!$A$1:$X$1441,22,0)</f>
        <v>9.4221203321130736E-2</v>
      </c>
      <c r="X293" s="7">
        <f>VLOOKUP($A293,Rotations!$A$1:$X$1441,23,0)</f>
        <v>0.16758733906255885</v>
      </c>
    </row>
    <row r="294" spans="1:24" ht="15.75" customHeight="1" x14ac:dyDescent="0.3">
      <c r="A294">
        <v>285</v>
      </c>
      <c r="B294" t="str">
        <f>Permutations!I286</f>
        <v>p21 - i3:i2</v>
      </c>
      <c r="C294" t="str">
        <f>Permutations!J286</f>
        <v>p12 - i2:i6</v>
      </c>
      <c r="D294" t="str">
        <f>Permutations!K286</f>
        <v>p141 - i6:i4</v>
      </c>
      <c r="E294" t="str">
        <f>Permutations!L286</f>
        <v>p91 - i4:i1</v>
      </c>
      <c r="F294" t="str">
        <f>Permutations!M286</f>
        <v>p10 - i1:i5</v>
      </c>
      <c r="G294" s="7">
        <f>VLOOKUP(B294,Vlookup!$A$1:$B$30,2,0)</f>
        <v>1.5059827029565431</v>
      </c>
      <c r="H294" s="7">
        <f>VLOOKUP(C294,Vlookup!$A$1:$B$30,2,0)</f>
        <v>1.3354555559520354</v>
      </c>
      <c r="I294" s="7">
        <f>VLOOKUP(D294,Vlookup!$A$1:$B$30,2,0)</f>
        <v>0.88688155974910687</v>
      </c>
      <c r="J294" s="7">
        <f>VLOOKUP(E294,Vlookup!$A$1:$B$30,2,0)</f>
        <v>2.9131157743633094</v>
      </c>
      <c r="K294" s="7">
        <f>VLOOKUP(F294,Vlookup!$A$1:$B$30,2,0)</f>
        <v>1.0847108741813811</v>
      </c>
      <c r="L294" s="7">
        <f t="shared" si="7"/>
        <v>5.6362050785122015</v>
      </c>
      <c r="M294" s="7">
        <f t="shared" si="8"/>
        <v>3.7425430368139101</v>
      </c>
      <c r="N294" s="7">
        <f t="shared" si="9"/>
        <v>2.8024467157545216</v>
      </c>
      <c r="O294" s="7">
        <f t="shared" si="10"/>
        <v>3.1598883582011963</v>
      </c>
      <c r="P294" s="7">
        <f t="shared" si="11"/>
        <v>1.0847108741813811</v>
      </c>
      <c r="Q294">
        <v>1</v>
      </c>
      <c r="R294" s="7">
        <f t="shared" si="12"/>
        <v>17.425794063463211</v>
      </c>
      <c r="S294" s="7">
        <f>VLOOKUP($A294,Rotations!$A$1:$X$1441,18,0)</f>
        <v>6.2247428738739792E-2</v>
      </c>
      <c r="T294" s="7">
        <f>VLOOKUP($A294,Rotations!$A$1:$X$1441,19,0)</f>
        <v>0.21477030103672159</v>
      </c>
      <c r="U294" s="7">
        <f>VLOOKUP($A294,Rotations!$A$1:$X$1441,20,0)</f>
        <v>0.32344035847007246</v>
      </c>
      <c r="V294" s="7">
        <f>VLOOKUP($A294,Rotations!$A$1:$X$1441,21,0)</f>
        <v>0.18133396657237888</v>
      </c>
      <c r="W294" s="7">
        <f>VLOOKUP($A294,Rotations!$A$1:$X$1441,22,0)</f>
        <v>5.7386194072883444E-2</v>
      </c>
      <c r="X294" s="7">
        <f>VLOOKUP($A294,Rotations!$A$1:$X$1441,23,0)</f>
        <v>0.1608217511092038</v>
      </c>
    </row>
    <row r="295" spans="1:24" ht="15.75" customHeight="1" x14ac:dyDescent="0.3">
      <c r="A295">
        <v>286</v>
      </c>
      <c r="B295" t="str">
        <f>Permutations!I287</f>
        <v>p21 - i3:i2</v>
      </c>
      <c r="C295" t="str">
        <f>Permutations!J287</f>
        <v>p12 - i2:i6</v>
      </c>
      <c r="D295" t="str">
        <f>Permutations!K287</f>
        <v>p141 - i6:i4</v>
      </c>
      <c r="E295" t="str">
        <f>Permutations!L287</f>
        <v>p4 - i4:i5</v>
      </c>
      <c r="F295" t="str">
        <f>Permutations!M287</f>
        <v>p101 - i5:i1</v>
      </c>
      <c r="G295" s="7">
        <f>VLOOKUP(B295,Vlookup!$A$1:$B$30,2,0)</f>
        <v>1.5059827029565431</v>
      </c>
      <c r="H295" s="7">
        <f>VLOOKUP(C295,Vlookup!$A$1:$B$30,2,0)</f>
        <v>1.3354555559520354</v>
      </c>
      <c r="I295" s="7">
        <f>VLOOKUP(D295,Vlookup!$A$1:$B$30,2,0)</f>
        <v>0.88688155974910687</v>
      </c>
      <c r="J295" s="7">
        <f>VLOOKUP(E295,Vlookup!$A$1:$B$30,2,0)</f>
        <v>1.89462595295753</v>
      </c>
      <c r="K295" s="7">
        <f>VLOOKUP(F295,Vlookup!$A$1:$B$30,2,0)</f>
        <v>1.530542412441888</v>
      </c>
      <c r="L295" s="7">
        <f t="shared" si="7"/>
        <v>5.1723022898948035</v>
      </c>
      <c r="M295" s="7">
        <f t="shared" si="8"/>
        <v>3.434503118621846</v>
      </c>
      <c r="N295" s="7">
        <f t="shared" si="9"/>
        <v>2.5717839154695166</v>
      </c>
      <c r="O295" s="7">
        <f t="shared" si="10"/>
        <v>2.899805376714629</v>
      </c>
      <c r="P295" s="7">
        <f t="shared" si="11"/>
        <v>1.530542412441888</v>
      </c>
      <c r="Q295">
        <v>1</v>
      </c>
      <c r="R295" s="7">
        <f t="shared" si="12"/>
        <v>16.60893711314268</v>
      </c>
      <c r="S295" s="7">
        <f>VLOOKUP($A295,Rotations!$A$1:$X$1441,18,0)</f>
        <v>6.0208548758288592E-2</v>
      </c>
      <c r="T295" s="7">
        <f>VLOOKUP($A295,Rotations!$A$1:$X$1441,19,0)</f>
        <v>0.20678644847803765</v>
      </c>
      <c r="U295" s="7">
        <f>VLOOKUP($A295,Rotations!$A$1:$X$1441,20,0)</f>
        <v>0.31141681461373899</v>
      </c>
      <c r="V295" s="7">
        <f>VLOOKUP($A295,Rotations!$A$1:$X$1441,21,0)</f>
        <v>0.17459307341347016</v>
      </c>
      <c r="W295" s="7">
        <f>VLOOKUP($A295,Rotations!$A$1:$X$1441,22,0)</f>
        <v>9.2151737466136058E-2</v>
      </c>
      <c r="X295" s="7">
        <f>VLOOKUP($A295,Rotations!$A$1:$X$1441,23,0)</f>
        <v>0.15484337727032874</v>
      </c>
    </row>
    <row r="296" spans="1:24" ht="15.75" customHeight="1" x14ac:dyDescent="0.3">
      <c r="A296">
        <v>287</v>
      </c>
      <c r="B296" t="str">
        <f>Permutations!I288</f>
        <v>p21 - i3:i2</v>
      </c>
      <c r="C296" t="str">
        <f>Permutations!J288</f>
        <v>p12 - i2:i6</v>
      </c>
      <c r="D296" t="str">
        <f>Permutations!K288</f>
        <v>p151 - i6:i5</v>
      </c>
      <c r="E296" t="str">
        <f>Permutations!L288</f>
        <v>p101 - i5:i1</v>
      </c>
      <c r="F296" t="str">
        <f>Permutations!M288</f>
        <v>p9 - i1:i4</v>
      </c>
      <c r="G296" s="7">
        <f>VLOOKUP(B296,Vlookup!$A$1:$B$30,2,0)</f>
        <v>1.5059827029565431</v>
      </c>
      <c r="H296" s="7">
        <f>VLOOKUP(C296,Vlookup!$A$1:$B$30,2,0)</f>
        <v>1.3354555559520354</v>
      </c>
      <c r="I296" s="7">
        <f>VLOOKUP(D296,Vlookup!$A$1:$B$30,2,0)</f>
        <v>1.2266517321719024</v>
      </c>
      <c r="J296" s="7">
        <f>VLOOKUP(E296,Vlookup!$A$1:$B$30,2,0)</f>
        <v>1.530542412441888</v>
      </c>
      <c r="K296" s="7">
        <f>VLOOKUP(F296,Vlookup!$A$1:$B$30,2,0)</f>
        <v>1.2538815092968505</v>
      </c>
      <c r="L296" s="7">
        <f t="shared" si="7"/>
        <v>4.7344830512345162</v>
      </c>
      <c r="M296" s="7">
        <f t="shared" si="8"/>
        <v>3.1437831536443186</v>
      </c>
      <c r="N296" s="7">
        <f t="shared" si="9"/>
        <v>2.3540904372539311</v>
      </c>
      <c r="O296" s="7">
        <f t="shared" si="10"/>
        <v>1.9191188301554771</v>
      </c>
      <c r="P296" s="7">
        <f t="shared" si="11"/>
        <v>1.2538815092968505</v>
      </c>
      <c r="Q296">
        <v>1</v>
      </c>
      <c r="R296" s="7">
        <f t="shared" si="12"/>
        <v>14.405356981585093</v>
      </c>
      <c r="S296" s="7">
        <f>VLOOKUP($A296,Rotations!$A$1:$X$1441,18,0)</f>
        <v>8.7042723821404364E-2</v>
      </c>
      <c r="T296" s="7">
        <f>VLOOKUP($A296,Rotations!$A$1:$X$1441,19,0)</f>
        <v>0.21823708761005606</v>
      </c>
      <c r="U296" s="7">
        <f>VLOOKUP($A296,Rotations!$A$1:$X$1441,20,0)</f>
        <v>0.32866127908435611</v>
      </c>
      <c r="V296" s="7">
        <f>VLOOKUP($A296,Rotations!$A$1:$X$1441,21,0)</f>
        <v>6.9418619842488968E-2</v>
      </c>
      <c r="W296" s="7">
        <f>VLOOKUP($A296,Rotations!$A$1:$X$1441,22,0)</f>
        <v>0.13322258050312522</v>
      </c>
      <c r="X296" s="7">
        <f>VLOOKUP($A296,Rotations!$A$1:$X$1441,23,0)</f>
        <v>0.16341770913856929</v>
      </c>
    </row>
    <row r="297" spans="1:24" ht="15.75" customHeight="1" x14ac:dyDescent="0.3">
      <c r="A297">
        <v>288</v>
      </c>
      <c r="B297" t="str">
        <f>Permutations!I289</f>
        <v>p21 - i3:i2</v>
      </c>
      <c r="C297" t="str">
        <f>Permutations!J289</f>
        <v>p12 - i2:i6</v>
      </c>
      <c r="D297" t="str">
        <f>Permutations!K289</f>
        <v>p151 - i6:i5</v>
      </c>
      <c r="E297" t="str">
        <f>Permutations!L289</f>
        <v>p41 - i5:i4</v>
      </c>
      <c r="F297" t="str">
        <f>Permutations!M289</f>
        <v>p91 - i4:i1</v>
      </c>
      <c r="G297" s="7">
        <f>VLOOKUP(B297,Vlookup!$A$1:$B$30,2,0)</f>
        <v>1.5059827029565431</v>
      </c>
      <c r="H297" s="7">
        <f>VLOOKUP(C297,Vlookup!$A$1:$B$30,2,0)</f>
        <v>1.3354555559520354</v>
      </c>
      <c r="I297" s="7">
        <f>VLOOKUP(D297,Vlookup!$A$1:$B$30,2,0)</f>
        <v>1.2266517321719024</v>
      </c>
      <c r="J297" s="7">
        <f>VLOOKUP(E297,Vlookup!$A$1:$B$30,2,0)</f>
        <v>1.25400669441983</v>
      </c>
      <c r="K297" s="7">
        <f>VLOOKUP(F297,Vlookup!$A$1:$B$30,2,0)</f>
        <v>2.9131157743633094</v>
      </c>
      <c r="L297" s="7">
        <f t="shared" si="7"/>
        <v>9.0121476702602052</v>
      </c>
      <c r="M297" s="7">
        <f t="shared" si="8"/>
        <v>5.98423053104632</v>
      </c>
      <c r="N297" s="7">
        <f t="shared" si="9"/>
        <v>4.4810405740385795</v>
      </c>
      <c r="O297" s="7">
        <f t="shared" si="10"/>
        <v>3.653066682671597</v>
      </c>
      <c r="P297" s="7">
        <f t="shared" si="11"/>
        <v>2.9131157743633094</v>
      </c>
      <c r="Q297">
        <v>1</v>
      </c>
      <c r="R297" s="7">
        <f t="shared" si="12"/>
        <v>27.043601232380009</v>
      </c>
      <c r="S297" s="7">
        <f>VLOOKUP($A297,Rotations!$A$1:$X$1441,18,0)</f>
        <v>3.6977323818939985E-2</v>
      </c>
      <c r="T297" s="7">
        <f>VLOOKUP($A297,Rotations!$A$1:$X$1441,19,0)</f>
        <v>0.22128083015368696</v>
      </c>
      <c r="U297" s="7">
        <f>VLOOKUP($A297,Rotations!$A$1:$X$1441,20,0)</f>
        <v>0.33324510270731716</v>
      </c>
      <c r="V297" s="7">
        <f>VLOOKUP($A297,Rotations!$A$1:$X$1441,21,0)</f>
        <v>0.10771922531069419</v>
      </c>
      <c r="W297" s="7">
        <f>VLOOKUP($A297,Rotations!$A$1:$X$1441,22,0)</f>
        <v>0.1350806296573285</v>
      </c>
      <c r="X297" s="7">
        <f>VLOOKUP($A297,Rotations!$A$1:$X$1441,23,0)</f>
        <v>0.16569688835203325</v>
      </c>
    </row>
    <row r="298" spans="1:24" ht="15.75" customHeight="1" x14ac:dyDescent="0.3">
      <c r="A298">
        <v>289</v>
      </c>
      <c r="B298" t="str">
        <f>Permutations!I290</f>
        <v>p3 - i3:i4</v>
      </c>
      <c r="C298" t="str">
        <f>Permutations!J290</f>
        <v>p91 - i4:i1</v>
      </c>
      <c r="D298" t="str">
        <f>Permutations!K290</f>
        <v>p1 - i1:i2</v>
      </c>
      <c r="E298" t="str">
        <f>Permutations!L290</f>
        <v>p7 - i2:i5</v>
      </c>
      <c r="F298" t="str">
        <f>Permutations!M290</f>
        <v>p15 - i5:i6</v>
      </c>
      <c r="G298" s="7">
        <f>VLOOKUP(B298,Vlookup!$A$1:$B$30,2,0)</f>
        <v>1.4338636587362954</v>
      </c>
      <c r="H298" s="7">
        <f>VLOOKUP(C298,Vlookup!$A$1:$B$30,2,0)</f>
        <v>2.9131157743633094</v>
      </c>
      <c r="I298" s="7">
        <f>VLOOKUP(D298,Vlookup!$A$1:$B$30,2,0)</f>
        <v>1.6373343116675814</v>
      </c>
      <c r="J298" s="7">
        <f>VLOOKUP(E298,Vlookup!$A$1:$B$30,2,0)</f>
        <v>1.7991741228251155</v>
      </c>
      <c r="K298" s="7">
        <f>VLOOKUP(F298,Vlookup!$A$1:$B$30,2,0)</f>
        <v>1.3219359277692486</v>
      </c>
      <c r="L298" s="7">
        <f t="shared" si="7"/>
        <v>16.266217222721359</v>
      </c>
      <c r="M298" s="7">
        <f t="shared" si="8"/>
        <v>11.344326305792029</v>
      </c>
      <c r="N298" s="7">
        <f t="shared" si="9"/>
        <v>3.8942243235325735</v>
      </c>
      <c r="O298" s="7">
        <f t="shared" si="10"/>
        <v>2.3783929132752433</v>
      </c>
      <c r="P298" s="7">
        <f t="shared" si="11"/>
        <v>1.3219359277692486</v>
      </c>
      <c r="Q298">
        <v>1</v>
      </c>
      <c r="R298" s="7">
        <f t="shared" si="12"/>
        <v>36.205096693090454</v>
      </c>
      <c r="S298" s="7">
        <f>VLOOKUP($A298,Rotations!$A$1:$X$1441,18,0)</f>
        <v>0.10756011388517477</v>
      </c>
      <c r="T298" s="7">
        <f>VLOOKUP($A298,Rotations!$A$1:$X$1441,19,0)</f>
        <v>6.5692212713497511E-2</v>
      </c>
      <c r="U298" s="7">
        <f>VLOOKUP($A298,Rotations!$A$1:$X$1441,20,0)</f>
        <v>0.44927976192439445</v>
      </c>
      <c r="V298" s="7">
        <f>VLOOKUP($A298,Rotations!$A$1:$X$1441,21,0)</f>
        <v>0.31333506445121667</v>
      </c>
      <c r="W298" s="7">
        <f>VLOOKUP($A298,Rotations!$A$1:$X$1441,22,0)</f>
        <v>3.6512426385026969E-2</v>
      </c>
      <c r="X298" s="7">
        <f>VLOOKUP($A298,Rotations!$A$1:$X$1441,23,0)</f>
        <v>2.7620420640689647E-2</v>
      </c>
    </row>
    <row r="299" spans="1:24" ht="15.75" customHeight="1" x14ac:dyDescent="0.3">
      <c r="A299">
        <v>290</v>
      </c>
      <c r="B299" t="str">
        <f>Permutations!I291</f>
        <v>p3 - i3:i4</v>
      </c>
      <c r="C299" t="str">
        <f>Permutations!J291</f>
        <v>p91 - i4:i1</v>
      </c>
      <c r="D299" t="str">
        <f>Permutations!K291</f>
        <v>p1 - i1:i2</v>
      </c>
      <c r="E299" t="str">
        <f>Permutations!L291</f>
        <v>p12 - i2:i6</v>
      </c>
      <c r="F299" t="str">
        <f>Permutations!M291</f>
        <v>p151 - i6:i5</v>
      </c>
      <c r="G299" s="7">
        <f>VLOOKUP(B299,Vlookup!$A$1:$B$30,2,0)</f>
        <v>1.4338636587362954</v>
      </c>
      <c r="H299" s="7">
        <f>VLOOKUP(C299,Vlookup!$A$1:$B$30,2,0)</f>
        <v>2.9131157743633094</v>
      </c>
      <c r="I299" s="7">
        <f>VLOOKUP(D299,Vlookup!$A$1:$B$30,2,0)</f>
        <v>1.6373343116675814</v>
      </c>
      <c r="J299" s="7">
        <f>VLOOKUP(E299,Vlookup!$A$1:$B$30,2,0)</f>
        <v>1.3354555559520354</v>
      </c>
      <c r="K299" s="7">
        <f>VLOOKUP(F299,Vlookup!$A$1:$B$30,2,0)</f>
        <v>1.2266517321719024</v>
      </c>
      <c r="L299" s="7">
        <f t="shared" si="7"/>
        <v>11.203499037976762</v>
      </c>
      <c r="M299" s="7">
        <f t="shared" si="8"/>
        <v>7.8135037245108254</v>
      </c>
      <c r="N299" s="7">
        <f t="shared" si="9"/>
        <v>2.6821809806781691</v>
      </c>
      <c r="O299" s="7">
        <f t="shared" si="10"/>
        <v>1.6381388709471552</v>
      </c>
      <c r="P299" s="7">
        <f t="shared" si="11"/>
        <v>1.2266517321719024</v>
      </c>
      <c r="Q299">
        <v>1</v>
      </c>
      <c r="R299" s="7">
        <f t="shared" si="12"/>
        <v>25.563974346284812</v>
      </c>
      <c r="S299" s="7">
        <f>VLOOKUP($A299,Rotations!$A$1:$X$1441,18,0)</f>
        <v>0.10492034393188819</v>
      </c>
      <c r="T299" s="7">
        <f>VLOOKUP($A299,Rotations!$A$1:$X$1441,19,0)</f>
        <v>6.4079976327515928E-2</v>
      </c>
      <c r="U299" s="7">
        <f>VLOOKUP($A299,Rotations!$A$1:$X$1441,20,0)</f>
        <v>0.43825341420767605</v>
      </c>
      <c r="V299" s="7">
        <f>VLOOKUP($A299,Rotations!$A$1:$X$1441,21,0)</f>
        <v>0.30564510895960723</v>
      </c>
      <c r="W299" s="7">
        <f>VLOOKUP($A299,Rotations!$A$1:$X$1441,22,0)</f>
        <v>3.9117548251855802E-2</v>
      </c>
      <c r="X299" s="7">
        <f>VLOOKUP($A299,Rotations!$A$1:$X$1441,23,0)</f>
        <v>4.7983608321456893E-2</v>
      </c>
    </row>
    <row r="300" spans="1:24" ht="15.75" customHeight="1" x14ac:dyDescent="0.3">
      <c r="A300">
        <v>291</v>
      </c>
      <c r="B300" t="str">
        <f>Permutations!I292</f>
        <v>p3 - i3:i4</v>
      </c>
      <c r="C300" t="str">
        <f>Permutations!J292</f>
        <v>p91 - i4:i1</v>
      </c>
      <c r="D300" t="str">
        <f>Permutations!K292</f>
        <v>p10 - i1:i5</v>
      </c>
      <c r="E300" t="str">
        <f>Permutations!L292</f>
        <v>p71 - i5:i2</v>
      </c>
      <c r="F300" t="str">
        <f>Permutations!M292</f>
        <v>p12 - i2:i6</v>
      </c>
      <c r="G300" s="7">
        <f>VLOOKUP(B300,Vlookup!$A$1:$B$30,2,0)</f>
        <v>1.4338636587362954</v>
      </c>
      <c r="H300" s="7">
        <f>VLOOKUP(C300,Vlookup!$A$1:$B$30,2,0)</f>
        <v>2.9131157743633094</v>
      </c>
      <c r="I300" s="7">
        <f>VLOOKUP(D300,Vlookup!$A$1:$B$30,2,0)</f>
        <v>1.0847108741813811</v>
      </c>
      <c r="J300" s="7">
        <f>VLOOKUP(E300,Vlookup!$A$1:$B$30,2,0)</f>
        <v>1.8243208303594776</v>
      </c>
      <c r="K300" s="7">
        <f>VLOOKUP(F300,Vlookup!$A$1:$B$30,2,0)</f>
        <v>1.3354555559520354</v>
      </c>
      <c r="L300" s="7">
        <f t="shared" si="7"/>
        <v>11.038504850151906</v>
      </c>
      <c r="M300" s="7">
        <f t="shared" si="8"/>
        <v>7.6984340755804164</v>
      </c>
      <c r="N300" s="7">
        <f t="shared" si="9"/>
        <v>2.6426804397305448</v>
      </c>
      <c r="O300" s="7">
        <f t="shared" si="10"/>
        <v>2.436299388742595</v>
      </c>
      <c r="P300" s="7">
        <f t="shared" si="11"/>
        <v>1.3354555559520354</v>
      </c>
      <c r="Q300">
        <v>1</v>
      </c>
      <c r="R300" s="7">
        <f t="shared" si="12"/>
        <v>26.151374310157493</v>
      </c>
      <c r="S300" s="7">
        <f>VLOOKUP($A300,Rotations!$A$1:$X$1441,18,0)</f>
        <v>0.10105321458016443</v>
      </c>
      <c r="T300" s="7">
        <f>VLOOKUP($A300,Rotations!$A$1:$X$1441,19,0)</f>
        <v>5.1066362330079502E-2</v>
      </c>
      <c r="U300" s="7">
        <f>VLOOKUP($A300,Rotations!$A$1:$X$1441,20,0)</f>
        <v>0.42210037297597869</v>
      </c>
      <c r="V300" s="7">
        <f>VLOOKUP($A300,Rotations!$A$1:$X$1441,21,0)</f>
        <v>0.29437971344359737</v>
      </c>
      <c r="W300" s="7">
        <f>VLOOKUP($A300,Rotations!$A$1:$X$1441,22,0)</f>
        <v>9.3161428529448587E-2</v>
      </c>
      <c r="X300" s="7">
        <f>VLOOKUP($A300,Rotations!$A$1:$X$1441,23,0)</f>
        <v>3.8238908140731574E-2</v>
      </c>
    </row>
    <row r="301" spans="1:24" ht="15.75" customHeight="1" x14ac:dyDescent="0.3">
      <c r="A301">
        <v>292</v>
      </c>
      <c r="B301" t="str">
        <f>Permutations!I293</f>
        <v>p3 - i3:i4</v>
      </c>
      <c r="C301" t="str">
        <f>Permutations!J293</f>
        <v>p91 - i4:i1</v>
      </c>
      <c r="D301" t="str">
        <f>Permutations!K293</f>
        <v>p10 - i1:i5</v>
      </c>
      <c r="E301" t="str">
        <f>Permutations!L293</f>
        <v>p15 - i5:i6</v>
      </c>
      <c r="F301" t="str">
        <f>Permutations!M293</f>
        <v>p121 - i6:i2</v>
      </c>
      <c r="G301" s="7">
        <f>VLOOKUP(B301,Vlookup!$A$1:$B$30,2,0)</f>
        <v>1.4338636587362954</v>
      </c>
      <c r="H301" s="7">
        <f>VLOOKUP(C301,Vlookup!$A$1:$B$30,2,0)</f>
        <v>2.9131157743633094</v>
      </c>
      <c r="I301" s="7">
        <f>VLOOKUP(D301,Vlookup!$A$1:$B$30,2,0)</f>
        <v>1.0847108741813811</v>
      </c>
      <c r="J301" s="7">
        <f>VLOOKUP(E301,Vlookup!$A$1:$B$30,2,0)</f>
        <v>1.3219359277692486</v>
      </c>
      <c r="K301" s="7">
        <f>VLOOKUP(F301,Vlookup!$A$1:$B$30,2,0)</f>
        <v>1.2419340531937677</v>
      </c>
      <c r="L301" s="7">
        <f t="shared" si="7"/>
        <v>7.4385543064383892</v>
      </c>
      <c r="M301" s="7">
        <f t="shared" si="8"/>
        <v>5.1877696049526749</v>
      </c>
      <c r="N301" s="7">
        <f t="shared" si="9"/>
        <v>1.7808319362406786</v>
      </c>
      <c r="O301" s="7">
        <f t="shared" si="10"/>
        <v>1.6417572448369266</v>
      </c>
      <c r="P301" s="7">
        <f t="shared" si="11"/>
        <v>1.2419340531937677</v>
      </c>
      <c r="Q301">
        <v>1</v>
      </c>
      <c r="R301" s="7">
        <f t="shared" si="12"/>
        <v>18.290847145662436</v>
      </c>
      <c r="S301" s="7">
        <f>VLOOKUP($A301,Rotations!$A$1:$X$1441,18,0)</f>
        <v>9.7361916703950599E-2</v>
      </c>
      <c r="T301" s="7">
        <f>VLOOKUP($A301,Rotations!$A$1:$X$1441,19,0)</f>
        <v>5.4672153347317426E-2</v>
      </c>
      <c r="U301" s="7">
        <f>VLOOKUP($A301,Rotations!$A$1:$X$1441,20,0)</f>
        <v>0.40668178172394803</v>
      </c>
      <c r="V301" s="7">
        <f>VLOOKUP($A301,Rotations!$A$1:$X$1441,21,0)</f>
        <v>0.28362653537252502</v>
      </c>
      <c r="W301" s="7">
        <f>VLOOKUP($A301,Rotations!$A$1:$X$1441,22,0)</f>
        <v>8.9758403848793814E-2</v>
      </c>
      <c r="X301" s="7">
        <f>VLOOKUP($A301,Rotations!$A$1:$X$1441,23,0)</f>
        <v>6.7899209003465147E-2</v>
      </c>
    </row>
    <row r="302" spans="1:24" ht="15.75" customHeight="1" x14ac:dyDescent="0.3">
      <c r="A302">
        <v>293</v>
      </c>
      <c r="B302" t="str">
        <f>Permutations!I294</f>
        <v>p3 - i3:i4</v>
      </c>
      <c r="C302" t="str">
        <f>Permutations!J294</f>
        <v>p91 - i4:i1</v>
      </c>
      <c r="D302" t="str">
        <f>Permutations!K294</f>
        <v>p11 - i1:i6</v>
      </c>
      <c r="E302" t="str">
        <f>Permutations!L294</f>
        <v>p121 - i6:i2</v>
      </c>
      <c r="F302" t="str">
        <f>Permutations!M294</f>
        <v>p7 - i2:i5</v>
      </c>
      <c r="G302" s="7">
        <f>VLOOKUP(B302,Vlookup!$A$1:$B$30,2,0)</f>
        <v>1.4338636587362954</v>
      </c>
      <c r="H302" s="7">
        <f>VLOOKUP(C302,Vlookup!$A$1:$B$30,2,0)</f>
        <v>2.9131157743633094</v>
      </c>
      <c r="I302" s="7">
        <f>VLOOKUP(D302,Vlookup!$A$1:$B$30,2,0)</f>
        <v>1.1613557664474019</v>
      </c>
      <c r="J302" s="7">
        <f>VLOOKUP(E302,Vlookup!$A$1:$B$30,2,0)</f>
        <v>1.2419340531937677</v>
      </c>
      <c r="K302" s="7">
        <f>VLOOKUP(F302,Vlookup!$A$1:$B$30,2,0)</f>
        <v>1.7991741228251155</v>
      </c>
      <c r="L302" s="7">
        <f t="shared" si="7"/>
        <v>10.839334399903667</v>
      </c>
      <c r="M302" s="7">
        <f t="shared" si="8"/>
        <v>7.5595293414833327</v>
      </c>
      <c r="N302" s="7">
        <f t="shared" si="9"/>
        <v>2.5949979084286627</v>
      </c>
      <c r="O302" s="7">
        <f t="shared" si="10"/>
        <v>2.2344556107615374</v>
      </c>
      <c r="P302" s="7">
        <f t="shared" si="11"/>
        <v>1.7991741228251155</v>
      </c>
      <c r="Q302">
        <v>1</v>
      </c>
      <c r="R302" s="7">
        <f t="shared" si="12"/>
        <v>26.027491383402314</v>
      </c>
      <c r="S302" s="7">
        <f>VLOOKUP($A302,Rotations!$A$1:$X$1441,18,0)</f>
        <v>9.970219066457893E-2</v>
      </c>
      <c r="T302" s="7">
        <f>VLOOKUP($A302,Rotations!$A$1:$X$1441,19,0)</f>
        <v>6.9125913685728679E-2</v>
      </c>
      <c r="U302" s="7">
        <f>VLOOKUP($A302,Rotations!$A$1:$X$1441,20,0)</f>
        <v>0.41645713143203233</v>
      </c>
      <c r="V302" s="7">
        <f>VLOOKUP($A302,Rotations!$A$1:$X$1441,21,0)</f>
        <v>0.2904440243635632</v>
      </c>
      <c r="W302" s="7">
        <f>VLOOKUP($A302,Rotations!$A$1:$X$1441,22,0)</f>
        <v>3.8420913689657325E-2</v>
      </c>
      <c r="X302" s="7">
        <f>VLOOKUP($A302,Rotations!$A$1:$X$1441,23,0)</f>
        <v>8.5849826164439563E-2</v>
      </c>
    </row>
    <row r="303" spans="1:24" ht="15.75" customHeight="1" x14ac:dyDescent="0.3">
      <c r="A303">
        <v>294</v>
      </c>
      <c r="B303" t="str">
        <f>Permutations!I295</f>
        <v>p3 - i3:i4</v>
      </c>
      <c r="C303" t="str">
        <f>Permutations!J295</f>
        <v>p91 - i4:i1</v>
      </c>
      <c r="D303" t="str">
        <f>Permutations!K295</f>
        <v>p11 - i1:i6</v>
      </c>
      <c r="E303" t="str">
        <f>Permutations!L295</f>
        <v>p151 - i6:i5</v>
      </c>
      <c r="F303" t="str">
        <f>Permutations!M295</f>
        <v>p71 - i5:i2</v>
      </c>
      <c r="G303" s="7">
        <f>VLOOKUP(B303,Vlookup!$A$1:$B$30,2,0)</f>
        <v>1.4338636587362954</v>
      </c>
      <c r="H303" s="7">
        <f>VLOOKUP(C303,Vlookup!$A$1:$B$30,2,0)</f>
        <v>2.9131157743633094</v>
      </c>
      <c r="I303" s="7">
        <f>VLOOKUP(D303,Vlookup!$A$1:$B$30,2,0)</f>
        <v>1.1613557664474019</v>
      </c>
      <c r="J303" s="7">
        <f>VLOOKUP(E303,Vlookup!$A$1:$B$30,2,0)</f>
        <v>1.2266517321719024</v>
      </c>
      <c r="K303" s="7">
        <f>VLOOKUP(F303,Vlookup!$A$1:$B$30,2,0)</f>
        <v>1.8243208303594776</v>
      </c>
      <c r="L303" s="7">
        <f t="shared" si="7"/>
        <v>10.855588610757534</v>
      </c>
      <c r="M303" s="7">
        <f t="shared" si="8"/>
        <v>7.570865294350841</v>
      </c>
      <c r="N303" s="7">
        <f t="shared" si="9"/>
        <v>2.5988892583596437</v>
      </c>
      <c r="O303" s="7">
        <f t="shared" si="10"/>
        <v>2.2378063065977365</v>
      </c>
      <c r="P303" s="7">
        <f t="shared" si="11"/>
        <v>1.8243208303594776</v>
      </c>
      <c r="Q303">
        <v>1</v>
      </c>
      <c r="R303" s="7">
        <f t="shared" si="12"/>
        <v>26.087470300425235</v>
      </c>
      <c r="S303" s="7">
        <f>VLOOKUP($A303,Rotations!$A$1:$X$1441,18,0)</f>
        <v>9.9622126194324062E-2</v>
      </c>
      <c r="T303" s="7">
        <f>VLOOKUP($A303,Rotations!$A$1:$X$1441,19,0)</f>
        <v>3.8332578378966073E-2</v>
      </c>
      <c r="U303" s="7">
        <f>VLOOKUP($A303,Rotations!$A$1:$X$1441,20,0)</f>
        <v>0.41612270127167467</v>
      </c>
      <c r="V303" s="7">
        <f>VLOOKUP($A303,Rotations!$A$1:$X$1441,21,0)</f>
        <v>0.29021078729229771</v>
      </c>
      <c r="W303" s="7">
        <f>VLOOKUP($A303,Rotations!$A$1:$X$1441,22,0)</f>
        <v>6.9930921218135142E-2</v>
      </c>
      <c r="X303" s="7">
        <f>VLOOKUP($A303,Rotations!$A$1:$X$1441,23,0)</f>
        <v>8.5780885644602331E-2</v>
      </c>
    </row>
    <row r="304" spans="1:24" ht="15.75" customHeight="1" x14ac:dyDescent="0.3">
      <c r="A304">
        <v>295</v>
      </c>
      <c r="B304" t="str">
        <f>Permutations!I296</f>
        <v>p3 - i3:i4</v>
      </c>
      <c r="C304" t="str">
        <f>Permutations!J296</f>
        <v>p51 - i4:i2</v>
      </c>
      <c r="D304" t="str">
        <f>Permutations!K296</f>
        <v>p11 - i2:i1</v>
      </c>
      <c r="E304" t="str">
        <f>Permutations!L296</f>
        <v>p10 - i1:i5</v>
      </c>
      <c r="F304" t="str">
        <f>Permutations!M296</f>
        <v>p15 - i5:i6</v>
      </c>
      <c r="G304" s="7">
        <f>VLOOKUP(B304,Vlookup!$A$1:$B$30,2,0)</f>
        <v>1.4338636587362954</v>
      </c>
      <c r="H304" s="7">
        <f>VLOOKUP(C304,Vlookup!$A$1:$B$30,2,0)</f>
        <v>1.4376356077157479</v>
      </c>
      <c r="I304" s="7">
        <f>VLOOKUP(D304,Vlookup!$A$1:$B$30,2,0)</f>
        <v>1.7440097060445605</v>
      </c>
      <c r="J304" s="7">
        <f>VLOOKUP(E304,Vlookup!$A$1:$B$30,2,0)</f>
        <v>1.0847108741813811</v>
      </c>
      <c r="K304" s="7">
        <f>VLOOKUP(F304,Vlookup!$A$1:$B$30,2,0)</f>
        <v>1.3219359277692486</v>
      </c>
      <c r="L304" s="7">
        <f t="shared" si="7"/>
        <v>5.1550155098570922</v>
      </c>
      <c r="M304" s="7">
        <f t="shared" si="8"/>
        <v>3.5951922474974736</v>
      </c>
      <c r="N304" s="7">
        <f t="shared" si="9"/>
        <v>2.5007673907088717</v>
      </c>
      <c r="O304" s="7">
        <f t="shared" si="10"/>
        <v>1.4339182758223568</v>
      </c>
      <c r="P304" s="7">
        <f t="shared" si="11"/>
        <v>1.3219359277692486</v>
      </c>
      <c r="Q304">
        <v>1</v>
      </c>
      <c r="R304" s="7">
        <f t="shared" si="12"/>
        <v>15.006829351655043</v>
      </c>
      <c r="S304" s="7">
        <f>VLOOKUP($A304,Rotations!$A$1:$X$1441,18,0)</f>
        <v>9.5551048274178957E-2</v>
      </c>
      <c r="T304" s="7">
        <f>VLOOKUP($A304,Rotations!$A$1:$X$1441,19,0)</f>
        <v>0.16664195561290049</v>
      </c>
      <c r="U304" s="7">
        <f>VLOOKUP($A304,Rotations!$A$1:$X$1441,20,0)</f>
        <v>0.34351130335793195</v>
      </c>
      <c r="V304" s="7">
        <f>VLOOKUP($A304,Rotations!$A$1:$X$1441,21,0)</f>
        <v>0.23957040912849284</v>
      </c>
      <c r="W304" s="7">
        <f>VLOOKUP($A304,Rotations!$A$1:$X$1441,22,0)</f>
        <v>8.8088955820868162E-2</v>
      </c>
      <c r="X304" s="7">
        <f>VLOOKUP($A304,Rotations!$A$1:$X$1441,23,0)</f>
        <v>6.6636327805627643E-2</v>
      </c>
    </row>
    <row r="305" spans="1:24" ht="15.75" customHeight="1" x14ac:dyDescent="0.3">
      <c r="A305">
        <v>296</v>
      </c>
      <c r="B305" t="str">
        <f>Permutations!I297</f>
        <v>p3 - i3:i4</v>
      </c>
      <c r="C305" t="str">
        <f>Permutations!J297</f>
        <v>p51 - i4:i2</v>
      </c>
      <c r="D305" t="str">
        <f>Permutations!K297</f>
        <v>p11 - i2:i1</v>
      </c>
      <c r="E305" t="str">
        <f>Permutations!L297</f>
        <v>p11 - i1:i6</v>
      </c>
      <c r="F305" t="str">
        <f>Permutations!M297</f>
        <v>p151 - i6:i5</v>
      </c>
      <c r="G305" s="7">
        <f>VLOOKUP(B305,Vlookup!$A$1:$B$30,2,0)</f>
        <v>1.4338636587362954</v>
      </c>
      <c r="H305" s="7">
        <f>VLOOKUP(C305,Vlookup!$A$1:$B$30,2,0)</f>
        <v>1.4376356077157479</v>
      </c>
      <c r="I305" s="7">
        <f>VLOOKUP(D305,Vlookup!$A$1:$B$30,2,0)</f>
        <v>1.7440097060445605</v>
      </c>
      <c r="J305" s="7">
        <f>VLOOKUP(E305,Vlookup!$A$1:$B$30,2,0)</f>
        <v>1.1613557664474019</v>
      </c>
      <c r="K305" s="7">
        <f>VLOOKUP(F305,Vlookup!$A$1:$B$30,2,0)</f>
        <v>1.2266517321719024</v>
      </c>
      <c r="L305" s="7">
        <f t="shared" si="7"/>
        <v>5.121440521712211</v>
      </c>
      <c r="M305" s="7">
        <f t="shared" si="8"/>
        <v>3.5717765008605356</v>
      </c>
      <c r="N305" s="7">
        <f t="shared" si="9"/>
        <v>2.4844797121683104</v>
      </c>
      <c r="O305" s="7">
        <f t="shared" si="10"/>
        <v>1.4245790625805328</v>
      </c>
      <c r="P305" s="7">
        <f t="shared" si="11"/>
        <v>1.2266517321719024</v>
      </c>
      <c r="Q305">
        <v>1</v>
      </c>
      <c r="R305" s="7">
        <f t="shared" si="12"/>
        <v>14.828927529493491</v>
      </c>
      <c r="S305" s="7">
        <f>VLOOKUP($A305,Rotations!$A$1:$X$1441,18,0)</f>
        <v>9.60675719634589E-2</v>
      </c>
      <c r="T305" s="7">
        <f>VLOOKUP($A305,Rotations!$A$1:$X$1441,19,0)</f>
        <v>0.16754277794040662</v>
      </c>
      <c r="U305" s="7">
        <f>VLOOKUP($A305,Rotations!$A$1:$X$1441,20,0)</f>
        <v>0.34536823458919036</v>
      </c>
      <c r="V305" s="7">
        <f>VLOOKUP($A305,Rotations!$A$1:$X$1441,21,0)</f>
        <v>0.24086546338274106</v>
      </c>
      <c r="W305" s="7">
        <f>VLOOKUP($A305,Rotations!$A$1:$X$1441,22,0)</f>
        <v>6.7435760139166107E-2</v>
      </c>
      <c r="X305" s="7">
        <f>VLOOKUP($A305,Rotations!$A$1:$X$1441,23,0)</f>
        <v>8.2720191985037023E-2</v>
      </c>
    </row>
    <row r="306" spans="1:24" ht="15.75" customHeight="1" x14ac:dyDescent="0.3">
      <c r="A306">
        <v>297</v>
      </c>
      <c r="B306" t="str">
        <f>Permutations!I298</f>
        <v>p3 - i3:i4</v>
      </c>
      <c r="C306" t="str">
        <f>Permutations!J298</f>
        <v>p51 - i4:i2</v>
      </c>
      <c r="D306" t="str">
        <f>Permutations!K298</f>
        <v>p7 - i2:i5</v>
      </c>
      <c r="E306" t="str">
        <f>Permutations!L298</f>
        <v>p101 - i5:i1</v>
      </c>
      <c r="F306" t="str">
        <f>Permutations!M298</f>
        <v>p11 - i1:i6</v>
      </c>
      <c r="G306" s="7">
        <f>VLOOKUP(B306,Vlookup!$A$1:$B$30,2,0)</f>
        <v>1.4338636587362954</v>
      </c>
      <c r="H306" s="7">
        <f>VLOOKUP(C306,Vlookup!$A$1:$B$30,2,0)</f>
        <v>1.4376356077157479</v>
      </c>
      <c r="I306" s="7">
        <f>VLOOKUP(D306,Vlookup!$A$1:$B$30,2,0)</f>
        <v>1.7991741228251155</v>
      </c>
      <c r="J306" s="7">
        <f>VLOOKUP(E306,Vlookup!$A$1:$B$30,2,0)</f>
        <v>1.530542412441888</v>
      </c>
      <c r="K306" s="7">
        <f>VLOOKUP(F306,Vlookup!$A$1:$B$30,2,0)</f>
        <v>1.1613557664474019</v>
      </c>
      <c r="L306" s="7">
        <f t="shared" si="7"/>
        <v>6.5923540579119049</v>
      </c>
      <c r="M306" s="7">
        <f t="shared" si="8"/>
        <v>4.5976156922213463</v>
      </c>
      <c r="N306" s="7">
        <f t="shared" si="9"/>
        <v>3.1980396614733797</v>
      </c>
      <c r="O306" s="7">
        <f t="shared" si="10"/>
        <v>1.7775042564817045</v>
      </c>
      <c r="P306" s="7">
        <f t="shared" si="11"/>
        <v>1.1613557664474019</v>
      </c>
      <c r="Q306">
        <v>1</v>
      </c>
      <c r="R306" s="7">
        <f t="shared" si="12"/>
        <v>18.326869434535737</v>
      </c>
      <c r="S306" s="7">
        <f>VLOOKUP($A306,Rotations!$A$1:$X$1441,18,0)</f>
        <v>6.3369020584547089E-2</v>
      </c>
      <c r="T306" s="7">
        <f>VLOOKUP($A306,Rotations!$A$1:$X$1441,19,0)</f>
        <v>0.17450005157164986</v>
      </c>
      <c r="U306" s="7">
        <f>VLOOKUP($A306,Rotations!$A$1:$X$1441,20,0)</f>
        <v>0.35970977375377938</v>
      </c>
      <c r="V306" s="7">
        <f>VLOOKUP($A306,Rotations!$A$1:$X$1441,21,0)</f>
        <v>0.25086748768763817</v>
      </c>
      <c r="W306" s="7">
        <f>VLOOKUP($A306,Rotations!$A$1:$X$1441,22,0)</f>
        <v>9.6988973639552362E-2</v>
      </c>
      <c r="X306" s="7">
        <f>VLOOKUP($A306,Rotations!$A$1:$X$1441,23,0)</f>
        <v>5.4564692762833135E-2</v>
      </c>
    </row>
    <row r="307" spans="1:24" ht="15.75" customHeight="1" x14ac:dyDescent="0.3">
      <c r="A307">
        <v>298</v>
      </c>
      <c r="B307" t="str">
        <f>Permutations!I299</f>
        <v>p3 - i3:i4</v>
      </c>
      <c r="C307" t="str">
        <f>Permutations!J299</f>
        <v>p51 - i4:i2</v>
      </c>
      <c r="D307" t="str">
        <f>Permutations!K299</f>
        <v>p7 - i2:i5</v>
      </c>
      <c r="E307" t="str">
        <f>Permutations!L299</f>
        <v>p15 - i5:i6</v>
      </c>
      <c r="F307" t="str">
        <f>Permutations!M299</f>
        <v>p111 - i6:i1</v>
      </c>
      <c r="G307" s="7">
        <f>VLOOKUP(B307,Vlookup!$A$1:$B$30,2,0)</f>
        <v>1.4338636587362954</v>
      </c>
      <c r="H307" s="7">
        <f>VLOOKUP(C307,Vlookup!$A$1:$B$30,2,0)</f>
        <v>1.4376356077157479</v>
      </c>
      <c r="I307" s="7">
        <f>VLOOKUP(D307,Vlookup!$A$1:$B$30,2,0)</f>
        <v>1.7991741228251155</v>
      </c>
      <c r="J307" s="7">
        <f>VLOOKUP(E307,Vlookup!$A$1:$B$30,2,0)</f>
        <v>1.3219359277692486</v>
      </c>
      <c r="K307" s="7">
        <f>VLOOKUP(F307,Vlookup!$A$1:$B$30,2,0)</f>
        <v>1.6397534939100344</v>
      </c>
      <c r="L307" s="7">
        <f t="shared" si="7"/>
        <v>8.0393112985354396</v>
      </c>
      <c r="M307" s="7">
        <f t="shared" si="8"/>
        <v>5.6067473706814717</v>
      </c>
      <c r="N307" s="7">
        <f t="shared" si="9"/>
        <v>3.8999780894339455</v>
      </c>
      <c r="O307" s="7">
        <f t="shared" si="10"/>
        <v>2.1676490562848283</v>
      </c>
      <c r="P307" s="7">
        <f t="shared" si="11"/>
        <v>1.6397534939100344</v>
      </c>
      <c r="Q307">
        <v>1</v>
      </c>
      <c r="R307" s="7">
        <f t="shared" si="12"/>
        <v>22.353439308845722</v>
      </c>
      <c r="S307" s="7">
        <f>VLOOKUP($A307,Rotations!$A$1:$X$1441,18,0)</f>
        <v>4.4735845172795365E-2</v>
      </c>
      <c r="T307" s="7">
        <f>VLOOKUP($A307,Rotations!$A$1:$X$1441,19,0)</f>
        <v>0.17446881598621125</v>
      </c>
      <c r="U307" s="7">
        <f>VLOOKUP($A307,Rotations!$A$1:$X$1441,20,0)</f>
        <v>0.35964538554718584</v>
      </c>
      <c r="V307" s="7">
        <f>VLOOKUP($A307,Rotations!$A$1:$X$1441,21,0)</f>
        <v>0.25082258229778381</v>
      </c>
      <c r="W307" s="7">
        <f>VLOOKUP($A307,Rotations!$A$1:$X$1441,22,0)</f>
        <v>9.6971612570914065E-2</v>
      </c>
      <c r="X307" s="7">
        <f>VLOOKUP($A307,Rotations!$A$1:$X$1441,23,0)</f>
        <v>7.3355758425109538E-2</v>
      </c>
    </row>
    <row r="308" spans="1:24" ht="15.75" customHeight="1" x14ac:dyDescent="0.3">
      <c r="A308">
        <v>299</v>
      </c>
      <c r="B308" t="str">
        <f>Permutations!I300</f>
        <v>p3 - i3:i4</v>
      </c>
      <c r="C308" t="str">
        <f>Permutations!J300</f>
        <v>p51 - i4:i2</v>
      </c>
      <c r="D308" t="str">
        <f>Permutations!K300</f>
        <v>p12 - i2:i6</v>
      </c>
      <c r="E308" t="str">
        <f>Permutations!L300</f>
        <v>p111 - i6:i1</v>
      </c>
      <c r="F308" t="str">
        <f>Permutations!M300</f>
        <v>p10 - i1:i5</v>
      </c>
      <c r="G308" s="7">
        <f>VLOOKUP(B308,Vlookup!$A$1:$B$30,2,0)</f>
        <v>1.4338636587362954</v>
      </c>
      <c r="H308" s="7">
        <f>VLOOKUP(C308,Vlookup!$A$1:$B$30,2,0)</f>
        <v>1.4376356077157479</v>
      </c>
      <c r="I308" s="7">
        <f>VLOOKUP(D308,Vlookup!$A$1:$B$30,2,0)</f>
        <v>1.3354555559520354</v>
      </c>
      <c r="J308" s="7">
        <f>VLOOKUP(E308,Vlookup!$A$1:$B$30,2,0)</f>
        <v>1.6397534939100344</v>
      </c>
      <c r="K308" s="7">
        <f>VLOOKUP(F308,Vlookup!$A$1:$B$30,2,0)</f>
        <v>1.0847108741813811</v>
      </c>
      <c r="L308" s="7">
        <f t="shared" si="7"/>
        <v>4.8964201534618494</v>
      </c>
      <c r="M308" s="7">
        <f t="shared" si="8"/>
        <v>3.4148436105683877</v>
      </c>
      <c r="N308" s="7">
        <f t="shared" si="9"/>
        <v>2.3753193036128368</v>
      </c>
      <c r="O308" s="7">
        <f t="shared" si="10"/>
        <v>1.7786584458211274</v>
      </c>
      <c r="P308" s="7">
        <f t="shared" si="11"/>
        <v>1.0847108741813811</v>
      </c>
      <c r="Q308">
        <v>1</v>
      </c>
      <c r="R308" s="7">
        <f t="shared" si="12"/>
        <v>14.549952387645583</v>
      </c>
      <c r="S308" s="7">
        <f>VLOOKUP($A308,Rotations!$A$1:$X$1441,18,0)</f>
        <v>7.4550819499754034E-2</v>
      </c>
      <c r="T308" s="7">
        <f>VLOOKUP($A308,Rotations!$A$1:$X$1441,19,0)</f>
        <v>0.16325272003156033</v>
      </c>
      <c r="U308" s="7">
        <f>VLOOKUP($A308,Rotations!$A$1:$X$1441,20,0)</f>
        <v>0.33652482310659776</v>
      </c>
      <c r="V308" s="7">
        <f>VLOOKUP($A308,Rotations!$A$1:$X$1441,21,0)</f>
        <v>0.23469792337382106</v>
      </c>
      <c r="W308" s="7">
        <f>VLOOKUP($A308,Rotations!$A$1:$X$1441,22,0)</f>
        <v>6.8728747239688817E-2</v>
      </c>
      <c r="X308" s="7">
        <f>VLOOKUP($A308,Rotations!$A$1:$X$1441,23,0)</f>
        <v>0.122244966748578</v>
      </c>
    </row>
    <row r="309" spans="1:24" ht="15.75" customHeight="1" x14ac:dyDescent="0.3">
      <c r="A309">
        <v>300</v>
      </c>
      <c r="B309" t="str">
        <f>Permutations!I301</f>
        <v>p3 - i3:i4</v>
      </c>
      <c r="C309" t="str">
        <f>Permutations!J301</f>
        <v>p51 - i4:i2</v>
      </c>
      <c r="D309" t="str">
        <f>Permutations!K301</f>
        <v>p12 - i2:i6</v>
      </c>
      <c r="E309" t="str">
        <f>Permutations!L301</f>
        <v>p151 - i6:i5</v>
      </c>
      <c r="F309" t="str">
        <f>Permutations!M301</f>
        <v>p101 - i5:i1</v>
      </c>
      <c r="G309" s="7">
        <f>VLOOKUP(B309,Vlookup!$A$1:$B$30,2,0)</f>
        <v>1.4338636587362954</v>
      </c>
      <c r="H309" s="7">
        <f>VLOOKUP(C309,Vlookup!$A$1:$B$30,2,0)</f>
        <v>1.4376356077157479</v>
      </c>
      <c r="I309" s="7">
        <f>VLOOKUP(D309,Vlookup!$A$1:$B$30,2,0)</f>
        <v>1.3354555559520354</v>
      </c>
      <c r="J309" s="7">
        <f>VLOOKUP(E309,Vlookup!$A$1:$B$30,2,0)</f>
        <v>1.2266517321719024</v>
      </c>
      <c r="K309" s="7">
        <f>VLOOKUP(F309,Vlookup!$A$1:$B$30,2,0)</f>
        <v>1.530542412441888</v>
      </c>
      <c r="L309" s="7">
        <f t="shared" si="7"/>
        <v>5.1683600762936477</v>
      </c>
      <c r="M309" s="7">
        <f t="shared" si="8"/>
        <v>3.6044989666930189</v>
      </c>
      <c r="N309" s="7">
        <f t="shared" si="9"/>
        <v>2.5072410194542893</v>
      </c>
      <c r="O309" s="7">
        <f t="shared" si="10"/>
        <v>1.8774425013844043</v>
      </c>
      <c r="P309" s="7">
        <f t="shared" si="11"/>
        <v>1.530542412441888</v>
      </c>
      <c r="Q309">
        <v>1</v>
      </c>
      <c r="R309" s="7">
        <f t="shared" si="12"/>
        <v>15.688084976267248</v>
      </c>
      <c r="S309" s="7">
        <f>VLOOKUP($A309,Rotations!$A$1:$X$1441,18,0)</f>
        <v>6.3742643000263471E-2</v>
      </c>
      <c r="T309" s="7">
        <f>VLOOKUP($A309,Rotations!$A$1:$X$1441,19,0)</f>
        <v>0.15981816921869141</v>
      </c>
      <c r="U309" s="7">
        <f>VLOOKUP($A309,Rotations!$A$1:$X$1441,20,0)</f>
        <v>0.32944493124000046</v>
      </c>
      <c r="V309" s="7">
        <f>VLOOKUP($A309,Rotations!$A$1:$X$1441,21,0)</f>
        <v>0.22976029082873167</v>
      </c>
      <c r="W309" s="7">
        <f>VLOOKUP($A309,Rotations!$A$1:$X$1441,22,0)</f>
        <v>9.7560818593045273E-2</v>
      </c>
      <c r="X309" s="7">
        <f>VLOOKUP($A309,Rotations!$A$1:$X$1441,23,0)</f>
        <v>0.11967314711926773</v>
      </c>
    </row>
    <row r="310" spans="1:24" ht="15.75" customHeight="1" x14ac:dyDescent="0.3">
      <c r="A310">
        <v>301</v>
      </c>
      <c r="B310" t="str">
        <f>Permutations!I302</f>
        <v>p3 - i3:i4</v>
      </c>
      <c r="C310" t="str">
        <f>Permutations!J302</f>
        <v>p4 - i4:i5</v>
      </c>
      <c r="D310" t="str">
        <f>Permutations!K302</f>
        <v>p101 - i5:i1</v>
      </c>
      <c r="E310" t="str">
        <f>Permutations!L302</f>
        <v>p1 - i1:i2</v>
      </c>
      <c r="F310" t="str">
        <f>Permutations!M302</f>
        <v>p12 - i2:i6</v>
      </c>
      <c r="G310" s="7">
        <f>VLOOKUP(B310,Vlookup!$A$1:$B$30,2,0)</f>
        <v>1.4338636587362954</v>
      </c>
      <c r="H310" s="7">
        <f>VLOOKUP(C310,Vlookup!$A$1:$B$30,2,0)</f>
        <v>1.89462595295753</v>
      </c>
      <c r="I310" s="7">
        <f>VLOOKUP(D310,Vlookup!$A$1:$B$30,2,0)</f>
        <v>1.530542412441888</v>
      </c>
      <c r="J310" s="7">
        <f>VLOOKUP(E310,Vlookup!$A$1:$B$30,2,0)</f>
        <v>1.6373343116675814</v>
      </c>
      <c r="K310" s="7">
        <f>VLOOKUP(F310,Vlookup!$A$1:$B$30,2,0)</f>
        <v>1.3354555559520354</v>
      </c>
      <c r="L310" s="7">
        <f t="shared" si="7"/>
        <v>9.091666794213495</v>
      </c>
      <c r="M310" s="7">
        <f t="shared" si="8"/>
        <v>6.3406773292700924</v>
      </c>
      <c r="N310" s="7">
        <f t="shared" si="9"/>
        <v>3.3466644534095145</v>
      </c>
      <c r="O310" s="7">
        <f t="shared" si="10"/>
        <v>2.186587203467373</v>
      </c>
      <c r="P310" s="7">
        <f t="shared" si="11"/>
        <v>1.3354555559520354</v>
      </c>
      <c r="Q310">
        <v>1</v>
      </c>
      <c r="R310" s="7">
        <f t="shared" si="12"/>
        <v>23.301051336312508</v>
      </c>
      <c r="S310" s="7">
        <f>VLOOKUP($A310,Rotations!$A$1:$X$1441,18,0)</f>
        <v>9.3840710099624622E-2</v>
      </c>
      <c r="T310" s="7">
        <f>VLOOKUP($A310,Rotations!$A$1:$X$1441,19,0)</f>
        <v>5.7313103030284855E-2</v>
      </c>
      <c r="U310" s="7">
        <f>VLOOKUP($A310,Rotations!$A$1:$X$1441,20,0)</f>
        <v>0.39018268587928406</v>
      </c>
      <c r="V310" s="7">
        <f>VLOOKUP($A310,Rotations!$A$1:$X$1441,21,0)</f>
        <v>0.27211979570161027</v>
      </c>
      <c r="W310" s="7">
        <f>VLOOKUP($A310,Rotations!$A$1:$X$1441,22,0)</f>
        <v>0.14362718682113931</v>
      </c>
      <c r="X310" s="7">
        <f>VLOOKUP($A310,Rotations!$A$1:$X$1441,23,0)</f>
        <v>4.2916518468057004E-2</v>
      </c>
    </row>
    <row r="311" spans="1:24" ht="15.75" customHeight="1" x14ac:dyDescent="0.3">
      <c r="A311">
        <v>302</v>
      </c>
      <c r="B311" t="str">
        <f>Permutations!I303</f>
        <v>p3 - i3:i4</v>
      </c>
      <c r="C311" t="str">
        <f>Permutations!J303</f>
        <v>p4 - i4:i5</v>
      </c>
      <c r="D311" t="str">
        <f>Permutations!K303</f>
        <v>p101 - i5:i1</v>
      </c>
      <c r="E311" t="str">
        <f>Permutations!L303</f>
        <v>p11 - i1:i6</v>
      </c>
      <c r="F311" t="str">
        <f>Permutations!M303</f>
        <v>p121 - i6:i2</v>
      </c>
      <c r="G311" s="7">
        <f>VLOOKUP(B311,Vlookup!$A$1:$B$30,2,0)</f>
        <v>1.4338636587362954</v>
      </c>
      <c r="H311" s="7">
        <f>VLOOKUP(C311,Vlookup!$A$1:$B$30,2,0)</f>
        <v>1.89462595295753</v>
      </c>
      <c r="I311" s="7">
        <f>VLOOKUP(D311,Vlookup!$A$1:$B$30,2,0)</f>
        <v>1.530542412441888</v>
      </c>
      <c r="J311" s="7">
        <f>VLOOKUP(E311,Vlookup!$A$1:$B$30,2,0)</f>
        <v>1.1613557664474019</v>
      </c>
      <c r="K311" s="7">
        <f>VLOOKUP(F311,Vlookup!$A$1:$B$30,2,0)</f>
        <v>1.2419340531937677</v>
      </c>
      <c r="L311" s="7">
        <f t="shared" si="7"/>
        <v>5.9970894207450067</v>
      </c>
      <c r="M311" s="7">
        <f t="shared" si="8"/>
        <v>4.1824683847768425</v>
      </c>
      <c r="N311" s="7">
        <f t="shared" si="9"/>
        <v>2.2075430658214978</v>
      </c>
      <c r="O311" s="7">
        <f t="shared" si="10"/>
        <v>1.4423272742239766</v>
      </c>
      <c r="P311" s="7">
        <f t="shared" si="11"/>
        <v>1.2419340531937677</v>
      </c>
      <c r="Q311">
        <v>1</v>
      </c>
      <c r="R311" s="7">
        <f t="shared" si="12"/>
        <v>16.071362198761094</v>
      </c>
      <c r="S311" s="7">
        <f>VLOOKUP($A311,Rotations!$A$1:$X$1441,18,0)</f>
        <v>8.9745178808499651E-2</v>
      </c>
      <c r="T311" s="7">
        <f>VLOOKUP($A311,Rotations!$A$1:$X$1441,19,0)</f>
        <v>6.2222479192030646E-2</v>
      </c>
      <c r="U311" s="7">
        <f>VLOOKUP($A311,Rotations!$A$1:$X$1441,20,0)</f>
        <v>0.37315377169505332</v>
      </c>
      <c r="V311" s="7">
        <f>VLOOKUP($A311,Rotations!$A$1:$X$1441,21,0)</f>
        <v>0.26024355204310312</v>
      </c>
      <c r="W311" s="7">
        <f>VLOOKUP($A311,Rotations!$A$1:$X$1441,22,0)</f>
        <v>0.13735880247858967</v>
      </c>
      <c r="X311" s="7">
        <f>VLOOKUP($A311,Rotations!$A$1:$X$1441,23,0)</f>
        <v>7.7276215782723492E-2</v>
      </c>
    </row>
    <row r="312" spans="1:24" ht="15.75" customHeight="1" x14ac:dyDescent="0.3">
      <c r="A312">
        <v>303</v>
      </c>
      <c r="B312" t="str">
        <f>Permutations!I304</f>
        <v>p3 - i3:i4</v>
      </c>
      <c r="C312" t="str">
        <f>Permutations!J304</f>
        <v>p4 - i4:i5</v>
      </c>
      <c r="D312" t="str">
        <f>Permutations!K304</f>
        <v>p71 - i5:i2</v>
      </c>
      <c r="E312" t="str">
        <f>Permutations!L304</f>
        <v>p11 - i2:i1</v>
      </c>
      <c r="F312" t="str">
        <f>Permutations!M304</f>
        <v>p11 - i1:i6</v>
      </c>
      <c r="G312" s="7">
        <f>VLOOKUP(B312,Vlookup!$A$1:$B$30,2,0)</f>
        <v>1.4338636587362954</v>
      </c>
      <c r="H312" s="7">
        <f>VLOOKUP(C312,Vlookup!$A$1:$B$30,2,0)</f>
        <v>1.89462595295753</v>
      </c>
      <c r="I312" s="7">
        <f>VLOOKUP(D312,Vlookup!$A$1:$B$30,2,0)</f>
        <v>1.8243208303594776</v>
      </c>
      <c r="J312" s="7">
        <f>VLOOKUP(E312,Vlookup!$A$1:$B$30,2,0)</f>
        <v>1.7440097060445605</v>
      </c>
      <c r="K312" s="7">
        <f>VLOOKUP(F312,Vlookup!$A$1:$B$30,2,0)</f>
        <v>1.1613557664474019</v>
      </c>
      <c r="L312" s="7">
        <f t="shared" si="7"/>
        <v>10.037989453015184</v>
      </c>
      <c r="M312" s="7">
        <f t="shared" si="8"/>
        <v>7.000658250772565</v>
      </c>
      <c r="N312" s="7">
        <f t="shared" si="9"/>
        <v>3.6950081042880618</v>
      </c>
      <c r="O312" s="7">
        <f t="shared" si="10"/>
        <v>2.0254157288550885</v>
      </c>
      <c r="P312" s="7">
        <f t="shared" si="11"/>
        <v>1.1613557664474019</v>
      </c>
      <c r="Q312">
        <v>1</v>
      </c>
      <c r="R312" s="7">
        <f t="shared" si="12"/>
        <v>24.920427303378297</v>
      </c>
      <c r="S312" s="7">
        <f>VLOOKUP($A312,Rotations!$A$1:$X$1441,18,0)</f>
        <v>4.6602562320027498E-2</v>
      </c>
      <c r="T312" s="7">
        <f>VLOOKUP($A312,Rotations!$A$1:$X$1441,19,0)</f>
        <v>8.1275321012674456E-2</v>
      </c>
      <c r="U312" s="7">
        <f>VLOOKUP($A312,Rotations!$A$1:$X$1441,20,0)</f>
        <v>0.40280165868802742</v>
      </c>
      <c r="V312" s="7">
        <f>VLOOKUP($A312,Rotations!$A$1:$X$1441,21,0)</f>
        <v>0.28092047401705394</v>
      </c>
      <c r="W312" s="7">
        <f>VLOOKUP($A312,Rotations!$A$1:$X$1441,22,0)</f>
        <v>0.14827226111757538</v>
      </c>
      <c r="X312" s="7">
        <f>VLOOKUP($A312,Rotations!$A$1:$X$1441,23,0)</f>
        <v>4.0127722844641459E-2</v>
      </c>
    </row>
    <row r="313" spans="1:24" ht="15.75" customHeight="1" x14ac:dyDescent="0.3">
      <c r="A313">
        <v>304</v>
      </c>
      <c r="B313" t="str">
        <f>Permutations!I305</f>
        <v>p3 - i3:i4</v>
      </c>
      <c r="C313" t="str">
        <f>Permutations!J305</f>
        <v>p4 - i4:i5</v>
      </c>
      <c r="D313" t="str">
        <f>Permutations!K305</f>
        <v>p71 - i5:i2</v>
      </c>
      <c r="E313" t="str">
        <f>Permutations!L305</f>
        <v>p12 - i2:i6</v>
      </c>
      <c r="F313" t="str">
        <f>Permutations!M305</f>
        <v>p111 - i6:i1</v>
      </c>
      <c r="G313" s="7">
        <f>VLOOKUP(B313,Vlookup!$A$1:$B$30,2,0)</f>
        <v>1.4338636587362954</v>
      </c>
      <c r="H313" s="7">
        <f>VLOOKUP(C313,Vlookup!$A$1:$B$30,2,0)</f>
        <v>1.89462595295753</v>
      </c>
      <c r="I313" s="7">
        <f>VLOOKUP(D313,Vlookup!$A$1:$B$30,2,0)</f>
        <v>1.8243208303594776</v>
      </c>
      <c r="J313" s="7">
        <f>VLOOKUP(E313,Vlookup!$A$1:$B$30,2,0)</f>
        <v>1.3354555559520354</v>
      </c>
      <c r="K313" s="7">
        <f>VLOOKUP(F313,Vlookup!$A$1:$B$30,2,0)</f>
        <v>1.6397534939100344</v>
      </c>
      <c r="L313" s="7">
        <f t="shared" si="7"/>
        <v>10.852769043871323</v>
      </c>
      <c r="M313" s="7">
        <f t="shared" si="8"/>
        <v>7.5688988822243903</v>
      </c>
      <c r="N313" s="7">
        <f t="shared" si="9"/>
        <v>3.9949304349015513</v>
      </c>
      <c r="O313" s="7">
        <f t="shared" si="10"/>
        <v>2.1898179138339176</v>
      </c>
      <c r="P313" s="7">
        <f t="shared" si="11"/>
        <v>1.6397534939100344</v>
      </c>
      <c r="Q313">
        <v>1</v>
      </c>
      <c r="R313" s="7">
        <f t="shared" si="12"/>
        <v>27.246169768741218</v>
      </c>
      <c r="S313" s="7">
        <f>VLOOKUP($A313,Rotations!$A$1:$X$1441,18,0)</f>
        <v>3.6702406557976915E-2</v>
      </c>
      <c r="T313" s="7">
        <f>VLOOKUP($A313,Rotations!$A$1:$X$1441,19,0)</f>
        <v>8.0371587361473304E-2</v>
      </c>
      <c r="U313" s="7">
        <f>VLOOKUP($A313,Rotations!$A$1:$X$1441,20,0)</f>
        <v>0.39832274172799165</v>
      </c>
      <c r="V313" s="7">
        <f>VLOOKUP($A313,Rotations!$A$1:$X$1441,21,0)</f>
        <v>0.2777968039716166</v>
      </c>
      <c r="W313" s="7">
        <f>VLOOKUP($A313,Rotations!$A$1:$X$1441,22,0)</f>
        <v>0.14662356099259224</v>
      </c>
      <c r="X313" s="7">
        <f>VLOOKUP($A313,Rotations!$A$1:$X$1441,23,0)</f>
        <v>6.0182899388349205E-2</v>
      </c>
    </row>
    <row r="314" spans="1:24" ht="15.75" customHeight="1" x14ac:dyDescent="0.3">
      <c r="A314">
        <v>305</v>
      </c>
      <c r="B314" t="str">
        <f>Permutations!I306</f>
        <v>p3 - i3:i4</v>
      </c>
      <c r="C314" t="str">
        <f>Permutations!J306</f>
        <v>p4 - i4:i5</v>
      </c>
      <c r="D314" t="str">
        <f>Permutations!K306</f>
        <v>p15 - i5:i6</v>
      </c>
      <c r="E314" t="str">
        <f>Permutations!L306</f>
        <v>p111 - i6:i1</v>
      </c>
      <c r="F314" t="str">
        <f>Permutations!M306</f>
        <v>p1 - i1:i2</v>
      </c>
      <c r="G314" s="7">
        <f>VLOOKUP(B314,Vlookup!$A$1:$B$30,2,0)</f>
        <v>1.4338636587362954</v>
      </c>
      <c r="H314" s="7">
        <f>VLOOKUP(C314,Vlookup!$A$1:$B$30,2,0)</f>
        <v>1.89462595295753</v>
      </c>
      <c r="I314" s="7">
        <f>VLOOKUP(D314,Vlookup!$A$1:$B$30,2,0)</f>
        <v>1.3219359277692486</v>
      </c>
      <c r="J314" s="7">
        <f>VLOOKUP(E314,Vlookup!$A$1:$B$30,2,0)</f>
        <v>1.6397534939100344</v>
      </c>
      <c r="K314" s="7">
        <f>VLOOKUP(F314,Vlookup!$A$1:$B$30,2,0)</f>
        <v>1.6373343116675814</v>
      </c>
      <c r="L314" s="7">
        <f t="shared" si="7"/>
        <v>9.6417901209507519</v>
      </c>
      <c r="M314" s="7">
        <f t="shared" si="8"/>
        <v>6.7243423474783759</v>
      </c>
      <c r="N314" s="7">
        <f t="shared" si="9"/>
        <v>3.5491661755090016</v>
      </c>
      <c r="O314" s="7">
        <f t="shared" si="10"/>
        <v>2.6848246582556978</v>
      </c>
      <c r="P314" s="7">
        <f t="shared" si="11"/>
        <v>1.6373343116675814</v>
      </c>
      <c r="Q314">
        <v>1</v>
      </c>
      <c r="R314" s="7">
        <f t="shared" si="12"/>
        <v>25.237457613861409</v>
      </c>
      <c r="S314" s="7">
        <f>VLOOKUP($A314,Rotations!$A$1:$X$1441,18,0)</f>
        <v>6.4877149541730891E-2</v>
      </c>
      <c r="T314" s="7">
        <f>VLOOKUP($A314,Rotations!$A$1:$X$1441,19,0)</f>
        <v>3.9623642575263227E-2</v>
      </c>
      <c r="U314" s="7">
        <f>VLOOKUP($A314,Rotations!$A$1:$X$1441,20,0)</f>
        <v>0.38204284553825657</v>
      </c>
      <c r="V314" s="7">
        <f>VLOOKUP($A314,Rotations!$A$1:$X$1441,21,0)</f>
        <v>0.26644293773018962</v>
      </c>
      <c r="W314" s="7">
        <f>VLOOKUP($A314,Rotations!$A$1:$X$1441,22,0)</f>
        <v>0.14063089197858264</v>
      </c>
      <c r="X314" s="7">
        <f>VLOOKUP($A314,Rotations!$A$1:$X$1441,23,0)</f>
        <v>0.10638253263597701</v>
      </c>
    </row>
    <row r="315" spans="1:24" ht="15.75" customHeight="1" x14ac:dyDescent="0.3">
      <c r="A315">
        <v>306</v>
      </c>
      <c r="B315" t="str">
        <f>Permutations!I307</f>
        <v>p3 - i3:i4</v>
      </c>
      <c r="C315" t="str">
        <f>Permutations!J307</f>
        <v>p4 - i4:i5</v>
      </c>
      <c r="D315" t="str">
        <f>Permutations!K307</f>
        <v>p15 - i5:i6</v>
      </c>
      <c r="E315" t="str">
        <f>Permutations!L307</f>
        <v>p121 - i6:i2</v>
      </c>
      <c r="F315" t="str">
        <f>Permutations!M307</f>
        <v>p11 - i2:i1</v>
      </c>
      <c r="G315" s="7">
        <f>VLOOKUP(B315,Vlookup!$A$1:$B$30,2,0)</f>
        <v>1.4338636587362954</v>
      </c>
      <c r="H315" s="7">
        <f>VLOOKUP(C315,Vlookup!$A$1:$B$30,2,0)</f>
        <v>1.89462595295753</v>
      </c>
      <c r="I315" s="7">
        <f>VLOOKUP(D315,Vlookup!$A$1:$B$30,2,0)</f>
        <v>1.3219359277692486</v>
      </c>
      <c r="J315" s="7">
        <f>VLOOKUP(E315,Vlookup!$A$1:$B$30,2,0)</f>
        <v>1.2419340531937677</v>
      </c>
      <c r="K315" s="7">
        <f>VLOOKUP(F315,Vlookup!$A$1:$B$30,2,0)</f>
        <v>1.7440097060445605</v>
      </c>
      <c r="L315" s="7">
        <f t="shared" si="7"/>
        <v>7.7783804071756766</v>
      </c>
      <c r="M315" s="7">
        <f t="shared" si="8"/>
        <v>5.4247698934157969</v>
      </c>
      <c r="N315" s="7">
        <f t="shared" si="9"/>
        <v>2.8632405699645762</v>
      </c>
      <c r="O315" s="7">
        <f t="shared" si="10"/>
        <v>2.1659450430371923</v>
      </c>
      <c r="P315" s="7">
        <f t="shared" si="11"/>
        <v>1.7440097060445605</v>
      </c>
      <c r="Q315">
        <v>1</v>
      </c>
      <c r="R315" s="7">
        <f t="shared" si="12"/>
        <v>20.976345619637801</v>
      </c>
      <c r="S315" s="7">
        <f>VLOOKUP($A315,Rotations!$A$1:$X$1441,18,0)</f>
        <v>4.7672746155737064E-2</v>
      </c>
      <c r="T315" s="7">
        <f>VLOOKUP($A315,Rotations!$A$1:$X$1441,19,0)</f>
        <v>8.3141732009403946E-2</v>
      </c>
      <c r="U315" s="7">
        <f>VLOOKUP($A315,Rotations!$A$1:$X$1441,20,0)</f>
        <v>0.37081675465404473</v>
      </c>
      <c r="V315" s="7">
        <f>VLOOKUP($A315,Rotations!$A$1:$X$1441,21,0)</f>
        <v>0.25861367808209612</v>
      </c>
      <c r="W315" s="7">
        <f>VLOOKUP($A315,Rotations!$A$1:$X$1441,22,0)</f>
        <v>0.13649854087472915</v>
      </c>
      <c r="X315" s="7">
        <f>VLOOKUP($A315,Rotations!$A$1:$X$1441,23,0)</f>
        <v>0.10325654822398905</v>
      </c>
    </row>
    <row r="316" spans="1:24" ht="15.75" customHeight="1" x14ac:dyDescent="0.3">
      <c r="A316">
        <v>307</v>
      </c>
      <c r="B316" t="str">
        <f>Permutations!I308</f>
        <v>p3 - i3:i4</v>
      </c>
      <c r="C316" t="str">
        <f>Permutations!J308</f>
        <v>p14 - i4:i6</v>
      </c>
      <c r="D316" t="str">
        <f>Permutations!K308</f>
        <v>p111 - i6:i1</v>
      </c>
      <c r="E316" t="str">
        <f>Permutations!L308</f>
        <v>p1 - i1:i2</v>
      </c>
      <c r="F316" t="str">
        <f>Permutations!M308</f>
        <v>p7 - i2:i5</v>
      </c>
      <c r="G316" s="7">
        <f>VLOOKUP(B316,Vlookup!$A$1:$B$30,2,0)</f>
        <v>1.4338636587362954</v>
      </c>
      <c r="H316" s="7">
        <f>VLOOKUP(C316,Vlookup!$A$1:$B$30,2,0)</f>
        <v>1.478275916473532</v>
      </c>
      <c r="I316" s="7">
        <f>VLOOKUP(D316,Vlookup!$A$1:$B$30,2,0)</f>
        <v>1.6397534939100344</v>
      </c>
      <c r="J316" s="7">
        <f>VLOOKUP(E316,Vlookup!$A$1:$B$30,2,0)</f>
        <v>1.6373343116675814</v>
      </c>
      <c r="K316" s="7">
        <f>VLOOKUP(F316,Vlookup!$A$1:$B$30,2,0)</f>
        <v>1.7991741228251155</v>
      </c>
      <c r="L316" s="7">
        <f t="shared" si="7"/>
        <v>10.238880711231122</v>
      </c>
      <c r="M316" s="7">
        <f t="shared" si="8"/>
        <v>7.1407631045304099</v>
      </c>
      <c r="N316" s="7">
        <f t="shared" si="9"/>
        <v>4.8304670494564359</v>
      </c>
      <c r="O316" s="7">
        <f t="shared" si="10"/>
        <v>2.9458495239659848</v>
      </c>
      <c r="P316" s="7">
        <f t="shared" si="11"/>
        <v>1.7991741228251155</v>
      </c>
      <c r="Q316">
        <v>1</v>
      </c>
      <c r="R316" s="7">
        <f t="shared" si="12"/>
        <v>27.955134512009071</v>
      </c>
      <c r="S316" s="7">
        <f>VLOOKUP($A316,Rotations!$A$1:$X$1441,18,0)</f>
        <v>0.10537776245363784</v>
      </c>
      <c r="T316" s="7">
        <f>VLOOKUP($A316,Rotations!$A$1:$X$1441,19,0)</f>
        <v>6.4359344150256889E-2</v>
      </c>
      <c r="U316" s="7">
        <f>VLOOKUP($A316,Rotations!$A$1:$X$1441,20,0)</f>
        <v>0.36626118564490062</v>
      </c>
      <c r="V316" s="7">
        <f>VLOOKUP($A316,Rotations!$A$1:$X$1441,21,0)</f>
        <v>0.25543654964217233</v>
      </c>
      <c r="W316" s="7">
        <f>VLOOKUP($A316,Rotations!$A$1:$X$1441,22,0)</f>
        <v>3.577160394525794E-2</v>
      </c>
      <c r="X316" s="7">
        <f>VLOOKUP($A316,Rotations!$A$1:$X$1441,23,0)</f>
        <v>0.17279355416377432</v>
      </c>
    </row>
    <row r="317" spans="1:24" ht="15.75" customHeight="1" x14ac:dyDescent="0.3">
      <c r="A317">
        <v>308</v>
      </c>
      <c r="B317" t="str">
        <f>Permutations!I309</f>
        <v>p3 - i3:i4</v>
      </c>
      <c r="C317" t="str">
        <f>Permutations!J309</f>
        <v>p14 - i4:i6</v>
      </c>
      <c r="D317" t="str">
        <f>Permutations!K309</f>
        <v>p111 - i6:i1</v>
      </c>
      <c r="E317" t="str">
        <f>Permutations!L309</f>
        <v>p10 - i1:i5</v>
      </c>
      <c r="F317" t="str">
        <f>Permutations!M309</f>
        <v>p71 - i5:i2</v>
      </c>
      <c r="G317" s="7">
        <f>VLOOKUP(B317,Vlookup!$A$1:$B$30,2,0)</f>
        <v>1.4338636587362954</v>
      </c>
      <c r="H317" s="7">
        <f>VLOOKUP(C317,Vlookup!$A$1:$B$30,2,0)</f>
        <v>1.478275916473532</v>
      </c>
      <c r="I317" s="7">
        <f>VLOOKUP(D317,Vlookup!$A$1:$B$30,2,0)</f>
        <v>1.6397534939100344</v>
      </c>
      <c r="J317" s="7">
        <f>VLOOKUP(E317,Vlookup!$A$1:$B$30,2,0)</f>
        <v>1.0847108741813811</v>
      </c>
      <c r="K317" s="7">
        <f>VLOOKUP(F317,Vlookup!$A$1:$B$30,2,0)</f>
        <v>1.8243208303594776</v>
      </c>
      <c r="L317" s="7">
        <f t="shared" si="7"/>
        <v>6.877920239910905</v>
      </c>
      <c r="M317" s="7">
        <f t="shared" si="8"/>
        <v>4.7967742246655529</v>
      </c>
      <c r="N317" s="7">
        <f t="shared" si="9"/>
        <v>3.2448436528062969</v>
      </c>
      <c r="O317" s="7">
        <f t="shared" si="10"/>
        <v>1.9788606426865321</v>
      </c>
      <c r="P317" s="7">
        <f t="shared" si="11"/>
        <v>1.8243208303594776</v>
      </c>
      <c r="Q317">
        <v>1</v>
      </c>
      <c r="R317" s="7">
        <f t="shared" si="12"/>
        <v>19.722719590428767</v>
      </c>
      <c r="S317" s="7">
        <f>VLOOKUP($A317,Rotations!$A$1:$X$1441,18,0)</f>
        <v>0.10033406567554977</v>
      </c>
      <c r="T317" s="7">
        <f>VLOOKUP($A317,Rotations!$A$1:$X$1441,19,0)</f>
        <v>5.0702946691250923E-2</v>
      </c>
      <c r="U317" s="7">
        <f>VLOOKUP($A317,Rotations!$A$1:$X$1441,20,0)</f>
        <v>0.3487308232708784</v>
      </c>
      <c r="V317" s="7">
        <f>VLOOKUP($A317,Rotations!$A$1:$X$1441,21,0)</f>
        <v>0.243210587803184</v>
      </c>
      <c r="W317" s="7">
        <f>VLOOKUP($A317,Rotations!$A$1:$X$1441,22,0)</f>
        <v>9.2498441809455212E-2</v>
      </c>
      <c r="X317" s="7">
        <f>VLOOKUP($A317,Rotations!$A$1:$X$1441,23,0)</f>
        <v>0.16452313474968158</v>
      </c>
    </row>
    <row r="318" spans="1:24" ht="15.75" customHeight="1" x14ac:dyDescent="0.3">
      <c r="A318">
        <v>309</v>
      </c>
      <c r="B318" t="str">
        <f>Permutations!I310</f>
        <v>p3 - i3:i4</v>
      </c>
      <c r="C318" t="str">
        <f>Permutations!J310</f>
        <v>p14 - i4:i6</v>
      </c>
      <c r="D318" t="str">
        <f>Permutations!K310</f>
        <v>p121 - i6:i2</v>
      </c>
      <c r="E318" t="str">
        <f>Permutations!L310</f>
        <v>p11 - i2:i1</v>
      </c>
      <c r="F318" t="str">
        <f>Permutations!M310</f>
        <v>p10 - i1:i5</v>
      </c>
      <c r="G318" s="7">
        <f>VLOOKUP(B318,Vlookup!$A$1:$B$30,2,0)</f>
        <v>1.4338636587362954</v>
      </c>
      <c r="H318" s="7">
        <f>VLOOKUP(C318,Vlookup!$A$1:$B$30,2,0)</f>
        <v>1.478275916473532</v>
      </c>
      <c r="I318" s="7">
        <f>VLOOKUP(D318,Vlookup!$A$1:$B$30,2,0)</f>
        <v>1.2419340531937677</v>
      </c>
      <c r="J318" s="7">
        <f>VLOOKUP(E318,Vlookup!$A$1:$B$30,2,0)</f>
        <v>1.7440097060445605</v>
      </c>
      <c r="K318" s="7">
        <f>VLOOKUP(F318,Vlookup!$A$1:$B$30,2,0)</f>
        <v>1.0847108741813811</v>
      </c>
      <c r="L318" s="7">
        <f t="shared" si="7"/>
        <v>4.9799477512478481</v>
      </c>
      <c r="M318" s="7">
        <f t="shared" si="8"/>
        <v>3.4730971253130285</v>
      </c>
      <c r="N318" s="7">
        <f t="shared" si="9"/>
        <v>2.3494241410617018</v>
      </c>
      <c r="O318" s="7">
        <f t="shared" si="10"/>
        <v>1.8917462928244089</v>
      </c>
      <c r="P318" s="7">
        <f t="shared" si="11"/>
        <v>1.0847108741813811</v>
      </c>
      <c r="Q318">
        <v>1</v>
      </c>
      <c r="R318" s="7">
        <f t="shared" si="12"/>
        <v>14.77892618462837</v>
      </c>
      <c r="S318" s="7">
        <f>VLOOKUP($A318,Rotations!$A$1:$X$1441,18,0)</f>
        <v>7.3395784012345491E-2</v>
      </c>
      <c r="T318" s="7">
        <f>VLOOKUP($A318,Rotations!$A$1:$X$1441,19,0)</f>
        <v>0.12800295970028072</v>
      </c>
      <c r="U318" s="7">
        <f>VLOOKUP($A318,Rotations!$A$1:$X$1441,20,0)</f>
        <v>0.33696275961020195</v>
      </c>
      <c r="V318" s="7">
        <f>VLOOKUP($A318,Rotations!$A$1:$X$1441,21,0)</f>
        <v>0.23500334746413531</v>
      </c>
      <c r="W318" s="7">
        <f>VLOOKUP($A318,Rotations!$A$1:$X$1441,22,0)</f>
        <v>6.7663914651668308E-2</v>
      </c>
      <c r="X318" s="7">
        <f>VLOOKUP($A318,Rotations!$A$1:$X$1441,23,0)</f>
        <v>0.15897123456136814</v>
      </c>
    </row>
    <row r="319" spans="1:24" ht="15.75" customHeight="1" x14ac:dyDescent="0.3">
      <c r="A319">
        <v>310</v>
      </c>
      <c r="B319" t="str">
        <f>Permutations!I311</f>
        <v>p3 - i3:i4</v>
      </c>
      <c r="C319" t="str">
        <f>Permutations!J311</f>
        <v>p14 - i4:i6</v>
      </c>
      <c r="D319" t="str">
        <f>Permutations!K311</f>
        <v>p121 - i6:i2</v>
      </c>
      <c r="E319" t="str">
        <f>Permutations!L311</f>
        <v>p7 - i2:i5</v>
      </c>
      <c r="F319" t="str">
        <f>Permutations!M311</f>
        <v>p101 - i5:i1</v>
      </c>
      <c r="G319" s="7">
        <f>VLOOKUP(B319,Vlookup!$A$1:$B$30,2,0)</f>
        <v>1.4338636587362954</v>
      </c>
      <c r="H319" s="7">
        <f>VLOOKUP(C319,Vlookup!$A$1:$B$30,2,0)</f>
        <v>1.478275916473532</v>
      </c>
      <c r="I319" s="7">
        <f>VLOOKUP(D319,Vlookup!$A$1:$B$30,2,0)</f>
        <v>1.2419340531937677</v>
      </c>
      <c r="J319" s="7">
        <f>VLOOKUP(E319,Vlookup!$A$1:$B$30,2,0)</f>
        <v>1.7991741228251155</v>
      </c>
      <c r="K319" s="7">
        <f>VLOOKUP(F319,Vlookup!$A$1:$B$30,2,0)</f>
        <v>1.530542412441888</v>
      </c>
      <c r="L319" s="7">
        <f t="shared" si="7"/>
        <v>7.2490393874148857</v>
      </c>
      <c r="M319" s="7">
        <f t="shared" si="8"/>
        <v>5.0555987964739053</v>
      </c>
      <c r="N319" s="7">
        <f t="shared" si="9"/>
        <v>3.4199290809892759</v>
      </c>
      <c r="O319" s="7">
        <f t="shared" si="10"/>
        <v>2.75371230235177</v>
      </c>
      <c r="P319" s="7">
        <f t="shared" si="11"/>
        <v>1.530542412441888</v>
      </c>
      <c r="Q319">
        <v>1</v>
      </c>
      <c r="R319" s="7">
        <f t="shared" si="12"/>
        <v>21.008821979671726</v>
      </c>
      <c r="S319" s="7">
        <f>VLOOKUP($A319,Rotations!$A$1:$X$1441,18,0)</f>
        <v>4.7599051530238419E-2</v>
      </c>
      <c r="T319" s="7">
        <f>VLOOKUP($A319,Rotations!$A$1:$X$1441,19,0)</f>
        <v>0.13107409377909338</v>
      </c>
      <c r="U319" s="7">
        <f>VLOOKUP($A319,Rotations!$A$1:$X$1441,20,0)</f>
        <v>0.34504739934628909</v>
      </c>
      <c r="V319" s="7">
        <f>VLOOKUP($A319,Rotations!$A$1:$X$1441,21,0)</f>
        <v>0.24064170762957274</v>
      </c>
      <c r="W319" s="7">
        <f>VLOOKUP($A319,Rotations!$A$1:$X$1441,22,0)</f>
        <v>7.2852367159036854E-2</v>
      </c>
      <c r="X319" s="7">
        <f>VLOOKUP($A319,Rotations!$A$1:$X$1441,23,0)</f>
        <v>0.16278538055576947</v>
      </c>
    </row>
    <row r="320" spans="1:24" ht="15.75" customHeight="1" x14ac:dyDescent="0.3">
      <c r="A320">
        <v>311</v>
      </c>
      <c r="B320" t="str">
        <f>Permutations!I312</f>
        <v>p3 - i3:i4</v>
      </c>
      <c r="C320" t="str">
        <f>Permutations!J312</f>
        <v>p14 - i4:i6</v>
      </c>
      <c r="D320" t="str">
        <f>Permutations!K312</f>
        <v>p151 - i6:i5</v>
      </c>
      <c r="E320" t="str">
        <f>Permutations!L312</f>
        <v>p101 - i5:i1</v>
      </c>
      <c r="F320" t="str">
        <f>Permutations!M312</f>
        <v>p1 - i1:i2</v>
      </c>
      <c r="G320" s="7">
        <f>VLOOKUP(B320,Vlookup!$A$1:$B$30,2,0)</f>
        <v>1.4338636587362954</v>
      </c>
      <c r="H320" s="7">
        <f>VLOOKUP(C320,Vlookup!$A$1:$B$30,2,0)</f>
        <v>1.478275916473532</v>
      </c>
      <c r="I320" s="7">
        <f>VLOOKUP(D320,Vlookup!$A$1:$B$30,2,0)</f>
        <v>1.2266517321719024</v>
      </c>
      <c r="J320" s="7">
        <f>VLOOKUP(E320,Vlookup!$A$1:$B$30,2,0)</f>
        <v>1.530542412441888</v>
      </c>
      <c r="K320" s="7">
        <f>VLOOKUP(F320,Vlookup!$A$1:$B$30,2,0)</f>
        <v>1.6373343116675814</v>
      </c>
      <c r="L320" s="7">
        <f t="shared" si="7"/>
        <v>6.5157943292218601</v>
      </c>
      <c r="M320" s="7">
        <f t="shared" si="8"/>
        <v>4.5442216835067946</v>
      </c>
      <c r="N320" s="7">
        <f t="shared" si="9"/>
        <v>3.0740010256996957</v>
      </c>
      <c r="O320" s="7">
        <f t="shared" si="10"/>
        <v>2.5060096073535783</v>
      </c>
      <c r="P320" s="7">
        <f t="shared" si="11"/>
        <v>1.6373343116675814</v>
      </c>
      <c r="Q320">
        <v>1</v>
      </c>
      <c r="R320" s="7">
        <f t="shared" si="12"/>
        <v>19.27736095744951</v>
      </c>
      <c r="S320" s="7">
        <f>VLOOKUP($A320,Rotations!$A$1:$X$1441,18,0)</f>
        <v>8.4935604789557709E-2</v>
      </c>
      <c r="T320" s="7">
        <f>VLOOKUP($A320,Rotations!$A$1:$X$1441,19,0)</f>
        <v>5.1874320463640107E-2</v>
      </c>
      <c r="U320" s="7">
        <f>VLOOKUP($A320,Rotations!$A$1:$X$1441,20,0)</f>
        <v>0.33800240310922369</v>
      </c>
      <c r="V320" s="7">
        <f>VLOOKUP($A320,Rotations!$A$1:$X$1441,21,0)</f>
        <v>0.23572841186805363</v>
      </c>
      <c r="W320" s="7">
        <f>VLOOKUP($A320,Rotations!$A$1:$X$1441,22,0)</f>
        <v>0.12999754545682043</v>
      </c>
      <c r="X320" s="7">
        <f>VLOOKUP($A320,Rotations!$A$1:$X$1441,23,0)</f>
        <v>0.15946171431270442</v>
      </c>
    </row>
    <row r="321" spans="1:24" ht="15.75" customHeight="1" x14ac:dyDescent="0.3">
      <c r="A321">
        <v>312</v>
      </c>
      <c r="B321" t="str">
        <f>Permutations!I313</f>
        <v>p3 - i3:i4</v>
      </c>
      <c r="C321" t="str">
        <f>Permutations!J313</f>
        <v>p14 - i4:i6</v>
      </c>
      <c r="D321" t="str">
        <f>Permutations!K313</f>
        <v>p151 - i6:i5</v>
      </c>
      <c r="E321" t="str">
        <f>Permutations!L313</f>
        <v>p71 - i5:i2</v>
      </c>
      <c r="F321" t="str">
        <f>Permutations!M313</f>
        <v>p11 - i2:i1</v>
      </c>
      <c r="G321" s="7">
        <f>VLOOKUP(B321,Vlookup!$A$1:$B$30,2,0)</f>
        <v>1.4338636587362954</v>
      </c>
      <c r="H321" s="7">
        <f>VLOOKUP(C321,Vlookup!$A$1:$B$30,2,0)</f>
        <v>1.478275916473532</v>
      </c>
      <c r="I321" s="7">
        <f>VLOOKUP(D321,Vlookup!$A$1:$B$30,2,0)</f>
        <v>1.2266517321719024</v>
      </c>
      <c r="J321" s="7">
        <f>VLOOKUP(E321,Vlookup!$A$1:$B$30,2,0)</f>
        <v>1.8243208303594776</v>
      </c>
      <c r="K321" s="7">
        <f>VLOOKUP(F321,Vlookup!$A$1:$B$30,2,0)</f>
        <v>1.7440097060445605</v>
      </c>
      <c r="L321" s="7">
        <f t="shared" si="7"/>
        <v>8.2724614183466336</v>
      </c>
      <c r="M321" s="7">
        <f t="shared" si="8"/>
        <v>5.7693500828644941</v>
      </c>
      <c r="N321" s="7">
        <f t="shared" si="9"/>
        <v>3.9027559189541821</v>
      </c>
      <c r="O321" s="7">
        <f t="shared" si="10"/>
        <v>3.1816332350862009</v>
      </c>
      <c r="P321" s="7">
        <f t="shared" si="11"/>
        <v>1.7440097060445605</v>
      </c>
      <c r="Q321">
        <v>1</v>
      </c>
      <c r="R321" s="7">
        <f t="shared" si="12"/>
        <v>23.870210361296071</v>
      </c>
      <c r="S321" s="7">
        <f>VLOOKUP($A321,Rotations!$A$1:$X$1441,18,0)</f>
        <v>4.1893221084529371E-2</v>
      </c>
      <c r="T321" s="7">
        <f>VLOOKUP($A321,Rotations!$A$1:$X$1441,19,0)</f>
        <v>7.306218418888985E-2</v>
      </c>
      <c r="U321" s="7">
        <f>VLOOKUP($A321,Rotations!$A$1:$X$1441,20,0)</f>
        <v>0.34656005511203491</v>
      </c>
      <c r="V321" s="7">
        <f>VLOOKUP($A321,Rotations!$A$1:$X$1441,21,0)</f>
        <v>0.24169665853549011</v>
      </c>
      <c r="W321" s="7">
        <f>VLOOKUP($A321,Rotations!$A$1:$X$1441,22,0)</f>
        <v>0.13328886452735261</v>
      </c>
      <c r="X321" s="7">
        <f>VLOOKUP($A321,Rotations!$A$1:$X$1441,23,0)</f>
        <v>0.16349901655170315</v>
      </c>
    </row>
    <row r="322" spans="1:24" ht="15.75" customHeight="1" x14ac:dyDescent="0.3">
      <c r="A322">
        <v>313</v>
      </c>
      <c r="B322" t="str">
        <f>Permutations!I314</f>
        <v>p6 - i3:i5</v>
      </c>
      <c r="C322" t="str">
        <f>Permutations!J314</f>
        <v>p101 - i5:i1</v>
      </c>
      <c r="D322" t="str">
        <f>Permutations!K314</f>
        <v>p1 - i1:i2</v>
      </c>
      <c r="E322" t="str">
        <f>Permutations!L314</f>
        <v>p5 - i2:i4</v>
      </c>
      <c r="F322" t="str">
        <f>Permutations!M314</f>
        <v>p14 - i4:i6</v>
      </c>
      <c r="G322" s="7">
        <f>VLOOKUP(B322,Vlookup!$A$1:$B$30,2,0)</f>
        <v>2.2414716085286912</v>
      </c>
      <c r="H322" s="7">
        <f>VLOOKUP(C322,Vlookup!$A$1:$B$30,2,0)</f>
        <v>1.530542412441888</v>
      </c>
      <c r="I322" s="7">
        <f>VLOOKUP(D322,Vlookup!$A$1:$B$30,2,0)</f>
        <v>1.6373343116675814</v>
      </c>
      <c r="J322" s="7">
        <f>VLOOKUP(E322,Vlookup!$A$1:$B$30,2,0)</f>
        <v>0.9108240498099236</v>
      </c>
      <c r="K322" s="7">
        <f>VLOOKUP(F322,Vlookup!$A$1:$B$30,2,0)</f>
        <v>1.478275916473532</v>
      </c>
      <c r="L322" s="7">
        <f t="shared" si="7"/>
        <v>7.5632066165579488</v>
      </c>
      <c r="M322" s="7">
        <f t="shared" si="8"/>
        <v>3.3742147738032076</v>
      </c>
      <c r="N322" s="7">
        <f t="shared" si="9"/>
        <v>2.2045875673708717</v>
      </c>
      <c r="O322" s="7">
        <f t="shared" si="10"/>
        <v>1.3464492569788988</v>
      </c>
      <c r="P322" s="7">
        <f t="shared" si="11"/>
        <v>1.478275916473532</v>
      </c>
      <c r="Q322">
        <v>1</v>
      </c>
      <c r="R322" s="7">
        <f t="shared" si="12"/>
        <v>16.966734131184459</v>
      </c>
      <c r="S322" s="7">
        <f>VLOOKUP($A322,Rotations!$A$1:$X$1441,18,0)</f>
        <v>0.12993588219897259</v>
      </c>
      <c r="T322" s="7">
        <f>VLOOKUP($A322,Rotations!$A$1:$X$1441,19,0)</f>
        <v>7.9358186824190088E-2</v>
      </c>
      <c r="U322" s="7">
        <f>VLOOKUP($A322,Rotations!$A$1:$X$1441,20,0)</f>
        <v>0.44576679036049444</v>
      </c>
      <c r="V322" s="7">
        <f>VLOOKUP($A322,Rotations!$A$1:$X$1441,21,0)</f>
        <v>8.7127900104033304E-2</v>
      </c>
      <c r="W322" s="7">
        <f>VLOOKUP($A322,Rotations!$A$1:$X$1441,22,0)</f>
        <v>0.19887237860358051</v>
      </c>
      <c r="X322" s="7">
        <f>VLOOKUP($A322,Rotations!$A$1:$X$1441,23,0)</f>
        <v>5.8938861908729004E-2</v>
      </c>
    </row>
    <row r="323" spans="1:24" ht="15.75" customHeight="1" x14ac:dyDescent="0.3">
      <c r="A323">
        <v>314</v>
      </c>
      <c r="B323" t="str">
        <f>Permutations!I315</f>
        <v>p6 - i3:i5</v>
      </c>
      <c r="C323" t="str">
        <f>Permutations!J315</f>
        <v>p101 - i5:i1</v>
      </c>
      <c r="D323" t="str">
        <f>Permutations!K315</f>
        <v>p1 - i1:i2</v>
      </c>
      <c r="E323" t="str">
        <f>Permutations!L315</f>
        <v>p12 - i2:i6</v>
      </c>
      <c r="F323" t="str">
        <f>Permutations!M315</f>
        <v>p141 - i6:i4</v>
      </c>
      <c r="G323" s="7">
        <f>VLOOKUP(B323,Vlookup!$A$1:$B$30,2,0)</f>
        <v>2.2414716085286912</v>
      </c>
      <c r="H323" s="7">
        <f>VLOOKUP(C323,Vlookup!$A$1:$B$30,2,0)</f>
        <v>1.530542412441888</v>
      </c>
      <c r="I323" s="7">
        <f>VLOOKUP(D323,Vlookup!$A$1:$B$30,2,0)</f>
        <v>1.6373343116675814</v>
      </c>
      <c r="J323" s="7">
        <f>VLOOKUP(E323,Vlookup!$A$1:$B$30,2,0)</f>
        <v>1.3354555559520354</v>
      </c>
      <c r="K323" s="7">
        <f>VLOOKUP(F323,Vlookup!$A$1:$B$30,2,0)</f>
        <v>0.88688155974910687</v>
      </c>
      <c r="L323" s="7">
        <f t="shared" si="7"/>
        <v>6.6529006523904917</v>
      </c>
      <c r="M323" s="7">
        <f t="shared" si="8"/>
        <v>2.9680949903967222</v>
      </c>
      <c r="N323" s="7">
        <f t="shared" si="9"/>
        <v>1.9392438695385814</v>
      </c>
      <c r="O323" s="7">
        <f t="shared" si="10"/>
        <v>1.1843909064383518</v>
      </c>
      <c r="P323" s="7">
        <f t="shared" si="11"/>
        <v>0.88688155974910687</v>
      </c>
      <c r="Q323">
        <v>1</v>
      </c>
      <c r="R323" s="7">
        <f t="shared" si="12"/>
        <v>14.631511978513254</v>
      </c>
      <c r="S323" s="7">
        <f>VLOOKUP($A323,Rotations!$A$1:$X$1441,18,0)</f>
        <v>0.13253885670779686</v>
      </c>
      <c r="T323" s="7">
        <f>VLOOKUP($A323,Rotations!$A$1:$X$1441,19,0)</f>
        <v>8.0947950435857882E-2</v>
      </c>
      <c r="U323" s="7">
        <f>VLOOKUP($A323,Rotations!$A$1:$X$1441,20,0)</f>
        <v>0.45469673005499667</v>
      </c>
      <c r="V323" s="7">
        <f>VLOOKUP($A323,Rotations!$A$1:$X$1441,21,0)</f>
        <v>6.8345636559538431E-2</v>
      </c>
      <c r="W323" s="7">
        <f>VLOOKUP($A323,Rotations!$A$1:$X$1441,22,0)</f>
        <v>0.2028563414878411</v>
      </c>
      <c r="X323" s="7">
        <f>VLOOKUP($A323,Rotations!$A$1:$X$1441,23,0)</f>
        <v>6.0614484753969029E-2</v>
      </c>
    </row>
    <row r="324" spans="1:24" ht="15.75" customHeight="1" x14ac:dyDescent="0.3">
      <c r="A324">
        <v>315</v>
      </c>
      <c r="B324" t="str">
        <f>Permutations!I316</f>
        <v>p6 - i3:i5</v>
      </c>
      <c r="C324" t="str">
        <f>Permutations!J316</f>
        <v>p101 - i5:i1</v>
      </c>
      <c r="D324" t="str">
        <f>Permutations!K316</f>
        <v>p9 - i1:i4</v>
      </c>
      <c r="E324" t="str">
        <f>Permutations!L316</f>
        <v>p51 - i4:i2</v>
      </c>
      <c r="F324" t="str">
        <f>Permutations!M316</f>
        <v>p12 - i2:i6</v>
      </c>
      <c r="G324" s="7">
        <f>VLOOKUP(B324,Vlookup!$A$1:$B$30,2,0)</f>
        <v>2.2414716085286912</v>
      </c>
      <c r="H324" s="7">
        <f>VLOOKUP(C324,Vlookup!$A$1:$B$30,2,0)</f>
        <v>1.530542412441888</v>
      </c>
      <c r="I324" s="7">
        <f>VLOOKUP(D324,Vlookup!$A$1:$B$30,2,0)</f>
        <v>1.2538815092968505</v>
      </c>
      <c r="J324" s="7">
        <f>VLOOKUP(E324,Vlookup!$A$1:$B$30,2,0)</f>
        <v>1.4376356077157479</v>
      </c>
      <c r="K324" s="7">
        <f>VLOOKUP(F324,Vlookup!$A$1:$B$30,2,0)</f>
        <v>1.3354555559520354</v>
      </c>
      <c r="L324" s="7">
        <f t="shared" si="7"/>
        <v>8.2587319220600524</v>
      </c>
      <c r="M324" s="7">
        <f t="shared" si="8"/>
        <v>3.6845132861089893</v>
      </c>
      <c r="N324" s="7">
        <f t="shared" si="9"/>
        <v>2.4073251784186569</v>
      </c>
      <c r="O324" s="7">
        <f t="shared" si="10"/>
        <v>1.9198984597584763</v>
      </c>
      <c r="P324" s="7">
        <f t="shared" si="11"/>
        <v>1.3354555559520354</v>
      </c>
      <c r="Q324">
        <v>1</v>
      </c>
      <c r="R324" s="7">
        <f t="shared" si="12"/>
        <v>18.605924402298207</v>
      </c>
      <c r="S324" s="7">
        <f>VLOOKUP($A324,Rotations!$A$1:$X$1441,18,0)</f>
        <v>0.12938487367611273</v>
      </c>
      <c r="T324" s="7">
        <f>VLOOKUP($A324,Rotations!$A$1:$X$1441,19,0)</f>
        <v>7.17758240373738E-2</v>
      </c>
      <c r="U324" s="7">
        <f>VLOOKUP($A324,Rotations!$A$1:$X$1441,20,0)</f>
        <v>0.44387646340430859</v>
      </c>
      <c r="V324" s="7">
        <f>VLOOKUP($A324,Rotations!$A$1:$X$1441,21,0)</f>
        <v>0.10318748040926846</v>
      </c>
      <c r="W324" s="7">
        <f>VLOOKUP($A324,Rotations!$A$1:$X$1441,22,0)</f>
        <v>0.19802903668972649</v>
      </c>
      <c r="X324" s="7">
        <f>VLOOKUP($A324,Rotations!$A$1:$X$1441,23,0)</f>
        <v>5.3746321783210073E-2</v>
      </c>
    </row>
    <row r="325" spans="1:24" ht="15.75" customHeight="1" x14ac:dyDescent="0.3">
      <c r="A325">
        <v>316</v>
      </c>
      <c r="B325" t="str">
        <f>Permutations!I317</f>
        <v>p6 - i3:i5</v>
      </c>
      <c r="C325" t="str">
        <f>Permutations!J317</f>
        <v>p101 - i5:i1</v>
      </c>
      <c r="D325" t="str">
        <f>Permutations!K317</f>
        <v>p9 - i1:i4</v>
      </c>
      <c r="E325" t="str">
        <f>Permutations!L317</f>
        <v>p14 - i4:i6</v>
      </c>
      <c r="F325" t="str">
        <f>Permutations!M317</f>
        <v>p121 - i6:i2</v>
      </c>
      <c r="G325" s="7">
        <f>VLOOKUP(B325,Vlookup!$A$1:$B$30,2,0)</f>
        <v>2.2414716085286912</v>
      </c>
      <c r="H325" s="7">
        <f>VLOOKUP(C325,Vlookup!$A$1:$B$30,2,0)</f>
        <v>1.530542412441888</v>
      </c>
      <c r="I325" s="7">
        <f>VLOOKUP(D325,Vlookup!$A$1:$B$30,2,0)</f>
        <v>1.2538815092968505</v>
      </c>
      <c r="J325" s="7">
        <f>VLOOKUP(E325,Vlookup!$A$1:$B$30,2,0)</f>
        <v>1.478275916473532</v>
      </c>
      <c r="K325" s="7">
        <f>VLOOKUP(F325,Vlookup!$A$1:$B$30,2,0)</f>
        <v>1.2419340531937677</v>
      </c>
      <c r="L325" s="7">
        <f t="shared" si="7"/>
        <v>7.897491114394156</v>
      </c>
      <c r="M325" s="7">
        <f t="shared" si="8"/>
        <v>3.5233509469156705</v>
      </c>
      <c r="N325" s="7">
        <f t="shared" si="9"/>
        <v>2.3020276460646238</v>
      </c>
      <c r="O325" s="7">
        <f t="shared" si="10"/>
        <v>1.8359212006847052</v>
      </c>
      <c r="P325" s="7">
        <f t="shared" si="11"/>
        <v>1.2419340531937677</v>
      </c>
      <c r="Q325">
        <v>1</v>
      </c>
      <c r="R325" s="7">
        <f t="shared" si="12"/>
        <v>17.800724961252921</v>
      </c>
      <c r="S325" s="7">
        <f>VLOOKUP($A325,Rotations!$A$1:$X$1441,18,0)</f>
        <v>0.12932212879393837</v>
      </c>
      <c r="T325" s="7">
        <f>VLOOKUP($A325,Rotations!$A$1:$X$1441,19,0)</f>
        <v>5.61774872751932E-2</v>
      </c>
      <c r="U325" s="7">
        <f>VLOOKUP($A325,Rotations!$A$1:$X$1441,20,0)</f>
        <v>0.4436612065848291</v>
      </c>
      <c r="V325" s="7">
        <f>VLOOKUP($A325,Rotations!$A$1:$X$1441,21,0)</f>
        <v>0.10313743988972245</v>
      </c>
      <c r="W325" s="7">
        <f>VLOOKUP($A325,Rotations!$A$1:$X$1441,22,0)</f>
        <v>0.19793300298639499</v>
      </c>
      <c r="X325" s="7">
        <f>VLOOKUP($A325,Rotations!$A$1:$X$1441,23,0)</f>
        <v>6.9768734469922003E-2</v>
      </c>
    </row>
    <row r="326" spans="1:24" ht="15.75" customHeight="1" x14ac:dyDescent="0.3">
      <c r="A326">
        <v>317</v>
      </c>
      <c r="B326" t="str">
        <f>Permutations!I318</f>
        <v>p6 - i3:i5</v>
      </c>
      <c r="C326" t="str">
        <f>Permutations!J318</f>
        <v>p101 - i5:i1</v>
      </c>
      <c r="D326" t="str">
        <f>Permutations!K318</f>
        <v>p11 - i1:i6</v>
      </c>
      <c r="E326" t="str">
        <f>Permutations!L318</f>
        <v>p121 - i6:i2</v>
      </c>
      <c r="F326" t="str">
        <f>Permutations!M318</f>
        <v>p5 - i2:i4</v>
      </c>
      <c r="G326" s="7">
        <f>VLOOKUP(B326,Vlookup!$A$1:$B$30,2,0)</f>
        <v>2.2414716085286912</v>
      </c>
      <c r="H326" s="7">
        <f>VLOOKUP(C326,Vlookup!$A$1:$B$30,2,0)</f>
        <v>1.530542412441888</v>
      </c>
      <c r="I326" s="7">
        <f>VLOOKUP(D326,Vlookup!$A$1:$B$30,2,0)</f>
        <v>1.1613557664474019</v>
      </c>
      <c r="J326" s="7">
        <f>VLOOKUP(E326,Vlookup!$A$1:$B$30,2,0)</f>
        <v>1.2419340531937677</v>
      </c>
      <c r="K326" s="7">
        <f>VLOOKUP(F326,Vlookup!$A$1:$B$30,2,0)</f>
        <v>0.9108240498099236</v>
      </c>
      <c r="L326" s="7">
        <f t="shared" si="7"/>
        <v>4.5068895650799803</v>
      </c>
      <c r="M326" s="7">
        <f t="shared" si="8"/>
        <v>2.0106833153413515</v>
      </c>
      <c r="N326" s="7">
        <f t="shared" si="9"/>
        <v>1.3137063690599906</v>
      </c>
      <c r="O326" s="7">
        <f t="shared" si="10"/>
        <v>1.1311834039268005</v>
      </c>
      <c r="P326" s="7">
        <f t="shared" si="11"/>
        <v>0.9108240498099236</v>
      </c>
      <c r="Q326">
        <v>1</v>
      </c>
      <c r="R326" s="7">
        <f t="shared" si="12"/>
        <v>10.873286703218046</v>
      </c>
      <c r="S326" s="7">
        <f>VLOOKUP($A326,Rotations!$A$1:$X$1441,18,0)</f>
        <v>0.12081962013115938</v>
      </c>
      <c r="T326" s="7">
        <f>VLOOKUP($A326,Rotations!$A$1:$X$1441,19,0)</f>
        <v>8.3767132668391531E-2</v>
      </c>
      <c r="U326" s="7">
        <f>VLOOKUP($A326,Rotations!$A$1:$X$1441,20,0)</f>
        <v>0.41449192761063924</v>
      </c>
      <c r="V326" s="7">
        <f>VLOOKUP($A326,Rotations!$A$1:$X$1441,21,0)</f>
        <v>9.1968512124677174E-2</v>
      </c>
      <c r="W326" s="7">
        <f>VLOOKUP($A326,Rotations!$A$1:$X$1441,22,0)</f>
        <v>0.18491955286585718</v>
      </c>
      <c r="X326" s="7">
        <f>VLOOKUP($A326,Rotations!$A$1:$X$1441,23,0)</f>
        <v>0.10403325459927555</v>
      </c>
    </row>
    <row r="327" spans="1:24" ht="15.75" customHeight="1" x14ac:dyDescent="0.3">
      <c r="A327">
        <v>318</v>
      </c>
      <c r="B327" t="str">
        <f>Permutations!I319</f>
        <v>p6 - i3:i5</v>
      </c>
      <c r="C327" t="str">
        <f>Permutations!J319</f>
        <v>p101 - i5:i1</v>
      </c>
      <c r="D327" t="str">
        <f>Permutations!K319</f>
        <v>p11 - i1:i6</v>
      </c>
      <c r="E327" t="str">
        <f>Permutations!L319</f>
        <v>p141 - i6:i4</v>
      </c>
      <c r="F327" t="str">
        <f>Permutations!M319</f>
        <v>p51 - i4:i2</v>
      </c>
      <c r="G327" s="7">
        <f>VLOOKUP(B327,Vlookup!$A$1:$B$30,2,0)</f>
        <v>2.2414716085286912</v>
      </c>
      <c r="H327" s="7">
        <f>VLOOKUP(C327,Vlookup!$A$1:$B$30,2,0)</f>
        <v>1.530542412441888</v>
      </c>
      <c r="I327" s="7">
        <f>VLOOKUP(D327,Vlookup!$A$1:$B$30,2,0)</f>
        <v>1.1613557664474019</v>
      </c>
      <c r="J327" s="7">
        <f>VLOOKUP(E327,Vlookup!$A$1:$B$30,2,0)</f>
        <v>0.88688155974910687</v>
      </c>
      <c r="K327" s="7">
        <f>VLOOKUP(F327,Vlookup!$A$1:$B$30,2,0)</f>
        <v>1.4376356077157479</v>
      </c>
      <c r="L327" s="7">
        <f t="shared" si="7"/>
        <v>5.0799371324459521</v>
      </c>
      <c r="M327" s="7">
        <f t="shared" si="8"/>
        <v>2.2663401638089176</v>
      </c>
      <c r="N327" s="7">
        <f t="shared" si="9"/>
        <v>1.4807431309225263</v>
      </c>
      <c r="O327" s="7">
        <f t="shared" si="10"/>
        <v>1.2750125101217977</v>
      </c>
      <c r="P327" s="7">
        <f t="shared" si="11"/>
        <v>1.4376356077157479</v>
      </c>
      <c r="Q327">
        <v>1</v>
      </c>
      <c r="R327" s="7">
        <f t="shared" si="12"/>
        <v>12.539668545014942</v>
      </c>
      <c r="S327" s="7">
        <f>VLOOKUP($A327,Rotations!$A$1:$X$1441,18,0)</f>
        <v>0.11808471058122069</v>
      </c>
      <c r="T327" s="7">
        <f>VLOOKUP($A327,Rotations!$A$1:$X$1441,19,0)</f>
        <v>7.9746924443034259E-2</v>
      </c>
      <c r="U327" s="7">
        <f>VLOOKUP($A327,Rotations!$A$1:$X$1441,20,0)</f>
        <v>0.40510936267653147</v>
      </c>
      <c r="V327" s="7">
        <f>VLOOKUP($A327,Rotations!$A$1:$X$1441,21,0)</f>
        <v>0.11464701818512339</v>
      </c>
      <c r="W327" s="7">
        <f>VLOOKUP($A327,Rotations!$A$1:$X$1441,22,0)</f>
        <v>0.18073365780548364</v>
      </c>
      <c r="X327" s="7">
        <f>VLOOKUP($A327,Rotations!$A$1:$X$1441,23,0)</f>
        <v>0.10167832630860646</v>
      </c>
    </row>
    <row r="328" spans="1:24" ht="15.75" customHeight="1" x14ac:dyDescent="0.3">
      <c r="A328">
        <v>319</v>
      </c>
      <c r="B328" t="str">
        <f>Permutations!I320</f>
        <v>p6 - i3:i5</v>
      </c>
      <c r="C328" t="str">
        <f>Permutations!J320</f>
        <v>p71 - i5:i2</v>
      </c>
      <c r="D328" t="str">
        <f>Permutations!K320</f>
        <v>p11 - i2:i1</v>
      </c>
      <c r="E328" t="str">
        <f>Permutations!L320</f>
        <v>p9 - i1:i4</v>
      </c>
      <c r="F328" t="str">
        <f>Permutations!M320</f>
        <v>p14 - i4:i6</v>
      </c>
      <c r="G328" s="7">
        <f>VLOOKUP(B328,Vlookup!$A$1:$B$30,2,0)</f>
        <v>2.2414716085286912</v>
      </c>
      <c r="H328" s="7">
        <f>VLOOKUP(C328,Vlookup!$A$1:$B$30,2,0)</f>
        <v>1.8243208303594776</v>
      </c>
      <c r="I328" s="7">
        <f>VLOOKUP(D328,Vlookup!$A$1:$B$30,2,0)</f>
        <v>1.7440097060445605</v>
      </c>
      <c r="J328" s="7">
        <f>VLOOKUP(E328,Vlookup!$A$1:$B$30,2,0)</f>
        <v>1.2538815092968505</v>
      </c>
      <c r="K328" s="7">
        <f>VLOOKUP(F328,Vlookup!$A$1:$B$30,2,0)</f>
        <v>1.478275916473532</v>
      </c>
      <c r="L328" s="7">
        <f t="shared" si="7"/>
        <v>13.218901195193702</v>
      </c>
      <c r="M328" s="7">
        <f t="shared" si="8"/>
        <v>5.897420759155021</v>
      </c>
      <c r="N328" s="7">
        <f t="shared" si="9"/>
        <v>3.2326664592175653</v>
      </c>
      <c r="O328" s="7">
        <f t="shared" si="10"/>
        <v>1.8535828373050172</v>
      </c>
      <c r="P328" s="7">
        <f t="shared" si="11"/>
        <v>1.478275916473532</v>
      </c>
      <c r="Q328">
        <v>1</v>
      </c>
      <c r="R328" s="7">
        <f t="shared" si="12"/>
        <v>26.680847167344837</v>
      </c>
      <c r="S328" s="7">
        <f>VLOOKUP($A328,Rotations!$A$1:$X$1441,18,0)</f>
        <v>6.9472413138877018E-2</v>
      </c>
      <c r="T328" s="7">
        <f>VLOOKUP($A328,Rotations!$A$1:$X$1441,19,0)</f>
        <v>0.12116056281653917</v>
      </c>
      <c r="U328" s="7">
        <f>VLOOKUP($A328,Rotations!$A$1:$X$1441,20,0)</f>
        <v>0.49544533246202732</v>
      </c>
      <c r="V328" s="7">
        <f>VLOOKUP($A328,Rotations!$A$1:$X$1441,21,0)</f>
        <v>5.5405883748804653E-2</v>
      </c>
      <c r="W328" s="7">
        <f>VLOOKUP($A328,Rotations!$A$1:$X$1441,22,0)</f>
        <v>0.22103573856429037</v>
      </c>
      <c r="X328" s="7">
        <f>VLOOKUP($A328,Rotations!$A$1:$X$1441,23,0)</f>
        <v>3.7480069269461493E-2</v>
      </c>
    </row>
    <row r="329" spans="1:24" ht="15.75" customHeight="1" x14ac:dyDescent="0.3">
      <c r="A329">
        <v>320</v>
      </c>
      <c r="B329" t="str">
        <f>Permutations!I321</f>
        <v>p6 - i3:i5</v>
      </c>
      <c r="C329" t="str">
        <f>Permutations!J321</f>
        <v>p71 - i5:i2</v>
      </c>
      <c r="D329" t="str">
        <f>Permutations!K321</f>
        <v>p11 - i2:i1</v>
      </c>
      <c r="E329" t="str">
        <f>Permutations!L321</f>
        <v>p11 - i1:i6</v>
      </c>
      <c r="F329" t="str">
        <f>Permutations!M321</f>
        <v>p141 - i6:i4</v>
      </c>
      <c r="G329" s="7">
        <f>VLOOKUP(B329,Vlookup!$A$1:$B$30,2,0)</f>
        <v>2.2414716085286912</v>
      </c>
      <c r="H329" s="7">
        <f>VLOOKUP(C329,Vlookup!$A$1:$B$30,2,0)</f>
        <v>1.8243208303594776</v>
      </c>
      <c r="I329" s="7">
        <f>VLOOKUP(D329,Vlookup!$A$1:$B$30,2,0)</f>
        <v>1.7440097060445605</v>
      </c>
      <c r="J329" s="7">
        <f>VLOOKUP(E329,Vlookup!$A$1:$B$30,2,0)</f>
        <v>1.1613557664474019</v>
      </c>
      <c r="K329" s="7">
        <f>VLOOKUP(F329,Vlookup!$A$1:$B$30,2,0)</f>
        <v>0.88688155974910687</v>
      </c>
      <c r="L329" s="7">
        <f t="shared" si="7"/>
        <v>7.3453799058229521</v>
      </c>
      <c r="M329" s="7">
        <f t="shared" si="8"/>
        <v>3.277034550816587</v>
      </c>
      <c r="N329" s="7">
        <f t="shared" si="9"/>
        <v>1.7963038607473749</v>
      </c>
      <c r="O329" s="7">
        <f t="shared" si="10"/>
        <v>1.0299850135704913</v>
      </c>
      <c r="P329" s="7">
        <f t="shared" si="11"/>
        <v>0.88688155974910687</v>
      </c>
      <c r="Q329">
        <v>1</v>
      </c>
      <c r="R329" s="7">
        <f t="shared" si="12"/>
        <v>15.335584890706514</v>
      </c>
      <c r="S329" s="7">
        <f>VLOOKUP($A329,Rotations!$A$1:$X$1441,18,0)</f>
        <v>6.7163073395046735E-2</v>
      </c>
      <c r="T329" s="7">
        <f>VLOOKUP($A329,Rotations!$A$1:$X$1441,19,0)</f>
        <v>0.11713305188874468</v>
      </c>
      <c r="U329" s="7">
        <f>VLOOKUP($A329,Rotations!$A$1:$X$1441,20,0)</f>
        <v>0.47897618240007989</v>
      </c>
      <c r="V329" s="7">
        <f>VLOOKUP($A329,Rotations!$A$1:$X$1441,21,0)</f>
        <v>6.5207816143093955E-2</v>
      </c>
      <c r="W329" s="7">
        <f>VLOOKUP($A329,Rotations!$A$1:$X$1441,22,0)</f>
        <v>0.21368826648421449</v>
      </c>
      <c r="X329" s="7">
        <f>VLOOKUP($A329,Rotations!$A$1:$X$1441,23,0)</f>
        <v>5.783160968882016E-2</v>
      </c>
    </row>
    <row r="330" spans="1:24" ht="15.75" customHeight="1" x14ac:dyDescent="0.3">
      <c r="A330">
        <v>321</v>
      </c>
      <c r="B330" t="str">
        <f>Permutations!I322</f>
        <v>p6 - i3:i5</v>
      </c>
      <c r="C330" t="str">
        <f>Permutations!J322</f>
        <v>p71 - i5:i2</v>
      </c>
      <c r="D330" t="str">
        <f>Permutations!K322</f>
        <v>p5 - i2:i4</v>
      </c>
      <c r="E330" t="str">
        <f>Permutations!L322</f>
        <v>p91 - i4:i1</v>
      </c>
      <c r="F330" t="str">
        <f>Permutations!M322</f>
        <v>p11 - i1:i6</v>
      </c>
      <c r="G330" s="7">
        <f>VLOOKUP(B330,Vlookup!$A$1:$B$30,2,0)</f>
        <v>2.2414716085286912</v>
      </c>
      <c r="H330" s="7">
        <f>VLOOKUP(C330,Vlookup!$A$1:$B$30,2,0)</f>
        <v>1.8243208303594776</v>
      </c>
      <c r="I330" s="7">
        <f>VLOOKUP(D330,Vlookup!$A$1:$B$30,2,0)</f>
        <v>0.9108240498099236</v>
      </c>
      <c r="J330" s="7">
        <f>VLOOKUP(E330,Vlookup!$A$1:$B$30,2,0)</f>
        <v>2.9131157743633094</v>
      </c>
      <c r="K330" s="7">
        <f>VLOOKUP(F330,Vlookup!$A$1:$B$30,2,0)</f>
        <v>1.1613557664474019</v>
      </c>
      <c r="L330" s="7">
        <f t="shared" si="7"/>
        <v>12.600621729157243</v>
      </c>
      <c r="M330" s="7">
        <f t="shared" si="8"/>
        <v>5.6215843561044823</v>
      </c>
      <c r="N330" s="7">
        <f t="shared" si="9"/>
        <v>3.0814669561147117</v>
      </c>
      <c r="O330" s="7">
        <f t="shared" si="10"/>
        <v>3.3831638028857181</v>
      </c>
      <c r="P330" s="7">
        <f t="shared" si="11"/>
        <v>1.1613557664474019</v>
      </c>
      <c r="Q330">
        <v>1</v>
      </c>
      <c r="R330" s="7">
        <f t="shared" si="12"/>
        <v>26.848192610709553</v>
      </c>
      <c r="S330" s="7">
        <f>VLOOKUP($A330,Rotations!$A$1:$X$1441,18,0)</f>
        <v>4.325638538454709E-2</v>
      </c>
      <c r="T330" s="7">
        <f>VLOOKUP($A330,Rotations!$A$1:$X$1441,19,0)</f>
        <v>0.1147737205552353</v>
      </c>
      <c r="U330" s="7">
        <f>VLOOKUP($A330,Rotations!$A$1:$X$1441,20,0)</f>
        <v>0.46932849118979225</v>
      </c>
      <c r="V330" s="7">
        <f>VLOOKUP($A330,Rotations!$A$1:$X$1441,21,0)</f>
        <v>0.12601085860566263</v>
      </c>
      <c r="W330" s="7">
        <f>VLOOKUP($A330,Rotations!$A$1:$X$1441,22,0)</f>
        <v>0.20938408918677351</v>
      </c>
      <c r="X330" s="7">
        <f>VLOOKUP($A330,Rotations!$A$1:$X$1441,23,0)</f>
        <v>3.724645507798939E-2</v>
      </c>
    </row>
    <row r="331" spans="1:24" ht="15.75" customHeight="1" x14ac:dyDescent="0.3">
      <c r="A331">
        <v>322</v>
      </c>
      <c r="B331" t="str">
        <f>Permutations!I323</f>
        <v>p6 - i3:i5</v>
      </c>
      <c r="C331" t="str">
        <f>Permutations!J323</f>
        <v>p71 - i5:i2</v>
      </c>
      <c r="D331" t="str">
        <f>Permutations!K323</f>
        <v>p5 - i2:i4</v>
      </c>
      <c r="E331" t="str">
        <f>Permutations!L323</f>
        <v>p14 - i4:i6</v>
      </c>
      <c r="F331" t="str">
        <f>Permutations!M323</f>
        <v>p111 - i6:i1</v>
      </c>
      <c r="G331" s="7">
        <f>VLOOKUP(B331,Vlookup!$A$1:$B$30,2,0)</f>
        <v>2.2414716085286912</v>
      </c>
      <c r="H331" s="7">
        <f>VLOOKUP(C331,Vlookup!$A$1:$B$30,2,0)</f>
        <v>1.8243208303594776</v>
      </c>
      <c r="I331" s="7">
        <f>VLOOKUP(D331,Vlookup!$A$1:$B$30,2,0)</f>
        <v>0.9108240498099236</v>
      </c>
      <c r="J331" s="7">
        <f>VLOOKUP(E331,Vlookup!$A$1:$B$30,2,0)</f>
        <v>1.478275916473532</v>
      </c>
      <c r="K331" s="7">
        <f>VLOOKUP(F331,Vlookup!$A$1:$B$30,2,0)</f>
        <v>1.6397534939100344</v>
      </c>
      <c r="L331" s="7">
        <f t="shared" si="7"/>
        <v>9.0282383306023473</v>
      </c>
      <c r="M331" s="7">
        <f t="shared" si="8"/>
        <v>4.0278173929352201</v>
      </c>
      <c r="N331" s="7">
        <f t="shared" si="9"/>
        <v>2.2078448735037193</v>
      </c>
      <c r="O331" s="7">
        <f t="shared" si="10"/>
        <v>2.4240080990005324</v>
      </c>
      <c r="P331" s="7">
        <f t="shared" si="11"/>
        <v>1.6397534939100344</v>
      </c>
      <c r="Q331">
        <v>1</v>
      </c>
      <c r="R331" s="7">
        <f t="shared" si="12"/>
        <v>20.327662189951855</v>
      </c>
      <c r="S331" s="7">
        <f>VLOOKUP($A331,Rotations!$A$1:$X$1441,18,0)</f>
        <v>4.9194048516523897E-2</v>
      </c>
      <c r="T331" s="7">
        <f>VLOOKUP($A331,Rotations!$A$1:$X$1441,19,0)</f>
        <v>0.10861282782410053</v>
      </c>
      <c r="U331" s="7">
        <f>VLOOKUP($A331,Rotations!$A$1:$X$1441,20,0)</f>
        <v>0.4441355944543926</v>
      </c>
      <c r="V331" s="7">
        <f>VLOOKUP($A331,Rotations!$A$1:$X$1441,21,0)</f>
        <v>0.11924677202667905</v>
      </c>
      <c r="W331" s="7">
        <f>VLOOKUP($A331,Rotations!$A$1:$X$1441,22,0)</f>
        <v>0.19814464424375403</v>
      </c>
      <c r="X331" s="7">
        <f>VLOOKUP($A331,Rotations!$A$1:$X$1441,23,0)</f>
        <v>8.0666112934549811E-2</v>
      </c>
    </row>
    <row r="332" spans="1:24" ht="15.75" customHeight="1" x14ac:dyDescent="0.3">
      <c r="A332">
        <v>323</v>
      </c>
      <c r="B332" t="str">
        <f>Permutations!I324</f>
        <v>p6 - i3:i5</v>
      </c>
      <c r="C332" t="str">
        <f>Permutations!J324</f>
        <v>p71 - i5:i2</v>
      </c>
      <c r="D332" t="str">
        <f>Permutations!K324</f>
        <v>p12 - i2:i6</v>
      </c>
      <c r="E332" t="str">
        <f>Permutations!L324</f>
        <v>p111 - i6:i1</v>
      </c>
      <c r="F332" t="str">
        <f>Permutations!M324</f>
        <v>p9 - i1:i4</v>
      </c>
      <c r="G332" s="7">
        <f>VLOOKUP(B332,Vlookup!$A$1:$B$30,2,0)</f>
        <v>2.2414716085286912</v>
      </c>
      <c r="H332" s="7">
        <f>VLOOKUP(C332,Vlookup!$A$1:$B$30,2,0)</f>
        <v>1.8243208303594776</v>
      </c>
      <c r="I332" s="7">
        <f>VLOOKUP(D332,Vlookup!$A$1:$B$30,2,0)</f>
        <v>1.3354555559520354</v>
      </c>
      <c r="J332" s="7">
        <f>VLOOKUP(E332,Vlookup!$A$1:$B$30,2,0)</f>
        <v>1.6397534939100344</v>
      </c>
      <c r="K332" s="7">
        <f>VLOOKUP(F332,Vlookup!$A$1:$B$30,2,0)</f>
        <v>1.2538815092968505</v>
      </c>
      <c r="L332" s="7">
        <f t="shared" si="7"/>
        <v>11.227910999696112</v>
      </c>
      <c r="M332" s="7">
        <f t="shared" si="8"/>
        <v>5.0091694032502803</v>
      </c>
      <c r="N332" s="7">
        <f t="shared" si="9"/>
        <v>2.7457721908833532</v>
      </c>
      <c r="O332" s="7">
        <f t="shared" si="10"/>
        <v>2.0560565858186979</v>
      </c>
      <c r="P332" s="7">
        <f t="shared" si="11"/>
        <v>1.2538815092968505</v>
      </c>
      <c r="Q332">
        <v>1</v>
      </c>
      <c r="R332" s="7">
        <f t="shared" si="12"/>
        <v>23.292790688945296</v>
      </c>
      <c r="S332" s="7">
        <f>VLOOKUP($A332,Rotations!$A$1:$X$1441,18,0)</f>
        <v>5.3831313132090254E-2</v>
      </c>
      <c r="T332" s="7">
        <f>VLOOKUP($A332,Rotations!$A$1:$X$1441,19,0)</f>
        <v>0.11788077382185426</v>
      </c>
      <c r="U332" s="7">
        <f>VLOOKUP($A332,Rotations!$A$1:$X$1441,20,0)</f>
        <v>0.48203373952202527</v>
      </c>
      <c r="V332" s="7">
        <f>VLOOKUP($A332,Rotations!$A$1:$X$1441,21,0)</f>
        <v>4.2931738551817138E-2</v>
      </c>
      <c r="W332" s="7">
        <f>VLOOKUP($A332,Rotations!$A$1:$X$1441,22,0)</f>
        <v>0.21505235118210289</v>
      </c>
      <c r="X332" s="7">
        <f>VLOOKUP($A332,Rotations!$A$1:$X$1441,23,0)</f>
        <v>8.8270083790110115E-2</v>
      </c>
    </row>
    <row r="333" spans="1:24" ht="15.75" customHeight="1" x14ac:dyDescent="0.3">
      <c r="A333">
        <v>324</v>
      </c>
      <c r="B333" t="str">
        <f>Permutations!I325</f>
        <v>p6 - i3:i5</v>
      </c>
      <c r="C333" t="str">
        <f>Permutations!J325</f>
        <v>p71 - i5:i2</v>
      </c>
      <c r="D333" t="str">
        <f>Permutations!K325</f>
        <v>p12 - i2:i6</v>
      </c>
      <c r="E333" t="str">
        <f>Permutations!L325</f>
        <v>p141 - i6:i4</v>
      </c>
      <c r="F333" t="str">
        <f>Permutations!M325</f>
        <v>p91 - i4:i1</v>
      </c>
      <c r="G333" s="7">
        <f>VLOOKUP(B333,Vlookup!$A$1:$B$30,2,0)</f>
        <v>2.2414716085286912</v>
      </c>
      <c r="H333" s="7">
        <f>VLOOKUP(C333,Vlookup!$A$1:$B$30,2,0)</f>
        <v>1.8243208303594776</v>
      </c>
      <c r="I333" s="7">
        <f>VLOOKUP(D333,Vlookup!$A$1:$B$30,2,0)</f>
        <v>1.3354555559520354</v>
      </c>
      <c r="J333" s="7">
        <f>VLOOKUP(E333,Vlookup!$A$1:$B$30,2,0)</f>
        <v>0.88688155974910687</v>
      </c>
      <c r="K333" s="7">
        <f>VLOOKUP(F333,Vlookup!$A$1:$B$30,2,0)</f>
        <v>2.9131157743633094</v>
      </c>
      <c r="L333" s="7">
        <f t="shared" si="7"/>
        <v>14.108708755118135</v>
      </c>
      <c r="M333" s="7">
        <f t="shared" si="8"/>
        <v>6.2943954772548443</v>
      </c>
      <c r="N333" s="7">
        <f t="shared" si="9"/>
        <v>3.4502678325580209</v>
      </c>
      <c r="O333" s="7">
        <f t="shared" si="10"/>
        <v>2.5835886616970591</v>
      </c>
      <c r="P333" s="7">
        <f t="shared" si="11"/>
        <v>2.9131157743633094</v>
      </c>
      <c r="Q333">
        <v>1</v>
      </c>
      <c r="R333" s="7">
        <f t="shared" si="12"/>
        <v>30.350076500991371</v>
      </c>
      <c r="S333" s="7">
        <f>VLOOKUP($A333,Rotations!$A$1:$X$1441,18,0)</f>
        <v>3.2948846108092525E-2</v>
      </c>
      <c r="T333" s="7">
        <f>VLOOKUP($A333,Rotations!$A$1:$X$1441,19,0)</f>
        <v>0.11368234384665619</v>
      </c>
      <c r="U333" s="7">
        <f>VLOOKUP($A333,Rotations!$A$1:$X$1441,20,0)</f>
        <v>0.46486567355628516</v>
      </c>
      <c r="V333" s="7">
        <f>VLOOKUP($A333,Rotations!$A$1:$X$1441,21,0)</f>
        <v>9.5983803344553476E-2</v>
      </c>
      <c r="W333" s="7">
        <f>VLOOKUP($A333,Rotations!$A$1:$X$1441,22,0)</f>
        <v>0.20739306792354348</v>
      </c>
      <c r="X333" s="7">
        <f>VLOOKUP($A333,Rotations!$A$1:$X$1441,23,0)</f>
        <v>8.5126265220869135E-2</v>
      </c>
    </row>
    <row r="334" spans="1:24" ht="15.75" customHeight="1" x14ac:dyDescent="0.3">
      <c r="A334">
        <v>325</v>
      </c>
      <c r="B334" t="str">
        <f>Permutations!I326</f>
        <v>p6 - i3:i5</v>
      </c>
      <c r="C334" t="str">
        <f>Permutations!J326</f>
        <v>p41 - i5:i4</v>
      </c>
      <c r="D334" t="str">
        <f>Permutations!K326</f>
        <v>p91 - i4:i1</v>
      </c>
      <c r="E334" t="str">
        <f>Permutations!L326</f>
        <v>p1 - i1:i2</v>
      </c>
      <c r="F334" t="str">
        <f>Permutations!M326</f>
        <v>p12 - i2:i6</v>
      </c>
      <c r="G334" s="7">
        <f>VLOOKUP(B334,Vlookup!$A$1:$B$30,2,0)</f>
        <v>2.2414716085286912</v>
      </c>
      <c r="H334" s="7">
        <f>VLOOKUP(C334,Vlookup!$A$1:$B$30,2,0)</f>
        <v>1.25400669441983</v>
      </c>
      <c r="I334" s="7">
        <f>VLOOKUP(D334,Vlookup!$A$1:$B$30,2,0)</f>
        <v>2.9131157743633094</v>
      </c>
      <c r="J334" s="7">
        <f>VLOOKUP(E334,Vlookup!$A$1:$B$30,2,0)</f>
        <v>1.6373343116675814</v>
      </c>
      <c r="K334" s="7">
        <f>VLOOKUP(F334,Vlookup!$A$1:$B$30,2,0)</f>
        <v>1.3354555559520354</v>
      </c>
      <c r="L334" s="7">
        <f t="shared" si="7"/>
        <v>17.904312289653681</v>
      </c>
      <c r="M334" s="7">
        <f t="shared" si="8"/>
        <v>7.9877488617427197</v>
      </c>
      <c r="N334" s="7">
        <f t="shared" si="9"/>
        <v>6.3697816744417599</v>
      </c>
      <c r="O334" s="7">
        <f t="shared" si="10"/>
        <v>2.186587203467373</v>
      </c>
      <c r="P334" s="7">
        <f t="shared" si="11"/>
        <v>1.3354555559520354</v>
      </c>
      <c r="Q334">
        <v>1</v>
      </c>
      <c r="R334" s="7">
        <f t="shared" si="12"/>
        <v>36.783885585257572</v>
      </c>
      <c r="S334" s="7">
        <f>VLOOKUP($A334,Rotations!$A$1:$X$1441,18,0)</f>
        <v>5.9444160633854416E-2</v>
      </c>
      <c r="T334" s="7">
        <f>VLOOKUP($A334,Rotations!$A$1:$X$1441,19,0)</f>
        <v>3.6305451006711099E-2</v>
      </c>
      <c r="U334" s="7">
        <f>VLOOKUP($A334,Rotations!$A$1:$X$1441,20,0)</f>
        <v>0.48674336614480612</v>
      </c>
      <c r="V334" s="7">
        <f>VLOOKUP($A334,Rotations!$A$1:$X$1441,21,0)</f>
        <v>0.17316772203626776</v>
      </c>
      <c r="W334" s="7">
        <f>VLOOKUP($A334,Rotations!$A$1:$X$1441,22,0)</f>
        <v>0.21715348269091206</v>
      </c>
      <c r="X334" s="7">
        <f>VLOOKUP($A334,Rotations!$A$1:$X$1441,23,0)</f>
        <v>2.7185817487448496E-2</v>
      </c>
    </row>
    <row r="335" spans="1:24" ht="15.75" customHeight="1" x14ac:dyDescent="0.3">
      <c r="A335">
        <v>326</v>
      </c>
      <c r="B335" t="str">
        <f>Permutations!I327</f>
        <v>p6 - i3:i5</v>
      </c>
      <c r="C335" t="str">
        <f>Permutations!J327</f>
        <v>p41 - i5:i4</v>
      </c>
      <c r="D335" t="str">
        <f>Permutations!K327</f>
        <v>p91 - i4:i1</v>
      </c>
      <c r="E335" t="str">
        <f>Permutations!L327</f>
        <v>p11 - i1:i6</v>
      </c>
      <c r="F335" t="str">
        <f>Permutations!M327</f>
        <v>p121 - i6:i2</v>
      </c>
      <c r="G335" s="7">
        <f>VLOOKUP(B335,Vlookup!$A$1:$B$30,2,0)</f>
        <v>2.2414716085286912</v>
      </c>
      <c r="H335" s="7">
        <f>VLOOKUP(C335,Vlookup!$A$1:$B$30,2,0)</f>
        <v>1.25400669441983</v>
      </c>
      <c r="I335" s="7">
        <f>VLOOKUP(D335,Vlookup!$A$1:$B$30,2,0)</f>
        <v>2.9131157743633094</v>
      </c>
      <c r="J335" s="7">
        <f>VLOOKUP(E335,Vlookup!$A$1:$B$30,2,0)</f>
        <v>1.1613557664474019</v>
      </c>
      <c r="K335" s="7">
        <f>VLOOKUP(F335,Vlookup!$A$1:$B$30,2,0)</f>
        <v>1.2419340531937677</v>
      </c>
      <c r="L335" s="7">
        <f t="shared" si="7"/>
        <v>11.810129456827019</v>
      </c>
      <c r="M335" s="7">
        <f t="shared" si="8"/>
        <v>5.2689177109761482</v>
      </c>
      <c r="N335" s="7">
        <f t="shared" si="9"/>
        <v>4.2016663343363012</v>
      </c>
      <c r="O335" s="7">
        <f t="shared" si="10"/>
        <v>1.4423272742239766</v>
      </c>
      <c r="P335" s="7">
        <f t="shared" si="11"/>
        <v>1.2419340531937677</v>
      </c>
      <c r="Q335">
        <v>1</v>
      </c>
      <c r="R335" s="7">
        <f t="shared" si="12"/>
        <v>24.964974829557214</v>
      </c>
      <c r="S335" s="7">
        <f>VLOOKUP($A335,Rotations!$A$1:$X$1441,18,0)</f>
        <v>5.7774032782774411E-2</v>
      </c>
      <c r="T335" s="7">
        <f>VLOOKUP($A335,Rotations!$A$1:$X$1441,19,0)</f>
        <v>4.0056118895663885E-2</v>
      </c>
      <c r="U335" s="7">
        <f>VLOOKUP($A335,Rotations!$A$1:$X$1441,20,0)</f>
        <v>0.47306794969584542</v>
      </c>
      <c r="V335" s="7">
        <f>VLOOKUP($A335,Rotations!$A$1:$X$1441,21,0)</f>
        <v>0.16830244624808313</v>
      </c>
      <c r="W335" s="7">
        <f>VLOOKUP($A335,Rotations!$A$1:$X$1441,22,0)</f>
        <v>0.2110523942823298</v>
      </c>
      <c r="X335" s="7">
        <f>VLOOKUP($A335,Rotations!$A$1:$X$1441,23,0)</f>
        <v>4.9747058095303318E-2</v>
      </c>
    </row>
    <row r="336" spans="1:24" ht="15.75" customHeight="1" x14ac:dyDescent="0.3">
      <c r="A336">
        <v>327</v>
      </c>
      <c r="B336" t="str">
        <f>Permutations!I328</f>
        <v>p6 - i3:i5</v>
      </c>
      <c r="C336" t="str">
        <f>Permutations!J328</f>
        <v>p41 - i5:i4</v>
      </c>
      <c r="D336" t="str">
        <f>Permutations!K328</f>
        <v>p51 - i4:i2</v>
      </c>
      <c r="E336" t="str">
        <f>Permutations!L328</f>
        <v>p11 - i2:i1</v>
      </c>
      <c r="F336" t="str">
        <f>Permutations!M328</f>
        <v>p11 - i1:i6</v>
      </c>
      <c r="G336" s="7">
        <f>VLOOKUP(B336,Vlookup!$A$1:$B$30,2,0)</f>
        <v>2.2414716085286912</v>
      </c>
      <c r="H336" s="7">
        <f>VLOOKUP(C336,Vlookup!$A$1:$B$30,2,0)</f>
        <v>1.25400669441983</v>
      </c>
      <c r="I336" s="7">
        <f>VLOOKUP(D336,Vlookup!$A$1:$B$30,2,0)</f>
        <v>1.4376356077157479</v>
      </c>
      <c r="J336" s="7">
        <f>VLOOKUP(E336,Vlookup!$A$1:$B$30,2,0)</f>
        <v>1.7440097060445605</v>
      </c>
      <c r="K336" s="7">
        <f>VLOOKUP(F336,Vlookup!$A$1:$B$30,2,0)</f>
        <v>1.1613557664474019</v>
      </c>
      <c r="L336" s="7">
        <f t="shared" si="7"/>
        <v>8.1845743158274615</v>
      </c>
      <c r="M336" s="7">
        <f t="shared" si="8"/>
        <v>3.6514289472530241</v>
      </c>
      <c r="N336" s="7">
        <f t="shared" si="9"/>
        <v>2.9118097722296197</v>
      </c>
      <c r="O336" s="7">
        <f t="shared" si="10"/>
        <v>2.0254157288550885</v>
      </c>
      <c r="P336" s="7">
        <f t="shared" si="11"/>
        <v>1.1613557664474019</v>
      </c>
      <c r="Q336">
        <v>1</v>
      </c>
      <c r="R336" s="7">
        <f t="shared" si="12"/>
        <v>18.934584530612597</v>
      </c>
      <c r="S336" s="7">
        <f>VLOOKUP($A336,Rotations!$A$1:$X$1441,18,0)</f>
        <v>6.1335159721607482E-2</v>
      </c>
      <c r="T336" s="7">
        <f>VLOOKUP($A336,Rotations!$A$1:$X$1441,19,0)</f>
        <v>0.10696911387627683</v>
      </c>
      <c r="U336" s="7">
        <f>VLOOKUP($A336,Rotations!$A$1:$X$1441,20,0)</f>
        <v>0.43225528939359642</v>
      </c>
      <c r="V336" s="7">
        <f>VLOOKUP($A336,Rotations!$A$1:$X$1441,21,0)</f>
        <v>0.15378260703433627</v>
      </c>
      <c r="W336" s="7">
        <f>VLOOKUP($A336,Rotations!$A$1:$X$1441,22,0)</f>
        <v>0.19284441870639177</v>
      </c>
      <c r="X336" s="7">
        <f>VLOOKUP($A336,Rotations!$A$1:$X$1441,23,0)</f>
        <v>5.281341126779119E-2</v>
      </c>
    </row>
    <row r="337" spans="1:24" ht="15.75" customHeight="1" x14ac:dyDescent="0.3">
      <c r="A337">
        <v>328</v>
      </c>
      <c r="B337" t="str">
        <f>Permutations!I329</f>
        <v>p6 - i3:i5</v>
      </c>
      <c r="C337" t="str">
        <f>Permutations!J329</f>
        <v>p41 - i5:i4</v>
      </c>
      <c r="D337" t="str">
        <f>Permutations!K329</f>
        <v>p51 - i4:i2</v>
      </c>
      <c r="E337" t="str">
        <f>Permutations!L329</f>
        <v>p12 - i2:i6</v>
      </c>
      <c r="F337" t="str">
        <f>Permutations!M329</f>
        <v>p111 - i6:i1</v>
      </c>
      <c r="G337" s="7">
        <f>VLOOKUP(B337,Vlookup!$A$1:$B$30,2,0)</f>
        <v>2.2414716085286912</v>
      </c>
      <c r="H337" s="7">
        <f>VLOOKUP(C337,Vlookup!$A$1:$B$30,2,0)</f>
        <v>1.25400669441983</v>
      </c>
      <c r="I337" s="7">
        <f>VLOOKUP(D337,Vlookup!$A$1:$B$30,2,0)</f>
        <v>1.4376356077157479</v>
      </c>
      <c r="J337" s="7">
        <f>VLOOKUP(E337,Vlookup!$A$1:$B$30,2,0)</f>
        <v>1.3354555559520354</v>
      </c>
      <c r="K337" s="7">
        <f>VLOOKUP(F337,Vlookup!$A$1:$B$30,2,0)</f>
        <v>1.6397534939100344</v>
      </c>
      <c r="L337" s="7">
        <f t="shared" si="7"/>
        <v>8.8489129409670255</v>
      </c>
      <c r="M337" s="7">
        <f t="shared" si="8"/>
        <v>3.9478139751123051</v>
      </c>
      <c r="N337" s="7">
        <f t="shared" si="9"/>
        <v>3.148160207341455</v>
      </c>
      <c r="O337" s="7">
        <f t="shared" si="10"/>
        <v>2.1898179138339176</v>
      </c>
      <c r="P337" s="7">
        <f t="shared" si="11"/>
        <v>1.6397534939100344</v>
      </c>
      <c r="Q337">
        <v>1</v>
      </c>
      <c r="R337" s="7">
        <f t="shared" si="12"/>
        <v>20.77445853116474</v>
      </c>
      <c r="S337" s="7">
        <f>VLOOKUP($A337,Rotations!$A$1:$X$1441,18,0)</f>
        <v>4.8136031969249794E-2</v>
      </c>
      <c r="T337" s="7">
        <f>VLOOKUP($A337,Rotations!$A$1:$X$1441,19,0)</f>
        <v>0.10540914510714534</v>
      </c>
      <c r="U337" s="7">
        <f>VLOOKUP($A337,Rotations!$A$1:$X$1441,20,0)</f>
        <v>0.42595155621949693</v>
      </c>
      <c r="V337" s="7">
        <f>VLOOKUP($A337,Rotations!$A$1:$X$1441,21,0)</f>
        <v>0.15153994038490834</v>
      </c>
      <c r="W337" s="7">
        <f>VLOOKUP($A337,Rotations!$A$1:$X$1441,22,0)</f>
        <v>0.19003209971465704</v>
      </c>
      <c r="X337" s="7">
        <f>VLOOKUP($A337,Rotations!$A$1:$X$1441,23,0)</f>
        <v>7.8931226604542465E-2</v>
      </c>
    </row>
    <row r="338" spans="1:24" ht="15.75" customHeight="1" x14ac:dyDescent="0.3">
      <c r="A338">
        <v>329</v>
      </c>
      <c r="B338" t="str">
        <f>Permutations!I330</f>
        <v>p6 - i3:i5</v>
      </c>
      <c r="C338" t="str">
        <f>Permutations!J330</f>
        <v>p41 - i5:i4</v>
      </c>
      <c r="D338" t="str">
        <f>Permutations!K330</f>
        <v>p14 - i4:i6</v>
      </c>
      <c r="E338" t="str">
        <f>Permutations!L330</f>
        <v>p111 - i6:i1</v>
      </c>
      <c r="F338" t="str">
        <f>Permutations!M330</f>
        <v>p1 - i1:i2</v>
      </c>
      <c r="G338" s="7">
        <f>VLOOKUP(B338,Vlookup!$A$1:$B$30,2,0)</f>
        <v>2.2414716085286912</v>
      </c>
      <c r="H338" s="7">
        <f>VLOOKUP(C338,Vlookup!$A$1:$B$30,2,0)</f>
        <v>1.25400669441983</v>
      </c>
      <c r="I338" s="7">
        <f>VLOOKUP(D338,Vlookup!$A$1:$B$30,2,0)</f>
        <v>1.478275916473532</v>
      </c>
      <c r="J338" s="7">
        <f>VLOOKUP(E338,Vlookup!$A$1:$B$30,2,0)</f>
        <v>1.6397534939100344</v>
      </c>
      <c r="K338" s="7">
        <f>VLOOKUP(F338,Vlookup!$A$1:$B$30,2,0)</f>
        <v>1.6373343116675814</v>
      </c>
      <c r="L338" s="7">
        <f t="shared" si="7"/>
        <v>11.155897791447719</v>
      </c>
      <c r="M338" s="7">
        <f t="shared" si="8"/>
        <v>4.9770417564068481</v>
      </c>
      <c r="N338" s="7">
        <f t="shared" si="9"/>
        <v>3.968911632253679</v>
      </c>
      <c r="O338" s="7">
        <f t="shared" si="10"/>
        <v>2.6848246582556978</v>
      </c>
      <c r="P338" s="7">
        <f t="shared" si="11"/>
        <v>1.6373343116675814</v>
      </c>
      <c r="Q338">
        <v>1</v>
      </c>
      <c r="R338" s="7">
        <f t="shared" si="12"/>
        <v>25.424010150031528</v>
      </c>
      <c r="S338" s="7">
        <f>VLOOKUP($A338,Rotations!$A$1:$X$1441,18,0)</f>
        <v>6.4401103602672649E-2</v>
      </c>
      <c r="T338" s="7">
        <f>VLOOKUP($A338,Rotations!$A$1:$X$1441,19,0)</f>
        <v>3.9332898079367698E-2</v>
      </c>
      <c r="U338" s="7">
        <f>VLOOKUP($A338,Rotations!$A$1:$X$1441,20,0)</f>
        <v>0.43879379081485637</v>
      </c>
      <c r="V338" s="7">
        <f>VLOOKUP($A338,Rotations!$A$1:$X$1441,21,0)</f>
        <v>0.15610879671745087</v>
      </c>
      <c r="W338" s="7">
        <f>VLOOKUP($A338,Rotations!$A$1:$X$1441,22,0)</f>
        <v>0.19576147614150777</v>
      </c>
      <c r="X338" s="7">
        <f>VLOOKUP($A338,Rotations!$A$1:$X$1441,23,0)</f>
        <v>0.10560193464414458</v>
      </c>
    </row>
    <row r="339" spans="1:24" ht="15.75" customHeight="1" x14ac:dyDescent="0.3">
      <c r="A339">
        <v>330</v>
      </c>
      <c r="B339" t="str">
        <f>Permutations!I331</f>
        <v>p6 - i3:i5</v>
      </c>
      <c r="C339" t="str">
        <f>Permutations!J331</f>
        <v>p41 - i5:i4</v>
      </c>
      <c r="D339" t="str">
        <f>Permutations!K331</f>
        <v>p14 - i4:i6</v>
      </c>
      <c r="E339" t="str">
        <f>Permutations!L331</f>
        <v>p121 - i6:i2</v>
      </c>
      <c r="F339" t="str">
        <f>Permutations!M331</f>
        <v>p11 - i2:i1</v>
      </c>
      <c r="G339" s="7">
        <f>VLOOKUP(B339,Vlookup!$A$1:$B$30,2,0)</f>
        <v>2.2414716085286912</v>
      </c>
      <c r="H339" s="7">
        <f>VLOOKUP(C339,Vlookup!$A$1:$B$30,2,0)</f>
        <v>1.25400669441983</v>
      </c>
      <c r="I339" s="7">
        <f>VLOOKUP(D339,Vlookup!$A$1:$B$30,2,0)</f>
        <v>1.478275916473532</v>
      </c>
      <c r="J339" s="7">
        <f>VLOOKUP(E339,Vlookup!$A$1:$B$30,2,0)</f>
        <v>1.2419340531937677</v>
      </c>
      <c r="K339" s="7">
        <f>VLOOKUP(F339,Vlookup!$A$1:$B$30,2,0)</f>
        <v>1.7440097060445605</v>
      </c>
      <c r="L339" s="7">
        <f t="shared" si="7"/>
        <v>8.999865763194471</v>
      </c>
      <c r="M339" s="7">
        <f t="shared" si="8"/>
        <v>4.0151593841074842</v>
      </c>
      <c r="N339" s="7">
        <f t="shared" si="9"/>
        <v>3.2018643935271092</v>
      </c>
      <c r="O339" s="7">
        <f t="shared" si="10"/>
        <v>2.1659450430371923</v>
      </c>
      <c r="P339" s="7">
        <f t="shared" si="11"/>
        <v>1.7440097060445605</v>
      </c>
      <c r="Q339">
        <v>1</v>
      </c>
      <c r="R339" s="7">
        <f t="shared" si="12"/>
        <v>21.126844289910817</v>
      </c>
      <c r="S339" s="7">
        <f>VLOOKUP($A339,Rotations!$A$1:$X$1441,18,0)</f>
        <v>4.7333145749436548E-2</v>
      </c>
      <c r="T339" s="7">
        <f>VLOOKUP($A339,Rotations!$A$1:$X$1441,19,0)</f>
        <v>8.2549465604639174E-2</v>
      </c>
      <c r="U339" s="7">
        <f>VLOOKUP($A339,Rotations!$A$1:$X$1441,20,0)</f>
        <v>0.42599195789464789</v>
      </c>
      <c r="V339" s="7">
        <f>VLOOKUP($A339,Rotations!$A$1:$X$1441,21,0)</f>
        <v>0.15155431400874991</v>
      </c>
      <c r="W339" s="7">
        <f>VLOOKUP($A339,Rotations!$A$1:$X$1441,22,0)</f>
        <v>0.19005012433517743</v>
      </c>
      <c r="X339" s="7">
        <f>VLOOKUP($A339,Rotations!$A$1:$X$1441,23,0)</f>
        <v>0.10252099240734903</v>
      </c>
    </row>
    <row r="340" spans="1:24" ht="15.75" customHeight="1" x14ac:dyDescent="0.3">
      <c r="A340">
        <v>331</v>
      </c>
      <c r="B340" t="str">
        <f>Permutations!I332</f>
        <v>p6 - i3:i5</v>
      </c>
      <c r="C340" t="str">
        <f>Permutations!J332</f>
        <v>p15 - i5:i6</v>
      </c>
      <c r="D340" t="str">
        <f>Permutations!K332</f>
        <v>p111 - i6:i1</v>
      </c>
      <c r="E340" t="str">
        <f>Permutations!L332</f>
        <v>p1 - i1:i2</v>
      </c>
      <c r="F340" t="str">
        <f>Permutations!M332</f>
        <v>p5 - i2:i4</v>
      </c>
      <c r="G340" s="7">
        <f>VLOOKUP(B340,Vlookup!$A$1:$B$30,2,0)</f>
        <v>2.2414716085286912</v>
      </c>
      <c r="H340" s="7">
        <f>VLOOKUP(C340,Vlookup!$A$1:$B$30,2,0)</f>
        <v>1.3219359277692486</v>
      </c>
      <c r="I340" s="7">
        <f>VLOOKUP(D340,Vlookup!$A$1:$B$30,2,0)</f>
        <v>1.6397534939100344</v>
      </c>
      <c r="J340" s="7">
        <f>VLOOKUP(E340,Vlookup!$A$1:$B$30,2,0)</f>
        <v>1.6373343116675814</v>
      </c>
      <c r="K340" s="7">
        <f>VLOOKUP(F340,Vlookup!$A$1:$B$30,2,0)</f>
        <v>0.9108240498099236</v>
      </c>
      <c r="L340" s="7">
        <f t="shared" si="7"/>
        <v>7.2459288558358557</v>
      </c>
      <c r="M340" s="7">
        <f t="shared" si="8"/>
        <v>3.2326659094255068</v>
      </c>
      <c r="N340" s="7">
        <f t="shared" si="9"/>
        <v>2.4454028682619988</v>
      </c>
      <c r="O340" s="7">
        <f t="shared" si="10"/>
        <v>1.4913234686458101</v>
      </c>
      <c r="P340" s="7">
        <f t="shared" si="11"/>
        <v>0.9108240498099236</v>
      </c>
      <c r="Q340">
        <v>1</v>
      </c>
      <c r="R340" s="7">
        <f t="shared" si="12"/>
        <v>16.326145151979095</v>
      </c>
      <c r="S340" s="7">
        <f>VLOOKUP($A340,Rotations!$A$1:$X$1441,18,0)</f>
        <v>9.1345719075946616E-2</v>
      </c>
      <c r="T340" s="7">
        <f>VLOOKUP($A340,Rotations!$A$1:$X$1441,19,0)</f>
        <v>5.5789290204828992E-2</v>
      </c>
      <c r="U340" s="7">
        <f>VLOOKUP($A340,Rotations!$A$1:$X$1441,20,0)</f>
        <v>0.44382362084766142</v>
      </c>
      <c r="V340" s="7">
        <f>VLOOKUP($A340,Rotations!$A$1:$X$1441,21,0)</f>
        <v>6.1251446112420331E-2</v>
      </c>
      <c r="W340" s="7">
        <f>VLOOKUP($A340,Rotations!$A$1:$X$1441,22,0)</f>
        <v>0.19800546175063471</v>
      </c>
      <c r="X340" s="7">
        <f>VLOOKUP($A340,Rotations!$A$1:$X$1441,23,0)</f>
        <v>0.14978446200850795</v>
      </c>
    </row>
    <row r="341" spans="1:24" ht="15.75" customHeight="1" x14ac:dyDescent="0.3">
      <c r="A341">
        <v>332</v>
      </c>
      <c r="B341" t="str">
        <f>Permutations!I333</f>
        <v>p6 - i3:i5</v>
      </c>
      <c r="C341" t="str">
        <f>Permutations!J333</f>
        <v>p15 - i5:i6</v>
      </c>
      <c r="D341" t="str">
        <f>Permutations!K333</f>
        <v>p111 - i6:i1</v>
      </c>
      <c r="E341" t="str">
        <f>Permutations!L333</f>
        <v>p9 - i1:i4</v>
      </c>
      <c r="F341" t="str">
        <f>Permutations!M333</f>
        <v>p51 - i4:i2</v>
      </c>
      <c r="G341" s="7">
        <f>VLOOKUP(B341,Vlookup!$A$1:$B$30,2,0)</f>
        <v>2.2414716085286912</v>
      </c>
      <c r="H341" s="7">
        <f>VLOOKUP(C341,Vlookup!$A$1:$B$30,2,0)</f>
        <v>1.3219359277692486</v>
      </c>
      <c r="I341" s="7">
        <f>VLOOKUP(D341,Vlookup!$A$1:$B$30,2,0)</f>
        <v>1.6397534939100344</v>
      </c>
      <c r="J341" s="7">
        <f>VLOOKUP(E341,Vlookup!$A$1:$B$30,2,0)</f>
        <v>1.2538815092968505</v>
      </c>
      <c r="K341" s="7">
        <f>VLOOKUP(F341,Vlookup!$A$1:$B$30,2,0)</f>
        <v>1.4376356077157479</v>
      </c>
      <c r="L341" s="7">
        <f t="shared" si="7"/>
        <v>8.7584555901652763</v>
      </c>
      <c r="M341" s="7">
        <f t="shared" si="8"/>
        <v>3.9074577419761973</v>
      </c>
      <c r="N341" s="7">
        <f t="shared" si="9"/>
        <v>2.9558601592514298</v>
      </c>
      <c r="O341" s="7">
        <f t="shared" si="10"/>
        <v>1.802624705621517</v>
      </c>
      <c r="P341" s="7">
        <f t="shared" si="11"/>
        <v>1.4376356077157479</v>
      </c>
      <c r="Q341">
        <v>1</v>
      </c>
      <c r="R341" s="7">
        <f t="shared" si="12"/>
        <v>19.862033804730167</v>
      </c>
      <c r="S341" s="7">
        <f>VLOOKUP($A341,Rotations!$A$1:$X$1441,18,0)</f>
        <v>9.0757307300132567E-2</v>
      </c>
      <c r="T341" s="7">
        <f>VLOOKUP($A341,Rotations!$A$1:$X$1441,19,0)</f>
        <v>5.0347311349447449E-2</v>
      </c>
      <c r="U341" s="7">
        <f>VLOOKUP($A341,Rotations!$A$1:$X$1441,20,0)</f>
        <v>0.44096469053835963</v>
      </c>
      <c r="V341" s="7">
        <f>VLOOKUP($A341,Rotations!$A$1:$X$1441,21,0)</f>
        <v>7.238108754871686E-2</v>
      </c>
      <c r="W341" s="7">
        <f>VLOOKUP($A341,Rotations!$A$1:$X$1441,22,0)</f>
        <v>0.1967299915200845</v>
      </c>
      <c r="X341" s="7">
        <f>VLOOKUP($A341,Rotations!$A$1:$X$1441,23,0)</f>
        <v>0.14881961174325906</v>
      </c>
    </row>
    <row r="342" spans="1:24" ht="15.75" customHeight="1" x14ac:dyDescent="0.3">
      <c r="A342">
        <v>333</v>
      </c>
      <c r="B342" t="str">
        <f>Permutations!I334</f>
        <v>p6 - i3:i5</v>
      </c>
      <c r="C342" t="str">
        <f>Permutations!J334</f>
        <v>p15 - i5:i6</v>
      </c>
      <c r="D342" t="str">
        <f>Permutations!K334</f>
        <v>p121 - i6:i2</v>
      </c>
      <c r="E342" t="str">
        <f>Permutations!L334</f>
        <v>p11 - i2:i1</v>
      </c>
      <c r="F342" t="str">
        <f>Permutations!M334</f>
        <v>p9 - i1:i4</v>
      </c>
      <c r="G342" s="7">
        <f>VLOOKUP(B342,Vlookup!$A$1:$B$30,2,0)</f>
        <v>2.2414716085286912</v>
      </c>
      <c r="H342" s="7">
        <f>VLOOKUP(C342,Vlookup!$A$1:$B$30,2,0)</f>
        <v>1.3219359277692486</v>
      </c>
      <c r="I342" s="7">
        <f>VLOOKUP(D342,Vlookup!$A$1:$B$30,2,0)</f>
        <v>1.2419340531937677</v>
      </c>
      <c r="J342" s="7">
        <f>VLOOKUP(E342,Vlookup!$A$1:$B$30,2,0)</f>
        <v>1.7440097060445605</v>
      </c>
      <c r="K342" s="7">
        <f>VLOOKUP(F342,Vlookup!$A$1:$B$30,2,0)</f>
        <v>1.2538815092968505</v>
      </c>
      <c r="L342" s="7">
        <f t="shared" si="7"/>
        <v>8.047251589018888</v>
      </c>
      <c r="M342" s="7">
        <f t="shared" si="8"/>
        <v>3.5901644073471575</v>
      </c>
      <c r="N342" s="7">
        <f t="shared" si="9"/>
        <v>2.7158384396175066</v>
      </c>
      <c r="O342" s="7">
        <f t="shared" si="10"/>
        <v>2.1867815224435101</v>
      </c>
      <c r="P342" s="7">
        <f t="shared" si="11"/>
        <v>1.2538815092968505</v>
      </c>
      <c r="Q342">
        <v>1</v>
      </c>
      <c r="R342" s="7">
        <f t="shared" si="12"/>
        <v>18.793917467723912</v>
      </c>
      <c r="S342" s="7">
        <f>VLOOKUP($A342,Rotations!$A$1:$X$1441,18,0)</f>
        <v>6.6717410643641895E-2</v>
      </c>
      <c r="T342" s="7">
        <f>VLOOKUP($A342,Rotations!$A$1:$X$1441,19,0)</f>
        <v>0.11635581172467212</v>
      </c>
      <c r="U342" s="7">
        <f>VLOOKUP($A342,Rotations!$A$1:$X$1441,20,0)</f>
        <v>0.42818383143583488</v>
      </c>
      <c r="V342" s="7">
        <f>VLOOKUP($A342,Rotations!$A$1:$X$1441,21,0)</f>
        <v>5.3208704450116315E-2</v>
      </c>
      <c r="W342" s="7">
        <f>VLOOKUP($A342,Rotations!$A$1:$X$1441,22,0)</f>
        <v>0.1910279968778619</v>
      </c>
      <c r="X342" s="7">
        <f>VLOOKUP($A342,Rotations!$A$1:$X$1441,23,0)</f>
        <v>0.14450624486787297</v>
      </c>
    </row>
    <row r="343" spans="1:24" ht="15.75" customHeight="1" x14ac:dyDescent="0.3">
      <c r="A343">
        <v>334</v>
      </c>
      <c r="B343" t="str">
        <f>Permutations!I335</f>
        <v>p6 - i3:i5</v>
      </c>
      <c r="C343" t="str">
        <f>Permutations!J335</f>
        <v>p15 - i5:i6</v>
      </c>
      <c r="D343" t="str">
        <f>Permutations!K335</f>
        <v>p121 - i6:i2</v>
      </c>
      <c r="E343" t="str">
        <f>Permutations!L335</f>
        <v>p5 - i2:i4</v>
      </c>
      <c r="F343" t="str">
        <f>Permutations!M335</f>
        <v>p91 - i4:i1</v>
      </c>
      <c r="G343" s="7">
        <f>VLOOKUP(B343,Vlookup!$A$1:$B$30,2,0)</f>
        <v>2.2414716085286912</v>
      </c>
      <c r="H343" s="7">
        <f>VLOOKUP(C343,Vlookup!$A$1:$B$30,2,0)</f>
        <v>1.3219359277692486</v>
      </c>
      <c r="I343" s="7">
        <f>VLOOKUP(D343,Vlookup!$A$1:$B$30,2,0)</f>
        <v>1.2419340531937677</v>
      </c>
      <c r="J343" s="7">
        <f>VLOOKUP(E343,Vlookup!$A$1:$B$30,2,0)</f>
        <v>0.9108240498099236</v>
      </c>
      <c r="K343" s="7">
        <f>VLOOKUP(F343,Vlookup!$A$1:$B$30,2,0)</f>
        <v>2.9131157743633094</v>
      </c>
      <c r="L343" s="7">
        <f t="shared" si="7"/>
        <v>9.7641494479622182</v>
      </c>
      <c r="M343" s="7">
        <f t="shared" si="8"/>
        <v>4.3561334485835559</v>
      </c>
      <c r="N343" s="7">
        <f t="shared" si="9"/>
        <v>3.2952682176771457</v>
      </c>
      <c r="O343" s="7">
        <f t="shared" si="10"/>
        <v>2.653335907170761</v>
      </c>
      <c r="P343" s="7">
        <f t="shared" si="11"/>
        <v>2.9131157743633094</v>
      </c>
      <c r="Q343">
        <v>1</v>
      </c>
      <c r="R343" s="7">
        <f t="shared" si="12"/>
        <v>23.982002795756991</v>
      </c>
      <c r="S343" s="7">
        <f>VLOOKUP($A343,Rotations!$A$1:$X$1441,18,0)</f>
        <v>4.1697935260724961E-2</v>
      </c>
      <c r="T343" s="7">
        <f>VLOOKUP($A343,Rotations!$A$1:$X$1441,19,0)</f>
        <v>0.11063862888216332</v>
      </c>
      <c r="U343" s="7">
        <f>VLOOKUP($A343,Rotations!$A$1:$X$1441,20,0)</f>
        <v>0.40714487155717194</v>
      </c>
      <c r="V343" s="7">
        <f>VLOOKUP($A343,Rotations!$A$1:$X$1441,21,0)</f>
        <v>0.12147091296639793</v>
      </c>
      <c r="W343" s="7">
        <f>VLOOKUP($A343,Rotations!$A$1:$X$1441,22,0)</f>
        <v>0.18164177052611569</v>
      </c>
      <c r="X343" s="7">
        <f>VLOOKUP($A343,Rotations!$A$1:$X$1441,23,0)</f>
        <v>0.13740588080742616</v>
      </c>
    </row>
    <row r="344" spans="1:24" ht="15.75" customHeight="1" x14ac:dyDescent="0.3">
      <c r="A344">
        <v>335</v>
      </c>
      <c r="B344" t="str">
        <f>Permutations!I336</f>
        <v>p6 - i3:i5</v>
      </c>
      <c r="C344" t="str">
        <f>Permutations!J336</f>
        <v>p15 - i5:i6</v>
      </c>
      <c r="D344" t="str">
        <f>Permutations!K336</f>
        <v>p141 - i6:i4</v>
      </c>
      <c r="E344" t="str">
        <f>Permutations!L336</f>
        <v>p91 - i4:i1</v>
      </c>
      <c r="F344" t="str">
        <f>Permutations!M336</f>
        <v>p1 - i1:i2</v>
      </c>
      <c r="G344" s="7">
        <f>VLOOKUP(B344,Vlookup!$A$1:$B$30,2,0)</f>
        <v>2.2414716085286912</v>
      </c>
      <c r="H344" s="7">
        <f>VLOOKUP(C344,Vlookup!$A$1:$B$30,2,0)</f>
        <v>1.3219359277692486</v>
      </c>
      <c r="I344" s="7">
        <f>VLOOKUP(D344,Vlookup!$A$1:$B$30,2,0)</f>
        <v>0.88688155974910687</v>
      </c>
      <c r="J344" s="7">
        <f>VLOOKUP(E344,Vlookup!$A$1:$B$30,2,0)</f>
        <v>2.9131157743633094</v>
      </c>
      <c r="K344" s="7">
        <f>VLOOKUP(F344,Vlookup!$A$1:$B$30,2,0)</f>
        <v>1.6373343116675814</v>
      </c>
      <c r="L344" s="7">
        <f t="shared" si="7"/>
        <v>12.534423993044323</v>
      </c>
      <c r="M344" s="7">
        <f t="shared" si="8"/>
        <v>5.5920511976825615</v>
      </c>
      <c r="N344" s="7">
        <f t="shared" si="9"/>
        <v>4.2301983630319224</v>
      </c>
      <c r="O344" s="7">
        <f t="shared" si="10"/>
        <v>4.7697444112251226</v>
      </c>
      <c r="P344" s="7">
        <f t="shared" si="11"/>
        <v>1.6373343116675814</v>
      </c>
      <c r="Q344">
        <v>1</v>
      </c>
      <c r="R344" s="7">
        <f t="shared" si="12"/>
        <v>29.763752276651513</v>
      </c>
      <c r="S344" s="7">
        <f>VLOOKUP($A344,Rotations!$A$1:$X$1441,18,0)</f>
        <v>5.50110179808211E-2</v>
      </c>
      <c r="T344" s="7">
        <f>VLOOKUP($A344,Rotations!$A$1:$X$1441,19,0)</f>
        <v>3.3597914359220778E-2</v>
      </c>
      <c r="U344" s="7">
        <f>VLOOKUP($A344,Rotations!$A$1:$X$1441,20,0)</f>
        <v>0.4211305038604653</v>
      </c>
      <c r="V344" s="7">
        <f>VLOOKUP($A344,Rotations!$A$1:$X$1441,21,0)</f>
        <v>0.16025346424371362</v>
      </c>
      <c r="W344" s="7">
        <f>VLOOKUP($A344,Rotations!$A$1:$X$1441,22,0)</f>
        <v>0.18788125723211668</v>
      </c>
      <c r="X344" s="7">
        <f>VLOOKUP($A344,Rotations!$A$1:$X$1441,23,0)</f>
        <v>0.14212584232366246</v>
      </c>
    </row>
    <row r="345" spans="1:24" ht="15.75" customHeight="1" x14ac:dyDescent="0.3">
      <c r="A345">
        <v>336</v>
      </c>
      <c r="B345" t="str">
        <f>Permutations!I337</f>
        <v>p6 - i3:i5</v>
      </c>
      <c r="C345" t="str">
        <f>Permutations!J337</f>
        <v>p15 - i5:i6</v>
      </c>
      <c r="D345" t="str">
        <f>Permutations!K337</f>
        <v>p141 - i6:i4</v>
      </c>
      <c r="E345" t="str">
        <f>Permutations!L337</f>
        <v>p51 - i4:i2</v>
      </c>
      <c r="F345" t="str">
        <f>Permutations!M337</f>
        <v>p11 - i2:i1</v>
      </c>
      <c r="G345" s="7">
        <f>VLOOKUP(B345,Vlookup!$A$1:$B$30,2,0)</f>
        <v>2.2414716085286912</v>
      </c>
      <c r="H345" s="7">
        <f>VLOOKUP(C345,Vlookup!$A$1:$B$30,2,0)</f>
        <v>1.3219359277692486</v>
      </c>
      <c r="I345" s="7">
        <f>VLOOKUP(D345,Vlookup!$A$1:$B$30,2,0)</f>
        <v>0.88688155974910687</v>
      </c>
      <c r="J345" s="7">
        <f>VLOOKUP(E345,Vlookup!$A$1:$B$30,2,0)</f>
        <v>1.4376356077157479</v>
      </c>
      <c r="K345" s="7">
        <f>VLOOKUP(F345,Vlookup!$A$1:$B$30,2,0)</f>
        <v>1.7440097060445605</v>
      </c>
      <c r="L345" s="7">
        <f t="shared" si="7"/>
        <v>6.5888101191249326</v>
      </c>
      <c r="M345" s="7">
        <f t="shared" si="8"/>
        <v>2.9395019299173053</v>
      </c>
      <c r="N345" s="7">
        <f t="shared" si="9"/>
        <v>2.2236341929806538</v>
      </c>
      <c r="O345" s="7">
        <f t="shared" si="10"/>
        <v>2.5072504536115345</v>
      </c>
      <c r="P345" s="7">
        <f t="shared" si="11"/>
        <v>1.7440097060445605</v>
      </c>
      <c r="Q345">
        <v>1</v>
      </c>
      <c r="R345" s="7">
        <f t="shared" si="12"/>
        <v>17.003206401678987</v>
      </c>
      <c r="S345" s="7">
        <f>VLOOKUP($A345,Rotations!$A$1:$X$1441,18,0)</f>
        <v>5.8812436688485688E-2</v>
      </c>
      <c r="T345" s="7">
        <f>VLOOKUP($A345,Rotations!$A$1:$X$1441,19,0)</f>
        <v>0.10256946042085024</v>
      </c>
      <c r="U345" s="7">
        <f>VLOOKUP($A345,Rotations!$A$1:$X$1441,20,0)</f>
        <v>0.38750397798348896</v>
      </c>
      <c r="V345" s="7">
        <f>VLOOKUP($A345,Rotations!$A$1:$X$1441,21,0)</f>
        <v>0.1474575085652054</v>
      </c>
      <c r="W345" s="7">
        <f>VLOOKUP($A345,Rotations!$A$1:$X$1441,22,0)</f>
        <v>0.17287927114894303</v>
      </c>
      <c r="X345" s="7">
        <f>VLOOKUP($A345,Rotations!$A$1:$X$1441,23,0)</f>
        <v>0.13077734519302667</v>
      </c>
    </row>
    <row r="346" spans="1:24" ht="15.75" customHeight="1" x14ac:dyDescent="0.3">
      <c r="A346">
        <v>337</v>
      </c>
      <c r="B346" t="str">
        <f>Permutations!I338</f>
        <v>p13 - i3:i6</v>
      </c>
      <c r="C346" t="str">
        <f>Permutations!J338</f>
        <v>p111 - i6:i1</v>
      </c>
      <c r="D346" t="str">
        <f>Permutations!K338</f>
        <v>p1 - i1:i2</v>
      </c>
      <c r="E346" t="str">
        <f>Permutations!L338</f>
        <v>p5 - i2:i4</v>
      </c>
      <c r="F346" t="str">
        <f>Permutations!M338</f>
        <v>p4 - i4:i5</v>
      </c>
      <c r="G346" s="7">
        <f>VLOOKUP(B346,Vlookup!$A$1:$B$30,2,0)</f>
        <v>2.0145521929129111</v>
      </c>
      <c r="H346" s="7">
        <f>VLOOKUP(C346,Vlookup!$A$1:$B$30,2,0)</f>
        <v>1.6397534939100344</v>
      </c>
      <c r="I346" s="7">
        <f>VLOOKUP(D346,Vlookup!$A$1:$B$30,2,0)</f>
        <v>1.6373343116675814</v>
      </c>
      <c r="J346" s="7">
        <f>VLOOKUP(E346,Vlookup!$A$1:$B$30,2,0)</f>
        <v>0.9108240498099236</v>
      </c>
      <c r="K346" s="7">
        <f>VLOOKUP(F346,Vlookup!$A$1:$B$30,2,0)</f>
        <v>1.89462595295753</v>
      </c>
      <c r="L346" s="7">
        <f t="shared" si="7"/>
        <v>9.3336695897406496</v>
      </c>
      <c r="M346" s="7">
        <f t="shared" si="8"/>
        <v>4.633123739645967</v>
      </c>
      <c r="N346" s="7">
        <f t="shared" si="9"/>
        <v>2.8255001479509971</v>
      </c>
      <c r="O346" s="7">
        <f t="shared" si="10"/>
        <v>1.7256708833477632</v>
      </c>
      <c r="P346" s="7">
        <f t="shared" si="11"/>
        <v>1.89462595295753</v>
      </c>
      <c r="Q346">
        <v>1</v>
      </c>
      <c r="R346" s="7">
        <f t="shared" si="12"/>
        <v>21.412590313642909</v>
      </c>
      <c r="S346" s="7">
        <f>VLOOKUP($A346,Rotations!$A$1:$X$1441,18,0)</f>
        <v>0.13195508374111775</v>
      </c>
      <c r="T346" s="7">
        <f>VLOOKUP($A346,Rotations!$A$1:$X$1441,19,0)</f>
        <v>8.059141178488162E-2</v>
      </c>
      <c r="U346" s="7">
        <f>VLOOKUP($A346,Rotations!$A$1:$X$1441,20,0)</f>
        <v>0.43589633262603245</v>
      </c>
      <c r="V346" s="7">
        <f>VLOOKUP($A346,Rotations!$A$1:$X$1441,21,0)</f>
        <v>8.8481866285480645E-2</v>
      </c>
      <c r="W346" s="7">
        <f>VLOOKUP($A346,Rotations!$A$1:$X$1441,22,0)</f>
        <v>4.6701495958798397E-2</v>
      </c>
      <c r="X346" s="7">
        <f>VLOOKUP($A346,Rotations!$A$1:$X$1441,23,0)</f>
        <v>0.21637380960368904</v>
      </c>
    </row>
    <row r="347" spans="1:24" ht="15.75" customHeight="1" x14ac:dyDescent="0.3">
      <c r="A347">
        <v>338</v>
      </c>
      <c r="B347" t="str">
        <f>Permutations!I339</f>
        <v>p13 - i3:i6</v>
      </c>
      <c r="C347" t="str">
        <f>Permutations!J339</f>
        <v>p111 - i6:i1</v>
      </c>
      <c r="D347" t="str">
        <f>Permutations!K339</f>
        <v>p1 - i1:i2</v>
      </c>
      <c r="E347" t="str">
        <f>Permutations!L339</f>
        <v>p7 - i2:i5</v>
      </c>
      <c r="F347" t="str">
        <f>Permutations!M339</f>
        <v>p41 - i5:i4</v>
      </c>
      <c r="G347" s="7">
        <f>VLOOKUP(B347,Vlookup!$A$1:$B$30,2,0)</f>
        <v>2.0145521929129111</v>
      </c>
      <c r="H347" s="7">
        <f>VLOOKUP(C347,Vlookup!$A$1:$B$30,2,0)</f>
        <v>1.6397534939100344</v>
      </c>
      <c r="I347" s="7">
        <f>VLOOKUP(D347,Vlookup!$A$1:$B$30,2,0)</f>
        <v>1.6373343116675814</v>
      </c>
      <c r="J347" s="7">
        <f>VLOOKUP(E347,Vlookup!$A$1:$B$30,2,0)</f>
        <v>1.7991741228251155</v>
      </c>
      <c r="K347" s="7">
        <f>VLOOKUP(F347,Vlookup!$A$1:$B$30,2,0)</f>
        <v>1.25400669441983</v>
      </c>
      <c r="L347" s="7">
        <f t="shared" si="7"/>
        <v>12.20302504096974</v>
      </c>
      <c r="M347" s="7">
        <f t="shared" si="8"/>
        <v>6.0574380171927746</v>
      </c>
      <c r="N347" s="7">
        <f t="shared" si="9"/>
        <v>3.6941150238068143</v>
      </c>
      <c r="O347" s="7">
        <f t="shared" si="10"/>
        <v>2.2561763944496205</v>
      </c>
      <c r="P347" s="7">
        <f t="shared" si="11"/>
        <v>1.25400669441983</v>
      </c>
      <c r="Q347">
        <v>1</v>
      </c>
      <c r="R347" s="7">
        <f t="shared" si="12"/>
        <v>26.464761170838781</v>
      </c>
      <c r="S347" s="7">
        <f>VLOOKUP($A347,Rotations!$A$1:$X$1441,18,0)</f>
        <v>0.13958618405660572</v>
      </c>
      <c r="T347" s="7">
        <f>VLOOKUP($A347,Rotations!$A$1:$X$1441,19,0)</f>
        <v>8.5252097303476729E-2</v>
      </c>
      <c r="U347" s="7">
        <f>VLOOKUP($A347,Rotations!$A$1:$X$1441,20,0)</f>
        <v>0.46110467282115941</v>
      </c>
      <c r="V347" s="7">
        <f>VLOOKUP($A347,Rotations!$A$1:$X$1441,21,0)</f>
        <v>3.7786095765031447E-2</v>
      </c>
      <c r="W347" s="7">
        <f>VLOOKUP($A347,Rotations!$A$1:$X$1441,22,0)</f>
        <v>4.7384017045338227E-2</v>
      </c>
      <c r="X347" s="7">
        <f>VLOOKUP($A347,Rotations!$A$1:$X$1441,23,0)</f>
        <v>0.22888693300838842</v>
      </c>
    </row>
    <row r="348" spans="1:24" ht="15.75" customHeight="1" x14ac:dyDescent="0.3">
      <c r="A348">
        <v>339</v>
      </c>
      <c r="B348" t="str">
        <f>Permutations!I340</f>
        <v>p13 - i3:i6</v>
      </c>
      <c r="C348" t="str">
        <f>Permutations!J340</f>
        <v>p111 - i6:i1</v>
      </c>
      <c r="D348" t="str">
        <f>Permutations!K340</f>
        <v>p9 - i1:i4</v>
      </c>
      <c r="E348" t="str">
        <f>Permutations!L340</f>
        <v>p51 - i4:i2</v>
      </c>
      <c r="F348" t="str">
        <f>Permutations!M340</f>
        <v>p7 - i2:i5</v>
      </c>
      <c r="G348" s="7">
        <f>VLOOKUP(B348,Vlookup!$A$1:$B$30,2,0)</f>
        <v>2.0145521929129111</v>
      </c>
      <c r="H348" s="7">
        <f>VLOOKUP(C348,Vlookup!$A$1:$B$30,2,0)</f>
        <v>1.6397534939100344</v>
      </c>
      <c r="I348" s="7">
        <f>VLOOKUP(D348,Vlookup!$A$1:$B$30,2,0)</f>
        <v>1.2538815092968505</v>
      </c>
      <c r="J348" s="7">
        <f>VLOOKUP(E348,Vlookup!$A$1:$B$30,2,0)</f>
        <v>1.4376356077157479</v>
      </c>
      <c r="K348" s="7">
        <f>VLOOKUP(F348,Vlookup!$A$1:$B$30,2,0)</f>
        <v>1.7991741228251155</v>
      </c>
      <c r="L348" s="7">
        <f t="shared" si="7"/>
        <v>10.713604339014614</v>
      </c>
      <c r="M348" s="7">
        <f t="shared" si="8"/>
        <v>5.318107109214897</v>
      </c>
      <c r="N348" s="7">
        <f t="shared" si="9"/>
        <v>3.2432357235194749</v>
      </c>
      <c r="O348" s="7">
        <f t="shared" si="10"/>
        <v>2.5865567834541325</v>
      </c>
      <c r="P348" s="7">
        <f t="shared" si="11"/>
        <v>1.7991741228251155</v>
      </c>
      <c r="Q348">
        <v>1</v>
      </c>
      <c r="R348" s="7">
        <f t="shared" si="12"/>
        <v>24.660678078028234</v>
      </c>
      <c r="S348" s="7">
        <f>VLOOKUP($A348,Rotations!$A$1:$X$1441,18,0)</f>
        <v>0.13151445849370541</v>
      </c>
      <c r="T348" s="7">
        <f>VLOOKUP($A348,Rotations!$A$1:$X$1441,19,0)</f>
        <v>7.2957204061153288E-2</v>
      </c>
      <c r="U348" s="7">
        <f>VLOOKUP($A348,Rotations!$A$1:$X$1441,20,0)</f>
        <v>0.43444078484443804</v>
      </c>
      <c r="V348" s="7">
        <f>VLOOKUP($A348,Rotations!$A$1:$X$1441,21,0)</f>
        <v>0.10488587439769795</v>
      </c>
      <c r="W348" s="7">
        <f>VLOOKUP($A348,Rotations!$A$1:$X$1441,22,0)</f>
        <v>4.0550385388265685E-2</v>
      </c>
      <c r="X348" s="7">
        <f>VLOOKUP($A348,Rotations!$A$1:$X$1441,23,0)</f>
        <v>0.21565129281473963</v>
      </c>
    </row>
    <row r="349" spans="1:24" ht="15.75" customHeight="1" x14ac:dyDescent="0.3">
      <c r="A349">
        <v>340</v>
      </c>
      <c r="B349" t="str">
        <f>Permutations!I341</f>
        <v>p13 - i3:i6</v>
      </c>
      <c r="C349" t="str">
        <f>Permutations!J341</f>
        <v>p111 - i6:i1</v>
      </c>
      <c r="D349" t="str">
        <f>Permutations!K341</f>
        <v>p9 - i1:i4</v>
      </c>
      <c r="E349" t="str">
        <f>Permutations!L341</f>
        <v>p4 - i4:i5</v>
      </c>
      <c r="F349" t="str">
        <f>Permutations!M341</f>
        <v>p71 - i5:i2</v>
      </c>
      <c r="G349" s="7">
        <f>VLOOKUP(B349,Vlookup!$A$1:$B$30,2,0)</f>
        <v>2.0145521929129111</v>
      </c>
      <c r="H349" s="7">
        <f>VLOOKUP(C349,Vlookup!$A$1:$B$30,2,0)</f>
        <v>1.6397534939100344</v>
      </c>
      <c r="I349" s="7">
        <f>VLOOKUP(D349,Vlookup!$A$1:$B$30,2,0)</f>
        <v>1.2538815092968505</v>
      </c>
      <c r="J349" s="7">
        <f>VLOOKUP(E349,Vlookup!$A$1:$B$30,2,0)</f>
        <v>1.89462595295753</v>
      </c>
      <c r="K349" s="7">
        <f>VLOOKUP(F349,Vlookup!$A$1:$B$30,2,0)</f>
        <v>1.8243208303594776</v>
      </c>
      <c r="L349" s="7">
        <f t="shared" si="7"/>
        <v>14.316547072048253</v>
      </c>
      <c r="M349" s="7">
        <f t="shared" si="8"/>
        <v>7.1065654801166804</v>
      </c>
      <c r="N349" s="7">
        <f t="shared" si="9"/>
        <v>4.33392306008807</v>
      </c>
      <c r="O349" s="7">
        <f t="shared" si="10"/>
        <v>3.4564055917200975</v>
      </c>
      <c r="P349" s="7">
        <f t="shared" si="11"/>
        <v>1.8243208303594776</v>
      </c>
      <c r="Q349">
        <v>1</v>
      </c>
      <c r="R349" s="7">
        <f t="shared" si="12"/>
        <v>32.037762034332587</v>
      </c>
      <c r="S349" s="7">
        <f>VLOOKUP($A349,Rotations!$A$1:$X$1441,18,0)</f>
        <v>0.13527546198276003</v>
      </c>
      <c r="T349" s="7">
        <f>VLOOKUP($A349,Rotations!$A$1:$X$1441,19,0)</f>
        <v>3.1213166479243191E-2</v>
      </c>
      <c r="U349" s="7">
        <f>VLOOKUP($A349,Rotations!$A$1:$X$1441,20,0)</f>
        <v>0.4468647671677638</v>
      </c>
      <c r="V349" s="7">
        <f>VLOOKUP($A349,Rotations!$A$1:$X$1441,21,0)</f>
        <v>0.10788536315414647</v>
      </c>
      <c r="W349" s="7">
        <f>VLOOKUP($A349,Rotations!$A$1:$X$1441,22,0)</f>
        <v>5.6942829789561548E-2</v>
      </c>
      <c r="X349" s="7">
        <f>VLOOKUP($A349,Rotations!$A$1:$X$1441,23,0)</f>
        <v>0.22181841142652475</v>
      </c>
    </row>
    <row r="350" spans="1:24" ht="15.75" customHeight="1" x14ac:dyDescent="0.3">
      <c r="A350">
        <v>341</v>
      </c>
      <c r="B350" t="str">
        <f>Permutations!I342</f>
        <v>p13 - i3:i6</v>
      </c>
      <c r="C350" t="str">
        <f>Permutations!J342</f>
        <v>p111 - i6:i1</v>
      </c>
      <c r="D350" t="str">
        <f>Permutations!K342</f>
        <v>p10 - i1:i5</v>
      </c>
      <c r="E350" t="str">
        <f>Permutations!L342</f>
        <v>p71 - i5:i2</v>
      </c>
      <c r="F350" t="str">
        <f>Permutations!M342</f>
        <v>p5 - i2:i4</v>
      </c>
      <c r="G350" s="7">
        <f>VLOOKUP(B350,Vlookup!$A$1:$B$30,2,0)</f>
        <v>2.0145521929129111</v>
      </c>
      <c r="H350" s="7">
        <f>VLOOKUP(C350,Vlookup!$A$1:$B$30,2,0)</f>
        <v>1.6397534939100344</v>
      </c>
      <c r="I350" s="7">
        <f>VLOOKUP(D350,Vlookup!$A$1:$B$30,2,0)</f>
        <v>1.0847108741813811</v>
      </c>
      <c r="J350" s="7">
        <f>VLOOKUP(E350,Vlookup!$A$1:$B$30,2,0)</f>
        <v>1.8243208303594776</v>
      </c>
      <c r="K350" s="7">
        <f>VLOOKUP(F350,Vlookup!$A$1:$B$30,2,0)</f>
        <v>0.9108240498099236</v>
      </c>
      <c r="L350" s="7">
        <f t="shared" si="7"/>
        <v>5.9539720126281077</v>
      </c>
      <c r="M350" s="7">
        <f t="shared" si="8"/>
        <v>2.9554816368490568</v>
      </c>
      <c r="N350" s="7">
        <f t="shared" si="9"/>
        <v>1.8023938645812152</v>
      </c>
      <c r="O350" s="7">
        <f t="shared" si="10"/>
        <v>1.6616352868606219</v>
      </c>
      <c r="P350" s="7">
        <f t="shared" si="11"/>
        <v>0.9108240498099236</v>
      </c>
      <c r="Q350">
        <v>1</v>
      </c>
      <c r="R350" s="7">
        <f t="shared" si="12"/>
        <v>14.284306850728926</v>
      </c>
      <c r="S350" s="7">
        <f>VLOOKUP($A350,Rotations!$A$1:$X$1441,18,0)</f>
        <v>0.12618000183111716</v>
      </c>
      <c r="T350" s="7">
        <f>VLOOKUP($A350,Rotations!$A$1:$X$1441,19,0)</f>
        <v>6.3763965541208209E-2</v>
      </c>
      <c r="U350" s="7">
        <f>VLOOKUP($A350,Rotations!$A$1:$X$1441,20,0)</f>
        <v>0.41681910608944089</v>
      </c>
      <c r="V350" s="7">
        <f>VLOOKUP($A350,Rotations!$A$1:$X$1441,21,0)</f>
        <v>7.0006897110934732E-2</v>
      </c>
      <c r="W350" s="7">
        <f>VLOOKUP($A350,Rotations!$A$1:$X$1441,22,0)</f>
        <v>0.11632593056315006</v>
      </c>
      <c r="X350" s="7">
        <f>VLOOKUP($A350,Rotations!$A$1:$X$1441,23,0)</f>
        <v>0.20690409886414887</v>
      </c>
    </row>
    <row r="351" spans="1:24" ht="15.75" customHeight="1" x14ac:dyDescent="0.3">
      <c r="A351">
        <v>342</v>
      </c>
      <c r="B351" t="str">
        <f>Permutations!I343</f>
        <v>p13 - i3:i6</v>
      </c>
      <c r="C351" t="str">
        <f>Permutations!J343</f>
        <v>p111 - i6:i1</v>
      </c>
      <c r="D351" t="str">
        <f>Permutations!K343</f>
        <v>p10 - i1:i5</v>
      </c>
      <c r="E351" t="str">
        <f>Permutations!L343</f>
        <v>p41 - i5:i4</v>
      </c>
      <c r="F351" t="str">
        <f>Permutations!M343</f>
        <v>p51 - i4:i2</v>
      </c>
      <c r="G351" s="7">
        <f>VLOOKUP(B351,Vlookup!$A$1:$B$30,2,0)</f>
        <v>2.0145521929129111</v>
      </c>
      <c r="H351" s="7">
        <f>VLOOKUP(C351,Vlookup!$A$1:$B$30,2,0)</f>
        <v>1.6397534939100344</v>
      </c>
      <c r="I351" s="7">
        <f>VLOOKUP(D351,Vlookup!$A$1:$B$30,2,0)</f>
        <v>1.0847108741813811</v>
      </c>
      <c r="J351" s="7">
        <f>VLOOKUP(E351,Vlookup!$A$1:$B$30,2,0)</f>
        <v>1.25400669441983</v>
      </c>
      <c r="K351" s="7">
        <f>VLOOKUP(F351,Vlookup!$A$1:$B$30,2,0)</f>
        <v>1.4376356077157479</v>
      </c>
      <c r="L351" s="7">
        <f t="shared" si="7"/>
        <v>6.4598102070162033</v>
      </c>
      <c r="M351" s="7">
        <f t="shared" si="8"/>
        <v>3.2065737635100628</v>
      </c>
      <c r="N351" s="7">
        <f t="shared" si="9"/>
        <v>1.9555218363120577</v>
      </c>
      <c r="O351" s="7">
        <f t="shared" si="10"/>
        <v>1.8028046762118686</v>
      </c>
      <c r="P351" s="7">
        <f t="shared" si="11"/>
        <v>1.4376356077157479</v>
      </c>
      <c r="Q351">
        <v>1</v>
      </c>
      <c r="R351" s="7">
        <f t="shared" si="12"/>
        <v>15.862346090765939</v>
      </c>
      <c r="S351" s="7">
        <f>VLOOKUP($A351,Rotations!$A$1:$X$1441,18,0)</f>
        <v>0.12328074454575415</v>
      </c>
      <c r="T351" s="7">
        <f>VLOOKUP($A351,Rotations!$A$1:$X$1441,19,0)</f>
        <v>6.3042376851311865E-2</v>
      </c>
      <c r="U351" s="7">
        <f>VLOOKUP($A351,Rotations!$A$1:$X$1441,20,0)</f>
        <v>0.40724178945866646</v>
      </c>
      <c r="V351" s="7">
        <f>VLOOKUP($A351,Rotations!$A$1:$X$1441,21,0)</f>
        <v>9.0631965756480942E-2</v>
      </c>
      <c r="W351" s="7">
        <f>VLOOKUP($A351,Rotations!$A$1:$X$1441,22,0)</f>
        <v>0.11365309178705589</v>
      </c>
      <c r="X351" s="7">
        <f>VLOOKUP($A351,Rotations!$A$1:$X$1441,23,0)</f>
        <v>0.20215003160073078</v>
      </c>
    </row>
    <row r="352" spans="1:24" ht="15.75" customHeight="1" x14ac:dyDescent="0.3">
      <c r="A352">
        <v>343</v>
      </c>
      <c r="B352" t="str">
        <f>Permutations!I344</f>
        <v>p13 - i3:i6</v>
      </c>
      <c r="C352" t="str">
        <f>Permutations!J344</f>
        <v>p121 - i6:i2</v>
      </c>
      <c r="D352" t="str">
        <f>Permutations!K344</f>
        <v>p11 - i2:i1</v>
      </c>
      <c r="E352" t="str">
        <f>Permutations!L344</f>
        <v>p9 - i1:i4</v>
      </c>
      <c r="F352" t="str">
        <f>Permutations!M344</f>
        <v>p4 - i4:i5</v>
      </c>
      <c r="G352" s="7">
        <f>VLOOKUP(B352,Vlookup!$A$1:$B$30,2,0)</f>
        <v>2.0145521929129111</v>
      </c>
      <c r="H352" s="7">
        <f>VLOOKUP(C352,Vlookup!$A$1:$B$30,2,0)</f>
        <v>1.2419340531937677</v>
      </c>
      <c r="I352" s="7">
        <f>VLOOKUP(D352,Vlookup!$A$1:$B$30,2,0)</f>
        <v>1.7440097060445605</v>
      </c>
      <c r="J352" s="7">
        <f>VLOOKUP(E352,Vlookup!$A$1:$B$30,2,0)</f>
        <v>1.2538815092968505</v>
      </c>
      <c r="K352" s="7">
        <f>VLOOKUP(F352,Vlookup!$A$1:$B$30,2,0)</f>
        <v>1.89462595295753</v>
      </c>
      <c r="L352" s="7">
        <f t="shared" si="7"/>
        <v>10.365874262886802</v>
      </c>
      <c r="M352" s="7">
        <f t="shared" si="8"/>
        <v>5.1454979917390098</v>
      </c>
      <c r="N352" s="7">
        <f t="shared" si="9"/>
        <v>4.1431330258694539</v>
      </c>
      <c r="O352" s="7">
        <f t="shared" si="10"/>
        <v>2.3756364494473714</v>
      </c>
      <c r="P352" s="7">
        <f t="shared" si="11"/>
        <v>1.89462595295753</v>
      </c>
      <c r="Q352">
        <v>1</v>
      </c>
      <c r="R352" s="7">
        <f t="shared" si="12"/>
        <v>24.924767682900164</v>
      </c>
      <c r="S352" s="7">
        <f>VLOOKUP($A352,Rotations!$A$1:$X$1441,18,0)</f>
        <v>9.5312280526377607E-2</v>
      </c>
      <c r="T352" s="7">
        <f>VLOOKUP($A352,Rotations!$A$1:$X$1441,19,0)</f>
        <v>0.16622554234324452</v>
      </c>
      <c r="U352" s="7">
        <f>VLOOKUP($A352,Rotations!$A$1:$X$1441,20,0)</f>
        <v>0.41588649470134853</v>
      </c>
      <c r="V352" s="7">
        <f>VLOOKUP($A352,Rotations!$A$1:$X$1441,21,0)</f>
        <v>7.6013785847936041E-2</v>
      </c>
      <c r="W352" s="7">
        <f>VLOOKUP($A352,Rotations!$A$1:$X$1441,22,0)</f>
        <v>4.0120735034415503E-2</v>
      </c>
      <c r="X352" s="7">
        <f>VLOOKUP($A352,Rotations!$A$1:$X$1441,23,0)</f>
        <v>0.20644116154667791</v>
      </c>
    </row>
    <row r="353" spans="1:24" ht="15.75" customHeight="1" x14ac:dyDescent="0.3">
      <c r="A353">
        <v>344</v>
      </c>
      <c r="B353" t="str">
        <f>Permutations!I345</f>
        <v>p13 - i3:i6</v>
      </c>
      <c r="C353" t="str">
        <f>Permutations!J345</f>
        <v>p121 - i6:i2</v>
      </c>
      <c r="D353" t="str">
        <f>Permutations!K345</f>
        <v>p11 - i2:i1</v>
      </c>
      <c r="E353" t="str">
        <f>Permutations!L345</f>
        <v>p10 - i1:i5</v>
      </c>
      <c r="F353" t="str">
        <f>Permutations!M345</f>
        <v>p41 - i5:i4</v>
      </c>
      <c r="G353" s="7">
        <f>VLOOKUP(B353,Vlookup!$A$1:$B$30,2,0)</f>
        <v>2.0145521929129111</v>
      </c>
      <c r="H353" s="7">
        <f>VLOOKUP(C353,Vlookup!$A$1:$B$30,2,0)</f>
        <v>1.2419340531937677</v>
      </c>
      <c r="I353" s="7">
        <f>VLOOKUP(D353,Vlookup!$A$1:$B$30,2,0)</f>
        <v>1.7440097060445605</v>
      </c>
      <c r="J353" s="7">
        <f>VLOOKUP(E353,Vlookup!$A$1:$B$30,2,0)</f>
        <v>1.0847108741813811</v>
      </c>
      <c r="K353" s="7">
        <f>VLOOKUP(F353,Vlookup!$A$1:$B$30,2,0)</f>
        <v>1.25400669441983</v>
      </c>
      <c r="L353" s="7">
        <f t="shared" si="7"/>
        <v>5.9352607794852821</v>
      </c>
      <c r="M353" s="7">
        <f t="shared" si="8"/>
        <v>2.9461936009229333</v>
      </c>
      <c r="N353" s="7">
        <f t="shared" si="9"/>
        <v>2.3722625153457049</v>
      </c>
      <c r="O353" s="7">
        <f t="shared" si="10"/>
        <v>1.3602346977334379</v>
      </c>
      <c r="P353" s="7">
        <f t="shared" si="11"/>
        <v>1.25400669441983</v>
      </c>
      <c r="Q353">
        <v>1</v>
      </c>
      <c r="R353" s="7">
        <f t="shared" si="12"/>
        <v>14.867958287907188</v>
      </c>
      <c r="S353" s="7">
        <f>VLOOKUP($A353,Rotations!$A$1:$X$1441,18,0)</f>
        <v>9.1487658990796403E-2</v>
      </c>
      <c r="T353" s="7">
        <f>VLOOKUP($A353,Rotations!$A$1:$X$1441,19,0)</f>
        <v>0.15955536526324385</v>
      </c>
      <c r="U353" s="7">
        <f>VLOOKUP($A353,Rotations!$A$1:$X$1441,20,0)</f>
        <v>0.3991981053856406</v>
      </c>
      <c r="V353" s="7">
        <f>VLOOKUP($A353,Rotations!$A$1:$X$1441,21,0)</f>
        <v>6.7258730528814245E-2</v>
      </c>
      <c r="W353" s="7">
        <f>VLOOKUP($A353,Rotations!$A$1:$X$1441,22,0)</f>
        <v>8.4342898341312464E-2</v>
      </c>
      <c r="X353" s="7">
        <f>VLOOKUP($A353,Rotations!$A$1:$X$1441,23,0)</f>
        <v>0.19815724149019248</v>
      </c>
    </row>
    <row r="354" spans="1:24" ht="15.75" customHeight="1" x14ac:dyDescent="0.3">
      <c r="A354">
        <v>345</v>
      </c>
      <c r="B354" t="str">
        <f>Permutations!I346</f>
        <v>p13 - i3:i6</v>
      </c>
      <c r="C354" t="str">
        <f>Permutations!J346</f>
        <v>p121 - i6:i2</v>
      </c>
      <c r="D354" t="str">
        <f>Permutations!K346</f>
        <v>p5 - i2:i4</v>
      </c>
      <c r="E354" t="str">
        <f>Permutations!L346</f>
        <v>p91 - i4:i1</v>
      </c>
      <c r="F354" t="str">
        <f>Permutations!M346</f>
        <v>p10 - i1:i5</v>
      </c>
      <c r="G354" s="7">
        <f>VLOOKUP(B354,Vlookup!$A$1:$B$30,2,0)</f>
        <v>2.0145521929129111</v>
      </c>
      <c r="H354" s="7">
        <f>VLOOKUP(C354,Vlookup!$A$1:$B$30,2,0)</f>
        <v>1.2419340531937677</v>
      </c>
      <c r="I354" s="7">
        <f>VLOOKUP(D354,Vlookup!$A$1:$B$30,2,0)</f>
        <v>0.9108240498099236</v>
      </c>
      <c r="J354" s="7">
        <f>VLOOKUP(E354,Vlookup!$A$1:$B$30,2,0)</f>
        <v>2.9131157743633094</v>
      </c>
      <c r="K354" s="7">
        <f>VLOOKUP(F354,Vlookup!$A$1:$B$30,2,0)</f>
        <v>1.0847108741813811</v>
      </c>
      <c r="L354" s="7">
        <f t="shared" si="7"/>
        <v>7.2008420895592087</v>
      </c>
      <c r="M354" s="7">
        <f t="shared" si="8"/>
        <v>3.5744132690586983</v>
      </c>
      <c r="N354" s="7">
        <f t="shared" si="9"/>
        <v>2.878102311364044</v>
      </c>
      <c r="O354" s="7">
        <f t="shared" si="10"/>
        <v>3.1598883582011963</v>
      </c>
      <c r="P354" s="7">
        <f t="shared" si="11"/>
        <v>1.0847108741813811</v>
      </c>
      <c r="Q354">
        <v>1</v>
      </c>
      <c r="R354" s="7">
        <f t="shared" si="12"/>
        <v>18.89795690236453</v>
      </c>
      <c r="S354" s="7">
        <f>VLOOKUP($A354,Rotations!$A$1:$X$1441,18,0)</f>
        <v>5.7398314526035409E-2</v>
      </c>
      <c r="T354" s="7">
        <f>VLOOKUP($A354,Rotations!$A$1:$X$1441,19,0)</f>
        <v>0.15229700894301082</v>
      </c>
      <c r="U354" s="7">
        <f>VLOOKUP($A354,Rotations!$A$1:$X$1441,20,0)</f>
        <v>0.38103812633090683</v>
      </c>
      <c r="V354" s="7">
        <f>VLOOKUP($A354,Rotations!$A$1:$X$1441,21,0)</f>
        <v>0.16720793546766041</v>
      </c>
      <c r="W354" s="7">
        <f>VLOOKUP($A354,Rotations!$A$1:$X$1441,22,0)</f>
        <v>5.2915773126505493E-2</v>
      </c>
      <c r="X354" s="7">
        <f>VLOOKUP($A354,Rotations!$A$1:$X$1441,23,0)</f>
        <v>0.18914284160588091</v>
      </c>
    </row>
    <row r="355" spans="1:24" ht="15.75" customHeight="1" x14ac:dyDescent="0.3">
      <c r="A355">
        <v>346</v>
      </c>
      <c r="B355" t="str">
        <f>Permutations!I347</f>
        <v>p13 - i3:i6</v>
      </c>
      <c r="C355" t="str">
        <f>Permutations!J347</f>
        <v>p121 - i6:i2</v>
      </c>
      <c r="D355" t="str">
        <f>Permutations!K347</f>
        <v>p5 - i2:i4</v>
      </c>
      <c r="E355" t="str">
        <f>Permutations!L347</f>
        <v>p4 - i4:i5</v>
      </c>
      <c r="F355" t="str">
        <f>Permutations!M347</f>
        <v>p101 - i5:i1</v>
      </c>
      <c r="G355" s="7">
        <f>VLOOKUP(B355,Vlookup!$A$1:$B$30,2,0)</f>
        <v>2.0145521929129111</v>
      </c>
      <c r="H355" s="7">
        <f>VLOOKUP(C355,Vlookup!$A$1:$B$30,2,0)</f>
        <v>1.2419340531937677</v>
      </c>
      <c r="I355" s="7">
        <f>VLOOKUP(D355,Vlookup!$A$1:$B$30,2,0)</f>
        <v>0.9108240498099236</v>
      </c>
      <c r="J355" s="7">
        <f>VLOOKUP(E355,Vlookup!$A$1:$B$30,2,0)</f>
        <v>1.89462595295753</v>
      </c>
      <c r="K355" s="7">
        <f>VLOOKUP(F355,Vlookup!$A$1:$B$30,2,0)</f>
        <v>1.530542412441888</v>
      </c>
      <c r="L355" s="7">
        <f t="shared" si="7"/>
        <v>6.6081577072120279</v>
      </c>
      <c r="M355" s="7">
        <f t="shared" si="8"/>
        <v>3.2802117167572922</v>
      </c>
      <c r="N355" s="7">
        <f t="shared" si="9"/>
        <v>2.6412124768798093</v>
      </c>
      <c r="O355" s="7">
        <f t="shared" si="10"/>
        <v>2.899805376714629</v>
      </c>
      <c r="P355" s="7">
        <f t="shared" si="11"/>
        <v>1.530542412441888</v>
      </c>
      <c r="Q355">
        <v>1</v>
      </c>
      <c r="R355" s="7">
        <f t="shared" si="12"/>
        <v>17.959929690005648</v>
      </c>
      <c r="S355" s="7">
        <f>VLOOKUP($A355,Rotations!$A$1:$X$1441,18,0)</f>
        <v>5.5679505279827492E-2</v>
      </c>
      <c r="T355" s="7">
        <f>VLOOKUP($A355,Rotations!$A$1:$X$1441,19,0)</f>
        <v>0.14706140405157558</v>
      </c>
      <c r="U355" s="7">
        <f>VLOOKUP($A355,Rotations!$A$1:$X$1441,20,0)</f>
        <v>0.36793895194864484</v>
      </c>
      <c r="V355" s="7">
        <f>VLOOKUP($A355,Rotations!$A$1:$X$1441,21,0)</f>
        <v>0.16145972878325435</v>
      </c>
      <c r="W355" s="7">
        <f>VLOOKUP($A355,Rotations!$A$1:$X$1441,22,0)</f>
        <v>8.5219844334558009E-2</v>
      </c>
      <c r="X355" s="7">
        <f>VLOOKUP($A355,Rotations!$A$1:$X$1441,23,0)</f>
        <v>0.18264056560213965</v>
      </c>
    </row>
    <row r="356" spans="1:24" ht="15.75" customHeight="1" x14ac:dyDescent="0.3">
      <c r="A356">
        <v>347</v>
      </c>
      <c r="B356" t="str">
        <f>Permutations!I348</f>
        <v>p13 - i3:i6</v>
      </c>
      <c r="C356" t="str">
        <f>Permutations!J348</f>
        <v>p121 - i6:i2</v>
      </c>
      <c r="D356" t="str">
        <f>Permutations!K348</f>
        <v>p7 - i2:i5</v>
      </c>
      <c r="E356" t="str">
        <f>Permutations!L348</f>
        <v>p101 - i5:i1</v>
      </c>
      <c r="F356" t="str">
        <f>Permutations!M348</f>
        <v>p9 - i1:i4</v>
      </c>
      <c r="G356" s="7">
        <f>VLOOKUP(B356,Vlookup!$A$1:$B$30,2,0)</f>
        <v>2.0145521929129111</v>
      </c>
      <c r="H356" s="7">
        <f>VLOOKUP(C356,Vlookup!$A$1:$B$30,2,0)</f>
        <v>1.2419340531937677</v>
      </c>
      <c r="I356" s="7">
        <f>VLOOKUP(D356,Vlookup!$A$1:$B$30,2,0)</f>
        <v>1.7991741228251155</v>
      </c>
      <c r="J356" s="7">
        <f>VLOOKUP(E356,Vlookup!$A$1:$B$30,2,0)</f>
        <v>1.530542412441888</v>
      </c>
      <c r="K356" s="7">
        <f>VLOOKUP(F356,Vlookup!$A$1:$B$30,2,0)</f>
        <v>1.2538815092968505</v>
      </c>
      <c r="L356" s="7">
        <f t="shared" si="7"/>
        <v>8.6387741830755314</v>
      </c>
      <c r="M356" s="7">
        <f t="shared" si="8"/>
        <v>4.2881858377590243</v>
      </c>
      <c r="N356" s="7">
        <f t="shared" si="9"/>
        <v>3.4528289378421424</v>
      </c>
      <c r="O356" s="7">
        <f t="shared" si="10"/>
        <v>1.9191188301554771</v>
      </c>
      <c r="P356" s="7">
        <f t="shared" si="11"/>
        <v>1.2538815092968505</v>
      </c>
      <c r="Q356">
        <v>1</v>
      </c>
      <c r="R356" s="7">
        <f t="shared" si="12"/>
        <v>20.552789298129024</v>
      </c>
      <c r="S356" s="7">
        <f>VLOOKUP($A356,Rotations!$A$1:$X$1441,18,0)</f>
        <v>6.1007851105202286E-2</v>
      </c>
      <c r="T356" s="7">
        <f>VLOOKUP($A356,Rotations!$A$1:$X$1441,19,0)</f>
        <v>0.16799807012844056</v>
      </c>
      <c r="U356" s="7">
        <f>VLOOKUP($A356,Rotations!$A$1:$X$1441,20,0)</f>
        <v>0.42032125458815178</v>
      </c>
      <c r="V356" s="7">
        <f>VLOOKUP($A356,Rotations!$A$1:$X$1441,21,0)</f>
        <v>4.8655196406408578E-2</v>
      </c>
      <c r="W356" s="7">
        <f>VLOOKUP($A356,Rotations!$A$1:$X$1441,22,0)</f>
        <v>9.3375103608451804E-2</v>
      </c>
      <c r="X356" s="7">
        <f>VLOOKUP($A356,Rotations!$A$1:$X$1441,23,0)</f>
        <v>0.20864252416334503</v>
      </c>
    </row>
    <row r="357" spans="1:24" ht="15.75" customHeight="1" x14ac:dyDescent="0.3">
      <c r="A357">
        <v>348</v>
      </c>
      <c r="B357" t="str">
        <f>Permutations!I349</f>
        <v>p13 - i3:i6</v>
      </c>
      <c r="C357" t="str">
        <f>Permutations!J349</f>
        <v>p121 - i6:i2</v>
      </c>
      <c r="D357" t="str">
        <f>Permutations!K349</f>
        <v>p7 - i2:i5</v>
      </c>
      <c r="E357" t="str">
        <f>Permutations!L349</f>
        <v>p41 - i5:i4</v>
      </c>
      <c r="F357" t="str">
        <f>Permutations!M349</f>
        <v>p91 - i4:i1</v>
      </c>
      <c r="G357" s="7">
        <f>VLOOKUP(B357,Vlookup!$A$1:$B$30,2,0)</f>
        <v>2.0145521929129111</v>
      </c>
      <c r="H357" s="7">
        <f>VLOOKUP(C357,Vlookup!$A$1:$B$30,2,0)</f>
        <v>1.2419340531937677</v>
      </c>
      <c r="I357" s="7">
        <f>VLOOKUP(D357,Vlookup!$A$1:$B$30,2,0)</f>
        <v>1.7991741228251155</v>
      </c>
      <c r="J357" s="7">
        <f>VLOOKUP(E357,Vlookup!$A$1:$B$30,2,0)</f>
        <v>1.25400669441983</v>
      </c>
      <c r="K357" s="7">
        <f>VLOOKUP(F357,Vlookup!$A$1:$B$30,2,0)</f>
        <v>2.9131157743633094</v>
      </c>
      <c r="L357" s="7">
        <f t="shared" si="7"/>
        <v>16.444014644345966</v>
      </c>
      <c r="M357" s="7">
        <f t="shared" si="8"/>
        <v>8.1626153455815871</v>
      </c>
      <c r="N357" s="7">
        <f t="shared" si="9"/>
        <v>6.5725030444173251</v>
      </c>
      <c r="O357" s="7">
        <f t="shared" si="10"/>
        <v>3.653066682671597</v>
      </c>
      <c r="P357" s="7">
        <f t="shared" si="11"/>
        <v>2.9131157743633094</v>
      </c>
      <c r="Q357">
        <v>1</v>
      </c>
      <c r="R357" s="7">
        <f t="shared" si="12"/>
        <v>38.745315491379792</v>
      </c>
      <c r="S357" s="7">
        <f>VLOOKUP($A357,Rotations!$A$1:$X$1441,18,0)</f>
        <v>2.5809571746098801E-2</v>
      </c>
      <c r="T357" s="7">
        <f>VLOOKUP($A357,Rotations!$A$1:$X$1441,19,0)</f>
        <v>0.16963348887634175</v>
      </c>
      <c r="U357" s="7">
        <f>VLOOKUP($A357,Rotations!$A$1:$X$1441,20,0)</f>
        <v>0.42441297575714654</v>
      </c>
      <c r="V357" s="7">
        <f>VLOOKUP($A357,Rotations!$A$1:$X$1441,21,0)</f>
        <v>7.5186270583121995E-2</v>
      </c>
      <c r="W357" s="7">
        <f>VLOOKUP($A357,Rotations!$A$1:$X$1441,22,0)</f>
        <v>9.4284086639695716E-2</v>
      </c>
      <c r="X357" s="7">
        <f>VLOOKUP($A357,Rotations!$A$1:$X$1441,23,0)</f>
        <v>0.21067360639759503</v>
      </c>
    </row>
    <row r="358" spans="1:24" ht="15.75" customHeight="1" x14ac:dyDescent="0.3">
      <c r="A358">
        <v>349</v>
      </c>
      <c r="B358" t="str">
        <f>Permutations!I350</f>
        <v>p13 - i3:i6</v>
      </c>
      <c r="C358" t="str">
        <f>Permutations!J350</f>
        <v>p141 - i6:i4</v>
      </c>
      <c r="D358" t="str">
        <f>Permutations!K350</f>
        <v>p91 - i4:i1</v>
      </c>
      <c r="E358" t="str">
        <f>Permutations!L350</f>
        <v>p1 - i1:i2</v>
      </c>
      <c r="F358" t="str">
        <f>Permutations!M350</f>
        <v>p7 - i2:i5</v>
      </c>
      <c r="G358" s="7">
        <f>VLOOKUP(B358,Vlookup!$A$1:$B$30,2,0)</f>
        <v>2.0145521929129111</v>
      </c>
      <c r="H358" s="7">
        <f>VLOOKUP(C358,Vlookup!$A$1:$B$30,2,0)</f>
        <v>0.88688155974910687</v>
      </c>
      <c r="I358" s="7">
        <f>VLOOKUP(D358,Vlookup!$A$1:$B$30,2,0)</f>
        <v>2.9131157743633094</v>
      </c>
      <c r="J358" s="7">
        <f>VLOOKUP(E358,Vlookup!$A$1:$B$30,2,0)</f>
        <v>1.6373343116675814</v>
      </c>
      <c r="K358" s="7">
        <f>VLOOKUP(F358,Vlookup!$A$1:$B$30,2,0)</f>
        <v>1.7991741228251155</v>
      </c>
      <c r="L358" s="7">
        <f t="shared" si="7"/>
        <v>15.332481611223704</v>
      </c>
      <c r="M358" s="7">
        <f t="shared" si="8"/>
        <v>7.6108634291841986</v>
      </c>
      <c r="N358" s="7">
        <f t="shared" si="9"/>
        <v>8.5816007171659567</v>
      </c>
      <c r="O358" s="7">
        <f t="shared" si="10"/>
        <v>2.9458495239659848</v>
      </c>
      <c r="P358" s="7">
        <f t="shared" si="11"/>
        <v>1.7991741228251155</v>
      </c>
      <c r="Q358">
        <v>1</v>
      </c>
      <c r="R358" s="7">
        <f t="shared" si="12"/>
        <v>37.269969404364957</v>
      </c>
      <c r="S358" s="7">
        <f>VLOOKUP($A358,Rotations!$A$1:$X$1441,18,0)</f>
        <v>7.9040835585472063E-2</v>
      </c>
      <c r="T358" s="7">
        <f>VLOOKUP($A358,Rotations!$A$1:$X$1441,19,0)</f>
        <v>4.8274097123739548E-2</v>
      </c>
      <c r="U358" s="7">
        <f>VLOOKUP($A358,Rotations!$A$1:$X$1441,20,0)</f>
        <v>0.41138970211840331</v>
      </c>
      <c r="V358" s="7">
        <f>VLOOKUP($A358,Rotations!$A$1:$X$1441,21,0)</f>
        <v>0.2302551049628955</v>
      </c>
      <c r="W358" s="7">
        <f>VLOOKUP($A358,Rotations!$A$1:$X$1441,22,0)</f>
        <v>2.6831253579802584E-2</v>
      </c>
      <c r="X358" s="7">
        <f>VLOOKUP($A358,Rotations!$A$1:$X$1441,23,0)</f>
        <v>0.20420900662968708</v>
      </c>
    </row>
    <row r="359" spans="1:24" ht="15.75" customHeight="1" x14ac:dyDescent="0.3">
      <c r="A359">
        <v>350</v>
      </c>
      <c r="B359" t="str">
        <f>Permutations!I351</f>
        <v>p13 - i3:i6</v>
      </c>
      <c r="C359" t="str">
        <f>Permutations!J351</f>
        <v>p141 - i6:i4</v>
      </c>
      <c r="D359" t="str">
        <f>Permutations!K351</f>
        <v>p91 - i4:i1</v>
      </c>
      <c r="E359" t="str">
        <f>Permutations!L351</f>
        <v>p10 - i1:i5</v>
      </c>
      <c r="F359" t="str">
        <f>Permutations!M351</f>
        <v>p71 - i5:i2</v>
      </c>
      <c r="G359" s="7">
        <f>VLOOKUP(B359,Vlookup!$A$1:$B$30,2,0)</f>
        <v>2.0145521929129111</v>
      </c>
      <c r="H359" s="7">
        <f>VLOOKUP(C359,Vlookup!$A$1:$B$30,2,0)</f>
        <v>0.88688155974910687</v>
      </c>
      <c r="I359" s="7">
        <f>VLOOKUP(D359,Vlookup!$A$1:$B$30,2,0)</f>
        <v>2.9131157743633094</v>
      </c>
      <c r="J359" s="7">
        <f>VLOOKUP(E359,Vlookup!$A$1:$B$30,2,0)</f>
        <v>1.0847108741813811</v>
      </c>
      <c r="K359" s="7">
        <f>VLOOKUP(F359,Vlookup!$A$1:$B$30,2,0)</f>
        <v>1.8243208303594776</v>
      </c>
      <c r="L359" s="7">
        <f t="shared" si="7"/>
        <v>10.299522826379068</v>
      </c>
      <c r="M359" s="7">
        <f t="shared" si="8"/>
        <v>5.1125619195234799</v>
      </c>
      <c r="N359" s="7">
        <f t="shared" si="9"/>
        <v>5.7646501534768531</v>
      </c>
      <c r="O359" s="7">
        <f t="shared" si="10"/>
        <v>1.9788606426865321</v>
      </c>
      <c r="P359" s="7">
        <f t="shared" si="11"/>
        <v>1.8243208303594776</v>
      </c>
      <c r="Q359">
        <v>1</v>
      </c>
      <c r="R359" s="7">
        <f t="shared" si="12"/>
        <v>25.979916372425411</v>
      </c>
      <c r="S359" s="7">
        <f>VLOOKUP($A359,Rotations!$A$1:$X$1441,18,0)</f>
        <v>7.6168861143327507E-2</v>
      </c>
      <c r="T359" s="7">
        <f>VLOOKUP($A359,Rotations!$A$1:$X$1441,19,0)</f>
        <v>3.8491270936552399E-2</v>
      </c>
      <c r="U359" s="7">
        <f>VLOOKUP($A359,Rotations!$A$1:$X$1441,20,0)</f>
        <v>0.39644172362736263</v>
      </c>
      <c r="V359" s="7">
        <f>VLOOKUP($A359,Rotations!$A$1:$X$1441,21,0)</f>
        <v>0.22188871091191592</v>
      </c>
      <c r="W359" s="7">
        <f>VLOOKUP($A359,Rotations!$A$1:$X$1441,22,0)</f>
        <v>7.0220427356562892E-2</v>
      </c>
      <c r="X359" s="7">
        <f>VLOOKUP($A359,Rotations!$A$1:$X$1441,23,0)</f>
        <v>0.19678900602427865</v>
      </c>
    </row>
    <row r="360" spans="1:24" ht="15.75" customHeight="1" x14ac:dyDescent="0.3">
      <c r="A360">
        <v>351</v>
      </c>
      <c r="B360" t="str">
        <f>Permutations!I352</f>
        <v>p13 - i3:i6</v>
      </c>
      <c r="C360" t="str">
        <f>Permutations!J352</f>
        <v>p141 - i6:i4</v>
      </c>
      <c r="D360" t="str">
        <f>Permutations!K352</f>
        <v>p51 - i4:i2</v>
      </c>
      <c r="E360" t="str">
        <f>Permutations!L352</f>
        <v>p11 - i2:i1</v>
      </c>
      <c r="F360" t="str">
        <f>Permutations!M352</f>
        <v>p10 - i1:i5</v>
      </c>
      <c r="G360" s="7">
        <f>VLOOKUP(B360,Vlookup!$A$1:$B$30,2,0)</f>
        <v>2.0145521929129111</v>
      </c>
      <c r="H360" s="7">
        <f>VLOOKUP(C360,Vlookup!$A$1:$B$30,2,0)</f>
        <v>0.88688155974910687</v>
      </c>
      <c r="I360" s="7">
        <f>VLOOKUP(D360,Vlookup!$A$1:$B$30,2,0)</f>
        <v>1.4376356077157479</v>
      </c>
      <c r="J360" s="7">
        <f>VLOOKUP(E360,Vlookup!$A$1:$B$30,2,0)</f>
        <v>1.7440097060445605</v>
      </c>
      <c r="K360" s="7">
        <f>VLOOKUP(F360,Vlookup!$A$1:$B$30,2,0)</f>
        <v>1.0847108741813811</v>
      </c>
      <c r="L360" s="7">
        <f t="shared" si="7"/>
        <v>4.8591002707163833</v>
      </c>
      <c r="M360" s="7">
        <f t="shared" si="8"/>
        <v>2.4120001893276548</v>
      </c>
      <c r="N360" s="7">
        <f t="shared" si="9"/>
        <v>2.7196418313286319</v>
      </c>
      <c r="O360" s="7">
        <f t="shared" si="10"/>
        <v>1.8917462928244089</v>
      </c>
      <c r="P360" s="7">
        <f t="shared" si="11"/>
        <v>1.0847108741813811</v>
      </c>
      <c r="Q360">
        <v>1</v>
      </c>
      <c r="R360" s="7">
        <f t="shared" si="12"/>
        <v>13.96719945837846</v>
      </c>
      <c r="S360" s="7">
        <f>VLOOKUP($A360,Rotations!$A$1:$X$1441,18,0)</f>
        <v>7.7661300492898669E-2</v>
      </c>
      <c r="T360" s="7">
        <f>VLOOKUP($A360,Rotations!$A$1:$X$1441,19,0)</f>
        <v>0.13544206184365851</v>
      </c>
      <c r="U360" s="7">
        <f>VLOOKUP($A360,Rotations!$A$1:$X$1441,20,0)</f>
        <v>0.34789366939279803</v>
      </c>
      <c r="V360" s="7">
        <f>VLOOKUP($A360,Rotations!$A$1:$X$1441,21,0)</f>
        <v>0.19471633088888188</v>
      </c>
      <c r="W360" s="7">
        <f>VLOOKUP($A360,Rotations!$A$1:$X$1441,22,0)</f>
        <v>7.1596314134408187E-2</v>
      </c>
      <c r="X360" s="7">
        <f>VLOOKUP($A360,Rotations!$A$1:$X$1441,23,0)</f>
        <v>0.17269032324735478</v>
      </c>
    </row>
    <row r="361" spans="1:24" ht="15.75" customHeight="1" x14ac:dyDescent="0.3">
      <c r="A361">
        <v>352</v>
      </c>
      <c r="B361" t="str">
        <f>Permutations!I353</f>
        <v>p13 - i3:i6</v>
      </c>
      <c r="C361" t="str">
        <f>Permutations!J353</f>
        <v>p141 - i6:i4</v>
      </c>
      <c r="D361" t="str">
        <f>Permutations!K353</f>
        <v>p51 - i4:i2</v>
      </c>
      <c r="E361" t="str">
        <f>Permutations!L353</f>
        <v>p7 - i2:i5</v>
      </c>
      <c r="F361" t="str">
        <f>Permutations!M353</f>
        <v>p101 - i5:i1</v>
      </c>
      <c r="G361" s="7">
        <f>VLOOKUP(B361,Vlookup!$A$1:$B$30,2,0)</f>
        <v>2.0145521929129111</v>
      </c>
      <c r="H361" s="7">
        <f>VLOOKUP(C361,Vlookup!$A$1:$B$30,2,0)</f>
        <v>0.88688155974910687</v>
      </c>
      <c r="I361" s="7">
        <f>VLOOKUP(D361,Vlookup!$A$1:$B$30,2,0)</f>
        <v>1.4376356077157479</v>
      </c>
      <c r="J361" s="7">
        <f>VLOOKUP(E361,Vlookup!$A$1:$B$30,2,0)</f>
        <v>1.7991741228251155</v>
      </c>
      <c r="K361" s="7">
        <f>VLOOKUP(F361,Vlookup!$A$1:$B$30,2,0)</f>
        <v>1.530542412441888</v>
      </c>
      <c r="L361" s="7">
        <f t="shared" si="7"/>
        <v>7.0731282754914844</v>
      </c>
      <c r="M361" s="7">
        <f t="shared" si="8"/>
        <v>3.5110176347748046</v>
      </c>
      <c r="N361" s="7">
        <f t="shared" si="9"/>
        <v>3.958834859265818</v>
      </c>
      <c r="O361" s="7">
        <f t="shared" si="10"/>
        <v>2.75371230235177</v>
      </c>
      <c r="P361" s="7">
        <f t="shared" si="11"/>
        <v>1.530542412441888</v>
      </c>
      <c r="Q361">
        <v>1</v>
      </c>
      <c r="R361" s="7">
        <f t="shared" si="12"/>
        <v>19.827235484325765</v>
      </c>
      <c r="S361" s="7">
        <f>VLOOKUP($A361,Rotations!$A$1:$X$1441,18,0)</f>
        <v>5.0435674746009879E-2</v>
      </c>
      <c r="T361" s="7">
        <f>VLOOKUP($A361,Rotations!$A$1:$X$1441,19,0)</f>
        <v>0.1388853380254999</v>
      </c>
      <c r="U361" s="7">
        <f>VLOOKUP($A361,Rotations!$A$1:$X$1441,20,0)</f>
        <v>0.35673799713949428</v>
      </c>
      <c r="V361" s="7">
        <f>VLOOKUP($A361,Rotations!$A$1:$X$1441,21,0)</f>
        <v>0.19966650733509661</v>
      </c>
      <c r="W361" s="7">
        <f>VLOOKUP($A361,Rotations!$A$1:$X$1441,22,0)</f>
        <v>7.7193939298892372E-2</v>
      </c>
      <c r="X361" s="7">
        <f>VLOOKUP($A361,Rotations!$A$1:$X$1441,23,0)</f>
        <v>0.17708054345500696</v>
      </c>
    </row>
    <row r="362" spans="1:24" ht="15.75" customHeight="1" x14ac:dyDescent="0.3">
      <c r="A362">
        <v>353</v>
      </c>
      <c r="B362" t="str">
        <f>Permutations!I354</f>
        <v>p13 - i3:i6</v>
      </c>
      <c r="C362" t="str">
        <f>Permutations!J354</f>
        <v>p141 - i6:i4</v>
      </c>
      <c r="D362" t="str">
        <f>Permutations!K354</f>
        <v>p4 - i4:i5</v>
      </c>
      <c r="E362" t="str">
        <f>Permutations!L354</f>
        <v>p101 - i5:i1</v>
      </c>
      <c r="F362" t="str">
        <f>Permutations!M354</f>
        <v>p1 - i1:i2</v>
      </c>
      <c r="G362" s="7">
        <f>VLOOKUP(B362,Vlookup!$A$1:$B$30,2,0)</f>
        <v>2.0145521929129111</v>
      </c>
      <c r="H362" s="7">
        <f>VLOOKUP(C362,Vlookup!$A$1:$B$30,2,0)</f>
        <v>0.88688155974910687</v>
      </c>
      <c r="I362" s="7">
        <f>VLOOKUP(D362,Vlookup!$A$1:$B$30,2,0)</f>
        <v>1.89462595295753</v>
      </c>
      <c r="J362" s="7">
        <f>VLOOKUP(E362,Vlookup!$A$1:$B$30,2,0)</f>
        <v>1.530542412441888</v>
      </c>
      <c r="K362" s="7">
        <f>VLOOKUP(F362,Vlookup!$A$1:$B$30,2,0)</f>
        <v>1.6373343116675814</v>
      </c>
      <c r="L362" s="7">
        <f t="shared" si="7"/>
        <v>8.483017487241117</v>
      </c>
      <c r="M362" s="7">
        <f t="shared" si="8"/>
        <v>4.2108700469930378</v>
      </c>
      <c r="N362" s="7">
        <f t="shared" si="9"/>
        <v>4.7479508404529982</v>
      </c>
      <c r="O362" s="7">
        <f t="shared" si="10"/>
        <v>2.5060096073535783</v>
      </c>
      <c r="P362" s="7">
        <f t="shared" si="11"/>
        <v>1.6373343116675814</v>
      </c>
      <c r="Q362">
        <v>1</v>
      </c>
      <c r="R362" s="7">
        <f t="shared" si="12"/>
        <v>22.585182293708311</v>
      </c>
      <c r="S362" s="7">
        <f>VLOOKUP($A362,Rotations!$A$1:$X$1441,18,0)</f>
        <v>7.2495952894022178E-2</v>
      </c>
      <c r="T362" s="7">
        <f>VLOOKUP($A362,Rotations!$A$1:$X$1441,19,0)</f>
        <v>4.427681773808733E-2</v>
      </c>
      <c r="U362" s="7">
        <f>VLOOKUP($A362,Rotations!$A$1:$X$1441,20,0)</f>
        <v>0.3756010191515825</v>
      </c>
      <c r="V362" s="7">
        <f>VLOOKUP($A362,Rotations!$A$1:$X$1441,21,0)</f>
        <v>0.21022415399213595</v>
      </c>
      <c r="W362" s="7">
        <f>VLOOKUP($A362,Rotations!$A$1:$X$1441,22,0)</f>
        <v>0.11095813063469018</v>
      </c>
      <c r="X362" s="7">
        <f>VLOOKUP($A362,Rotations!$A$1:$X$1441,23,0)</f>
        <v>0.18644392558948197</v>
      </c>
    </row>
    <row r="363" spans="1:24" ht="15.75" customHeight="1" x14ac:dyDescent="0.3">
      <c r="A363">
        <v>354</v>
      </c>
      <c r="B363" t="str">
        <f>Permutations!I355</f>
        <v>p13 - i3:i6</v>
      </c>
      <c r="C363" t="str">
        <f>Permutations!J355</f>
        <v>p141 - i6:i4</v>
      </c>
      <c r="D363" t="str">
        <f>Permutations!K355</f>
        <v>p4 - i4:i5</v>
      </c>
      <c r="E363" t="str">
        <f>Permutations!L355</f>
        <v>p71 - i5:i2</v>
      </c>
      <c r="F363" t="str">
        <f>Permutations!M355</f>
        <v>p11 - i2:i1</v>
      </c>
      <c r="G363" s="7">
        <f>VLOOKUP(B363,Vlookup!$A$1:$B$30,2,0)</f>
        <v>2.0145521929129111</v>
      </c>
      <c r="H363" s="7">
        <f>VLOOKUP(C363,Vlookup!$A$1:$B$30,2,0)</f>
        <v>0.88688155974910687</v>
      </c>
      <c r="I363" s="7">
        <f>VLOOKUP(D363,Vlookup!$A$1:$B$30,2,0)</f>
        <v>1.89462595295753</v>
      </c>
      <c r="J363" s="7">
        <f>VLOOKUP(E363,Vlookup!$A$1:$B$30,2,0)</f>
        <v>1.8243208303594776</v>
      </c>
      <c r="K363" s="7">
        <f>VLOOKUP(F363,Vlookup!$A$1:$B$30,2,0)</f>
        <v>1.7440097060445605</v>
      </c>
      <c r="L363" s="7">
        <f t="shared" si="7"/>
        <v>10.770050638283813</v>
      </c>
      <c r="M363" s="7">
        <f t="shared" si="8"/>
        <v>5.3461263878753238</v>
      </c>
      <c r="N363" s="7">
        <f t="shared" si="9"/>
        <v>6.0280048999865423</v>
      </c>
      <c r="O363" s="7">
        <f t="shared" si="10"/>
        <v>3.1816332350862009</v>
      </c>
      <c r="P363" s="7">
        <f t="shared" si="11"/>
        <v>1.7440097060445605</v>
      </c>
      <c r="Q363">
        <v>1</v>
      </c>
      <c r="R363" s="7">
        <f t="shared" si="12"/>
        <v>28.069824867276441</v>
      </c>
      <c r="S363" s="7">
        <f>VLOOKUP($A363,Rotations!$A$1:$X$1441,18,0)</f>
        <v>3.5625444929861007E-2</v>
      </c>
      <c r="T363" s="7">
        <f>VLOOKUP($A363,Rotations!$A$1:$X$1441,19,0)</f>
        <v>6.2131121739833581E-2</v>
      </c>
      <c r="U363" s="7">
        <f>VLOOKUP($A363,Rotations!$A$1:$X$1441,20,0)</f>
        <v>0.38368784590599442</v>
      </c>
      <c r="V363" s="7">
        <f>VLOOKUP($A363,Rotations!$A$1:$X$1441,21,0)</f>
        <v>0.21475035660140288</v>
      </c>
      <c r="W363" s="7">
        <f>VLOOKUP($A363,Rotations!$A$1:$X$1441,22,0)</f>
        <v>0.11334709960357899</v>
      </c>
      <c r="X363" s="7">
        <f>VLOOKUP($A363,Rotations!$A$1:$X$1441,23,0)</f>
        <v>0.19045813121932911</v>
      </c>
    </row>
    <row r="364" spans="1:24" ht="15.75" customHeight="1" x14ac:dyDescent="0.3">
      <c r="A364">
        <v>355</v>
      </c>
      <c r="B364" t="str">
        <f>Permutations!I356</f>
        <v>p13 - i3:i6</v>
      </c>
      <c r="C364" t="str">
        <f>Permutations!J356</f>
        <v>p151 - i6:i5</v>
      </c>
      <c r="D364" t="str">
        <f>Permutations!K356</f>
        <v>p101 - i5:i1</v>
      </c>
      <c r="E364" t="str">
        <f>Permutations!L356</f>
        <v>p1 - i1:i2</v>
      </c>
      <c r="F364" t="str">
        <f>Permutations!M356</f>
        <v>p5 - i2:i4</v>
      </c>
      <c r="G364" s="7">
        <f>VLOOKUP(B364,Vlookup!$A$1:$B$30,2,0)</f>
        <v>2.0145521929129111</v>
      </c>
      <c r="H364" s="7">
        <f>VLOOKUP(C364,Vlookup!$A$1:$B$30,2,0)</f>
        <v>1.2266517321719024</v>
      </c>
      <c r="I364" s="7">
        <f>VLOOKUP(D364,Vlookup!$A$1:$B$30,2,0)</f>
        <v>1.530542412441888</v>
      </c>
      <c r="J364" s="7">
        <f>VLOOKUP(E364,Vlookup!$A$1:$B$30,2,0)</f>
        <v>1.6373343116675814</v>
      </c>
      <c r="K364" s="7">
        <f>VLOOKUP(F364,Vlookup!$A$1:$B$30,2,0)</f>
        <v>0.9108240498099236</v>
      </c>
      <c r="L364" s="7">
        <f t="shared" si="7"/>
        <v>5.6404924341970029</v>
      </c>
      <c r="M364" s="7">
        <f t="shared" si="8"/>
        <v>2.799874063347656</v>
      </c>
      <c r="N364" s="7">
        <f t="shared" si="9"/>
        <v>2.2825338194323628</v>
      </c>
      <c r="O364" s="7">
        <f t="shared" si="10"/>
        <v>1.4913234686458101</v>
      </c>
      <c r="P364" s="7">
        <f t="shared" si="11"/>
        <v>0.9108240498099236</v>
      </c>
      <c r="Q364">
        <v>1</v>
      </c>
      <c r="R364" s="7">
        <f t="shared" si="12"/>
        <v>14.125047835432754</v>
      </c>
      <c r="S364" s="7">
        <f>VLOOKUP($A364,Rotations!$A$1:$X$1441,18,0)</f>
        <v>0.10558006500373171</v>
      </c>
      <c r="T364" s="7">
        <f>VLOOKUP($A364,Rotations!$A$1:$X$1441,19,0)</f>
        <v>6.4482900194158407E-2</v>
      </c>
      <c r="U364" s="7">
        <f>VLOOKUP($A364,Rotations!$A$1:$X$1441,20,0)</f>
        <v>0.39932554564861711</v>
      </c>
      <c r="V364" s="7">
        <f>VLOOKUP($A364,Rotations!$A$1:$X$1441,21,0)</f>
        <v>7.0796220419975853E-2</v>
      </c>
      <c r="W364" s="7">
        <f>VLOOKUP($A364,Rotations!$A$1:$X$1441,22,0)</f>
        <v>0.16159476739658291</v>
      </c>
      <c r="X364" s="7">
        <f>VLOOKUP($A364,Rotations!$A$1:$X$1441,23,0)</f>
        <v>0.19822050133693406</v>
      </c>
    </row>
    <row r="365" spans="1:24" ht="15.75" customHeight="1" x14ac:dyDescent="0.3">
      <c r="A365">
        <v>356</v>
      </c>
      <c r="B365" t="str">
        <f>Permutations!I357</f>
        <v>p13 - i3:i6</v>
      </c>
      <c r="C365" t="str">
        <f>Permutations!J357</f>
        <v>p151 - i6:i5</v>
      </c>
      <c r="D365" t="str">
        <f>Permutations!K357</f>
        <v>p101 - i5:i1</v>
      </c>
      <c r="E365" t="str">
        <f>Permutations!L357</f>
        <v>p9 - i1:i4</v>
      </c>
      <c r="F365" t="str">
        <f>Permutations!M357</f>
        <v>p51 - i4:i2</v>
      </c>
      <c r="G365" s="7">
        <f>VLOOKUP(B365,Vlookup!$A$1:$B$30,2,0)</f>
        <v>2.0145521929129111</v>
      </c>
      <c r="H365" s="7">
        <f>VLOOKUP(C365,Vlookup!$A$1:$B$30,2,0)</f>
        <v>1.2266517321719024</v>
      </c>
      <c r="I365" s="7">
        <f>VLOOKUP(D365,Vlookup!$A$1:$B$30,2,0)</f>
        <v>1.530542412441888</v>
      </c>
      <c r="J365" s="7">
        <f>VLOOKUP(E365,Vlookup!$A$1:$B$30,2,0)</f>
        <v>1.2538815092968505</v>
      </c>
      <c r="K365" s="7">
        <f>VLOOKUP(F365,Vlookup!$A$1:$B$30,2,0)</f>
        <v>1.4376356077157479</v>
      </c>
      <c r="L365" s="7">
        <f t="shared" si="7"/>
        <v>6.8178978119264055</v>
      </c>
      <c r="M365" s="7">
        <f t="shared" si="8"/>
        <v>3.3843242363793862</v>
      </c>
      <c r="N365" s="7">
        <f t="shared" si="9"/>
        <v>2.7589935656693045</v>
      </c>
      <c r="O365" s="7">
        <f t="shared" si="10"/>
        <v>1.802624705621517</v>
      </c>
      <c r="P365" s="7">
        <f t="shared" si="11"/>
        <v>1.4376356077157479</v>
      </c>
      <c r="Q365">
        <v>1</v>
      </c>
      <c r="R365" s="7">
        <f t="shared" si="12"/>
        <v>17.201475927312359</v>
      </c>
      <c r="S365" s="7">
        <f>VLOOKUP($A365,Rotations!$A$1:$X$1441,18,0)</f>
        <v>0.10479476954412525</v>
      </c>
      <c r="T365" s="7">
        <f>VLOOKUP($A365,Rotations!$A$1:$X$1441,19,0)</f>
        <v>5.8134546374140394E-2</v>
      </c>
      <c r="U365" s="7">
        <f>VLOOKUP($A365,Rotations!$A$1:$X$1441,20,0)</f>
        <v>0.39635539652158597</v>
      </c>
      <c r="V365" s="7">
        <f>VLOOKUP($A365,Rotations!$A$1:$X$1441,21,0)</f>
        <v>8.3576293905866655E-2</v>
      </c>
      <c r="W365" s="7">
        <f>VLOOKUP($A365,Rotations!$A$1:$X$1441,22,0)</f>
        <v>0.16039283938935714</v>
      </c>
      <c r="X365" s="7">
        <f>VLOOKUP($A365,Rotations!$A$1:$X$1441,23,0)</f>
        <v>0.1967461542649247</v>
      </c>
    </row>
    <row r="366" spans="1:24" ht="15.75" customHeight="1" x14ac:dyDescent="0.3">
      <c r="A366">
        <v>357</v>
      </c>
      <c r="B366" t="str">
        <f>Permutations!I358</f>
        <v>p13 - i3:i6</v>
      </c>
      <c r="C366" t="str">
        <f>Permutations!J358</f>
        <v>p151 - i6:i5</v>
      </c>
      <c r="D366" t="str">
        <f>Permutations!K358</f>
        <v>p71 - i5:i2</v>
      </c>
      <c r="E366" t="str">
        <f>Permutations!L358</f>
        <v>p11 - i2:i1</v>
      </c>
      <c r="F366" t="str">
        <f>Permutations!M358</f>
        <v>p9 - i1:i4</v>
      </c>
      <c r="G366" s="7">
        <f>VLOOKUP(B366,Vlookup!$A$1:$B$30,2,0)</f>
        <v>2.0145521929129111</v>
      </c>
      <c r="H366" s="7">
        <f>VLOOKUP(C366,Vlookup!$A$1:$B$30,2,0)</f>
        <v>1.2266517321719024</v>
      </c>
      <c r="I366" s="7">
        <f>VLOOKUP(D366,Vlookup!$A$1:$B$30,2,0)</f>
        <v>1.8243208303594776</v>
      </c>
      <c r="J366" s="7">
        <f>VLOOKUP(E366,Vlookup!$A$1:$B$30,2,0)</f>
        <v>1.7440097060445605</v>
      </c>
      <c r="K366" s="7">
        <f>VLOOKUP(F366,Vlookup!$A$1:$B$30,2,0)</f>
        <v>1.2538815092968505</v>
      </c>
      <c r="L366" s="7">
        <f t="shared" si="7"/>
        <v>9.8583994805395001</v>
      </c>
      <c r="M366" s="7">
        <f t="shared" si="8"/>
        <v>4.8935934820754863</v>
      </c>
      <c r="N366" s="7">
        <f t="shared" si="9"/>
        <v>3.9893910828389068</v>
      </c>
      <c r="O366" s="7">
        <f t="shared" si="10"/>
        <v>2.1867815224435101</v>
      </c>
      <c r="P366" s="7">
        <f t="shared" si="11"/>
        <v>1.2538815092968505</v>
      </c>
      <c r="Q366">
        <v>1</v>
      </c>
      <c r="R366" s="7">
        <f t="shared" si="12"/>
        <v>23.182047077194252</v>
      </c>
      <c r="S366" s="7">
        <f>VLOOKUP($A366,Rotations!$A$1:$X$1441,18,0)</f>
        <v>5.4088472218244199E-2</v>
      </c>
      <c r="T366" s="7">
        <f>VLOOKUP($A366,Rotations!$A$1:$X$1441,19,0)</f>
        <v>9.4330820533739451E-2</v>
      </c>
      <c r="U366" s="7">
        <f>VLOOKUP($A366,Rotations!$A$1:$X$1441,20,0)</f>
        <v>0.42526009233403184</v>
      </c>
      <c r="V366" s="7">
        <f>VLOOKUP($A366,Rotations!$A$1:$X$1441,21,0)</f>
        <v>4.3136828972440817E-2</v>
      </c>
      <c r="W366" s="7">
        <f>VLOOKUP($A366,Rotations!$A$1:$X$1441,22,0)</f>
        <v>0.17208968084460241</v>
      </c>
      <c r="X366" s="7">
        <f>VLOOKUP($A366,Rotations!$A$1:$X$1441,23,0)</f>
        <v>0.21109410509694138</v>
      </c>
    </row>
    <row r="367" spans="1:24" ht="15.75" customHeight="1" x14ac:dyDescent="0.3">
      <c r="A367">
        <v>358</v>
      </c>
      <c r="B367" t="str">
        <f>Permutations!I359</f>
        <v>p13 - i3:i6</v>
      </c>
      <c r="C367" t="str">
        <f>Permutations!J359</f>
        <v>p151 - i6:i5</v>
      </c>
      <c r="D367" t="str">
        <f>Permutations!K359</f>
        <v>p71 - i5:i2</v>
      </c>
      <c r="E367" t="str">
        <f>Permutations!L359</f>
        <v>p5 - i2:i4</v>
      </c>
      <c r="F367" t="str">
        <f>Permutations!M359</f>
        <v>p91 - i4:i1</v>
      </c>
      <c r="G367" s="7">
        <f>VLOOKUP(B367,Vlookup!$A$1:$B$30,2,0)</f>
        <v>2.0145521929129111</v>
      </c>
      <c r="H367" s="7">
        <f>VLOOKUP(C367,Vlookup!$A$1:$B$30,2,0)</f>
        <v>1.2266517321719024</v>
      </c>
      <c r="I367" s="7">
        <f>VLOOKUP(D367,Vlookup!$A$1:$B$30,2,0)</f>
        <v>1.8243208303594776</v>
      </c>
      <c r="J367" s="7">
        <f>VLOOKUP(E367,Vlookup!$A$1:$B$30,2,0)</f>
        <v>0.9108240498099236</v>
      </c>
      <c r="K367" s="7">
        <f>VLOOKUP(F367,Vlookup!$A$1:$B$30,2,0)</f>
        <v>2.9131157743633094</v>
      </c>
      <c r="L367" s="7">
        <f t="shared" si="7"/>
        <v>11.961709508008132</v>
      </c>
      <c r="M367" s="7">
        <f t="shared" si="8"/>
        <v>5.9376518265889553</v>
      </c>
      <c r="N367" s="7">
        <f t="shared" si="9"/>
        <v>4.8405359653923803</v>
      </c>
      <c r="O367" s="7">
        <f t="shared" si="10"/>
        <v>2.653335907170761</v>
      </c>
      <c r="P367" s="7">
        <f t="shared" si="11"/>
        <v>2.9131157743633094</v>
      </c>
      <c r="Q367">
        <v>1</v>
      </c>
      <c r="R367" s="7">
        <f t="shared" si="12"/>
        <v>29.306348981523538</v>
      </c>
      <c r="S367" s="7">
        <f>VLOOKUP($A367,Rotations!$A$1:$X$1441,18,0)</f>
        <v>3.4122298913128325E-2</v>
      </c>
      <c r="T367" s="7">
        <f>VLOOKUP($A367,Rotations!$A$1:$X$1441,19,0)</f>
        <v>9.0537920941417216E-2</v>
      </c>
      <c r="U367" s="7">
        <f>VLOOKUP($A367,Rotations!$A$1:$X$1441,20,0)</f>
        <v>0.40816102734426263</v>
      </c>
      <c r="V367" s="7">
        <f>VLOOKUP($A367,Rotations!$A$1:$X$1441,21,0)</f>
        <v>9.9402207221374134E-2</v>
      </c>
      <c r="W367" s="7">
        <f>VLOOKUP($A367,Rotations!$A$1:$X$1441,22,0)</f>
        <v>0.16517021511086699</v>
      </c>
      <c r="X367" s="7">
        <f>VLOOKUP($A367,Rotations!$A$1:$X$1441,23,0)</f>
        <v>0.20260633046895071</v>
      </c>
    </row>
    <row r="368" spans="1:24" ht="15.75" customHeight="1" x14ac:dyDescent="0.3">
      <c r="A368">
        <v>359</v>
      </c>
      <c r="B368" t="str">
        <f>Permutations!I360</f>
        <v>p13 - i3:i6</v>
      </c>
      <c r="C368" t="str">
        <f>Permutations!J360</f>
        <v>p151 - i6:i5</v>
      </c>
      <c r="D368" t="str">
        <f>Permutations!K360</f>
        <v>p41 - i5:i4</v>
      </c>
      <c r="E368" t="str">
        <f>Permutations!L360</f>
        <v>p91 - i4:i1</v>
      </c>
      <c r="F368" t="str">
        <f>Permutations!M360</f>
        <v>p1 - i1:i2</v>
      </c>
      <c r="G368" s="7">
        <f>VLOOKUP(B368,Vlookup!$A$1:$B$30,2,0)</f>
        <v>2.0145521929129111</v>
      </c>
      <c r="H368" s="7">
        <f>VLOOKUP(C368,Vlookup!$A$1:$B$30,2,0)</f>
        <v>1.2266517321719024</v>
      </c>
      <c r="I368" s="7">
        <f>VLOOKUP(D368,Vlookup!$A$1:$B$30,2,0)</f>
        <v>1.25400669441983</v>
      </c>
      <c r="J368" s="7">
        <f>VLOOKUP(E368,Vlookup!$A$1:$B$30,2,0)</f>
        <v>2.9131157743633094</v>
      </c>
      <c r="K368" s="7">
        <f>VLOOKUP(F368,Vlookup!$A$1:$B$30,2,0)</f>
        <v>1.6373343116675814</v>
      </c>
      <c r="L368" s="7">
        <f t="shared" si="7"/>
        <v>14.78069184660348</v>
      </c>
      <c r="M368" s="7">
        <f t="shared" si="8"/>
        <v>7.3369614838479613</v>
      </c>
      <c r="N368" s="7">
        <f t="shared" si="9"/>
        <v>5.9812914223478737</v>
      </c>
      <c r="O368" s="7">
        <f t="shared" si="10"/>
        <v>4.7697444112251226</v>
      </c>
      <c r="P368" s="7">
        <f t="shared" si="11"/>
        <v>1.6373343116675814</v>
      </c>
      <c r="Q368">
        <v>1</v>
      </c>
      <c r="R368" s="7">
        <f t="shared" si="12"/>
        <v>35.506023475692011</v>
      </c>
      <c r="S368" s="7">
        <f>VLOOKUP($A368,Rotations!$A$1:$X$1441,18,0)</f>
        <v>4.6114268830710556E-2</v>
      </c>
      <c r="T368" s="7">
        <f>VLOOKUP($A368,Rotations!$A$1:$X$1441,19,0)</f>
        <v>2.8164235307415259E-2</v>
      </c>
      <c r="U368" s="7">
        <f>VLOOKUP($A368,Rotations!$A$1:$X$1441,20,0)</f>
        <v>0.41628688317413459</v>
      </c>
      <c r="V368" s="7">
        <f>VLOOKUP($A368,Rotations!$A$1:$X$1441,21,0)</f>
        <v>0.13433620395397319</v>
      </c>
      <c r="W368" s="7">
        <f>VLOOKUP($A368,Rotations!$A$1:$X$1441,22,0)</f>
        <v>0.16845849906123003</v>
      </c>
      <c r="X368" s="7">
        <f>VLOOKUP($A368,Rotations!$A$1:$X$1441,23,0)</f>
        <v>0.20663990967253659</v>
      </c>
    </row>
    <row r="369" spans="1:24" ht="15.75" customHeight="1" x14ac:dyDescent="0.3">
      <c r="A369">
        <v>360</v>
      </c>
      <c r="B369" t="str">
        <f>Permutations!I361</f>
        <v>p13 - i3:i6</v>
      </c>
      <c r="C369" t="str">
        <f>Permutations!J361</f>
        <v>p151 - i6:i5</v>
      </c>
      <c r="D369" t="str">
        <f>Permutations!K361</f>
        <v>p41 - i5:i4</v>
      </c>
      <c r="E369" t="str">
        <f>Permutations!L361</f>
        <v>p51 - i4:i2</v>
      </c>
      <c r="F369" t="str">
        <f>Permutations!M361</f>
        <v>p11 - i2:i1</v>
      </c>
      <c r="G369" s="7">
        <f>VLOOKUP(B369,Vlookup!$A$1:$B$30,2,0)</f>
        <v>2.0145521929129111</v>
      </c>
      <c r="H369" s="7">
        <f>VLOOKUP(C369,Vlookup!$A$1:$B$30,2,0)</f>
        <v>1.2266517321719024</v>
      </c>
      <c r="I369" s="7">
        <f>VLOOKUP(D369,Vlookup!$A$1:$B$30,2,0)</f>
        <v>1.25400669441983</v>
      </c>
      <c r="J369" s="7">
        <f>VLOOKUP(E369,Vlookup!$A$1:$B$30,2,0)</f>
        <v>1.4376356077157479</v>
      </c>
      <c r="K369" s="7">
        <f>VLOOKUP(F369,Vlookup!$A$1:$B$30,2,0)</f>
        <v>1.7440097060445605</v>
      </c>
      <c r="L369" s="7">
        <f t="shared" si="7"/>
        <v>7.7695769714357086</v>
      </c>
      <c r="M369" s="7">
        <f t="shared" si="8"/>
        <v>3.8567265711797747</v>
      </c>
      <c r="N369" s="7">
        <f t="shared" si="9"/>
        <v>3.1441088534160202</v>
      </c>
      <c r="O369" s="7">
        <f t="shared" si="10"/>
        <v>2.5072504536115345</v>
      </c>
      <c r="P369" s="7">
        <f t="shared" si="11"/>
        <v>1.7440097060445605</v>
      </c>
      <c r="Q369">
        <v>1</v>
      </c>
      <c r="R369" s="7">
        <f t="shared" si="12"/>
        <v>20.021672555687598</v>
      </c>
      <c r="S369" s="7">
        <f>VLOOKUP($A369,Rotations!$A$1:$X$1441,18,0)</f>
        <v>4.9945877259686175E-2</v>
      </c>
      <c r="T369" s="7">
        <f>VLOOKUP($A369,Rotations!$A$1:$X$1441,19,0)</f>
        <v>8.7106094717802993E-2</v>
      </c>
      <c r="U369" s="7">
        <f>VLOOKUP($A369,Rotations!$A$1:$X$1441,20,0)</f>
        <v>0.38805833777501214</v>
      </c>
      <c r="V369" s="7">
        <f>VLOOKUP($A369,Rotations!$A$1:$X$1441,21,0)</f>
        <v>0.12522682341537419</v>
      </c>
      <c r="W369" s="7">
        <f>VLOOKUP($A369,Rotations!$A$1:$X$1441,22,0)</f>
        <v>0.15703527488380917</v>
      </c>
      <c r="X369" s="7">
        <f>VLOOKUP($A369,Rotations!$A$1:$X$1441,23,0)</f>
        <v>0.19262759194831536</v>
      </c>
    </row>
    <row r="370" spans="1:24" ht="15.75" customHeight="1" x14ac:dyDescent="0.3">
      <c r="A370">
        <v>361</v>
      </c>
      <c r="B370" t="str">
        <f>Permutations!I362</f>
        <v>p91 - i4:i1</v>
      </c>
      <c r="C370" t="str">
        <f>Permutations!J362</f>
        <v>p1 - i1:i2</v>
      </c>
      <c r="D370" t="str">
        <f>Permutations!K362</f>
        <v>p2 - i2:i3</v>
      </c>
      <c r="E370" t="str">
        <f>Permutations!L362</f>
        <v>p6 - i3:i5</v>
      </c>
      <c r="F370" t="str">
        <f>Permutations!M362</f>
        <v>p15 - i5:i6</v>
      </c>
      <c r="G370" s="7">
        <f>VLOOKUP(B370,Vlookup!$A$1:$B$30,2,0)</f>
        <v>2.9131157743633094</v>
      </c>
      <c r="H370" s="7">
        <f>VLOOKUP(C370,Vlookup!$A$1:$B$30,2,0)</f>
        <v>1.6373343116675814</v>
      </c>
      <c r="I370" s="7">
        <f>VLOOKUP(D370,Vlookup!$A$1:$B$30,2,0)</f>
        <v>1.3601242124324544</v>
      </c>
      <c r="J370" s="7">
        <f>VLOOKUP(E370,Vlookup!$A$1:$B$30,2,0)</f>
        <v>2.2414716085286912</v>
      </c>
      <c r="K370" s="7">
        <f>VLOOKUP(F370,Vlookup!$A$1:$B$30,2,0)</f>
        <v>1.3219359277692486</v>
      </c>
      <c r="L370" s="7">
        <f t="shared" si="7"/>
        <v>19.222830122498824</v>
      </c>
      <c r="M370" s="7">
        <f t="shared" si="8"/>
        <v>6.5987182149326564</v>
      </c>
      <c r="N370" s="7">
        <f t="shared" si="9"/>
        <v>4.0301593681329742</v>
      </c>
      <c r="O370" s="7">
        <f t="shared" si="10"/>
        <v>2.9630818503888054</v>
      </c>
      <c r="P370" s="7">
        <f t="shared" si="11"/>
        <v>1.3219359277692486</v>
      </c>
      <c r="Q370">
        <v>1</v>
      </c>
      <c r="R370" s="7">
        <f t="shared" si="12"/>
        <v>35.136725483722508</v>
      </c>
      <c r="S370" s="7">
        <f>VLOOKUP($A370,Rotations!$A$1:$X$1441,18,0)</f>
        <v>0.18780117168259144</v>
      </c>
      <c r="T370" s="7">
        <f>VLOOKUP($A370,Rotations!$A$1:$X$1441,19,0)</f>
        <v>0.11469934413780225</v>
      </c>
      <c r="U370" s="7">
        <f>VLOOKUP($A370,Rotations!$A$1:$X$1441,20,0)</f>
        <v>8.4330050953709018E-2</v>
      </c>
      <c r="V370" s="7">
        <f>VLOOKUP($A370,Rotations!$A$1:$X$1441,21,0)</f>
        <v>0.54708655567246922</v>
      </c>
      <c r="W370" s="7">
        <f>VLOOKUP($A370,Rotations!$A$1:$X$1441,22,0)</f>
        <v>3.7622627310039194E-2</v>
      </c>
      <c r="X370" s="7">
        <f>VLOOKUP($A370,Rotations!$A$1:$X$1441,23,0)</f>
        <v>2.8460250243388829E-2</v>
      </c>
    </row>
    <row r="371" spans="1:24" ht="15.75" customHeight="1" x14ac:dyDescent="0.3">
      <c r="A371">
        <v>362</v>
      </c>
      <c r="B371" t="str">
        <f>Permutations!I363</f>
        <v>p91 - i4:i1</v>
      </c>
      <c r="C371" t="str">
        <f>Permutations!J363</f>
        <v>p1 - i1:i2</v>
      </c>
      <c r="D371" t="str">
        <f>Permutations!K363</f>
        <v>p2 - i2:i3</v>
      </c>
      <c r="E371" t="str">
        <f>Permutations!L363</f>
        <v>p13 - i3:i6</v>
      </c>
      <c r="F371" t="str">
        <f>Permutations!M363</f>
        <v>p151 - i6:i5</v>
      </c>
      <c r="G371" s="7">
        <f>VLOOKUP(B371,Vlookup!$A$1:$B$30,2,0)</f>
        <v>2.9131157743633094</v>
      </c>
      <c r="H371" s="7">
        <f>VLOOKUP(C371,Vlookup!$A$1:$B$30,2,0)</f>
        <v>1.6373343116675814</v>
      </c>
      <c r="I371" s="7">
        <f>VLOOKUP(D371,Vlookup!$A$1:$B$30,2,0)</f>
        <v>1.3601242124324544</v>
      </c>
      <c r="J371" s="7">
        <f>VLOOKUP(E371,Vlookup!$A$1:$B$30,2,0)</f>
        <v>2.0145521929129111</v>
      </c>
      <c r="K371" s="7">
        <f>VLOOKUP(F371,Vlookup!$A$1:$B$30,2,0)</f>
        <v>1.2266517321719024</v>
      </c>
      <c r="L371" s="7">
        <f t="shared" si="7"/>
        <v>16.03147490880767</v>
      </c>
      <c r="M371" s="7">
        <f t="shared" si="8"/>
        <v>5.5032055539610365</v>
      </c>
      <c r="N371" s="7">
        <f t="shared" si="9"/>
        <v>3.3610763023442467</v>
      </c>
      <c r="O371" s="7">
        <f t="shared" si="10"/>
        <v>2.471153936987327</v>
      </c>
      <c r="P371" s="7">
        <f t="shared" si="11"/>
        <v>1.2266517321719024</v>
      </c>
      <c r="Q371">
        <v>1</v>
      </c>
      <c r="R371" s="7">
        <f t="shared" si="12"/>
        <v>29.593562434272183</v>
      </c>
      <c r="S371" s="7">
        <f>VLOOKUP($A371,Rotations!$A$1:$X$1441,18,0)</f>
        <v>0.18595955002658945</v>
      </c>
      <c r="T371" s="7">
        <f>VLOOKUP($A371,Rotations!$A$1:$X$1441,19,0)</f>
        <v>0.1135745758831589</v>
      </c>
      <c r="U371" s="7">
        <f>VLOOKUP($A371,Rotations!$A$1:$X$1441,20,0)</f>
        <v>8.3503091000814891E-2</v>
      </c>
      <c r="V371" s="7">
        <f>VLOOKUP($A371,Rotations!$A$1:$X$1441,21,0)</f>
        <v>0.54172169857596075</v>
      </c>
      <c r="W371" s="7">
        <f>VLOOKUP($A371,Rotations!$A$1:$X$1441,22,0)</f>
        <v>3.3791132859418913E-2</v>
      </c>
      <c r="X371" s="7">
        <f>VLOOKUP($A371,Rotations!$A$1:$X$1441,23,0)</f>
        <v>4.1449951654057099E-2</v>
      </c>
    </row>
    <row r="372" spans="1:24" ht="15.75" customHeight="1" x14ac:dyDescent="0.3">
      <c r="A372">
        <v>363</v>
      </c>
      <c r="B372" t="str">
        <f>Permutations!I364</f>
        <v>p91 - i4:i1</v>
      </c>
      <c r="C372" t="str">
        <f>Permutations!J364</f>
        <v>p1 - i1:i2</v>
      </c>
      <c r="D372" t="str">
        <f>Permutations!K364</f>
        <v>p7 - i2:i5</v>
      </c>
      <c r="E372" t="str">
        <f>Permutations!L364</f>
        <v>p61 - i5:i3</v>
      </c>
      <c r="F372" t="str">
        <f>Permutations!M364</f>
        <v>p13 - i3:i6</v>
      </c>
      <c r="G372" s="7">
        <f>VLOOKUP(B372,Vlookup!$A$1:$B$30,2,0)</f>
        <v>2.9131157743633094</v>
      </c>
      <c r="H372" s="7">
        <f>VLOOKUP(C372,Vlookup!$A$1:$B$30,2,0)</f>
        <v>1.6373343116675814</v>
      </c>
      <c r="I372" s="7">
        <f>VLOOKUP(D372,Vlookup!$A$1:$B$30,2,0)</f>
        <v>1.7991741228251155</v>
      </c>
      <c r="J372" s="7">
        <f>VLOOKUP(E372,Vlookup!$A$1:$B$30,2,0)</f>
        <v>1.9746367445127702</v>
      </c>
      <c r="K372" s="7">
        <f>VLOOKUP(F372,Vlookup!$A$1:$B$30,2,0)</f>
        <v>2.0145521929129111</v>
      </c>
      <c r="L372" s="7">
        <f t="shared" si="7"/>
        <v>34.137683032505038</v>
      </c>
      <c r="M372" s="7">
        <f t="shared" si="8"/>
        <v>11.718615282280076</v>
      </c>
      <c r="N372" s="7">
        <f t="shared" si="9"/>
        <v>7.1571304643002192</v>
      </c>
      <c r="O372" s="7">
        <f t="shared" si="10"/>
        <v>3.9780087838646128</v>
      </c>
      <c r="P372" s="7">
        <f t="shared" si="11"/>
        <v>2.0145521929129111</v>
      </c>
      <c r="Q372">
        <v>1</v>
      </c>
      <c r="R372" s="7">
        <f t="shared" si="12"/>
        <v>60.005989755862849</v>
      </c>
      <c r="S372" s="7">
        <f>VLOOKUP($A372,Rotations!$A$1:$X$1441,18,0)</f>
        <v>0.19529075897185941</v>
      </c>
      <c r="T372" s="7">
        <f>VLOOKUP($A372,Rotations!$A$1:$X$1441,19,0)</f>
        <v>0.11927360074251481</v>
      </c>
      <c r="U372" s="7">
        <f>VLOOKUP($A372,Rotations!$A$1:$X$1441,20,0)</f>
        <v>3.3572518362070355E-2</v>
      </c>
      <c r="V372" s="7">
        <f>VLOOKUP($A372,Rotations!$A$1:$X$1441,21,0)</f>
        <v>0.56890459054830667</v>
      </c>
      <c r="W372" s="7">
        <f>VLOOKUP($A372,Rotations!$A$1:$X$1441,22,0)</f>
        <v>6.62935283635738E-2</v>
      </c>
      <c r="X372" s="7">
        <f>VLOOKUP($A372,Rotations!$A$1:$X$1441,23,0)</f>
        <v>1.6665003011675106E-2</v>
      </c>
    </row>
    <row r="373" spans="1:24" ht="15.75" customHeight="1" x14ac:dyDescent="0.3">
      <c r="A373">
        <v>364</v>
      </c>
      <c r="B373" t="str">
        <f>Permutations!I365</f>
        <v>p91 - i4:i1</v>
      </c>
      <c r="C373" t="str">
        <f>Permutations!J365</f>
        <v>p1 - i1:i2</v>
      </c>
      <c r="D373" t="str">
        <f>Permutations!K365</f>
        <v>p7 - i2:i5</v>
      </c>
      <c r="E373" t="str">
        <f>Permutations!L365</f>
        <v>p15 - i5:i6</v>
      </c>
      <c r="F373" t="str">
        <f>Permutations!M365</f>
        <v>p131 - i6:i3</v>
      </c>
      <c r="G373" s="7">
        <f>VLOOKUP(B373,Vlookup!$A$1:$B$30,2,0)</f>
        <v>2.9131157743633094</v>
      </c>
      <c r="H373" s="7">
        <f>VLOOKUP(C373,Vlookup!$A$1:$B$30,2,0)</f>
        <v>1.6373343116675814</v>
      </c>
      <c r="I373" s="7">
        <f>VLOOKUP(D373,Vlookup!$A$1:$B$30,2,0)</f>
        <v>1.7991741228251155</v>
      </c>
      <c r="J373" s="7">
        <f>VLOOKUP(E373,Vlookup!$A$1:$B$30,2,0)</f>
        <v>1.3219359277692486</v>
      </c>
      <c r="K373" s="7">
        <f>VLOOKUP(F373,Vlookup!$A$1:$B$30,2,0)</f>
        <v>1.4032439022773779</v>
      </c>
      <c r="L373" s="7">
        <f t="shared" si="7"/>
        <v>15.918856714047518</v>
      </c>
      <c r="M373" s="7">
        <f t="shared" si="8"/>
        <v>5.4645465360973304</v>
      </c>
      <c r="N373" s="7">
        <f t="shared" si="9"/>
        <v>3.3374653527732137</v>
      </c>
      <c r="O373" s="7">
        <f t="shared" si="10"/>
        <v>1.8549985298435865</v>
      </c>
      <c r="P373" s="7">
        <f t="shared" si="11"/>
        <v>1.4032439022773779</v>
      </c>
      <c r="Q373">
        <v>1</v>
      </c>
      <c r="R373" s="7">
        <f t="shared" si="12"/>
        <v>28.979111035039029</v>
      </c>
      <c r="S373" s="7">
        <f>VLOOKUP($A373,Rotations!$A$1:$X$1441,18,0)</f>
        <v>0.18856846676525288</v>
      </c>
      <c r="T373" s="7">
        <f>VLOOKUP($A373,Rotations!$A$1:$X$1441,19,0)</f>
        <v>0.11516796870469352</v>
      </c>
      <c r="U373" s="7">
        <f>VLOOKUP($A373,Rotations!$A$1:$X$1441,20,0)</f>
        <v>3.4507614770890892E-2</v>
      </c>
      <c r="V373" s="7">
        <f>VLOOKUP($A373,Rotations!$A$1:$X$1441,21,0)</f>
        <v>0.54932177508136171</v>
      </c>
      <c r="W373" s="7">
        <f>VLOOKUP($A373,Rotations!$A$1:$X$1441,22,0)</f>
        <v>6.4011574668411425E-2</v>
      </c>
      <c r="X373" s="7">
        <f>VLOOKUP($A373,Rotations!$A$1:$X$1441,23,0)</f>
        <v>4.8422600009389423E-2</v>
      </c>
    </row>
    <row r="374" spans="1:24" ht="15.75" customHeight="1" x14ac:dyDescent="0.3">
      <c r="A374">
        <v>365</v>
      </c>
      <c r="B374" t="str">
        <f>Permutations!I366</f>
        <v>p91 - i4:i1</v>
      </c>
      <c r="C374" t="str">
        <f>Permutations!J366</f>
        <v>p1 - i1:i2</v>
      </c>
      <c r="D374" t="str">
        <f>Permutations!K366</f>
        <v>p12 - i2:i6</v>
      </c>
      <c r="E374" t="str">
        <f>Permutations!L366</f>
        <v>p131 - i6:i3</v>
      </c>
      <c r="F374" t="str">
        <f>Permutations!M366</f>
        <v>p6 - i3:i5</v>
      </c>
      <c r="G374" s="7">
        <f>VLOOKUP(B374,Vlookup!$A$1:$B$30,2,0)</f>
        <v>2.9131157743633094</v>
      </c>
      <c r="H374" s="7">
        <f>VLOOKUP(C374,Vlookup!$A$1:$B$30,2,0)</f>
        <v>1.6373343116675814</v>
      </c>
      <c r="I374" s="7">
        <f>VLOOKUP(D374,Vlookup!$A$1:$B$30,2,0)</f>
        <v>1.3354555559520354</v>
      </c>
      <c r="J374" s="7">
        <f>VLOOKUP(E374,Vlookup!$A$1:$B$30,2,0)</f>
        <v>1.4032439022773779</v>
      </c>
      <c r="K374" s="7">
        <f>VLOOKUP(F374,Vlookup!$A$1:$B$30,2,0)</f>
        <v>2.2414716085286912</v>
      </c>
      <c r="L374" s="7">
        <f t="shared" si="7"/>
        <v>20.035074100262435</v>
      </c>
      <c r="M374" s="7">
        <f t="shared" si="8"/>
        <v>6.8775413173001336</v>
      </c>
      <c r="N374" s="7">
        <f t="shared" si="9"/>
        <v>4.2004502490975959</v>
      </c>
      <c r="O374" s="7">
        <f t="shared" si="10"/>
        <v>3.1453313667957521</v>
      </c>
      <c r="P374" s="7">
        <f t="shared" si="11"/>
        <v>2.2414716085286912</v>
      </c>
      <c r="Q374">
        <v>1</v>
      </c>
      <c r="R374" s="7">
        <f t="shared" si="12"/>
        <v>37.499868641984612</v>
      </c>
      <c r="S374" s="7">
        <f>VLOOKUP($A374,Rotations!$A$1:$X$1441,18,0)</f>
        <v>0.18340174422904731</v>
      </c>
      <c r="T374" s="7">
        <f>VLOOKUP($A374,Rotations!$A$1:$X$1441,19,0)</f>
        <v>0.11201239900864075</v>
      </c>
      <c r="U374" s="7">
        <f>VLOOKUP($A374,Rotations!$A$1:$X$1441,20,0)</f>
        <v>5.9772785604351529E-2</v>
      </c>
      <c r="V374" s="7">
        <f>VLOOKUP($A374,Rotations!$A$1:$X$1441,21,0)</f>
        <v>0.53427051415938276</v>
      </c>
      <c r="W374" s="7">
        <f>VLOOKUP($A374,Rotations!$A$1:$X$1441,22,0)</f>
        <v>2.6666760077138148E-2</v>
      </c>
      <c r="X374" s="7">
        <f>VLOOKUP($A374,Rotations!$A$1:$X$1441,23,0)</f>
        <v>8.387579692143933E-2</v>
      </c>
    </row>
    <row r="375" spans="1:24" ht="15.75" customHeight="1" x14ac:dyDescent="0.3">
      <c r="A375">
        <v>366</v>
      </c>
      <c r="B375" t="str">
        <f>Permutations!I367</f>
        <v>p91 - i4:i1</v>
      </c>
      <c r="C375" t="str">
        <f>Permutations!J367</f>
        <v>p1 - i1:i2</v>
      </c>
      <c r="D375" t="str">
        <f>Permutations!K367</f>
        <v>p12 - i2:i6</v>
      </c>
      <c r="E375" t="str">
        <f>Permutations!L367</f>
        <v>p151 - i6:i5</v>
      </c>
      <c r="F375" t="str">
        <f>Permutations!M367</f>
        <v>p61 - i5:i3</v>
      </c>
      <c r="G375" s="7">
        <f>VLOOKUP(B375,Vlookup!$A$1:$B$30,2,0)</f>
        <v>2.9131157743633094</v>
      </c>
      <c r="H375" s="7">
        <f>VLOOKUP(C375,Vlookup!$A$1:$B$30,2,0)</f>
        <v>1.6373343116675814</v>
      </c>
      <c r="I375" s="7">
        <f>VLOOKUP(D375,Vlookup!$A$1:$B$30,2,0)</f>
        <v>1.3354555559520354</v>
      </c>
      <c r="J375" s="7">
        <f>VLOOKUP(E375,Vlookup!$A$1:$B$30,2,0)</f>
        <v>1.2266517321719024</v>
      </c>
      <c r="K375" s="7">
        <f>VLOOKUP(F375,Vlookup!$A$1:$B$30,2,0)</f>
        <v>1.9746367445127702</v>
      </c>
      <c r="L375" s="7">
        <f t="shared" si="7"/>
        <v>15.428831557806461</v>
      </c>
      <c r="M375" s="7">
        <f t="shared" si="8"/>
        <v>5.2963331198804093</v>
      </c>
      <c r="N375" s="7">
        <f t="shared" si="9"/>
        <v>3.2347292071869154</v>
      </c>
      <c r="O375" s="7">
        <f t="shared" si="10"/>
        <v>2.4221915830668759</v>
      </c>
      <c r="P375" s="7">
        <f t="shared" si="11"/>
        <v>1.9746367445127702</v>
      </c>
      <c r="Q375">
        <v>1</v>
      </c>
      <c r="R375" s="7">
        <f t="shared" si="12"/>
        <v>29.356722212453434</v>
      </c>
      <c r="S375" s="7">
        <f>VLOOKUP($A375,Rotations!$A$1:$X$1441,18,0)</f>
        <v>0.18041295896561804</v>
      </c>
      <c r="T375" s="7">
        <f>VLOOKUP($A375,Rotations!$A$1:$X$1441,19,0)</f>
        <v>0.11018700193357107</v>
      </c>
      <c r="U375" s="7">
        <f>VLOOKUP($A375,Rotations!$A$1:$X$1441,20,0)</f>
        <v>3.406374842405905E-2</v>
      </c>
      <c r="V375" s="7">
        <f>VLOOKUP($A375,Rotations!$A$1:$X$1441,21,0)</f>
        <v>0.52556383666230244</v>
      </c>
      <c r="W375" s="7">
        <f>VLOOKUP($A375,Rotations!$A$1:$X$1441,22,0)</f>
        <v>6.7263529293985963E-2</v>
      </c>
      <c r="X375" s="7">
        <f>VLOOKUP($A375,Rotations!$A$1:$X$1441,23,0)</f>
        <v>8.2508924720463395E-2</v>
      </c>
    </row>
    <row r="376" spans="1:24" ht="15.75" customHeight="1" x14ac:dyDescent="0.3">
      <c r="A376">
        <v>367</v>
      </c>
      <c r="B376" t="str">
        <f>Permutations!I368</f>
        <v>p91 - i4:i1</v>
      </c>
      <c r="C376" t="str">
        <f>Permutations!J368</f>
        <v>p8 - i1:i3</v>
      </c>
      <c r="D376" t="str">
        <f>Permutations!K368</f>
        <v>p21 - i3:i2</v>
      </c>
      <c r="E376" t="str">
        <f>Permutations!L368</f>
        <v>p7 - i2:i5</v>
      </c>
      <c r="F376" t="str">
        <f>Permutations!M368</f>
        <v>p15 - i5:i6</v>
      </c>
      <c r="G376" s="7">
        <f>VLOOKUP(B376,Vlookup!$A$1:$B$30,2,0)</f>
        <v>2.9131157743633094</v>
      </c>
      <c r="H376" s="7">
        <f>VLOOKUP(C376,Vlookup!$A$1:$B$30,2,0)</f>
        <v>1.1080774401297739</v>
      </c>
      <c r="I376" s="7">
        <f>VLOOKUP(D376,Vlookup!$A$1:$B$30,2,0)</f>
        <v>1.5059827029565431</v>
      </c>
      <c r="J376" s="7">
        <f>VLOOKUP(E376,Vlookup!$A$1:$B$30,2,0)</f>
        <v>1.7991741228251155</v>
      </c>
      <c r="K376" s="7">
        <f>VLOOKUP(F376,Vlookup!$A$1:$B$30,2,0)</f>
        <v>1.3219359277692486</v>
      </c>
      <c r="L376" s="7">
        <f t="shared" si="7"/>
        <v>11.561959500987751</v>
      </c>
      <c r="M376" s="7">
        <f t="shared" si="8"/>
        <v>3.968932372251746</v>
      </c>
      <c r="N376" s="7">
        <f t="shared" si="9"/>
        <v>3.5818185882269375</v>
      </c>
      <c r="O376" s="7">
        <f t="shared" si="10"/>
        <v>2.3783929132752433</v>
      </c>
      <c r="P376" s="7">
        <f t="shared" si="11"/>
        <v>1.3219359277692486</v>
      </c>
      <c r="Q376">
        <v>1</v>
      </c>
      <c r="R376" s="7">
        <f t="shared" si="12"/>
        <v>23.813039302510926</v>
      </c>
      <c r="S376" s="7">
        <f>VLOOKUP($A376,Rotations!$A$1:$X$1441,18,0)</f>
        <v>0.16667055061019651</v>
      </c>
      <c r="T376" s="7">
        <f>VLOOKUP($A376,Rotations!$A$1:$X$1441,19,0)</f>
        <v>9.9877755336525126E-2</v>
      </c>
      <c r="U376" s="7">
        <f>VLOOKUP($A376,Rotations!$A$1:$X$1441,20,0)</f>
        <v>0.15041417194693241</v>
      </c>
      <c r="V376" s="7">
        <f>VLOOKUP($A376,Rotations!$A$1:$X$1441,21,0)</f>
        <v>0.4855306101043817</v>
      </c>
      <c r="W376" s="7">
        <f>VLOOKUP($A376,Rotations!$A$1:$X$1441,22,0)</f>
        <v>5.5513112416097986E-2</v>
      </c>
      <c r="X376" s="7">
        <f>VLOOKUP($A376,Rotations!$A$1:$X$1441,23,0)</f>
        <v>4.199379958586625E-2</v>
      </c>
    </row>
    <row r="377" spans="1:24" ht="15.75" customHeight="1" x14ac:dyDescent="0.3">
      <c r="A377">
        <v>368</v>
      </c>
      <c r="B377" t="str">
        <f>Permutations!I369</f>
        <v>p91 - i4:i1</v>
      </c>
      <c r="C377" t="str">
        <f>Permutations!J369</f>
        <v>p8 - i1:i3</v>
      </c>
      <c r="D377" t="str">
        <f>Permutations!K369</f>
        <v>p21 - i3:i2</v>
      </c>
      <c r="E377" t="str">
        <f>Permutations!L369</f>
        <v>p12 - i2:i6</v>
      </c>
      <c r="F377" t="str">
        <f>Permutations!M369</f>
        <v>p151 - i6:i5</v>
      </c>
      <c r="G377" s="7">
        <f>VLOOKUP(B377,Vlookup!$A$1:$B$30,2,0)</f>
        <v>2.9131157743633094</v>
      </c>
      <c r="H377" s="7">
        <f>VLOOKUP(C377,Vlookup!$A$1:$B$30,2,0)</f>
        <v>1.1080774401297739</v>
      </c>
      <c r="I377" s="7">
        <f>VLOOKUP(D377,Vlookup!$A$1:$B$30,2,0)</f>
        <v>1.5059827029565431</v>
      </c>
      <c r="J377" s="7">
        <f>VLOOKUP(E377,Vlookup!$A$1:$B$30,2,0)</f>
        <v>1.3354555559520354</v>
      </c>
      <c r="K377" s="7">
        <f>VLOOKUP(F377,Vlookup!$A$1:$B$30,2,0)</f>
        <v>1.2266517321719024</v>
      </c>
      <c r="L377" s="7">
        <f t="shared" si="7"/>
        <v>7.9634004865927448</v>
      </c>
      <c r="M377" s="7">
        <f t="shared" si="8"/>
        <v>2.7336368010753795</v>
      </c>
      <c r="N377" s="7">
        <f t="shared" si="9"/>
        <v>2.4670088046871763</v>
      </c>
      <c r="O377" s="7">
        <f t="shared" si="10"/>
        <v>1.6381388709471552</v>
      </c>
      <c r="P377" s="7">
        <f t="shared" si="11"/>
        <v>1.2266517321719024</v>
      </c>
      <c r="Q377">
        <v>1</v>
      </c>
      <c r="R377" s="7">
        <f t="shared" si="12"/>
        <v>17.028836695474357</v>
      </c>
      <c r="S377" s="7">
        <f>VLOOKUP($A377,Rotations!$A$1:$X$1441,18,0)</f>
        <v>0.16052986178450349</v>
      </c>
      <c r="T377" s="7">
        <f>VLOOKUP($A377,Rotations!$A$1:$X$1441,19,0)</f>
        <v>9.6197931793104374E-2</v>
      </c>
      <c r="U377" s="7">
        <f>VLOOKUP($A377,Rotations!$A$1:$X$1441,20,0)</f>
        <v>0.14487242134060849</v>
      </c>
      <c r="V377" s="7">
        <f>VLOOKUP($A377,Rotations!$A$1:$X$1441,21,0)</f>
        <v>0.46764207262079893</v>
      </c>
      <c r="W377" s="7">
        <f>VLOOKUP($A377,Rotations!$A$1:$X$1441,22,0)</f>
        <v>5.8723917428003959E-2</v>
      </c>
      <c r="X377" s="7">
        <f>VLOOKUP($A377,Rotations!$A$1:$X$1441,23,0)</f>
        <v>7.2033795032980824E-2</v>
      </c>
    </row>
    <row r="378" spans="1:24" ht="15.75" customHeight="1" x14ac:dyDescent="0.3">
      <c r="A378">
        <v>369</v>
      </c>
      <c r="B378" t="str">
        <f>Permutations!I370</f>
        <v>p91 - i4:i1</v>
      </c>
      <c r="C378" t="str">
        <f>Permutations!J370</f>
        <v>p8 - i1:i3</v>
      </c>
      <c r="D378" t="str">
        <f>Permutations!K370</f>
        <v>p6 - i3:i5</v>
      </c>
      <c r="E378" t="str">
        <f>Permutations!L370</f>
        <v>p71 - i5:i2</v>
      </c>
      <c r="F378" t="str">
        <f>Permutations!M370</f>
        <v>p12 - i2:i6</v>
      </c>
      <c r="G378" s="7">
        <f>VLOOKUP(B378,Vlookup!$A$1:$B$30,2,0)</f>
        <v>2.9131157743633094</v>
      </c>
      <c r="H378" s="7">
        <f>VLOOKUP(C378,Vlookup!$A$1:$B$30,2,0)</f>
        <v>1.1080774401297739</v>
      </c>
      <c r="I378" s="7">
        <f>VLOOKUP(D378,Vlookup!$A$1:$B$30,2,0)</f>
        <v>2.2414716085286912</v>
      </c>
      <c r="J378" s="7">
        <f>VLOOKUP(E378,Vlookup!$A$1:$B$30,2,0)</f>
        <v>1.8243208303594776</v>
      </c>
      <c r="K378" s="7">
        <f>VLOOKUP(F378,Vlookup!$A$1:$B$30,2,0)</f>
        <v>1.3354555559520354</v>
      </c>
      <c r="L378" s="7">
        <f t="shared" si="7"/>
        <v>17.627541929421174</v>
      </c>
      <c r="M378" s="7">
        <f t="shared" si="8"/>
        <v>6.0510955604824348</v>
      </c>
      <c r="N378" s="7">
        <f t="shared" si="9"/>
        <v>5.460895909742332</v>
      </c>
      <c r="O378" s="7">
        <f t="shared" si="10"/>
        <v>2.436299388742595</v>
      </c>
      <c r="P378" s="7">
        <f t="shared" si="11"/>
        <v>1.3354555559520354</v>
      </c>
      <c r="Q378">
        <v>1</v>
      </c>
      <c r="R378" s="7">
        <f t="shared" si="12"/>
        <v>33.911288344340569</v>
      </c>
      <c r="S378" s="7">
        <f>VLOOKUP($A378,Rotations!$A$1:$X$1441,18,0)</f>
        <v>0.17843897580766194</v>
      </c>
      <c r="T378" s="7">
        <f>VLOOKUP($A378,Rotations!$A$1:$X$1441,19,0)</f>
        <v>3.93808557903082E-2</v>
      </c>
      <c r="U378" s="7">
        <f>VLOOKUP($A378,Rotations!$A$1:$X$1441,20,0)</f>
        <v>0.16103475203570958</v>
      </c>
      <c r="V378" s="7">
        <f>VLOOKUP($A378,Rotations!$A$1:$X$1441,21,0)</f>
        <v>0.51981339518653302</v>
      </c>
      <c r="W378" s="7">
        <f>VLOOKUP($A378,Rotations!$A$1:$X$1441,22,0)</f>
        <v>7.1843315535641897E-2</v>
      </c>
      <c r="X378" s="7">
        <f>VLOOKUP($A378,Rotations!$A$1:$X$1441,23,0)</f>
        <v>2.9488705644145463E-2</v>
      </c>
    </row>
    <row r="379" spans="1:24" ht="15.75" customHeight="1" x14ac:dyDescent="0.3">
      <c r="A379">
        <v>370</v>
      </c>
      <c r="B379" t="str">
        <f>Permutations!I371</f>
        <v>p91 - i4:i1</v>
      </c>
      <c r="C379" t="str">
        <f>Permutations!J371</f>
        <v>p8 - i1:i3</v>
      </c>
      <c r="D379" t="str">
        <f>Permutations!K371</f>
        <v>p6 - i3:i5</v>
      </c>
      <c r="E379" t="str">
        <f>Permutations!L371</f>
        <v>p15 - i5:i6</v>
      </c>
      <c r="F379" t="str">
        <f>Permutations!M371</f>
        <v>p121 - i6:i2</v>
      </c>
      <c r="G379" s="7">
        <f>VLOOKUP(B379,Vlookup!$A$1:$B$30,2,0)</f>
        <v>2.9131157743633094</v>
      </c>
      <c r="H379" s="7">
        <f>VLOOKUP(C379,Vlookup!$A$1:$B$30,2,0)</f>
        <v>1.1080774401297739</v>
      </c>
      <c r="I379" s="7">
        <f>VLOOKUP(D379,Vlookup!$A$1:$B$30,2,0)</f>
        <v>2.2414716085286912</v>
      </c>
      <c r="J379" s="7">
        <f>VLOOKUP(E379,Vlookup!$A$1:$B$30,2,0)</f>
        <v>1.3219359277692486</v>
      </c>
      <c r="K379" s="7">
        <f>VLOOKUP(F379,Vlookup!$A$1:$B$30,2,0)</f>
        <v>1.2419340531937677</v>
      </c>
      <c r="L379" s="7">
        <f t="shared" si="7"/>
        <v>11.878730834567211</v>
      </c>
      <c r="M379" s="7">
        <f t="shared" si="8"/>
        <v>4.0776720716372576</v>
      </c>
      <c r="N379" s="7">
        <f t="shared" si="9"/>
        <v>3.6799522523982584</v>
      </c>
      <c r="O379" s="7">
        <f t="shared" si="10"/>
        <v>1.6417572448369266</v>
      </c>
      <c r="P379" s="7">
        <f t="shared" si="11"/>
        <v>1.2419340531937677</v>
      </c>
      <c r="Q379">
        <v>1</v>
      </c>
      <c r="R379" s="7">
        <f t="shared" si="12"/>
        <v>23.52004645663342</v>
      </c>
      <c r="S379" s="7">
        <f>VLOOKUP($A379,Rotations!$A$1:$X$1441,18,0)</f>
        <v>0.1733700687690275</v>
      </c>
      <c r="T379" s="7">
        <f>VLOOKUP($A379,Rotations!$A$1:$X$1441,19,0)</f>
        <v>4.2516922823422718E-2</v>
      </c>
      <c r="U379" s="7">
        <f>VLOOKUP($A379,Rotations!$A$1:$X$1441,20,0)</f>
        <v>0.15646024590909735</v>
      </c>
      <c r="V379" s="7">
        <f>VLOOKUP($A379,Rotations!$A$1:$X$1441,21,0)</f>
        <v>0.5050470821335058</v>
      </c>
      <c r="W379" s="7">
        <f>VLOOKUP($A379,Rotations!$A$1:$X$1441,22,0)</f>
        <v>6.980246607352672E-2</v>
      </c>
      <c r="X379" s="7">
        <f>VLOOKUP($A379,Rotations!$A$1:$X$1441,23,0)</f>
        <v>5.280321429141998E-2</v>
      </c>
    </row>
    <row r="380" spans="1:24" ht="15.75" customHeight="1" x14ac:dyDescent="0.3">
      <c r="A380">
        <v>371</v>
      </c>
      <c r="B380" t="str">
        <f>Permutations!I372</f>
        <v>p91 - i4:i1</v>
      </c>
      <c r="C380" t="str">
        <f>Permutations!J372</f>
        <v>p8 - i1:i3</v>
      </c>
      <c r="D380" t="str">
        <f>Permutations!K372</f>
        <v>p13 - i3:i6</v>
      </c>
      <c r="E380" t="str">
        <f>Permutations!L372</f>
        <v>p121 - i6:i2</v>
      </c>
      <c r="F380" t="str">
        <f>Permutations!M372</f>
        <v>p7 - i2:i5</v>
      </c>
      <c r="G380" s="7">
        <f>VLOOKUP(B380,Vlookup!$A$1:$B$30,2,0)</f>
        <v>2.9131157743633094</v>
      </c>
      <c r="H380" s="7">
        <f>VLOOKUP(C380,Vlookup!$A$1:$B$30,2,0)</f>
        <v>1.1080774401297739</v>
      </c>
      <c r="I380" s="7">
        <f>VLOOKUP(D380,Vlookup!$A$1:$B$30,2,0)</f>
        <v>2.0145521929129111</v>
      </c>
      <c r="J380" s="7">
        <f>VLOOKUP(E380,Vlookup!$A$1:$B$30,2,0)</f>
        <v>1.2419340531937677</v>
      </c>
      <c r="K380" s="7">
        <f>VLOOKUP(F380,Vlookup!$A$1:$B$30,2,0)</f>
        <v>1.7991741228251155</v>
      </c>
      <c r="L380" s="7">
        <f t="shared" si="7"/>
        <v>14.530418165744724</v>
      </c>
      <c r="M380" s="7">
        <f t="shared" si="8"/>
        <v>4.9879302064197892</v>
      </c>
      <c r="N380" s="7">
        <f t="shared" si="9"/>
        <v>4.5014274506262133</v>
      </c>
      <c r="O380" s="7">
        <f t="shared" si="10"/>
        <v>2.2344556107615374</v>
      </c>
      <c r="P380" s="7">
        <f t="shared" si="11"/>
        <v>1.7991741228251155</v>
      </c>
      <c r="Q380">
        <v>1</v>
      </c>
      <c r="R380" s="7">
        <f t="shared" si="12"/>
        <v>29.053405556377378</v>
      </c>
      <c r="S380" s="7">
        <f>VLOOKUP($A380,Rotations!$A$1:$X$1441,18,0)</f>
        <v>0.17168142979799186</v>
      </c>
      <c r="T380" s="7">
        <f>VLOOKUP($A380,Rotations!$A$1:$X$1441,19,0)</f>
        <v>6.1926445054224878E-2</v>
      </c>
      <c r="U380" s="7">
        <f>VLOOKUP($A380,Rotations!$A$1:$X$1441,20,0)</f>
        <v>0.15493631002710889</v>
      </c>
      <c r="V380" s="7">
        <f>VLOOKUP($A380,Rotations!$A$1:$X$1441,21,0)</f>
        <v>0.50012788130977714</v>
      </c>
      <c r="W380" s="7">
        <f>VLOOKUP($A380,Rotations!$A$1:$X$1441,22,0)</f>
        <v>3.4419372904822672E-2</v>
      </c>
      <c r="X380" s="7">
        <f>VLOOKUP($A380,Rotations!$A$1:$X$1441,23,0)</f>
        <v>7.6908560906074661E-2</v>
      </c>
    </row>
    <row r="381" spans="1:24" ht="15.75" customHeight="1" x14ac:dyDescent="0.3">
      <c r="A381">
        <v>372</v>
      </c>
      <c r="B381" t="str">
        <f>Permutations!I373</f>
        <v>p91 - i4:i1</v>
      </c>
      <c r="C381" t="str">
        <f>Permutations!J373</f>
        <v>p8 - i1:i3</v>
      </c>
      <c r="D381" t="str">
        <f>Permutations!K373</f>
        <v>p13 - i3:i6</v>
      </c>
      <c r="E381" t="str">
        <f>Permutations!L373</f>
        <v>p151 - i6:i5</v>
      </c>
      <c r="F381" t="str">
        <f>Permutations!M373</f>
        <v>p71 - i5:i2</v>
      </c>
      <c r="G381" s="7">
        <f>VLOOKUP(B381,Vlookup!$A$1:$B$30,2,0)</f>
        <v>2.9131157743633094</v>
      </c>
      <c r="H381" s="7">
        <f>VLOOKUP(C381,Vlookup!$A$1:$B$30,2,0)</f>
        <v>1.1080774401297739</v>
      </c>
      <c r="I381" s="7">
        <f>VLOOKUP(D381,Vlookup!$A$1:$B$30,2,0)</f>
        <v>2.0145521929129111</v>
      </c>
      <c r="J381" s="7">
        <f>VLOOKUP(E381,Vlookup!$A$1:$B$30,2,0)</f>
        <v>1.2266517321719024</v>
      </c>
      <c r="K381" s="7">
        <f>VLOOKUP(F381,Vlookup!$A$1:$B$30,2,0)</f>
        <v>1.8243208303594776</v>
      </c>
      <c r="L381" s="7">
        <f t="shared" si="7"/>
        <v>14.552207370869993</v>
      </c>
      <c r="M381" s="7">
        <f t="shared" si="8"/>
        <v>4.9954098971746239</v>
      </c>
      <c r="N381" s="7">
        <f t="shared" si="9"/>
        <v>4.5081776022708127</v>
      </c>
      <c r="O381" s="7">
        <f t="shared" si="10"/>
        <v>2.2378063065977365</v>
      </c>
      <c r="P381" s="7">
        <f t="shared" si="11"/>
        <v>1.8243208303594776</v>
      </c>
      <c r="Q381">
        <v>1</v>
      </c>
      <c r="R381" s="7">
        <f t="shared" si="12"/>
        <v>29.117922007272647</v>
      </c>
      <c r="S381" s="7">
        <f>VLOOKUP($A381,Rotations!$A$1:$X$1441,18,0)</f>
        <v>0.17155791185672328</v>
      </c>
      <c r="T381" s="7">
        <f>VLOOKUP($A381,Rotations!$A$1:$X$1441,19,0)</f>
        <v>3.4343110052641623E-2</v>
      </c>
      <c r="U381" s="7">
        <f>VLOOKUP($A381,Rotations!$A$1:$X$1441,20,0)</f>
        <v>0.15482483953164056</v>
      </c>
      <c r="V381" s="7">
        <f>VLOOKUP($A381,Rotations!$A$1:$X$1441,21,0)</f>
        <v>0.4997680592466508</v>
      </c>
      <c r="W381" s="7">
        <f>VLOOKUP($A381,Rotations!$A$1:$X$1441,22,0)</f>
        <v>6.2652851048362088E-2</v>
      </c>
      <c r="X381" s="7">
        <f>VLOOKUP($A381,Rotations!$A$1:$X$1441,23,0)</f>
        <v>7.6853228263981554E-2</v>
      </c>
    </row>
    <row r="382" spans="1:24" ht="15.75" customHeight="1" x14ac:dyDescent="0.3">
      <c r="A382">
        <v>373</v>
      </c>
      <c r="B382" t="str">
        <f>Permutations!I374</f>
        <v>p91 - i4:i1</v>
      </c>
      <c r="C382" t="str">
        <f>Permutations!J374</f>
        <v>p10 - i1:i5</v>
      </c>
      <c r="D382" t="str">
        <f>Permutations!K374</f>
        <v>p71 - i5:i2</v>
      </c>
      <c r="E382" t="str">
        <f>Permutations!L374</f>
        <v>p2 - i2:i3</v>
      </c>
      <c r="F382" t="str">
        <f>Permutations!M374</f>
        <v>p13 - i3:i6</v>
      </c>
      <c r="G382" s="7">
        <f>VLOOKUP(B382,Vlookup!$A$1:$B$30,2,0)</f>
        <v>2.9131157743633094</v>
      </c>
      <c r="H382" s="7">
        <f>VLOOKUP(C382,Vlookup!$A$1:$B$30,2,0)</f>
        <v>1.0847108741813811</v>
      </c>
      <c r="I382" s="7">
        <f>VLOOKUP(D382,Vlookup!$A$1:$B$30,2,0)</f>
        <v>1.8243208303594776</v>
      </c>
      <c r="J382" s="7">
        <f>VLOOKUP(E382,Vlookup!$A$1:$B$30,2,0)</f>
        <v>1.3601242124324544</v>
      </c>
      <c r="K382" s="7">
        <f>VLOOKUP(F382,Vlookup!$A$1:$B$30,2,0)</f>
        <v>2.0145521929129111</v>
      </c>
      <c r="L382" s="7">
        <f t="shared" si="7"/>
        <v>15.79537900937062</v>
      </c>
      <c r="M382" s="7">
        <f t="shared" si="8"/>
        <v>5.4221597192864248</v>
      </c>
      <c r="N382" s="7">
        <f t="shared" si="9"/>
        <v>4.9987142641844224</v>
      </c>
      <c r="O382" s="7">
        <f t="shared" si="10"/>
        <v>2.740041214789747</v>
      </c>
      <c r="P382" s="7">
        <f t="shared" si="11"/>
        <v>2.0145521929129111</v>
      </c>
      <c r="Q382">
        <v>1</v>
      </c>
      <c r="R382" s="7">
        <f t="shared" si="12"/>
        <v>31.970846400544129</v>
      </c>
      <c r="S382" s="7">
        <f>VLOOKUP($A382,Rotations!$A$1:$X$1441,18,0)</f>
        <v>0.169597002574012</v>
      </c>
      <c r="T382" s="7">
        <f>VLOOKUP($A382,Rotations!$A$1:$X$1441,19,0)</f>
        <v>8.5704368926032337E-2</v>
      </c>
      <c r="U382" s="7">
        <f>VLOOKUP($A382,Rotations!$A$1:$X$1441,20,0)</f>
        <v>6.3012163258793941E-2</v>
      </c>
      <c r="V382" s="7">
        <f>VLOOKUP($A382,Rotations!$A$1:$X$1441,21,0)</f>
        <v>0.49405570348308919</v>
      </c>
      <c r="W382" s="7">
        <f>VLOOKUP($A382,Rotations!$A$1:$X$1441,22,0)</f>
        <v>0.15635226548457432</v>
      </c>
      <c r="X382" s="7">
        <f>VLOOKUP($A382,Rotations!$A$1:$X$1441,23,0)</f>
        <v>3.1278496273498109E-2</v>
      </c>
    </row>
    <row r="383" spans="1:24" ht="15.75" customHeight="1" x14ac:dyDescent="0.3">
      <c r="A383">
        <v>374</v>
      </c>
      <c r="B383" t="str">
        <f>Permutations!I375</f>
        <v>p91 - i4:i1</v>
      </c>
      <c r="C383" t="str">
        <f>Permutations!J375</f>
        <v>p10 - i1:i5</v>
      </c>
      <c r="D383" t="str">
        <f>Permutations!K375</f>
        <v>p71 - i5:i2</v>
      </c>
      <c r="E383" t="str">
        <f>Permutations!L375</f>
        <v>p12 - i2:i6</v>
      </c>
      <c r="F383" t="str">
        <f>Permutations!M375</f>
        <v>p131 - i6:i3</v>
      </c>
      <c r="G383" s="7">
        <f>VLOOKUP(B383,Vlookup!$A$1:$B$30,2,0)</f>
        <v>2.9131157743633094</v>
      </c>
      <c r="H383" s="7">
        <f>VLOOKUP(C383,Vlookup!$A$1:$B$30,2,0)</f>
        <v>1.0847108741813811</v>
      </c>
      <c r="I383" s="7">
        <f>VLOOKUP(D383,Vlookup!$A$1:$B$30,2,0)</f>
        <v>1.8243208303594776</v>
      </c>
      <c r="J383" s="7">
        <f>VLOOKUP(E383,Vlookup!$A$1:$B$30,2,0)</f>
        <v>1.3354555559520354</v>
      </c>
      <c r="K383" s="7">
        <f>VLOOKUP(F383,Vlookup!$A$1:$B$30,2,0)</f>
        <v>1.4032439022773779</v>
      </c>
      <c r="L383" s="7">
        <f t="shared" si="7"/>
        <v>10.802780673642602</v>
      </c>
      <c r="M383" s="7">
        <f t="shared" si="8"/>
        <v>3.7083252127195867</v>
      </c>
      <c r="N383" s="7">
        <f t="shared" si="9"/>
        <v>3.4187222613751498</v>
      </c>
      <c r="O383" s="7">
        <f t="shared" si="10"/>
        <v>1.8739698656521393</v>
      </c>
      <c r="P383" s="7">
        <f t="shared" si="11"/>
        <v>1.4032439022773779</v>
      </c>
      <c r="Q383">
        <v>1</v>
      </c>
      <c r="R383" s="7">
        <f t="shared" si="12"/>
        <v>22.207041915666856</v>
      </c>
      <c r="S383" s="7">
        <f>VLOOKUP($A383,Rotations!$A$1:$X$1441,18,0)</f>
        <v>0.16698870686164638</v>
      </c>
      <c r="T383" s="7">
        <f>VLOOKUP($A383,Rotations!$A$1:$X$1441,19,0)</f>
        <v>8.4386289392738595E-2</v>
      </c>
      <c r="U383" s="7">
        <f>VLOOKUP($A383,Rotations!$A$1:$X$1441,20,0)</f>
        <v>4.5030761134129689E-2</v>
      </c>
      <c r="V383" s="7">
        <f>VLOOKUP($A383,Rotations!$A$1:$X$1441,21,0)</f>
        <v>0.48645743609919262</v>
      </c>
      <c r="W383" s="7">
        <f>VLOOKUP($A383,Rotations!$A$1:$X$1441,22,0)</f>
        <v>0.15394766553591605</v>
      </c>
      <c r="X383" s="7">
        <f>VLOOKUP($A383,Rotations!$A$1:$X$1441,23,0)</f>
        <v>6.3189140976376637E-2</v>
      </c>
    </row>
    <row r="384" spans="1:24" ht="15.75" customHeight="1" x14ac:dyDescent="0.3">
      <c r="A384">
        <v>375</v>
      </c>
      <c r="B384" t="str">
        <f>Permutations!I376</f>
        <v>p91 - i4:i1</v>
      </c>
      <c r="C384" t="str">
        <f>Permutations!J376</f>
        <v>p10 - i1:i5</v>
      </c>
      <c r="D384" t="str">
        <f>Permutations!K376</f>
        <v>p61 - i5:i3</v>
      </c>
      <c r="E384" t="str">
        <f>Permutations!L376</f>
        <v>p21 - i3:i2</v>
      </c>
      <c r="F384" t="str">
        <f>Permutations!M376</f>
        <v>p12 - i2:i6</v>
      </c>
      <c r="G384" s="7">
        <f>VLOOKUP(B384,Vlookup!$A$1:$B$30,2,0)</f>
        <v>2.9131157743633094</v>
      </c>
      <c r="H384" s="7">
        <f>VLOOKUP(C384,Vlookup!$A$1:$B$30,2,0)</f>
        <v>1.0847108741813811</v>
      </c>
      <c r="I384" s="7">
        <f>VLOOKUP(D384,Vlookup!$A$1:$B$30,2,0)</f>
        <v>1.9746367445127702</v>
      </c>
      <c r="J384" s="7">
        <f>VLOOKUP(E384,Vlookup!$A$1:$B$30,2,0)</f>
        <v>1.5059827029565431</v>
      </c>
      <c r="K384" s="7">
        <f>VLOOKUP(F384,Vlookup!$A$1:$B$30,2,0)</f>
        <v>1.3354555559520354</v>
      </c>
      <c r="L384" s="7">
        <f t="shared" si="7"/>
        <v>12.548978525146163</v>
      </c>
      <c r="M384" s="7">
        <f t="shared" si="8"/>
        <v>4.307751389622978</v>
      </c>
      <c r="N384" s="7">
        <f t="shared" si="9"/>
        <v>3.9713360418498511</v>
      </c>
      <c r="O384" s="7">
        <f t="shared" si="10"/>
        <v>2.0111729678309791</v>
      </c>
      <c r="P384" s="7">
        <f t="shared" si="11"/>
        <v>1.3354555559520354</v>
      </c>
      <c r="Q384">
        <v>1</v>
      </c>
      <c r="R384" s="7">
        <f t="shared" si="12"/>
        <v>25.174694480402007</v>
      </c>
      <c r="S384" s="7">
        <f>VLOOKUP($A384,Rotations!$A$1:$X$1441,18,0)</f>
        <v>0.17111434631218567</v>
      </c>
      <c r="T384" s="7">
        <f>VLOOKUP($A384,Rotations!$A$1:$X$1441,19,0)</f>
        <v>5.3047537756283819E-2</v>
      </c>
      <c r="U384" s="7">
        <f>VLOOKUP($A384,Rotations!$A$1:$X$1441,20,0)</f>
        <v>7.9888674295397574E-2</v>
      </c>
      <c r="V384" s="7">
        <f>VLOOKUP($A384,Rotations!$A$1:$X$1441,21,0)</f>
        <v>0.49847590146189424</v>
      </c>
      <c r="W384" s="7">
        <f>VLOOKUP($A384,Rotations!$A$1:$X$1441,22,0)</f>
        <v>0.15775111173410492</v>
      </c>
      <c r="X384" s="7">
        <f>VLOOKUP($A384,Rotations!$A$1:$X$1441,23,0)</f>
        <v>3.9722428440133795E-2</v>
      </c>
    </row>
    <row r="385" spans="1:24" ht="15.75" customHeight="1" x14ac:dyDescent="0.3">
      <c r="A385">
        <v>376</v>
      </c>
      <c r="B385" t="str">
        <f>Permutations!I377</f>
        <v>p91 - i4:i1</v>
      </c>
      <c r="C385" t="str">
        <f>Permutations!J377</f>
        <v>p10 - i1:i5</v>
      </c>
      <c r="D385" t="str">
        <f>Permutations!K377</f>
        <v>p61 - i5:i3</v>
      </c>
      <c r="E385" t="str">
        <f>Permutations!L377</f>
        <v>p13 - i3:i6</v>
      </c>
      <c r="F385" t="str">
        <f>Permutations!M377</f>
        <v>p121 - i6:i2</v>
      </c>
      <c r="G385" s="7">
        <f>VLOOKUP(B385,Vlookup!$A$1:$B$30,2,0)</f>
        <v>2.9131157743633094</v>
      </c>
      <c r="H385" s="7">
        <f>VLOOKUP(C385,Vlookup!$A$1:$B$30,2,0)</f>
        <v>1.0847108741813811</v>
      </c>
      <c r="I385" s="7">
        <f>VLOOKUP(D385,Vlookup!$A$1:$B$30,2,0)</f>
        <v>1.9746367445127702</v>
      </c>
      <c r="J385" s="7">
        <f>VLOOKUP(E385,Vlookup!$A$1:$B$30,2,0)</f>
        <v>2.0145521929129111</v>
      </c>
      <c r="K385" s="7">
        <f>VLOOKUP(F385,Vlookup!$A$1:$B$30,2,0)</f>
        <v>1.2419340531937677</v>
      </c>
      <c r="L385" s="7">
        <f t="shared" si="7"/>
        <v>15.611190091483692</v>
      </c>
      <c r="M385" s="7">
        <f t="shared" si="8"/>
        <v>5.3589322569562743</v>
      </c>
      <c r="N385" s="7">
        <f t="shared" si="9"/>
        <v>4.940424572585389</v>
      </c>
      <c r="O385" s="7">
        <f t="shared" si="10"/>
        <v>2.5019409703147248</v>
      </c>
      <c r="P385" s="7">
        <f t="shared" si="11"/>
        <v>1.2419340531937677</v>
      </c>
      <c r="Q385">
        <v>1</v>
      </c>
      <c r="R385" s="7">
        <f t="shared" si="12"/>
        <v>30.654421944533844</v>
      </c>
      <c r="S385" s="7">
        <f>VLOOKUP($A385,Rotations!$A$1:$X$1441,18,0)</f>
        <v>0.17481759292844387</v>
      </c>
      <c r="T385" s="7">
        <f>VLOOKUP($A385,Rotations!$A$1:$X$1441,19,0)</f>
        <v>3.2621720997035974E-2</v>
      </c>
      <c r="U385" s="7">
        <f>VLOOKUP($A385,Rotations!$A$1:$X$1441,20,0)</f>
        <v>8.1617620284660408E-2</v>
      </c>
      <c r="V385" s="7">
        <f>VLOOKUP($A385,Rotations!$A$1:$X$1441,21,0)</f>
        <v>0.50926388759607355</v>
      </c>
      <c r="W385" s="7">
        <f>VLOOKUP($A385,Rotations!$A$1:$X$1441,22,0)</f>
        <v>0.16116515201378126</v>
      </c>
      <c r="X385" s="7">
        <f>VLOOKUP($A385,Rotations!$A$1:$X$1441,23,0)</f>
        <v>4.0514026180005124E-2</v>
      </c>
    </row>
    <row r="386" spans="1:24" ht="15.75" customHeight="1" x14ac:dyDescent="0.3">
      <c r="A386">
        <v>377</v>
      </c>
      <c r="B386" t="str">
        <f>Permutations!I378</f>
        <v>p91 - i4:i1</v>
      </c>
      <c r="C386" t="str">
        <f>Permutations!J378</f>
        <v>p10 - i1:i5</v>
      </c>
      <c r="D386" t="str">
        <f>Permutations!K378</f>
        <v>p15 - i5:i6</v>
      </c>
      <c r="E386" t="str">
        <f>Permutations!L378</f>
        <v>p121 - i6:i2</v>
      </c>
      <c r="F386" t="str">
        <f>Permutations!M378</f>
        <v>p2 - i2:i3</v>
      </c>
      <c r="G386" s="7">
        <f>VLOOKUP(B386,Vlookup!$A$1:$B$30,2,0)</f>
        <v>2.9131157743633094</v>
      </c>
      <c r="H386" s="7">
        <f>VLOOKUP(C386,Vlookup!$A$1:$B$30,2,0)</f>
        <v>1.0847108741813811</v>
      </c>
      <c r="I386" s="7">
        <f>VLOOKUP(D386,Vlookup!$A$1:$B$30,2,0)</f>
        <v>1.3219359277692486</v>
      </c>
      <c r="J386" s="7">
        <f>VLOOKUP(E386,Vlookup!$A$1:$B$30,2,0)</f>
        <v>1.2419340531937677</v>
      </c>
      <c r="K386" s="7">
        <f>VLOOKUP(F386,Vlookup!$A$1:$B$30,2,0)</f>
        <v>1.3601242124324544</v>
      </c>
      <c r="L386" s="7">
        <f t="shared" si="7"/>
        <v>7.0560110482172824</v>
      </c>
      <c r="M386" s="7">
        <f t="shared" si="8"/>
        <v>2.4221526347539157</v>
      </c>
      <c r="N386" s="7">
        <f t="shared" si="9"/>
        <v>2.2329937796391013</v>
      </c>
      <c r="O386" s="7">
        <f t="shared" si="10"/>
        <v>1.6891845759932191</v>
      </c>
      <c r="P386" s="7">
        <f t="shared" si="11"/>
        <v>1.3601242124324544</v>
      </c>
      <c r="Q386">
        <v>1</v>
      </c>
      <c r="R386" s="7">
        <f t="shared" si="12"/>
        <v>15.760466251035972</v>
      </c>
      <c r="S386" s="7">
        <f>VLOOKUP($A386,Rotations!$A$1:$X$1441,18,0)</f>
        <v>0.15368534129469058</v>
      </c>
      <c r="T386" s="7">
        <f>VLOOKUP($A386,Rotations!$A$1:$X$1441,19,0)</f>
        <v>8.6299744612127222E-2</v>
      </c>
      <c r="U386" s="7">
        <f>VLOOKUP($A386,Rotations!$A$1:$X$1441,20,0)</f>
        <v>6.3449899518947778E-2</v>
      </c>
      <c r="V386" s="7">
        <f>VLOOKUP($A386,Rotations!$A$1:$X$1441,21,0)</f>
        <v>0.44770319201397196</v>
      </c>
      <c r="W386" s="7">
        <f>VLOOKUP($A386,Rotations!$A$1:$X$1441,22,0)</f>
        <v>0.14168323094453639</v>
      </c>
      <c r="X386" s="7">
        <f>VLOOKUP($A386,Rotations!$A$1:$X$1441,23,0)</f>
        <v>0.10717859161572617</v>
      </c>
    </row>
    <row r="387" spans="1:24" ht="15.75" customHeight="1" x14ac:dyDescent="0.3">
      <c r="A387">
        <v>378</v>
      </c>
      <c r="B387" t="str">
        <f>Permutations!I379</f>
        <v>p91 - i4:i1</v>
      </c>
      <c r="C387" t="str">
        <f>Permutations!J379</f>
        <v>p10 - i1:i5</v>
      </c>
      <c r="D387" t="str">
        <f>Permutations!K379</f>
        <v>p15 - i5:i6</v>
      </c>
      <c r="E387" t="str">
        <f>Permutations!L379</f>
        <v>p131 - i6:i3</v>
      </c>
      <c r="F387" t="str">
        <f>Permutations!M379</f>
        <v>p21 - i3:i2</v>
      </c>
      <c r="G387" s="7">
        <f>VLOOKUP(B387,Vlookup!$A$1:$B$30,2,0)</f>
        <v>2.9131157743633094</v>
      </c>
      <c r="H387" s="7">
        <f>VLOOKUP(C387,Vlookup!$A$1:$B$30,2,0)</f>
        <v>1.0847108741813811</v>
      </c>
      <c r="I387" s="7">
        <f>VLOOKUP(D387,Vlookup!$A$1:$B$30,2,0)</f>
        <v>1.3219359277692486</v>
      </c>
      <c r="J387" s="7">
        <f>VLOOKUP(E387,Vlookup!$A$1:$B$30,2,0)</f>
        <v>1.4032439022773779</v>
      </c>
      <c r="K387" s="7">
        <f>VLOOKUP(F387,Vlookup!$A$1:$B$30,2,0)</f>
        <v>1.5059827029565431</v>
      </c>
      <c r="L387" s="7">
        <f t="shared" si="7"/>
        <v>8.8274505298063826</v>
      </c>
      <c r="M387" s="7">
        <f t="shared" si="8"/>
        <v>3.0302436338067307</v>
      </c>
      <c r="N387" s="7">
        <f t="shared" si="9"/>
        <v>2.7935956999542579</v>
      </c>
      <c r="O387" s="7">
        <f t="shared" si="10"/>
        <v>2.113261044858973</v>
      </c>
      <c r="P387" s="7">
        <f t="shared" si="11"/>
        <v>1.5059827029565431</v>
      </c>
      <c r="Q387">
        <v>1</v>
      </c>
      <c r="R387" s="7">
        <f t="shared" si="12"/>
        <v>19.270533611382888</v>
      </c>
      <c r="S387" s="7">
        <f>VLOOKUP($A387,Rotations!$A$1:$X$1441,18,0)</f>
        <v>0.15724752074414794</v>
      </c>
      <c r="T387" s="7">
        <f>VLOOKUP($A387,Rotations!$A$1:$X$1441,19,0)</f>
        <v>5.1892698986254912E-2</v>
      </c>
      <c r="U387" s="7">
        <f>VLOOKUP($A387,Rotations!$A$1:$X$1441,20,0)</f>
        <v>7.8149507083030437E-2</v>
      </c>
      <c r="V387" s="7">
        <f>VLOOKUP($A387,Rotations!$A$1:$X$1441,21,0)</f>
        <v>0.45808023315929908</v>
      </c>
      <c r="W387" s="7">
        <f>VLOOKUP($A387,Rotations!$A$1:$X$1441,22,0)</f>
        <v>0.1449672207470224</v>
      </c>
      <c r="X387" s="7">
        <f>VLOOKUP($A387,Rotations!$A$1:$X$1441,23,0)</f>
        <v>0.10966281928024522</v>
      </c>
    </row>
    <row r="388" spans="1:24" ht="15.75" customHeight="1" x14ac:dyDescent="0.3">
      <c r="A388">
        <v>379</v>
      </c>
      <c r="B388" t="str">
        <f>Permutations!I380</f>
        <v>p91 - i4:i1</v>
      </c>
      <c r="C388" t="str">
        <f>Permutations!J380</f>
        <v>p11 - i1:i6</v>
      </c>
      <c r="D388" t="str">
        <f>Permutations!K380</f>
        <v>p121 - i6:i2</v>
      </c>
      <c r="E388" t="str">
        <f>Permutations!L380</f>
        <v>p2 - i2:i3</v>
      </c>
      <c r="F388" t="str">
        <f>Permutations!M380</f>
        <v>p6 - i3:i5</v>
      </c>
      <c r="G388" s="7">
        <f>VLOOKUP(B388,Vlookup!$A$1:$B$30,2,0)</f>
        <v>2.9131157743633094</v>
      </c>
      <c r="H388" s="7">
        <f>VLOOKUP(C388,Vlookup!$A$1:$B$30,2,0)</f>
        <v>1.1613557664474019</v>
      </c>
      <c r="I388" s="7">
        <f>VLOOKUP(D388,Vlookup!$A$1:$B$30,2,0)</f>
        <v>1.2419340531937677</v>
      </c>
      <c r="J388" s="7">
        <f>VLOOKUP(E388,Vlookup!$A$1:$B$30,2,0)</f>
        <v>1.3601242124324544</v>
      </c>
      <c r="K388" s="7">
        <f>VLOOKUP(F388,Vlookup!$A$1:$B$30,2,0)</f>
        <v>2.2414716085286912</v>
      </c>
      <c r="L388" s="7">
        <f t="shared" si="7"/>
        <v>12.809535306048655</v>
      </c>
      <c r="M388" s="7">
        <f t="shared" si="8"/>
        <v>4.3971940349155219</v>
      </c>
      <c r="N388" s="7">
        <f t="shared" si="9"/>
        <v>3.7862592686533763</v>
      </c>
      <c r="O388" s="7">
        <f t="shared" si="10"/>
        <v>3.0486798062397931</v>
      </c>
      <c r="P388" s="7">
        <f t="shared" si="11"/>
        <v>2.2414716085286912</v>
      </c>
      <c r="Q388">
        <v>1</v>
      </c>
      <c r="R388" s="7">
        <f t="shared" si="12"/>
        <v>27.283140024386039</v>
      </c>
      <c r="S388" s="7">
        <f>VLOOKUP($A388,Rotations!$A$1:$X$1441,18,0)</f>
        <v>0.16116891351161378</v>
      </c>
      <c r="T388" s="7">
        <f>VLOOKUP($A388,Rotations!$A$1:$X$1441,19,0)</f>
        <v>0.11174226293288976</v>
      </c>
      <c r="U388" s="7">
        <f>VLOOKUP($A388,Rotations!$A$1:$X$1441,20,0)</f>
        <v>8.2155925107052691E-2</v>
      </c>
      <c r="V388" s="7">
        <f>VLOOKUP($A388,Rotations!$A$1:$X$1441,21,0)</f>
        <v>0.46950370428767801</v>
      </c>
      <c r="W388" s="7">
        <f>VLOOKUP($A388,Rotations!$A$1:$X$1441,22,0)</f>
        <v>3.6652672643478226E-2</v>
      </c>
      <c r="X388" s="7">
        <f>VLOOKUP($A388,Rotations!$A$1:$X$1441,23,0)</f>
        <v>0.13877652151728748</v>
      </c>
    </row>
    <row r="389" spans="1:24" ht="15.75" customHeight="1" x14ac:dyDescent="0.3">
      <c r="A389">
        <v>380</v>
      </c>
      <c r="B389" t="str">
        <f>Permutations!I381</f>
        <v>p91 - i4:i1</v>
      </c>
      <c r="C389" t="str">
        <f>Permutations!J381</f>
        <v>p11 - i1:i6</v>
      </c>
      <c r="D389" t="str">
        <f>Permutations!K381</f>
        <v>p121 - i6:i2</v>
      </c>
      <c r="E389" t="str">
        <f>Permutations!L381</f>
        <v>p7 - i2:i5</v>
      </c>
      <c r="F389" t="str">
        <f>Permutations!M381</f>
        <v>p61 - i5:i3</v>
      </c>
      <c r="G389" s="7">
        <f>VLOOKUP(B389,Vlookup!$A$1:$B$30,2,0)</f>
        <v>2.9131157743633094</v>
      </c>
      <c r="H389" s="7">
        <f>VLOOKUP(C389,Vlookup!$A$1:$B$30,2,0)</f>
        <v>1.1613557664474019</v>
      </c>
      <c r="I389" s="7">
        <f>VLOOKUP(D389,Vlookup!$A$1:$B$30,2,0)</f>
        <v>1.2419340531937677</v>
      </c>
      <c r="J389" s="7">
        <f>VLOOKUP(E389,Vlookup!$A$1:$B$30,2,0)</f>
        <v>1.7991741228251155</v>
      </c>
      <c r="K389" s="7">
        <f>VLOOKUP(F389,Vlookup!$A$1:$B$30,2,0)</f>
        <v>1.9746367445127702</v>
      </c>
      <c r="L389" s="7">
        <f t="shared" si="7"/>
        <v>14.927324408915414</v>
      </c>
      <c r="M389" s="7">
        <f t="shared" si="8"/>
        <v>5.1241782219170222</v>
      </c>
      <c r="N389" s="7">
        <f t="shared" si="9"/>
        <v>4.4122381529924555</v>
      </c>
      <c r="O389" s="7">
        <f t="shared" si="10"/>
        <v>3.5527153327070047</v>
      </c>
      <c r="P389" s="7">
        <f t="shared" si="11"/>
        <v>1.9746367445127702</v>
      </c>
      <c r="Q389">
        <v>1</v>
      </c>
      <c r="R389" s="7">
        <f t="shared" si="12"/>
        <v>30.99109286104467</v>
      </c>
      <c r="S389" s="7">
        <f>VLOOKUP($A389,Rotations!$A$1:$X$1441,18,0)</f>
        <v>0.16534357935979843</v>
      </c>
      <c r="T389" s="7">
        <f>VLOOKUP($A389,Rotations!$A$1:$X$1441,19,0)</f>
        <v>0.11463665862434666</v>
      </c>
      <c r="U389" s="7">
        <f>VLOOKUP($A389,Rotations!$A$1:$X$1441,20,0)</f>
        <v>3.2267335794956255E-2</v>
      </c>
      <c r="V389" s="7">
        <f>VLOOKUP($A389,Rotations!$A$1:$X$1441,21,0)</f>
        <v>0.48166498922272061</v>
      </c>
      <c r="W389" s="7">
        <f>VLOOKUP($A389,Rotations!$A$1:$X$1441,22,0)</f>
        <v>6.37162669082528E-2</v>
      </c>
      <c r="X389" s="7">
        <f>VLOOKUP($A389,Rotations!$A$1:$X$1441,23,0)</f>
        <v>0.14237117008992514</v>
      </c>
    </row>
    <row r="390" spans="1:24" ht="15.75" customHeight="1" x14ac:dyDescent="0.3">
      <c r="A390">
        <v>381</v>
      </c>
      <c r="B390" t="str">
        <f>Permutations!I382</f>
        <v>p91 - i4:i1</v>
      </c>
      <c r="C390" t="str">
        <f>Permutations!J382</f>
        <v>p11 - i1:i6</v>
      </c>
      <c r="D390" t="str">
        <f>Permutations!K382</f>
        <v>p131 - i6:i3</v>
      </c>
      <c r="E390" t="str">
        <f>Permutations!L382</f>
        <v>p21 - i3:i2</v>
      </c>
      <c r="F390" t="str">
        <f>Permutations!M382</f>
        <v>p7 - i2:i5</v>
      </c>
      <c r="G390" s="7">
        <f>VLOOKUP(B390,Vlookup!$A$1:$B$30,2,0)</f>
        <v>2.9131157743633094</v>
      </c>
      <c r="H390" s="7">
        <f>VLOOKUP(C390,Vlookup!$A$1:$B$30,2,0)</f>
        <v>1.1613557664474019</v>
      </c>
      <c r="I390" s="7">
        <f>VLOOKUP(D390,Vlookup!$A$1:$B$30,2,0)</f>
        <v>1.4032439022773779</v>
      </c>
      <c r="J390" s="7">
        <f>VLOOKUP(E390,Vlookup!$A$1:$B$30,2,0)</f>
        <v>1.5059827029565431</v>
      </c>
      <c r="K390" s="7">
        <f>VLOOKUP(F390,Vlookup!$A$1:$B$30,2,0)</f>
        <v>1.7991741228251155</v>
      </c>
      <c r="L390" s="7">
        <f t="shared" si="7"/>
        <v>12.863210275733261</v>
      </c>
      <c r="M390" s="7">
        <f t="shared" si="8"/>
        <v>4.4156193134976398</v>
      </c>
      <c r="N390" s="7">
        <f t="shared" si="9"/>
        <v>3.8021245866846298</v>
      </c>
      <c r="O390" s="7">
        <f t="shared" si="10"/>
        <v>2.709525108581635</v>
      </c>
      <c r="P390" s="7">
        <f t="shared" si="11"/>
        <v>1.7991741228251155</v>
      </c>
      <c r="Q390">
        <v>1</v>
      </c>
      <c r="R390" s="7">
        <f t="shared" si="12"/>
        <v>26.589653407322281</v>
      </c>
      <c r="S390" s="7">
        <f>VLOOKUP($A390,Rotations!$A$1:$X$1441,18,0)</f>
        <v>0.16606532044083219</v>
      </c>
      <c r="T390" s="7">
        <f>VLOOKUP($A390,Rotations!$A$1:$X$1441,19,0)</f>
        <v>6.7664444333436005E-2</v>
      </c>
      <c r="U390" s="7">
        <f>VLOOKUP($A390,Rotations!$A$1:$X$1441,20,0)</f>
        <v>0.10190148277132051</v>
      </c>
      <c r="V390" s="7">
        <f>VLOOKUP($A390,Rotations!$A$1:$X$1441,21,0)</f>
        <v>0.48376750455088591</v>
      </c>
      <c r="W390" s="7">
        <f>VLOOKUP($A390,Rotations!$A$1:$X$1441,22,0)</f>
        <v>3.7608613571646597E-2</v>
      </c>
      <c r="X390" s="7">
        <f>VLOOKUP($A390,Rotations!$A$1:$X$1441,23,0)</f>
        <v>0.14299263433187878</v>
      </c>
    </row>
    <row r="391" spans="1:24" ht="15.75" customHeight="1" x14ac:dyDescent="0.3">
      <c r="A391">
        <v>382</v>
      </c>
      <c r="B391" t="str">
        <f>Permutations!I383</f>
        <v>p91 - i4:i1</v>
      </c>
      <c r="C391" t="str">
        <f>Permutations!J383</f>
        <v>p11 - i1:i6</v>
      </c>
      <c r="D391" t="str">
        <f>Permutations!K383</f>
        <v>p131 - i6:i3</v>
      </c>
      <c r="E391" t="str">
        <f>Permutations!L383</f>
        <v>p6 - i3:i5</v>
      </c>
      <c r="F391" t="str">
        <f>Permutations!M383</f>
        <v>p71 - i5:i2</v>
      </c>
      <c r="G391" s="7">
        <f>VLOOKUP(B391,Vlookup!$A$1:$B$30,2,0)</f>
        <v>2.9131157743633094</v>
      </c>
      <c r="H391" s="7">
        <f>VLOOKUP(C391,Vlookup!$A$1:$B$30,2,0)</f>
        <v>1.1613557664474019</v>
      </c>
      <c r="I391" s="7">
        <f>VLOOKUP(D391,Vlookup!$A$1:$B$30,2,0)</f>
        <v>1.4032439022773779</v>
      </c>
      <c r="J391" s="7">
        <f>VLOOKUP(E391,Vlookup!$A$1:$B$30,2,0)</f>
        <v>2.2414716085286912</v>
      </c>
      <c r="K391" s="7">
        <f>VLOOKUP(F391,Vlookup!$A$1:$B$30,2,0)</f>
        <v>1.8243208303594776</v>
      </c>
      <c r="L391" s="7">
        <f t="shared" si="7"/>
        <v>19.41291033107181</v>
      </c>
      <c r="M391" s="7">
        <f t="shared" si="8"/>
        <v>6.6639680104422538</v>
      </c>
      <c r="N391" s="7">
        <f t="shared" si="9"/>
        <v>5.7380935308285368</v>
      </c>
      <c r="O391" s="7">
        <f t="shared" si="10"/>
        <v>4.0891633460982559</v>
      </c>
      <c r="P391" s="7">
        <f t="shared" si="11"/>
        <v>1.8243208303594776</v>
      </c>
      <c r="Q391">
        <v>1</v>
      </c>
      <c r="R391" s="7">
        <f t="shared" si="12"/>
        <v>38.728456048800332</v>
      </c>
      <c r="S391" s="7">
        <f>VLOOKUP($A391,Rotations!$A$1:$X$1441,18,0)</f>
        <v>0.17206903373698212</v>
      </c>
      <c r="T391" s="7">
        <f>VLOOKUP($A391,Rotations!$A$1:$X$1441,19,0)</f>
        <v>2.5820807282891319E-2</v>
      </c>
      <c r="U391" s="7">
        <f>VLOOKUP($A391,Rotations!$A$1:$X$1441,20,0)</f>
        <v>0.10558549870786609</v>
      </c>
      <c r="V391" s="7">
        <f>VLOOKUP($A391,Rotations!$A$1:$X$1441,21,0)</f>
        <v>0.50125701645865517</v>
      </c>
      <c r="W391" s="7">
        <f>VLOOKUP($A391,Rotations!$A$1:$X$1441,22,0)</f>
        <v>4.7105436582876338E-2</v>
      </c>
      <c r="X391" s="7">
        <f>VLOOKUP($A391,Rotations!$A$1:$X$1441,23,0)</f>
        <v>0.14816220723072904</v>
      </c>
    </row>
    <row r="392" spans="1:24" ht="15.75" customHeight="1" x14ac:dyDescent="0.3">
      <c r="A392">
        <v>383</v>
      </c>
      <c r="B392" t="str">
        <f>Permutations!I384</f>
        <v>p91 - i4:i1</v>
      </c>
      <c r="C392" t="str">
        <f>Permutations!J384</f>
        <v>p11 - i1:i6</v>
      </c>
      <c r="D392" t="str">
        <f>Permutations!K384</f>
        <v>p151 - i6:i5</v>
      </c>
      <c r="E392" t="str">
        <f>Permutations!L384</f>
        <v>p71 - i5:i2</v>
      </c>
      <c r="F392" t="str">
        <f>Permutations!M384</f>
        <v>p2 - i2:i3</v>
      </c>
      <c r="G392" s="7">
        <f>VLOOKUP(B392,Vlookup!$A$1:$B$30,2,0)</f>
        <v>2.9131157743633094</v>
      </c>
      <c r="H392" s="7">
        <f>VLOOKUP(C392,Vlookup!$A$1:$B$30,2,0)</f>
        <v>1.1613557664474019</v>
      </c>
      <c r="I392" s="7">
        <f>VLOOKUP(D392,Vlookup!$A$1:$B$30,2,0)</f>
        <v>1.2266517321719024</v>
      </c>
      <c r="J392" s="7">
        <f>VLOOKUP(E392,Vlookup!$A$1:$B$30,2,0)</f>
        <v>1.8243208303594776</v>
      </c>
      <c r="K392" s="7">
        <f>VLOOKUP(F392,Vlookup!$A$1:$B$30,2,0)</f>
        <v>1.3601242124324544</v>
      </c>
      <c r="L392" s="7">
        <f t="shared" si="7"/>
        <v>10.297317195911139</v>
      </c>
      <c r="M392" s="7">
        <f t="shared" si="8"/>
        <v>3.5348122057255758</v>
      </c>
      <c r="N392" s="7">
        <f t="shared" si="9"/>
        <v>3.0436945403376261</v>
      </c>
      <c r="O392" s="7">
        <f t="shared" si="10"/>
        <v>2.4813029326168055</v>
      </c>
      <c r="P392" s="7">
        <f t="shared" si="11"/>
        <v>1.3601242124324544</v>
      </c>
      <c r="Q392">
        <v>1</v>
      </c>
      <c r="R392" s="7">
        <f t="shared" si="12"/>
        <v>21.717251087023602</v>
      </c>
      <c r="S392" s="7">
        <f>VLOOKUP($A392,Rotations!$A$1:$X$1441,18,0)</f>
        <v>0.16276517647473723</v>
      </c>
      <c r="T392" s="7">
        <f>VLOOKUP($A392,Rotations!$A$1:$X$1441,19,0)</f>
        <v>6.2628746473587987E-2</v>
      </c>
      <c r="U392" s="7">
        <f>VLOOKUP($A392,Rotations!$A$1:$X$1441,20,0)</f>
        <v>4.604634334211459E-2</v>
      </c>
      <c r="V392" s="7">
        <f>VLOOKUP($A392,Rotations!$A$1:$X$1441,21,0)</f>
        <v>0.47415380310558491</v>
      </c>
      <c r="W392" s="7">
        <f>VLOOKUP($A392,Rotations!$A$1:$X$1441,22,0)</f>
        <v>0.11425492677106924</v>
      </c>
      <c r="X392" s="7">
        <f>VLOOKUP($A392,Rotations!$A$1:$X$1441,23,0)</f>
        <v>0.14015100383290596</v>
      </c>
    </row>
    <row r="393" spans="1:24" ht="15.75" customHeight="1" x14ac:dyDescent="0.3">
      <c r="A393">
        <v>384</v>
      </c>
      <c r="B393" t="str">
        <f>Permutations!I385</f>
        <v>p91 - i4:i1</v>
      </c>
      <c r="C393" t="str">
        <f>Permutations!J385</f>
        <v>p11 - i1:i6</v>
      </c>
      <c r="D393" t="str">
        <f>Permutations!K385</f>
        <v>p151 - i6:i5</v>
      </c>
      <c r="E393" t="str">
        <f>Permutations!L385</f>
        <v>p61 - i5:i3</v>
      </c>
      <c r="F393" t="str">
        <f>Permutations!M385</f>
        <v>p21 - i3:i2</v>
      </c>
      <c r="G393" s="7">
        <f>VLOOKUP(B393,Vlookup!$A$1:$B$30,2,0)</f>
        <v>2.9131157743633094</v>
      </c>
      <c r="H393" s="7">
        <f>VLOOKUP(C393,Vlookup!$A$1:$B$30,2,0)</f>
        <v>1.1613557664474019</v>
      </c>
      <c r="I393" s="7">
        <f>VLOOKUP(D393,Vlookup!$A$1:$B$30,2,0)</f>
        <v>1.2266517321719024</v>
      </c>
      <c r="J393" s="7">
        <f>VLOOKUP(E393,Vlookup!$A$1:$B$30,2,0)</f>
        <v>1.9746367445127702</v>
      </c>
      <c r="K393" s="7">
        <f>VLOOKUP(F393,Vlookup!$A$1:$B$30,2,0)</f>
        <v>1.5059827029565431</v>
      </c>
      <c r="L393" s="7">
        <f t="shared" si="7"/>
        <v>12.341032612975926</v>
      </c>
      <c r="M393" s="7">
        <f t="shared" si="8"/>
        <v>4.2363687435914494</v>
      </c>
      <c r="N393" s="7">
        <f t="shared" si="9"/>
        <v>3.6477786273456418</v>
      </c>
      <c r="O393" s="7">
        <f t="shared" si="10"/>
        <v>2.9737687818586505</v>
      </c>
      <c r="P393" s="7">
        <f t="shared" si="11"/>
        <v>1.5059827029565431</v>
      </c>
      <c r="Q393">
        <v>1</v>
      </c>
      <c r="R393" s="7">
        <f t="shared" si="12"/>
        <v>25.704931468728212</v>
      </c>
      <c r="S393" s="7">
        <f>VLOOKUP($A393,Rotations!$A$1:$X$1441,18,0)</f>
        <v>0.16480762645663066</v>
      </c>
      <c r="T393" s="7">
        <f>VLOOKUP($A393,Rotations!$A$1:$X$1441,19,0)</f>
        <v>3.8903040889899577E-2</v>
      </c>
      <c r="U393" s="7">
        <f>VLOOKUP($A393,Rotations!$A$1:$X$1441,20,0)</f>
        <v>5.8587306672599884E-2</v>
      </c>
      <c r="V393" s="7">
        <f>VLOOKUP($A393,Rotations!$A$1:$X$1441,21,0)</f>
        <v>0.48010369636618666</v>
      </c>
      <c r="W393" s="7">
        <f>VLOOKUP($A393,Rotations!$A$1:$X$1441,22,0)</f>
        <v>0.11568864851775393</v>
      </c>
      <c r="X393" s="7">
        <f>VLOOKUP($A393,Rotations!$A$1:$X$1441,23,0)</f>
        <v>0.14190968109692925</v>
      </c>
    </row>
    <row r="394" spans="1:24" ht="15.75" customHeight="1" x14ac:dyDescent="0.3">
      <c r="A394">
        <v>385</v>
      </c>
      <c r="B394" t="str">
        <f>Permutations!I386</f>
        <v>p51 - i4:i2</v>
      </c>
      <c r="C394" t="str">
        <f>Permutations!J386</f>
        <v>p11 - i2:i1</v>
      </c>
      <c r="D394" t="str">
        <f>Permutations!K386</f>
        <v>p8 - i1:i3</v>
      </c>
      <c r="E394" t="str">
        <f>Permutations!L386</f>
        <v>p6 - i3:i5</v>
      </c>
      <c r="F394" t="str">
        <f>Permutations!M386</f>
        <v>p15 - i5:i6</v>
      </c>
      <c r="G394" s="7">
        <f>VLOOKUP(B394,Vlookup!$A$1:$B$30,2,0)</f>
        <v>1.4376356077157479</v>
      </c>
      <c r="H394" s="7">
        <f>VLOOKUP(C394,Vlookup!$A$1:$B$30,2,0)</f>
        <v>1.7440097060445605</v>
      </c>
      <c r="I394" s="7">
        <f>VLOOKUP(D394,Vlookup!$A$1:$B$30,2,0)</f>
        <v>1.1080774401297739</v>
      </c>
      <c r="J394" s="7">
        <f>VLOOKUP(E394,Vlookup!$A$1:$B$30,2,0)</f>
        <v>2.2414716085286912</v>
      </c>
      <c r="K394" s="7">
        <f>VLOOKUP(F394,Vlookup!$A$1:$B$30,2,0)</f>
        <v>1.3219359277692486</v>
      </c>
      <c r="L394" s="7">
        <f t="shared" si="7"/>
        <v>8.2321159686378955</v>
      </c>
      <c r="M394" s="7">
        <f t="shared" si="8"/>
        <v>5.7261491886096669</v>
      </c>
      <c r="N394" s="7">
        <f t="shared" si="9"/>
        <v>3.283324151673821</v>
      </c>
      <c r="O394" s="7">
        <f t="shared" si="10"/>
        <v>2.9630818503888054</v>
      </c>
      <c r="P394" s="7">
        <f t="shared" si="11"/>
        <v>1.3219359277692486</v>
      </c>
      <c r="Q394">
        <v>1</v>
      </c>
      <c r="R394" s="7">
        <f t="shared" si="12"/>
        <v>22.526607087079437</v>
      </c>
      <c r="S394" s="7">
        <f>VLOOKUP($A394,Rotations!$A$1:$X$1441,18,0)</f>
        <v>0.1457531593187433</v>
      </c>
      <c r="T394" s="7">
        <f>VLOOKUP($A394,Rotations!$A$1:$X$1441,19,0)</f>
        <v>0.25419492453854753</v>
      </c>
      <c r="U394" s="7">
        <f>VLOOKUP($A394,Rotations!$A$1:$X$1441,20,0)</f>
        <v>0.13153697931227012</v>
      </c>
      <c r="V394" s="7">
        <f>VLOOKUP($A394,Rotations!$A$1:$X$1441,21,0)</f>
        <v>0.36543967481723344</v>
      </c>
      <c r="W394" s="7">
        <f>VLOOKUP($A394,Rotations!$A$1:$X$1441,22,0)</f>
        <v>5.8683312700360903E-2</v>
      </c>
      <c r="X394" s="7">
        <f>VLOOKUP($A394,Rotations!$A$1:$X$1441,23,0)</f>
        <v>4.4391949312844764E-2</v>
      </c>
    </row>
    <row r="395" spans="1:24" ht="15.75" customHeight="1" x14ac:dyDescent="0.3">
      <c r="A395">
        <v>386</v>
      </c>
      <c r="B395" t="str">
        <f>Permutations!I387</f>
        <v>p51 - i4:i2</v>
      </c>
      <c r="C395" t="str">
        <f>Permutations!J387</f>
        <v>p11 - i2:i1</v>
      </c>
      <c r="D395" t="str">
        <f>Permutations!K387</f>
        <v>p8 - i1:i3</v>
      </c>
      <c r="E395" t="str">
        <f>Permutations!L387</f>
        <v>p13 - i3:i6</v>
      </c>
      <c r="F395" t="str">
        <f>Permutations!M387</f>
        <v>p151 - i6:i5</v>
      </c>
      <c r="G395" s="7">
        <f>VLOOKUP(B395,Vlookup!$A$1:$B$30,2,0)</f>
        <v>1.4376356077157479</v>
      </c>
      <c r="H395" s="7">
        <f>VLOOKUP(C395,Vlookup!$A$1:$B$30,2,0)</f>
        <v>1.7440097060445605</v>
      </c>
      <c r="I395" s="7">
        <f>VLOOKUP(D395,Vlookup!$A$1:$B$30,2,0)</f>
        <v>1.1080774401297739</v>
      </c>
      <c r="J395" s="7">
        <f>VLOOKUP(E395,Vlookup!$A$1:$B$30,2,0)</f>
        <v>2.0145521929129111</v>
      </c>
      <c r="K395" s="7">
        <f>VLOOKUP(F395,Vlookup!$A$1:$B$30,2,0)</f>
        <v>1.2266517321719024</v>
      </c>
      <c r="L395" s="7">
        <f t="shared" si="7"/>
        <v>6.8654282307343157</v>
      </c>
      <c r="M395" s="7">
        <f t="shared" si="8"/>
        <v>4.7754995729709</v>
      </c>
      <c r="N395" s="7">
        <f t="shared" si="9"/>
        <v>2.7382299286635301</v>
      </c>
      <c r="O395" s="7">
        <f t="shared" si="10"/>
        <v>2.471153936987327</v>
      </c>
      <c r="P395" s="7">
        <f t="shared" si="11"/>
        <v>1.2266517321719024</v>
      </c>
      <c r="Q395">
        <v>1</v>
      </c>
      <c r="R395" s="7">
        <f t="shared" si="12"/>
        <v>19.076963401527976</v>
      </c>
      <c r="S395" s="7">
        <f>VLOOKUP($A395,Rotations!$A$1:$X$1441,18,0)</f>
        <v>0.14353594285578022</v>
      </c>
      <c r="T395" s="7">
        <f>VLOOKUP($A395,Rotations!$A$1:$X$1441,19,0)</f>
        <v>0.25032807750673802</v>
      </c>
      <c r="U395" s="7">
        <f>VLOOKUP($A395,Rotations!$A$1:$X$1441,20,0)</f>
        <v>0.12953602127209612</v>
      </c>
      <c r="V395" s="7">
        <f>VLOOKUP($A395,Rotations!$A$1:$X$1441,21,0)</f>
        <v>0.35988055783471423</v>
      </c>
      <c r="W395" s="7">
        <f>VLOOKUP($A395,Rotations!$A$1:$X$1441,22,0)</f>
        <v>5.2419244035447732E-2</v>
      </c>
      <c r="X395" s="7">
        <f>VLOOKUP($A395,Rotations!$A$1:$X$1441,23,0)</f>
        <v>6.4300156495223623E-2</v>
      </c>
    </row>
    <row r="396" spans="1:24" ht="15.75" customHeight="1" x14ac:dyDescent="0.3">
      <c r="A396">
        <v>387</v>
      </c>
      <c r="B396" t="str">
        <f>Permutations!I388</f>
        <v>p51 - i4:i2</v>
      </c>
      <c r="C396" t="str">
        <f>Permutations!J388</f>
        <v>p11 - i2:i1</v>
      </c>
      <c r="D396" t="str">
        <f>Permutations!K388</f>
        <v>p10 - i1:i5</v>
      </c>
      <c r="E396" t="str">
        <f>Permutations!L388</f>
        <v>p61 - i5:i3</v>
      </c>
      <c r="F396" t="str">
        <f>Permutations!M388</f>
        <v>p13 - i3:i6</v>
      </c>
      <c r="G396" s="7">
        <f>VLOOKUP(B396,Vlookup!$A$1:$B$30,2,0)</f>
        <v>1.4376356077157479</v>
      </c>
      <c r="H396" s="7">
        <f>VLOOKUP(C396,Vlookup!$A$1:$B$30,2,0)</f>
        <v>1.7440097060445605</v>
      </c>
      <c r="I396" s="7">
        <f>VLOOKUP(D396,Vlookup!$A$1:$B$30,2,0)</f>
        <v>1.0847108741813811</v>
      </c>
      <c r="J396" s="7">
        <f>VLOOKUP(E396,Vlookup!$A$1:$B$30,2,0)</f>
        <v>1.9746367445127702</v>
      </c>
      <c r="K396" s="7">
        <f>VLOOKUP(F396,Vlookup!$A$1:$B$30,2,0)</f>
        <v>2.0145521929129111</v>
      </c>
      <c r="L396" s="7">
        <f t="shared" si="7"/>
        <v>10.818759093990939</v>
      </c>
      <c r="M396" s="7">
        <f t="shared" si="8"/>
        <v>7.525383369698817</v>
      </c>
      <c r="N396" s="7">
        <f t="shared" si="9"/>
        <v>4.3149893854469976</v>
      </c>
      <c r="O396" s="7">
        <f t="shared" si="10"/>
        <v>3.9780087838646128</v>
      </c>
      <c r="P396" s="7">
        <f t="shared" si="11"/>
        <v>2.0145521929129111</v>
      </c>
      <c r="Q396">
        <v>1</v>
      </c>
      <c r="R396" s="7">
        <f t="shared" si="12"/>
        <v>29.651692825914282</v>
      </c>
      <c r="S396" s="7">
        <f>VLOOKUP($A396,Rotations!$A$1:$X$1441,18,0)</f>
        <v>0.14552253089833325</v>
      </c>
      <c r="T396" s="7">
        <f>VLOOKUP($A396,Rotations!$A$1:$X$1441,19,0)</f>
        <v>0.25379270633486267</v>
      </c>
      <c r="U396" s="7">
        <f>VLOOKUP($A396,Rotations!$A$1:$X$1441,20,0)</f>
        <v>6.7940545746928843E-2</v>
      </c>
      <c r="V396" s="7">
        <f>VLOOKUP($A396,Rotations!$A$1:$X$1441,21,0)</f>
        <v>0.36486143160554452</v>
      </c>
      <c r="W396" s="7">
        <f>VLOOKUP($A396,Rotations!$A$1:$X$1441,22,0)</f>
        <v>0.1341578980741365</v>
      </c>
      <c r="X396" s="7">
        <f>VLOOKUP($A396,Rotations!$A$1:$X$1441,23,0)</f>
        <v>3.3724887340194076E-2</v>
      </c>
    </row>
    <row r="397" spans="1:24" ht="15.75" customHeight="1" x14ac:dyDescent="0.3">
      <c r="A397">
        <v>388</v>
      </c>
      <c r="B397" t="str">
        <f>Permutations!I389</f>
        <v>p51 - i4:i2</v>
      </c>
      <c r="C397" t="str">
        <f>Permutations!J389</f>
        <v>p11 - i2:i1</v>
      </c>
      <c r="D397" t="str">
        <f>Permutations!K389</f>
        <v>p10 - i1:i5</v>
      </c>
      <c r="E397" t="str">
        <f>Permutations!L389</f>
        <v>p15 - i5:i6</v>
      </c>
      <c r="F397" t="str">
        <f>Permutations!M389</f>
        <v>p131 - i6:i3</v>
      </c>
      <c r="G397" s="7">
        <f>VLOOKUP(B397,Vlookup!$A$1:$B$30,2,0)</f>
        <v>1.4376356077157479</v>
      </c>
      <c r="H397" s="7">
        <f>VLOOKUP(C397,Vlookup!$A$1:$B$30,2,0)</f>
        <v>1.7440097060445605</v>
      </c>
      <c r="I397" s="7">
        <f>VLOOKUP(D397,Vlookup!$A$1:$B$30,2,0)</f>
        <v>1.0847108741813811</v>
      </c>
      <c r="J397" s="7">
        <f>VLOOKUP(E397,Vlookup!$A$1:$B$30,2,0)</f>
        <v>1.3219359277692486</v>
      </c>
      <c r="K397" s="7">
        <f>VLOOKUP(F397,Vlookup!$A$1:$B$30,2,0)</f>
        <v>1.4032439022773779</v>
      </c>
      <c r="L397" s="7">
        <f t="shared" si="7"/>
        <v>5.0449315988157313</v>
      </c>
      <c r="M397" s="7">
        <f t="shared" si="8"/>
        <v>3.5091865920263334</v>
      </c>
      <c r="N397" s="7">
        <f t="shared" si="9"/>
        <v>2.0121370769118134</v>
      </c>
      <c r="O397" s="7">
        <f t="shared" si="10"/>
        <v>1.8549985298435865</v>
      </c>
      <c r="P397" s="7">
        <f t="shared" si="11"/>
        <v>1.4032439022773779</v>
      </c>
      <c r="Q397">
        <v>1</v>
      </c>
      <c r="R397" s="7">
        <f t="shared" si="12"/>
        <v>14.824497699874842</v>
      </c>
      <c r="S397" s="7">
        <f>VLOOKUP($A397,Rotations!$A$1:$X$1441,18,0)</f>
        <v>0.13573053992438483</v>
      </c>
      <c r="T397" s="7">
        <f>VLOOKUP($A397,Rotations!$A$1:$X$1441,19,0)</f>
        <v>0.23671537903479592</v>
      </c>
      <c r="U397" s="7">
        <f>VLOOKUP($A397,Rotations!$A$1:$X$1441,20,0)</f>
        <v>6.7455911171171931E-2</v>
      </c>
      <c r="V397" s="7">
        <f>VLOOKUP($A397,Rotations!$A$1:$X$1441,21,0)</f>
        <v>0.34031045779435237</v>
      </c>
      <c r="W397" s="7">
        <f>VLOOKUP($A397,Rotations!$A$1:$X$1441,22,0)</f>
        <v>0.12513061605178349</v>
      </c>
      <c r="X397" s="7">
        <f>VLOOKUP($A397,Rotations!$A$1:$X$1441,23,0)</f>
        <v>9.4657096023511481E-2</v>
      </c>
    </row>
    <row r="398" spans="1:24" ht="15.75" customHeight="1" x14ac:dyDescent="0.3">
      <c r="A398">
        <v>389</v>
      </c>
      <c r="B398" t="str">
        <f>Permutations!I390</f>
        <v>p51 - i4:i2</v>
      </c>
      <c r="C398" t="str">
        <f>Permutations!J390</f>
        <v>p11 - i2:i1</v>
      </c>
      <c r="D398" t="str">
        <f>Permutations!K390</f>
        <v>p11 - i1:i6</v>
      </c>
      <c r="E398" t="str">
        <f>Permutations!L390</f>
        <v>p131 - i6:i3</v>
      </c>
      <c r="F398" t="str">
        <f>Permutations!M390</f>
        <v>p6 - i3:i5</v>
      </c>
      <c r="G398" s="7">
        <f>VLOOKUP(B398,Vlookup!$A$1:$B$30,2,0)</f>
        <v>1.4376356077157479</v>
      </c>
      <c r="H398" s="7">
        <f>VLOOKUP(C398,Vlookup!$A$1:$B$30,2,0)</f>
        <v>1.7440097060445605</v>
      </c>
      <c r="I398" s="7">
        <f>VLOOKUP(D398,Vlookup!$A$1:$B$30,2,0)</f>
        <v>1.1613557664474019</v>
      </c>
      <c r="J398" s="7">
        <f>VLOOKUP(E398,Vlookup!$A$1:$B$30,2,0)</f>
        <v>1.4032439022773779</v>
      </c>
      <c r="K398" s="7">
        <f>VLOOKUP(F398,Vlookup!$A$1:$B$30,2,0)</f>
        <v>2.2414716085286912</v>
      </c>
      <c r="L398" s="7">
        <f t="shared" si="7"/>
        <v>9.1586066107362161</v>
      </c>
      <c r="M398" s="7">
        <f t="shared" si="8"/>
        <v>6.3706036227693899</v>
      </c>
      <c r="N398" s="7">
        <f t="shared" si="9"/>
        <v>3.6528487202161348</v>
      </c>
      <c r="O398" s="7">
        <f t="shared" si="10"/>
        <v>3.1453313667957521</v>
      </c>
      <c r="P398" s="7">
        <f t="shared" si="11"/>
        <v>2.2414716085286912</v>
      </c>
      <c r="Q398">
        <v>1</v>
      </c>
      <c r="R398" s="7">
        <f t="shared" si="12"/>
        <v>25.568861929046182</v>
      </c>
      <c r="S398" s="7">
        <f>VLOOKUP($A398,Rotations!$A$1:$X$1441,18,0)</f>
        <v>0.1428631720235661</v>
      </c>
      <c r="T398" s="7">
        <f>VLOOKUP($A398,Rotations!$A$1:$X$1441,19,0)</f>
        <v>0.24915475864541298</v>
      </c>
      <c r="U398" s="7">
        <f>VLOOKUP($A398,Rotations!$A$1:$X$1441,20,0)</f>
        <v>8.7664113277657593E-2</v>
      </c>
      <c r="V398" s="7">
        <f>VLOOKUP($A398,Rotations!$A$1:$X$1441,21,0)</f>
        <v>0.35819375286046873</v>
      </c>
      <c r="W398" s="7">
        <f>VLOOKUP($A398,Rotations!$A$1:$X$1441,22,0)</f>
        <v>3.9110070787468323E-2</v>
      </c>
      <c r="X398" s="7">
        <f>VLOOKUP($A398,Rotations!$A$1:$X$1441,23,0)</f>
        <v>0.12301413240542636</v>
      </c>
    </row>
    <row r="399" spans="1:24" ht="15.75" customHeight="1" x14ac:dyDescent="0.3">
      <c r="A399">
        <v>390</v>
      </c>
      <c r="B399" t="str">
        <f>Permutations!I391</f>
        <v>p51 - i4:i2</v>
      </c>
      <c r="C399" t="str">
        <f>Permutations!J391</f>
        <v>p11 - i2:i1</v>
      </c>
      <c r="D399" t="str">
        <f>Permutations!K391</f>
        <v>p11 - i1:i6</v>
      </c>
      <c r="E399" t="str">
        <f>Permutations!L391</f>
        <v>p151 - i6:i5</v>
      </c>
      <c r="F399" t="str">
        <f>Permutations!M391</f>
        <v>p61 - i5:i3</v>
      </c>
      <c r="G399" s="7">
        <f>VLOOKUP(B399,Vlookup!$A$1:$B$30,2,0)</f>
        <v>1.4376356077157479</v>
      </c>
      <c r="H399" s="7">
        <f>VLOOKUP(C399,Vlookup!$A$1:$B$30,2,0)</f>
        <v>1.7440097060445605</v>
      </c>
      <c r="I399" s="7">
        <f>VLOOKUP(D399,Vlookup!$A$1:$B$30,2,0)</f>
        <v>1.1613557664474019</v>
      </c>
      <c r="J399" s="7">
        <f>VLOOKUP(E399,Vlookup!$A$1:$B$30,2,0)</f>
        <v>1.2266517321719024</v>
      </c>
      <c r="K399" s="7">
        <f>VLOOKUP(F399,Vlookup!$A$1:$B$30,2,0)</f>
        <v>1.9746367445127702</v>
      </c>
      <c r="L399" s="7">
        <f t="shared" si="7"/>
        <v>7.0529611217864616</v>
      </c>
      <c r="M399" s="7">
        <f t="shared" si="8"/>
        <v>4.9059449306440568</v>
      </c>
      <c r="N399" s="7">
        <f t="shared" si="9"/>
        <v>2.8130261624350772</v>
      </c>
      <c r="O399" s="7">
        <f t="shared" si="10"/>
        <v>2.4221915830668759</v>
      </c>
      <c r="P399" s="7">
        <f t="shared" si="11"/>
        <v>1.9746367445127702</v>
      </c>
      <c r="Q399">
        <v>1</v>
      </c>
      <c r="R399" s="7">
        <f t="shared" si="12"/>
        <v>20.168760542445241</v>
      </c>
      <c r="S399" s="7">
        <f>VLOOKUP($A399,Rotations!$A$1:$X$1441,18,0)</f>
        <v>0.13947441918976883</v>
      </c>
      <c r="T399" s="7">
        <f>VLOOKUP($A399,Rotations!$A$1:$X$1441,19,0)</f>
        <v>0.24324474081188455</v>
      </c>
      <c r="U399" s="7">
        <f>VLOOKUP($A399,Rotations!$A$1:$X$1441,20,0)</f>
        <v>4.958162887082207E-2</v>
      </c>
      <c r="V399" s="7">
        <f>VLOOKUP($A399,Rotations!$A$1:$X$1441,21,0)</f>
        <v>0.34969730078075323</v>
      </c>
      <c r="W399" s="7">
        <f>VLOOKUP($A399,Rotations!$A$1:$X$1441,22,0)</f>
        <v>9.7905706221120464E-2</v>
      </c>
      <c r="X399" s="7">
        <f>VLOOKUP($A399,Rotations!$A$1:$X$1441,23,0)</f>
        <v>0.12009620412565084</v>
      </c>
    </row>
    <row r="400" spans="1:24" ht="15.75" customHeight="1" x14ac:dyDescent="0.3">
      <c r="A400">
        <v>391</v>
      </c>
      <c r="B400" t="str">
        <f>Permutations!I392</f>
        <v>p51 - i4:i2</v>
      </c>
      <c r="C400" t="str">
        <f>Permutations!J392</f>
        <v>p2 - i2:i3</v>
      </c>
      <c r="D400" t="str">
        <f>Permutations!K392</f>
        <v>p81 - i3:i1</v>
      </c>
      <c r="E400" t="str">
        <f>Permutations!L392</f>
        <v>p10 - i1:i5</v>
      </c>
      <c r="F400" t="str">
        <f>Permutations!M392</f>
        <v>p15 - i5:i6</v>
      </c>
      <c r="G400" s="7">
        <f>VLOOKUP(B400,Vlookup!$A$1:$B$30,2,0)</f>
        <v>1.4376356077157479</v>
      </c>
      <c r="H400" s="7">
        <f>VLOOKUP(C400,Vlookup!$A$1:$B$30,2,0)</f>
        <v>1.3601242124324544</v>
      </c>
      <c r="I400" s="7">
        <f>VLOOKUP(D400,Vlookup!$A$1:$B$30,2,0)</f>
        <v>1.7021844231989158</v>
      </c>
      <c r="J400" s="7">
        <f>VLOOKUP(E400,Vlookup!$A$1:$B$30,2,0)</f>
        <v>1.0847108741813811</v>
      </c>
      <c r="K400" s="7">
        <f>VLOOKUP(F400,Vlookup!$A$1:$B$30,2,0)</f>
        <v>1.3219359277692486</v>
      </c>
      <c r="L400" s="7">
        <f t="shared" si="7"/>
        <v>4.7726370104308327</v>
      </c>
      <c r="M400" s="7">
        <f t="shared" si="8"/>
        <v>3.31978213729281</v>
      </c>
      <c r="N400" s="7">
        <f t="shared" si="9"/>
        <v>2.4407933532450623</v>
      </c>
      <c r="O400" s="7">
        <f t="shared" si="10"/>
        <v>1.4339182758223568</v>
      </c>
      <c r="P400" s="7">
        <f t="shared" si="11"/>
        <v>1.3219359277692486</v>
      </c>
      <c r="Q400">
        <v>1</v>
      </c>
      <c r="R400" s="7">
        <f t="shared" si="12"/>
        <v>14.289066704560311</v>
      </c>
      <c r="S400" s="7">
        <f>VLOOKUP($A400,Rotations!$A$1:$X$1441,18,0)</f>
        <v>0.10035073007005603</v>
      </c>
      <c r="T400" s="7">
        <f>VLOOKUP($A400,Rotations!$A$1:$X$1441,19,0)</f>
        <v>0.23233022883386162</v>
      </c>
      <c r="U400" s="7">
        <f>VLOOKUP($A400,Rotations!$A$1:$X$1441,20,0)</f>
        <v>0.17081544958188843</v>
      </c>
      <c r="V400" s="7">
        <f>VLOOKUP($A400,Rotations!$A$1:$X$1441,21,0)</f>
        <v>0.33400620972030737</v>
      </c>
      <c r="W400" s="7">
        <f>VLOOKUP($A400,Rotations!$A$1:$X$1441,22,0)</f>
        <v>9.2513804792258195E-2</v>
      </c>
      <c r="X400" s="7">
        <f>VLOOKUP($A400,Rotations!$A$1:$X$1441,23,0)</f>
        <v>6.9983577001628328E-2</v>
      </c>
    </row>
    <row r="401" spans="1:24" ht="15.75" customHeight="1" x14ac:dyDescent="0.3">
      <c r="A401">
        <v>392</v>
      </c>
      <c r="B401" t="str">
        <f>Permutations!I393</f>
        <v>p51 - i4:i2</v>
      </c>
      <c r="C401" t="str">
        <f>Permutations!J393</f>
        <v>p2 - i2:i3</v>
      </c>
      <c r="D401" t="str">
        <f>Permutations!K393</f>
        <v>p81 - i3:i1</v>
      </c>
      <c r="E401" t="str">
        <f>Permutations!L393</f>
        <v>p11 - i1:i6</v>
      </c>
      <c r="F401" t="str">
        <f>Permutations!M393</f>
        <v>p151 - i6:i5</v>
      </c>
      <c r="G401" s="7">
        <f>VLOOKUP(B401,Vlookup!$A$1:$B$30,2,0)</f>
        <v>1.4376356077157479</v>
      </c>
      <c r="H401" s="7">
        <f>VLOOKUP(C401,Vlookup!$A$1:$B$30,2,0)</f>
        <v>1.3601242124324544</v>
      </c>
      <c r="I401" s="7">
        <f>VLOOKUP(D401,Vlookup!$A$1:$B$30,2,0)</f>
        <v>1.7021844231989158</v>
      </c>
      <c r="J401" s="7">
        <f>VLOOKUP(E401,Vlookup!$A$1:$B$30,2,0)</f>
        <v>1.1613557664474019</v>
      </c>
      <c r="K401" s="7">
        <f>VLOOKUP(F401,Vlookup!$A$1:$B$30,2,0)</f>
        <v>1.2266517321719024</v>
      </c>
      <c r="L401" s="7">
        <f t="shared" si="7"/>
        <v>4.7415524810557743</v>
      </c>
      <c r="M401" s="7">
        <f t="shared" si="8"/>
        <v>3.2981601565848826</v>
      </c>
      <c r="N401" s="7">
        <f t="shared" si="9"/>
        <v>2.4248962899398965</v>
      </c>
      <c r="O401" s="7">
        <f t="shared" si="10"/>
        <v>1.4245790625805328</v>
      </c>
      <c r="P401" s="7">
        <f t="shared" si="11"/>
        <v>1.2266517321719024</v>
      </c>
      <c r="Q401">
        <v>1</v>
      </c>
      <c r="R401" s="7">
        <f t="shared" si="12"/>
        <v>14.115839722332987</v>
      </c>
      <c r="S401" s="7">
        <f>VLOOKUP($A401,Rotations!$A$1:$X$1441,18,0)</f>
        <v>0.10092060342160689</v>
      </c>
      <c r="T401" s="7">
        <f>VLOOKUP($A401,Rotations!$A$1:$X$1441,19,0)</f>
        <v>0.2336495895009908</v>
      </c>
      <c r="U401" s="7">
        <f>VLOOKUP($A401,Rotations!$A$1:$X$1441,20,0)</f>
        <v>0.17178547912409445</v>
      </c>
      <c r="V401" s="7">
        <f>VLOOKUP($A401,Rotations!$A$1:$X$1441,21,0)</f>
        <v>0.33590296959479199</v>
      </c>
      <c r="W401" s="7">
        <f>VLOOKUP($A401,Rotations!$A$1:$X$1441,22,0)</f>
        <v>7.0842402554194314E-2</v>
      </c>
      <c r="X401" s="7">
        <f>VLOOKUP($A401,Rotations!$A$1:$X$1441,23,0)</f>
        <v>8.6898955804321651E-2</v>
      </c>
    </row>
    <row r="402" spans="1:24" ht="15.75" customHeight="1" x14ac:dyDescent="0.3">
      <c r="A402">
        <v>393</v>
      </c>
      <c r="B402" t="str">
        <f>Permutations!I394</f>
        <v>p51 - i4:i2</v>
      </c>
      <c r="C402" t="str">
        <f>Permutations!J394</f>
        <v>p2 - i2:i3</v>
      </c>
      <c r="D402" t="str">
        <f>Permutations!K394</f>
        <v>p6 - i3:i5</v>
      </c>
      <c r="E402" t="str">
        <f>Permutations!L394</f>
        <v>p101 - i5:i1</v>
      </c>
      <c r="F402" t="str">
        <f>Permutations!M394</f>
        <v>p11 - i1:i6</v>
      </c>
      <c r="G402" s="7">
        <f>VLOOKUP(B402,Vlookup!$A$1:$B$30,2,0)</f>
        <v>1.4376356077157479</v>
      </c>
      <c r="H402" s="7">
        <f>VLOOKUP(C402,Vlookup!$A$1:$B$30,2,0)</f>
        <v>1.3601242124324544</v>
      </c>
      <c r="I402" s="7">
        <f>VLOOKUP(D402,Vlookup!$A$1:$B$30,2,0)</f>
        <v>2.2414716085286912</v>
      </c>
      <c r="J402" s="7">
        <f>VLOOKUP(E402,Vlookup!$A$1:$B$30,2,0)</f>
        <v>1.530542412441888</v>
      </c>
      <c r="K402" s="7">
        <f>VLOOKUP(F402,Vlookup!$A$1:$B$30,2,0)</f>
        <v>1.1613557664474019</v>
      </c>
      <c r="L402" s="7">
        <f t="shared" si="7"/>
        <v>7.7906067789131184</v>
      </c>
      <c r="M402" s="7">
        <f t="shared" si="8"/>
        <v>5.4190413322410507</v>
      </c>
      <c r="N402" s="7">
        <f t="shared" si="9"/>
        <v>3.9842253249426416</v>
      </c>
      <c r="O402" s="7">
        <f t="shared" si="10"/>
        <v>1.7775042564817045</v>
      </c>
      <c r="P402" s="7">
        <f t="shared" si="11"/>
        <v>1.1613557664474019</v>
      </c>
      <c r="Q402">
        <v>1</v>
      </c>
      <c r="R402" s="7">
        <f t="shared" si="12"/>
        <v>21.132733459025921</v>
      </c>
      <c r="S402" s="7">
        <f>VLOOKUP($A402,Rotations!$A$1:$X$1441,18,0)</f>
        <v>5.4955302810170997E-2</v>
      </c>
      <c r="T402" s="7">
        <f>VLOOKUP($A402,Rotations!$A$1:$X$1441,19,0)</f>
        <v>0.25642879293149579</v>
      </c>
      <c r="U402" s="7">
        <f>VLOOKUP($A402,Rotations!$A$1:$X$1441,20,0)</f>
        <v>0.18853336378219232</v>
      </c>
      <c r="V402" s="7">
        <f>VLOOKUP($A402,Rotations!$A$1:$X$1441,21,0)</f>
        <v>0.3686511635618866</v>
      </c>
      <c r="W402" s="7">
        <f>VLOOKUP($A402,Rotations!$A$1:$X$1441,22,0)</f>
        <v>8.4111421739553591E-2</v>
      </c>
      <c r="X402" s="7">
        <f>VLOOKUP($A402,Rotations!$A$1:$X$1441,23,0)</f>
        <v>4.7319955174700501E-2</v>
      </c>
    </row>
    <row r="403" spans="1:24" ht="15.75" customHeight="1" x14ac:dyDescent="0.3">
      <c r="A403">
        <v>394</v>
      </c>
      <c r="B403" t="str">
        <f>Permutations!I395</f>
        <v>p51 - i4:i2</v>
      </c>
      <c r="C403" t="str">
        <f>Permutations!J395</f>
        <v>p2 - i2:i3</v>
      </c>
      <c r="D403" t="str">
        <f>Permutations!K395</f>
        <v>p6 - i3:i5</v>
      </c>
      <c r="E403" t="str">
        <f>Permutations!L395</f>
        <v>p15 - i5:i6</v>
      </c>
      <c r="F403" t="str">
        <f>Permutations!M395</f>
        <v>p111 - i6:i1</v>
      </c>
      <c r="G403" s="7">
        <f>VLOOKUP(B403,Vlookup!$A$1:$B$30,2,0)</f>
        <v>1.4376356077157479</v>
      </c>
      <c r="H403" s="7">
        <f>VLOOKUP(C403,Vlookup!$A$1:$B$30,2,0)</f>
        <v>1.3601242124324544</v>
      </c>
      <c r="I403" s="7">
        <f>VLOOKUP(D403,Vlookup!$A$1:$B$30,2,0)</f>
        <v>2.2414716085286912</v>
      </c>
      <c r="J403" s="7">
        <f>VLOOKUP(E403,Vlookup!$A$1:$B$30,2,0)</f>
        <v>1.3219359277692486</v>
      </c>
      <c r="K403" s="7">
        <f>VLOOKUP(F403,Vlookup!$A$1:$B$30,2,0)</f>
        <v>1.6397534939100344</v>
      </c>
      <c r="L403" s="7">
        <f t="shared" si="7"/>
        <v>9.5005687725457371</v>
      </c>
      <c r="M403" s="7">
        <f t="shared" si="8"/>
        <v>6.6084679049103014</v>
      </c>
      <c r="N403" s="7">
        <f t="shared" si="9"/>
        <v>4.8587238169164539</v>
      </c>
      <c r="O403" s="7">
        <f t="shared" si="10"/>
        <v>2.1676490562848283</v>
      </c>
      <c r="P403" s="7">
        <f t="shared" si="11"/>
        <v>1.6397534939100344</v>
      </c>
      <c r="Q403">
        <v>1</v>
      </c>
      <c r="R403" s="7">
        <f t="shared" si="12"/>
        <v>25.775163044567357</v>
      </c>
      <c r="S403" s="7">
        <f>VLOOKUP($A403,Rotations!$A$1:$X$1441,18,0)</f>
        <v>3.8797038772205576E-2</v>
      </c>
      <c r="T403" s="7">
        <f>VLOOKUP($A403,Rotations!$A$1:$X$1441,19,0)</f>
        <v>0.2563889855316811</v>
      </c>
      <c r="U403" s="7">
        <f>VLOOKUP($A403,Rotations!$A$1:$X$1441,20,0)</f>
        <v>0.18850409630834633</v>
      </c>
      <c r="V403" s="7">
        <f>VLOOKUP($A403,Rotations!$A$1:$X$1441,21,0)</f>
        <v>0.36859393502646248</v>
      </c>
      <c r="W403" s="7">
        <f>VLOOKUP($A403,Rotations!$A$1:$X$1441,22,0)</f>
        <v>8.4098364481217311E-2</v>
      </c>
      <c r="X403" s="7">
        <f>VLOOKUP($A403,Rotations!$A$1:$X$1441,23,0)</f>
        <v>6.3617579880087163E-2</v>
      </c>
    </row>
    <row r="404" spans="1:24" ht="15.75" customHeight="1" x14ac:dyDescent="0.3">
      <c r="A404">
        <v>395</v>
      </c>
      <c r="B404" t="str">
        <f>Permutations!I396</f>
        <v>p51 - i4:i2</v>
      </c>
      <c r="C404" t="str">
        <f>Permutations!J396</f>
        <v>p2 - i2:i3</v>
      </c>
      <c r="D404" t="str">
        <f>Permutations!K396</f>
        <v>p13 - i3:i6</v>
      </c>
      <c r="E404" t="str">
        <f>Permutations!L396</f>
        <v>p111 - i6:i1</v>
      </c>
      <c r="F404" t="str">
        <f>Permutations!M396</f>
        <v>p10 - i1:i5</v>
      </c>
      <c r="G404" s="7">
        <f>VLOOKUP(B404,Vlookup!$A$1:$B$30,2,0)</f>
        <v>1.4376356077157479</v>
      </c>
      <c r="H404" s="7">
        <f>VLOOKUP(C404,Vlookup!$A$1:$B$30,2,0)</f>
        <v>1.3601242124324544</v>
      </c>
      <c r="I404" s="7">
        <f>VLOOKUP(D404,Vlookup!$A$1:$B$30,2,0)</f>
        <v>2.0145521929129111</v>
      </c>
      <c r="J404" s="7">
        <f>VLOOKUP(E404,Vlookup!$A$1:$B$30,2,0)</f>
        <v>1.6397534939100344</v>
      </c>
      <c r="K404" s="7">
        <f>VLOOKUP(F404,Vlookup!$A$1:$B$30,2,0)</f>
        <v>1.0847108741813811</v>
      </c>
      <c r="L404" s="7">
        <f t="shared" si="7"/>
        <v>7.0064572297566405</v>
      </c>
      <c r="M404" s="7">
        <f t="shared" si="8"/>
        <v>4.873597448583765</v>
      </c>
      <c r="N404" s="7">
        <f t="shared" si="9"/>
        <v>3.5832002724720224</v>
      </c>
      <c r="O404" s="7">
        <f t="shared" si="10"/>
        <v>1.7786584458211274</v>
      </c>
      <c r="P404" s="7">
        <f t="shared" si="11"/>
        <v>1.0847108741813811</v>
      </c>
      <c r="Q404">
        <v>1</v>
      </c>
      <c r="R404" s="7">
        <f t="shared" si="12"/>
        <v>19.326624270814936</v>
      </c>
      <c r="S404" s="7">
        <f>VLOOKUP($A404,Rotations!$A$1:$X$1441,18,0)</f>
        <v>5.6125211468999223E-2</v>
      </c>
      <c r="T404" s="7">
        <f>VLOOKUP($A404,Rotations!$A$1:$X$1441,19,0)</f>
        <v>0.25217013485088374</v>
      </c>
      <c r="U404" s="7">
        <f>VLOOKUP($A404,Rotations!$A$1:$X$1441,20,0)</f>
        <v>0.18540228351637178</v>
      </c>
      <c r="V404" s="7">
        <f>VLOOKUP($A404,Rotations!$A$1:$X$1441,21,0)</f>
        <v>0.36252876506411241</v>
      </c>
      <c r="W404" s="7">
        <f>VLOOKUP($A404,Rotations!$A$1:$X$1441,22,0)</f>
        <v>5.1742093496901904E-2</v>
      </c>
      <c r="X404" s="7">
        <f>VLOOKUP($A404,Rotations!$A$1:$X$1441,23,0)</f>
        <v>9.2031511602731E-2</v>
      </c>
    </row>
    <row r="405" spans="1:24" ht="15.75" customHeight="1" x14ac:dyDescent="0.3">
      <c r="A405">
        <v>396</v>
      </c>
      <c r="B405" t="str">
        <f>Permutations!I397</f>
        <v>p51 - i4:i2</v>
      </c>
      <c r="C405" t="str">
        <f>Permutations!J397</f>
        <v>p2 - i2:i3</v>
      </c>
      <c r="D405" t="str">
        <f>Permutations!K397</f>
        <v>p13 - i3:i6</v>
      </c>
      <c r="E405" t="str">
        <f>Permutations!L397</f>
        <v>p151 - i6:i5</v>
      </c>
      <c r="F405" t="str">
        <f>Permutations!M397</f>
        <v>p101 - i5:i1</v>
      </c>
      <c r="G405" s="7">
        <f>VLOOKUP(B405,Vlookup!$A$1:$B$30,2,0)</f>
        <v>1.4376356077157479</v>
      </c>
      <c r="H405" s="7">
        <f>VLOOKUP(C405,Vlookup!$A$1:$B$30,2,0)</f>
        <v>1.3601242124324544</v>
      </c>
      <c r="I405" s="7">
        <f>VLOOKUP(D405,Vlookup!$A$1:$B$30,2,0)</f>
        <v>2.0145521929129111</v>
      </c>
      <c r="J405" s="7">
        <f>VLOOKUP(E405,Vlookup!$A$1:$B$30,2,0)</f>
        <v>1.2266517321719024</v>
      </c>
      <c r="K405" s="7">
        <f>VLOOKUP(F405,Vlookup!$A$1:$B$30,2,0)</f>
        <v>1.530542412441888</v>
      </c>
      <c r="L405" s="7">
        <f t="shared" si="7"/>
        <v>7.3955854864560191</v>
      </c>
      <c r="M405" s="7">
        <f t="shared" si="8"/>
        <v>5.1442698321912239</v>
      </c>
      <c r="N405" s="7">
        <f t="shared" si="9"/>
        <v>3.7822059082318527</v>
      </c>
      <c r="O405" s="7">
        <f t="shared" si="10"/>
        <v>1.8774425013844043</v>
      </c>
      <c r="P405" s="7">
        <f t="shared" si="11"/>
        <v>1.530542412441888</v>
      </c>
      <c r="Q405">
        <v>1</v>
      </c>
      <c r="R405" s="7">
        <f t="shared" si="12"/>
        <v>20.73004614070539</v>
      </c>
      <c r="S405" s="7">
        <f>VLOOKUP($A405,Rotations!$A$1:$X$1441,18,0)</f>
        <v>4.8239159392723503E-2</v>
      </c>
      <c r="T405" s="7">
        <f>VLOOKUP($A405,Rotations!$A$1:$X$1441,19,0)</f>
        <v>0.24815525239425143</v>
      </c>
      <c r="U405" s="7">
        <f>VLOOKUP($A405,Rotations!$A$1:$X$1441,20,0)</f>
        <v>0.18245043366329688</v>
      </c>
      <c r="V405" s="7">
        <f>VLOOKUP($A405,Rotations!$A$1:$X$1441,21,0)</f>
        <v>0.35675682708366446</v>
      </c>
      <c r="W405" s="7">
        <f>VLOOKUP($A405,Rotations!$A$1:$X$1441,22,0)</f>
        <v>7.3832079391107794E-2</v>
      </c>
      <c r="X405" s="7">
        <f>VLOOKUP($A405,Rotations!$A$1:$X$1441,23,0)</f>
        <v>9.0566248074955794E-2</v>
      </c>
    </row>
    <row r="406" spans="1:24" ht="15.75" customHeight="1" x14ac:dyDescent="0.3">
      <c r="A406">
        <v>397</v>
      </c>
      <c r="B406" t="str">
        <f>Permutations!I398</f>
        <v>p51 - i4:i2</v>
      </c>
      <c r="C406" t="str">
        <f>Permutations!J398</f>
        <v>p7 - i2:i5</v>
      </c>
      <c r="D406" t="str">
        <f>Permutations!K398</f>
        <v>p101 - i5:i1</v>
      </c>
      <c r="E406" t="str">
        <f>Permutations!L398</f>
        <v>p8 - i1:i3</v>
      </c>
      <c r="F406" t="str">
        <f>Permutations!M398</f>
        <v>p13 - i3:i6</v>
      </c>
      <c r="G406" s="7">
        <f>VLOOKUP(B406,Vlookup!$A$1:$B$30,2,0)</f>
        <v>1.4376356077157479</v>
      </c>
      <c r="H406" s="7">
        <f>VLOOKUP(C406,Vlookup!$A$1:$B$30,2,0)</f>
        <v>1.7991741228251155</v>
      </c>
      <c r="I406" s="7">
        <f>VLOOKUP(D406,Vlookup!$A$1:$B$30,2,0)</f>
        <v>1.530542412441888</v>
      </c>
      <c r="J406" s="7">
        <f>VLOOKUP(E406,Vlookup!$A$1:$B$30,2,0)</f>
        <v>1.1080774401297739</v>
      </c>
      <c r="K406" s="7">
        <f>VLOOKUP(F406,Vlookup!$A$1:$B$30,2,0)</f>
        <v>2.0145521929129111</v>
      </c>
      <c r="L406" s="7">
        <f t="shared" si="7"/>
        <v>8.837227234077714</v>
      </c>
      <c r="M406" s="7">
        <f t="shared" si="8"/>
        <v>6.1470564492480397</v>
      </c>
      <c r="N406" s="7">
        <f t="shared" si="9"/>
        <v>3.4165989668613914</v>
      </c>
      <c r="O406" s="7">
        <f t="shared" si="10"/>
        <v>2.2322798369307613</v>
      </c>
      <c r="P406" s="7">
        <f t="shared" si="11"/>
        <v>2.0145521929129111</v>
      </c>
      <c r="Q406">
        <v>1</v>
      </c>
      <c r="R406" s="7">
        <f t="shared" si="12"/>
        <v>23.647714680030816</v>
      </c>
      <c r="S406" s="7">
        <f>VLOOKUP($A406,Rotations!$A$1:$X$1441,18,0)</f>
        <v>9.4397275471857653E-2</v>
      </c>
      <c r="T406" s="7">
        <f>VLOOKUP($A406,Rotations!$A$1:$X$1441,19,0)</f>
        <v>0.25994293877534341</v>
      </c>
      <c r="U406" s="7">
        <f>VLOOKUP($A406,Rotations!$A$1:$X$1441,20,0)</f>
        <v>8.5190142902649646E-2</v>
      </c>
      <c r="V406" s="7">
        <f>VLOOKUP($A406,Rotations!$A$1:$X$1441,21,0)</f>
        <v>0.37370322475770829</v>
      </c>
      <c r="W406" s="7">
        <f>VLOOKUP($A406,Rotations!$A$1:$X$1441,22,0)</f>
        <v>0.14447903372863846</v>
      </c>
      <c r="X406" s="7">
        <f>VLOOKUP($A406,Rotations!$A$1:$X$1441,23,0)</f>
        <v>4.2287384363802583E-2</v>
      </c>
    </row>
    <row r="407" spans="1:24" ht="15.75" customHeight="1" x14ac:dyDescent="0.3">
      <c r="A407">
        <v>398</v>
      </c>
      <c r="B407" t="str">
        <f>Permutations!I399</f>
        <v>p51 - i4:i2</v>
      </c>
      <c r="C407" t="str">
        <f>Permutations!J399</f>
        <v>p7 - i2:i5</v>
      </c>
      <c r="D407" t="str">
        <f>Permutations!K399</f>
        <v>p101 - i5:i1</v>
      </c>
      <c r="E407" t="str">
        <f>Permutations!L399</f>
        <v>p11 - i1:i6</v>
      </c>
      <c r="F407" t="str">
        <f>Permutations!M399</f>
        <v>p131 - i6:i3</v>
      </c>
      <c r="G407" s="7">
        <f>VLOOKUP(B407,Vlookup!$A$1:$B$30,2,0)</f>
        <v>1.4376356077157479</v>
      </c>
      <c r="H407" s="7">
        <f>VLOOKUP(C407,Vlookup!$A$1:$B$30,2,0)</f>
        <v>1.7991741228251155</v>
      </c>
      <c r="I407" s="7">
        <f>VLOOKUP(D407,Vlookup!$A$1:$B$30,2,0)</f>
        <v>1.530542412441888</v>
      </c>
      <c r="J407" s="7">
        <f>VLOOKUP(E407,Vlookup!$A$1:$B$30,2,0)</f>
        <v>1.1613557664474019</v>
      </c>
      <c r="K407" s="7">
        <f>VLOOKUP(F407,Vlookup!$A$1:$B$30,2,0)</f>
        <v>1.4032439022773779</v>
      </c>
      <c r="L407" s="7">
        <f t="shared" si="7"/>
        <v>6.4515761851243898</v>
      </c>
      <c r="M407" s="7">
        <f t="shared" si="8"/>
        <v>4.4876296542037304</v>
      </c>
      <c r="N407" s="7">
        <f t="shared" si="9"/>
        <v>2.4942720091800363</v>
      </c>
      <c r="O407" s="7">
        <f t="shared" si="10"/>
        <v>1.6296653976419875</v>
      </c>
      <c r="P407" s="7">
        <f t="shared" si="11"/>
        <v>1.4032439022773779</v>
      </c>
      <c r="Q407">
        <v>1</v>
      </c>
      <c r="R407" s="7">
        <f t="shared" si="12"/>
        <v>17.466387148427522</v>
      </c>
      <c r="S407" s="7">
        <f>VLOOKUP($A407,Rotations!$A$1:$X$1441,18,0)</f>
        <v>9.3302947186115953E-2</v>
      </c>
      <c r="T407" s="7">
        <f>VLOOKUP($A407,Rotations!$A$1:$X$1441,19,0)</f>
        <v>0.25692947351208495</v>
      </c>
      <c r="U407" s="7">
        <f>VLOOKUP($A407,Rotations!$A$1:$X$1441,20,0)</f>
        <v>5.7252824611186338E-2</v>
      </c>
      <c r="V407" s="7">
        <f>VLOOKUP($A407,Rotations!$A$1:$X$1441,21,0)</f>
        <v>0.36937095979263335</v>
      </c>
      <c r="W407" s="7">
        <f>VLOOKUP($A407,Rotations!$A$1:$X$1441,22,0)</f>
        <v>0.14280411787417599</v>
      </c>
      <c r="X407" s="7">
        <f>VLOOKUP($A407,Rotations!$A$1:$X$1441,23,0)</f>
        <v>8.0339677023803416E-2</v>
      </c>
    </row>
    <row r="408" spans="1:24" ht="15.75" customHeight="1" x14ac:dyDescent="0.3">
      <c r="A408">
        <v>399</v>
      </c>
      <c r="B408" t="str">
        <f>Permutations!I400</f>
        <v>p51 - i4:i2</v>
      </c>
      <c r="C408" t="str">
        <f>Permutations!J400</f>
        <v>p7 - i2:i5</v>
      </c>
      <c r="D408" t="str">
        <f>Permutations!K400</f>
        <v>p61 - i5:i3</v>
      </c>
      <c r="E408" t="str">
        <f>Permutations!L400</f>
        <v>p81 - i3:i1</v>
      </c>
      <c r="F408" t="str">
        <f>Permutations!M400</f>
        <v>p11 - i1:i6</v>
      </c>
      <c r="G408" s="7">
        <f>VLOOKUP(B408,Vlookup!$A$1:$B$30,2,0)</f>
        <v>1.4376356077157479</v>
      </c>
      <c r="H408" s="7">
        <f>VLOOKUP(C408,Vlookup!$A$1:$B$30,2,0)</f>
        <v>1.7991741228251155</v>
      </c>
      <c r="I408" s="7">
        <f>VLOOKUP(D408,Vlookup!$A$1:$B$30,2,0)</f>
        <v>1.9746367445127702</v>
      </c>
      <c r="J408" s="7">
        <f>VLOOKUP(E408,Vlookup!$A$1:$B$30,2,0)</f>
        <v>1.7021844231989158</v>
      </c>
      <c r="K408" s="7">
        <f>VLOOKUP(F408,Vlookup!$A$1:$B$30,2,0)</f>
        <v>1.1613557664474019</v>
      </c>
      <c r="L408" s="7">
        <f t="shared" si="7"/>
        <v>10.096738859089072</v>
      </c>
      <c r="M408" s="7">
        <f t="shared" si="8"/>
        <v>7.0231558017206668</v>
      </c>
      <c r="N408" s="7">
        <f t="shared" si="9"/>
        <v>3.9035442498987831</v>
      </c>
      <c r="O408" s="7">
        <f t="shared" si="10"/>
        <v>1.9768416954390056</v>
      </c>
      <c r="P408" s="7">
        <f t="shared" si="11"/>
        <v>1.1613557664474019</v>
      </c>
      <c r="Q408">
        <v>1</v>
      </c>
      <c r="R408" s="7">
        <f t="shared" si="12"/>
        <v>25.161636372594927</v>
      </c>
      <c r="S408" s="7">
        <f>VLOOKUP($A408,Rotations!$A$1:$X$1441,18,0)</f>
        <v>4.6155812334697968E-2</v>
      </c>
      <c r="T408" s="7">
        <f>VLOOKUP($A408,Rotations!$A$1:$X$1441,19,0)</f>
        <v>0.27912158405444626</v>
      </c>
      <c r="U408" s="7">
        <f>VLOOKUP($A408,Rotations!$A$1:$X$1441,20,0)</f>
        <v>7.856570479621526E-2</v>
      </c>
      <c r="V408" s="7">
        <f>VLOOKUP($A408,Rotations!$A$1:$X$1441,21,0)</f>
        <v>0.40127512811869603</v>
      </c>
      <c r="W408" s="7">
        <f>VLOOKUP($A408,Rotations!$A$1:$X$1441,22,0)</f>
        <v>0.15513872754914984</v>
      </c>
      <c r="X408" s="7">
        <f>VLOOKUP($A408,Rotations!$A$1:$X$1441,23,0)</f>
        <v>3.9743043146794735E-2</v>
      </c>
    </row>
    <row r="409" spans="1:24" ht="15.75" customHeight="1" x14ac:dyDescent="0.3">
      <c r="A409">
        <v>400</v>
      </c>
      <c r="B409" t="str">
        <f>Permutations!I401</f>
        <v>p51 - i4:i2</v>
      </c>
      <c r="C409" t="str">
        <f>Permutations!J401</f>
        <v>p7 - i2:i5</v>
      </c>
      <c r="D409" t="str">
        <f>Permutations!K401</f>
        <v>p61 - i5:i3</v>
      </c>
      <c r="E409" t="str">
        <f>Permutations!L401</f>
        <v>p13 - i3:i6</v>
      </c>
      <c r="F409" t="str">
        <f>Permutations!M401</f>
        <v>p111 - i6:i1</v>
      </c>
      <c r="G409" s="7">
        <f>VLOOKUP(B409,Vlookup!$A$1:$B$30,2,0)</f>
        <v>1.4376356077157479</v>
      </c>
      <c r="H409" s="7">
        <f>VLOOKUP(C409,Vlookup!$A$1:$B$30,2,0)</f>
        <v>1.7991741228251155</v>
      </c>
      <c r="I409" s="7">
        <f>VLOOKUP(D409,Vlookup!$A$1:$B$30,2,0)</f>
        <v>1.9746367445127702</v>
      </c>
      <c r="J409" s="7">
        <f>VLOOKUP(E409,Vlookup!$A$1:$B$30,2,0)</f>
        <v>2.0145521929129111</v>
      </c>
      <c r="K409" s="7">
        <f>VLOOKUP(F409,Vlookup!$A$1:$B$30,2,0)</f>
        <v>1.6397534939100344</v>
      </c>
      <c r="L409" s="7">
        <f t="shared" si="7"/>
        <v>16.87199040510075</v>
      </c>
      <c r="M409" s="7">
        <f t="shared" si="8"/>
        <v>11.735929685206232</v>
      </c>
      <c r="N409" s="7">
        <f t="shared" si="9"/>
        <v>6.5229538021468061</v>
      </c>
      <c r="O409" s="7">
        <f t="shared" si="10"/>
        <v>3.3033689969930675</v>
      </c>
      <c r="P409" s="7">
        <f t="shared" si="11"/>
        <v>1.6397534939100344</v>
      </c>
      <c r="Q409">
        <v>1</v>
      </c>
      <c r="R409" s="7">
        <f t="shared" si="12"/>
        <v>41.073996383356892</v>
      </c>
      <c r="S409" s="7">
        <f>VLOOKUP($A409,Rotations!$A$1:$X$1441,18,0)</f>
        <v>2.4346303940495018E-2</v>
      </c>
      <c r="T409" s="7">
        <f>VLOOKUP($A409,Rotations!$A$1:$X$1441,19,0)</f>
        <v>0.28572651114030895</v>
      </c>
      <c r="U409" s="7">
        <f>VLOOKUP($A409,Rotations!$A$1:$X$1441,20,0)</f>
        <v>8.0424825628401392E-2</v>
      </c>
      <c r="V409" s="7">
        <f>VLOOKUP($A409,Rotations!$A$1:$X$1441,21,0)</f>
        <v>0.41077060648369851</v>
      </c>
      <c r="W409" s="7">
        <f>VLOOKUP($A409,Rotations!$A$1:$X$1441,22,0)</f>
        <v>0.15880981585687373</v>
      </c>
      <c r="X409" s="7">
        <f>VLOOKUP($A409,Rotations!$A$1:$X$1441,23,0)</f>
        <v>3.9921936950222343E-2</v>
      </c>
    </row>
    <row r="410" spans="1:24" ht="15.75" customHeight="1" x14ac:dyDescent="0.3">
      <c r="A410">
        <v>401</v>
      </c>
      <c r="B410" t="str">
        <f>Permutations!I402</f>
        <v>p51 - i4:i2</v>
      </c>
      <c r="C410" t="str">
        <f>Permutations!J402</f>
        <v>p7 - i2:i5</v>
      </c>
      <c r="D410" t="str">
        <f>Permutations!K402</f>
        <v>p15 - i5:i6</v>
      </c>
      <c r="E410" t="str">
        <f>Permutations!L402</f>
        <v>p111 - i6:i1</v>
      </c>
      <c r="F410" t="str">
        <f>Permutations!M402</f>
        <v>p8 - i1:i3</v>
      </c>
      <c r="G410" s="7">
        <f>VLOOKUP(B410,Vlookup!$A$1:$B$30,2,0)</f>
        <v>1.4376356077157479</v>
      </c>
      <c r="H410" s="7">
        <f>VLOOKUP(C410,Vlookup!$A$1:$B$30,2,0)</f>
        <v>1.7991741228251155</v>
      </c>
      <c r="I410" s="7">
        <f>VLOOKUP(D410,Vlookup!$A$1:$B$30,2,0)</f>
        <v>1.3219359277692486</v>
      </c>
      <c r="J410" s="7">
        <f>VLOOKUP(E410,Vlookup!$A$1:$B$30,2,0)</f>
        <v>1.6397534939100344</v>
      </c>
      <c r="K410" s="7">
        <f>VLOOKUP(F410,Vlookup!$A$1:$B$30,2,0)</f>
        <v>1.1080774401297739</v>
      </c>
      <c r="L410" s="7">
        <f t="shared" si="7"/>
        <v>6.2127102739590656</v>
      </c>
      <c r="M410" s="7">
        <f t="shared" si="8"/>
        <v>4.3214777379021729</v>
      </c>
      <c r="N410" s="7">
        <f t="shared" si="9"/>
        <v>2.401923017387813</v>
      </c>
      <c r="O410" s="7">
        <f t="shared" si="10"/>
        <v>1.8169738539756839</v>
      </c>
      <c r="P410" s="7">
        <f t="shared" si="11"/>
        <v>1.1080774401297739</v>
      </c>
      <c r="Q410">
        <v>1</v>
      </c>
      <c r="R410" s="7">
        <f t="shared" si="12"/>
        <v>16.86116232335451</v>
      </c>
      <c r="S410" s="7">
        <f>VLOOKUP($A410,Rotations!$A$1:$X$1441,18,0)</f>
        <v>6.5717737536692147E-2</v>
      </c>
      <c r="T410" s="7">
        <f>VLOOKUP($A410,Rotations!$A$1:$X$1441,19,0)</f>
        <v>0.2562977364802701</v>
      </c>
      <c r="U410" s="7">
        <f>VLOOKUP($A410,Rotations!$A$1:$X$1441,20,0)</f>
        <v>5.9307892351815703E-2</v>
      </c>
      <c r="V410" s="7">
        <f>VLOOKUP($A410,Rotations!$A$1:$X$1441,21,0)</f>
        <v>0.36846275214098373</v>
      </c>
      <c r="W410" s="7">
        <f>VLOOKUP($A410,Rotations!$A$1:$X$1441,22,0)</f>
        <v>0.14245299175258477</v>
      </c>
      <c r="X410" s="7">
        <f>VLOOKUP($A410,Rotations!$A$1:$X$1441,23,0)</f>
        <v>0.10776088973765356</v>
      </c>
    </row>
    <row r="411" spans="1:24" ht="15.75" customHeight="1" x14ac:dyDescent="0.3">
      <c r="A411">
        <v>402</v>
      </c>
      <c r="B411" t="str">
        <f>Permutations!I403</f>
        <v>p51 - i4:i2</v>
      </c>
      <c r="C411" t="str">
        <f>Permutations!J403</f>
        <v>p7 - i2:i5</v>
      </c>
      <c r="D411" t="str">
        <f>Permutations!K403</f>
        <v>p15 - i5:i6</v>
      </c>
      <c r="E411" t="str">
        <f>Permutations!L403</f>
        <v>p131 - i6:i3</v>
      </c>
      <c r="F411" t="str">
        <f>Permutations!M403</f>
        <v>p81 - i3:i1</v>
      </c>
      <c r="G411" s="7">
        <f>VLOOKUP(B411,Vlookup!$A$1:$B$30,2,0)</f>
        <v>1.4376356077157479</v>
      </c>
      <c r="H411" s="7">
        <f>VLOOKUP(C411,Vlookup!$A$1:$B$30,2,0)</f>
        <v>1.7991741228251155</v>
      </c>
      <c r="I411" s="7">
        <f>VLOOKUP(D411,Vlookup!$A$1:$B$30,2,0)</f>
        <v>1.3219359277692486</v>
      </c>
      <c r="J411" s="7">
        <f>VLOOKUP(E411,Vlookup!$A$1:$B$30,2,0)</f>
        <v>1.4032439022773779</v>
      </c>
      <c r="K411" s="7">
        <f>VLOOKUP(F411,Vlookup!$A$1:$B$30,2,0)</f>
        <v>1.7021844231989158</v>
      </c>
      <c r="L411" s="7">
        <f t="shared" si="7"/>
        <v>8.1671813435857832</v>
      </c>
      <c r="M411" s="7">
        <f t="shared" si="8"/>
        <v>5.6809815364566392</v>
      </c>
      <c r="N411" s="7">
        <f t="shared" si="9"/>
        <v>3.1575496025566423</v>
      </c>
      <c r="O411" s="7">
        <f t="shared" si="10"/>
        <v>2.3885799124054143</v>
      </c>
      <c r="P411" s="7">
        <f t="shared" si="11"/>
        <v>1.7021844231989158</v>
      </c>
      <c r="Q411">
        <v>1</v>
      </c>
      <c r="R411" s="7">
        <f t="shared" si="12"/>
        <v>22.096476818203396</v>
      </c>
      <c r="S411" s="7">
        <f>VLOOKUP($A411,Rotations!$A$1:$X$1441,18,0)</f>
        <v>4.5256083502696033E-2</v>
      </c>
      <c r="T411" s="7">
        <f>VLOOKUP($A411,Rotations!$A$1:$X$1441,19,0)</f>
        <v>0.25709897479115607</v>
      </c>
      <c r="U411" s="7">
        <f>VLOOKUP($A411,Rotations!$A$1:$X$1441,20,0)</f>
        <v>7.7034200393278615E-2</v>
      </c>
      <c r="V411" s="7">
        <f>VLOOKUP($A411,Rotations!$A$1:$X$1441,21,0)</f>
        <v>0.36961464086697937</v>
      </c>
      <c r="W411" s="7">
        <f>VLOOKUP($A411,Rotations!$A$1:$X$1441,22,0)</f>
        <v>0.14289832847720807</v>
      </c>
      <c r="X411" s="7">
        <f>VLOOKUP($A411,Rotations!$A$1:$X$1441,23,0)</f>
        <v>0.10809777196868181</v>
      </c>
    </row>
    <row r="412" spans="1:24" ht="15.75" customHeight="1" x14ac:dyDescent="0.3">
      <c r="A412">
        <v>403</v>
      </c>
      <c r="B412" t="str">
        <f>Permutations!I404</f>
        <v>p51 - i4:i2</v>
      </c>
      <c r="C412" t="str">
        <f>Permutations!J404</f>
        <v>p12 - i2:i6</v>
      </c>
      <c r="D412" t="str">
        <f>Permutations!K404</f>
        <v>p111 - i6:i1</v>
      </c>
      <c r="E412" t="str">
        <f>Permutations!L404</f>
        <v>p8 - i1:i3</v>
      </c>
      <c r="F412" t="str">
        <f>Permutations!M404</f>
        <v>p6 - i3:i5</v>
      </c>
      <c r="G412" s="7">
        <f>VLOOKUP(B412,Vlookup!$A$1:$B$30,2,0)</f>
        <v>1.4376356077157479</v>
      </c>
      <c r="H412" s="7">
        <f>VLOOKUP(C412,Vlookup!$A$1:$B$30,2,0)</f>
        <v>1.3354555559520354</v>
      </c>
      <c r="I412" s="7">
        <f>VLOOKUP(D412,Vlookup!$A$1:$B$30,2,0)</f>
        <v>1.6397534939100344</v>
      </c>
      <c r="J412" s="7">
        <f>VLOOKUP(E412,Vlookup!$A$1:$B$30,2,0)</f>
        <v>1.1080774401297739</v>
      </c>
      <c r="K412" s="7">
        <f>VLOOKUP(F412,Vlookup!$A$1:$B$30,2,0)</f>
        <v>2.2414716085286912</v>
      </c>
      <c r="L412" s="7">
        <f t="shared" si="7"/>
        <v>7.8191614472157287</v>
      </c>
      <c r="M412" s="7">
        <f t="shared" si="8"/>
        <v>5.4389035756004649</v>
      </c>
      <c r="N412" s="7">
        <f t="shared" si="9"/>
        <v>4.0726953071254517</v>
      </c>
      <c r="O412" s="7">
        <f t="shared" si="10"/>
        <v>2.4837241221020387</v>
      </c>
      <c r="P412" s="7">
        <f t="shared" si="11"/>
        <v>2.2414716085286912</v>
      </c>
      <c r="Q412">
        <v>1</v>
      </c>
      <c r="R412" s="7">
        <f t="shared" si="12"/>
        <v>23.055956060572377</v>
      </c>
      <c r="S412" s="7">
        <f>VLOOKUP($A412,Rotations!$A$1:$X$1441,18,0)</f>
        <v>0.10772592190828363</v>
      </c>
      <c r="T412" s="7">
        <f>VLOOKUP($A412,Rotations!$A$1:$X$1441,19,0)</f>
        <v>0.23590015357903318</v>
      </c>
      <c r="U412" s="7">
        <f>VLOOKUP($A412,Rotations!$A$1:$X$1441,20,0)</f>
        <v>9.7218766493131728E-2</v>
      </c>
      <c r="V412" s="7">
        <f>VLOOKUP($A412,Rotations!$A$1:$X$1441,21,0)</f>
        <v>0.33913846065083164</v>
      </c>
      <c r="W412" s="7">
        <f>VLOOKUP($A412,Rotations!$A$1:$X$1441,22,0)</f>
        <v>4.3372740534932057E-2</v>
      </c>
      <c r="X412" s="7">
        <f>VLOOKUP($A412,Rotations!$A$1:$X$1441,23,0)</f>
        <v>0.17664395683378764</v>
      </c>
    </row>
    <row r="413" spans="1:24" ht="15.75" customHeight="1" x14ac:dyDescent="0.3">
      <c r="A413">
        <v>404</v>
      </c>
      <c r="B413" t="str">
        <f>Permutations!I405</f>
        <v>p51 - i4:i2</v>
      </c>
      <c r="C413" t="str">
        <f>Permutations!J405</f>
        <v>p12 - i2:i6</v>
      </c>
      <c r="D413" t="str">
        <f>Permutations!K405</f>
        <v>p111 - i6:i1</v>
      </c>
      <c r="E413" t="str">
        <f>Permutations!L405</f>
        <v>p10 - i1:i5</v>
      </c>
      <c r="F413" t="str">
        <f>Permutations!M405</f>
        <v>p61 - i5:i3</v>
      </c>
      <c r="G413" s="7">
        <f>VLOOKUP(B413,Vlookup!$A$1:$B$30,2,0)</f>
        <v>1.4376356077157479</v>
      </c>
      <c r="H413" s="7">
        <f>VLOOKUP(C413,Vlookup!$A$1:$B$30,2,0)</f>
        <v>1.3354555559520354</v>
      </c>
      <c r="I413" s="7">
        <f>VLOOKUP(D413,Vlookup!$A$1:$B$30,2,0)</f>
        <v>1.6397534939100344</v>
      </c>
      <c r="J413" s="7">
        <f>VLOOKUP(E413,Vlookup!$A$1:$B$30,2,0)</f>
        <v>1.0847108741813811</v>
      </c>
      <c r="K413" s="7">
        <f>VLOOKUP(F413,Vlookup!$A$1:$B$30,2,0)</f>
        <v>1.9746367445127702</v>
      </c>
      <c r="L413" s="7">
        <f t="shared" si="7"/>
        <v>6.7430756701929946</v>
      </c>
      <c r="M413" s="7">
        <f t="shared" si="8"/>
        <v>4.6903927768643925</v>
      </c>
      <c r="N413" s="7">
        <f t="shared" si="9"/>
        <v>3.5122043230563746</v>
      </c>
      <c r="O413" s="7">
        <f t="shared" si="10"/>
        <v>2.1419099493311236</v>
      </c>
      <c r="P413" s="7">
        <f t="shared" si="11"/>
        <v>1.9746367445127702</v>
      </c>
      <c r="Q413">
        <v>1</v>
      </c>
      <c r="R413" s="7">
        <f t="shared" si="12"/>
        <v>20.062219463957657</v>
      </c>
      <c r="S413" s="7">
        <f>VLOOKUP($A413,Rotations!$A$1:$X$1441,18,0)</f>
        <v>0.10676335951658415</v>
      </c>
      <c r="T413" s="7">
        <f>VLOOKUP($A413,Rotations!$A$1:$X$1441,19,0)</f>
        <v>0.23379231721050681</v>
      </c>
      <c r="U413" s="7">
        <f>VLOOKUP($A413,Rotations!$A$1:$X$1441,20,0)</f>
        <v>4.9844933747062642E-2</v>
      </c>
      <c r="V413" s="7">
        <f>VLOOKUP($A413,Rotations!$A$1:$X$1441,21,0)</f>
        <v>0.33610816003219984</v>
      </c>
      <c r="W413" s="7">
        <f>VLOOKUP($A413,Rotations!$A$1:$X$1441,22,0)</f>
        <v>9.8425637704754487E-2</v>
      </c>
      <c r="X413" s="7">
        <f>VLOOKUP($A413,Rotations!$A$1:$X$1441,23,0)</f>
        <v>0.175065591788892</v>
      </c>
    </row>
    <row r="414" spans="1:24" ht="15.75" customHeight="1" x14ac:dyDescent="0.3">
      <c r="A414">
        <v>405</v>
      </c>
      <c r="B414" t="str">
        <f>Permutations!I406</f>
        <v>p51 - i4:i2</v>
      </c>
      <c r="C414" t="str">
        <f>Permutations!J406</f>
        <v>p12 - i2:i6</v>
      </c>
      <c r="D414" t="str">
        <f>Permutations!K406</f>
        <v>p131 - i6:i3</v>
      </c>
      <c r="E414" t="str">
        <f>Permutations!L406</f>
        <v>p81 - i3:i1</v>
      </c>
      <c r="F414" t="str">
        <f>Permutations!M406</f>
        <v>p10 - i1:i5</v>
      </c>
      <c r="G414" s="7">
        <f>VLOOKUP(B414,Vlookup!$A$1:$B$30,2,0)</f>
        <v>1.4376356077157479</v>
      </c>
      <c r="H414" s="7">
        <f>VLOOKUP(C414,Vlookup!$A$1:$B$30,2,0)</f>
        <v>1.3354555559520354</v>
      </c>
      <c r="I414" s="7">
        <f>VLOOKUP(D414,Vlookup!$A$1:$B$30,2,0)</f>
        <v>1.4032439022773779</v>
      </c>
      <c r="J414" s="7">
        <f>VLOOKUP(E414,Vlookup!$A$1:$B$30,2,0)</f>
        <v>1.7021844231989158</v>
      </c>
      <c r="K414" s="7">
        <f>VLOOKUP(F414,Vlookup!$A$1:$B$30,2,0)</f>
        <v>1.0847108741813811</v>
      </c>
      <c r="L414" s="7">
        <f t="shared" si="7"/>
        <v>4.9743006387868345</v>
      </c>
      <c r="M414" s="7">
        <f t="shared" si="8"/>
        <v>3.4600566458495532</v>
      </c>
      <c r="N414" s="7">
        <f t="shared" si="9"/>
        <v>2.5909186048373636</v>
      </c>
      <c r="O414" s="7">
        <f t="shared" si="10"/>
        <v>1.8463779537060261</v>
      </c>
      <c r="P414" s="7">
        <f t="shared" si="11"/>
        <v>1.0847108741813811</v>
      </c>
      <c r="Q414">
        <v>1</v>
      </c>
      <c r="R414" s="7">
        <f t="shared" si="12"/>
        <v>14.956364717361158</v>
      </c>
      <c r="S414" s="7">
        <f>VLOOKUP($A414,Rotations!$A$1:$X$1441,18,0)</f>
        <v>7.2525034972051899E-2</v>
      </c>
      <c r="T414" s="7">
        <f>VLOOKUP($A414,Rotations!$A$1:$X$1441,19,0)</f>
        <v>0.23134342544035205</v>
      </c>
      <c r="U414" s="7">
        <f>VLOOKUP($A414,Rotations!$A$1:$X$1441,20,0)</f>
        <v>0.12345098482138338</v>
      </c>
      <c r="V414" s="7">
        <f>VLOOKUP($A414,Rotations!$A$1:$X$1441,21,0)</f>
        <v>0.33258754602398333</v>
      </c>
      <c r="W414" s="7">
        <f>VLOOKUP($A414,Rotations!$A$1:$X$1441,22,0)</f>
        <v>6.6861167061486051E-2</v>
      </c>
      <c r="X414" s="7">
        <f>VLOOKUP($A414,Rotations!$A$1:$X$1441,23,0)</f>
        <v>0.17323184168074332</v>
      </c>
    </row>
    <row r="415" spans="1:24" ht="15.75" customHeight="1" x14ac:dyDescent="0.3">
      <c r="A415">
        <v>406</v>
      </c>
      <c r="B415" t="str">
        <f>Permutations!I407</f>
        <v>p51 - i4:i2</v>
      </c>
      <c r="C415" t="str">
        <f>Permutations!J407</f>
        <v>p12 - i2:i6</v>
      </c>
      <c r="D415" t="str">
        <f>Permutations!K407</f>
        <v>p131 - i6:i3</v>
      </c>
      <c r="E415" t="str">
        <f>Permutations!L407</f>
        <v>p6 - i3:i5</v>
      </c>
      <c r="F415" t="str">
        <f>Permutations!M407</f>
        <v>p101 - i5:i1</v>
      </c>
      <c r="G415" s="7">
        <f>VLOOKUP(B415,Vlookup!$A$1:$B$30,2,0)</f>
        <v>1.4376356077157479</v>
      </c>
      <c r="H415" s="7">
        <f>VLOOKUP(C415,Vlookup!$A$1:$B$30,2,0)</f>
        <v>1.3354555559520354</v>
      </c>
      <c r="I415" s="7">
        <f>VLOOKUP(D415,Vlookup!$A$1:$B$30,2,0)</f>
        <v>1.4032439022773779</v>
      </c>
      <c r="J415" s="7">
        <f>VLOOKUP(E415,Vlookup!$A$1:$B$30,2,0)</f>
        <v>2.2414716085286912</v>
      </c>
      <c r="K415" s="7">
        <f>VLOOKUP(F415,Vlookup!$A$1:$B$30,2,0)</f>
        <v>1.530542412441888</v>
      </c>
      <c r="L415" s="7">
        <f t="shared" si="7"/>
        <v>9.2425122503586188</v>
      </c>
      <c r="M415" s="7">
        <f t="shared" si="8"/>
        <v>6.4289672575959642</v>
      </c>
      <c r="N415" s="7">
        <f t="shared" si="9"/>
        <v>4.8140630580647112</v>
      </c>
      <c r="O415" s="7">
        <f t="shared" si="10"/>
        <v>3.4306673631375024</v>
      </c>
      <c r="P415" s="7">
        <f t="shared" si="11"/>
        <v>1.530542412441888</v>
      </c>
      <c r="Q415">
        <v>1</v>
      </c>
      <c r="R415" s="7">
        <f t="shared" si="12"/>
        <v>26.446752341598685</v>
      </c>
      <c r="S415" s="7">
        <f>VLOOKUP($A415,Rotations!$A$1:$X$1441,18,0)</f>
        <v>3.781182608297344E-2</v>
      </c>
      <c r="T415" s="7">
        <f>VLOOKUP($A415,Rotations!$A$1:$X$1441,19,0)</f>
        <v>0.24309099183734928</v>
      </c>
      <c r="U415" s="7">
        <f>VLOOKUP($A415,Rotations!$A$1:$X$1441,20,0)</f>
        <v>0.12971979768348832</v>
      </c>
      <c r="V415" s="7">
        <f>VLOOKUP($A415,Rotations!$A$1:$X$1441,21,0)</f>
        <v>0.34947626578031155</v>
      </c>
      <c r="W415" s="7">
        <f>VLOOKUP($A415,Rotations!$A$1:$X$1441,22,0)</f>
        <v>5.7872603511867272E-2</v>
      </c>
      <c r="X415" s="7">
        <f>VLOOKUP($A415,Rotations!$A$1:$X$1441,23,0)</f>
        <v>0.18202851510401011</v>
      </c>
    </row>
    <row r="416" spans="1:24" ht="15.75" customHeight="1" x14ac:dyDescent="0.3">
      <c r="A416">
        <v>407</v>
      </c>
      <c r="B416" t="str">
        <f>Permutations!I408</f>
        <v>p51 - i4:i2</v>
      </c>
      <c r="C416" t="str">
        <f>Permutations!J408</f>
        <v>p12 - i2:i6</v>
      </c>
      <c r="D416" t="str">
        <f>Permutations!K408</f>
        <v>p151 - i6:i5</v>
      </c>
      <c r="E416" t="str">
        <f>Permutations!L408</f>
        <v>p101 - i5:i1</v>
      </c>
      <c r="F416" t="str">
        <f>Permutations!M408</f>
        <v>p8 - i1:i3</v>
      </c>
      <c r="G416" s="7">
        <f>VLOOKUP(B416,Vlookup!$A$1:$B$30,2,0)</f>
        <v>1.4376356077157479</v>
      </c>
      <c r="H416" s="7">
        <f>VLOOKUP(C416,Vlookup!$A$1:$B$30,2,0)</f>
        <v>1.3354555559520354</v>
      </c>
      <c r="I416" s="7">
        <f>VLOOKUP(D416,Vlookup!$A$1:$B$30,2,0)</f>
        <v>1.2266517321719024</v>
      </c>
      <c r="J416" s="7">
        <f>VLOOKUP(E416,Vlookup!$A$1:$B$30,2,0)</f>
        <v>1.530542412441888</v>
      </c>
      <c r="K416" s="7">
        <f>VLOOKUP(F416,Vlookup!$A$1:$B$30,2,0)</f>
        <v>1.1080774401297739</v>
      </c>
      <c r="L416" s="7">
        <f t="shared" si="7"/>
        <v>3.9940639879636159</v>
      </c>
      <c r="M416" s="7">
        <f t="shared" si="8"/>
        <v>2.7782172106252738</v>
      </c>
      <c r="N416" s="7">
        <f t="shared" si="9"/>
        <v>2.0803516809248701</v>
      </c>
      <c r="O416" s="7">
        <f t="shared" si="10"/>
        <v>1.695959518388656</v>
      </c>
      <c r="P416" s="7">
        <f t="shared" si="11"/>
        <v>1.1080774401297739</v>
      </c>
      <c r="Q416">
        <v>1</v>
      </c>
      <c r="R416" s="7">
        <f t="shared" si="12"/>
        <v>12.65666983803219</v>
      </c>
      <c r="S416" s="7">
        <f>VLOOKUP($A416,Rotations!$A$1:$X$1441,18,0)</f>
        <v>8.7548893532807329E-2</v>
      </c>
      <c r="T416" s="7">
        <f>VLOOKUP($A416,Rotations!$A$1:$X$1441,19,0)</f>
        <v>0.2195061770732909</v>
      </c>
      <c r="U416" s="7">
        <f>VLOOKUP($A416,Rotations!$A$1:$X$1441,20,0)</f>
        <v>7.9009724737789014E-2</v>
      </c>
      <c r="V416" s="7">
        <f>VLOOKUP($A416,Rotations!$A$1:$X$1441,21,0)</f>
        <v>0.31556989627412113</v>
      </c>
      <c r="W416" s="7">
        <f>VLOOKUP($A416,Rotations!$A$1:$X$1441,22,0)</f>
        <v>0.13399729471432092</v>
      </c>
      <c r="X416" s="7">
        <f>VLOOKUP($A416,Rotations!$A$1:$X$1441,23,0)</f>
        <v>0.16436801366767068</v>
      </c>
    </row>
    <row r="417" spans="1:24" ht="15.75" customHeight="1" x14ac:dyDescent="0.3">
      <c r="A417">
        <v>408</v>
      </c>
      <c r="B417" t="str">
        <f>Permutations!I409</f>
        <v>p51 - i4:i2</v>
      </c>
      <c r="C417" t="str">
        <f>Permutations!J409</f>
        <v>p12 - i2:i6</v>
      </c>
      <c r="D417" t="str">
        <f>Permutations!K409</f>
        <v>p151 - i6:i5</v>
      </c>
      <c r="E417" t="str">
        <f>Permutations!L409</f>
        <v>p61 - i5:i3</v>
      </c>
      <c r="F417" t="str">
        <f>Permutations!M409</f>
        <v>p81 - i3:i1</v>
      </c>
      <c r="G417" s="7">
        <f>VLOOKUP(B417,Vlookup!$A$1:$B$30,2,0)</f>
        <v>1.4376356077157479</v>
      </c>
      <c r="H417" s="7">
        <f>VLOOKUP(C417,Vlookup!$A$1:$B$30,2,0)</f>
        <v>1.3354555559520354</v>
      </c>
      <c r="I417" s="7">
        <f>VLOOKUP(D417,Vlookup!$A$1:$B$30,2,0)</f>
        <v>1.2266517321719024</v>
      </c>
      <c r="J417" s="7">
        <f>VLOOKUP(E417,Vlookup!$A$1:$B$30,2,0)</f>
        <v>1.9746367445127702</v>
      </c>
      <c r="K417" s="7">
        <f>VLOOKUP(F417,Vlookup!$A$1:$B$30,2,0)</f>
        <v>1.7021844231989158</v>
      </c>
      <c r="L417" s="7">
        <f t="shared" si="7"/>
        <v>7.9157735706640002</v>
      </c>
      <c r="M417" s="7">
        <f t="shared" si="8"/>
        <v>5.5061056697401458</v>
      </c>
      <c r="N417" s="7">
        <f t="shared" si="9"/>
        <v>4.1230167826999589</v>
      </c>
      <c r="O417" s="7">
        <f t="shared" si="10"/>
        <v>3.3611959079858544</v>
      </c>
      <c r="P417" s="7">
        <f t="shared" si="11"/>
        <v>1.7021844231989158</v>
      </c>
      <c r="Q417">
        <v>1</v>
      </c>
      <c r="R417" s="7">
        <f t="shared" si="12"/>
        <v>23.608276354288876</v>
      </c>
      <c r="S417" s="7">
        <f>VLOOKUP($A417,Rotations!$A$1:$X$1441,18,0)</f>
        <v>4.2358026693394397E-2</v>
      </c>
      <c r="T417" s="7">
        <f>VLOOKUP($A417,Rotations!$A$1:$X$1441,19,0)</f>
        <v>0.23322777093550334</v>
      </c>
      <c r="U417" s="7">
        <f>VLOOKUP($A417,Rotations!$A$1:$X$1441,20,0)</f>
        <v>7.2101173234939822E-2</v>
      </c>
      <c r="V417" s="7">
        <f>VLOOKUP($A417,Rotations!$A$1:$X$1441,21,0)</f>
        <v>0.33529654820505161</v>
      </c>
      <c r="W417" s="7">
        <f>VLOOKUP($A417,Rotations!$A$1:$X$1441,22,0)</f>
        <v>0.14237362599219286</v>
      </c>
      <c r="X417" s="7">
        <f>VLOOKUP($A417,Rotations!$A$1:$X$1441,23,0)</f>
        <v>0.17464285493891796</v>
      </c>
    </row>
    <row r="418" spans="1:24" ht="15.75" customHeight="1" x14ac:dyDescent="0.3">
      <c r="A418">
        <v>409</v>
      </c>
      <c r="B418" t="str">
        <f>Permutations!I410</f>
        <v>p31 - i4:i3</v>
      </c>
      <c r="C418" t="str">
        <f>Permutations!J410</f>
        <v>p81 - i3:i1</v>
      </c>
      <c r="D418" t="str">
        <f>Permutations!K410</f>
        <v>p1 - i1:i2</v>
      </c>
      <c r="E418" t="str">
        <f>Permutations!L410</f>
        <v>p7 - i2:i5</v>
      </c>
      <c r="F418" t="str">
        <f>Permutations!M410</f>
        <v>p15 - i5:i6</v>
      </c>
      <c r="G418" s="7">
        <f>VLOOKUP(B418,Vlookup!$A$1:$B$30,2,0)</f>
        <v>2.2388599512381115</v>
      </c>
      <c r="H418" s="7">
        <f>VLOOKUP(C418,Vlookup!$A$1:$B$30,2,0)</f>
        <v>1.7021844231989158</v>
      </c>
      <c r="I418" s="7">
        <f>VLOOKUP(D418,Vlookup!$A$1:$B$30,2,0)</f>
        <v>1.6373343116675814</v>
      </c>
      <c r="J418" s="7">
        <f>VLOOKUP(E418,Vlookup!$A$1:$B$30,2,0)</f>
        <v>1.7991741228251155</v>
      </c>
      <c r="K418" s="7">
        <f>VLOOKUP(F418,Vlookup!$A$1:$B$30,2,0)</f>
        <v>1.3219359277692486</v>
      </c>
      <c r="L418" s="7">
        <f t="shared" si="7"/>
        <v>14.840704056540183</v>
      </c>
      <c r="M418" s="7">
        <f t="shared" si="8"/>
        <v>6.6286879839594812</v>
      </c>
      <c r="N418" s="7">
        <f t="shared" si="9"/>
        <v>3.8942243235325735</v>
      </c>
      <c r="O418" s="7">
        <f t="shared" si="10"/>
        <v>2.3783929132752433</v>
      </c>
      <c r="P418" s="7">
        <f t="shared" si="11"/>
        <v>1.3219359277692486</v>
      </c>
      <c r="Q418">
        <v>1</v>
      </c>
      <c r="R418" s="7">
        <f t="shared" si="12"/>
        <v>30.063945205076728</v>
      </c>
      <c r="S418" s="7">
        <f>VLOOKUP($A418,Rotations!$A$1:$X$1441,18,0)</f>
        <v>0.12953138042824061</v>
      </c>
      <c r="T418" s="7">
        <f>VLOOKUP($A418,Rotations!$A$1:$X$1441,19,0)</f>
        <v>7.9111137844730298E-2</v>
      </c>
      <c r="U418" s="7">
        <f>VLOOKUP($A418,Rotations!$A$1:$X$1441,20,0)</f>
        <v>0.22048629808040404</v>
      </c>
      <c r="V418" s="7">
        <f>VLOOKUP($A418,Rotations!$A$1:$X$1441,21,0)</f>
        <v>0.4936379425689652</v>
      </c>
      <c r="W418" s="7">
        <f>VLOOKUP($A418,Rotations!$A$1:$X$1441,22,0)</f>
        <v>4.3970806850260648E-2</v>
      </c>
      <c r="X418" s="7">
        <f>VLOOKUP($A418,Rotations!$A$1:$X$1441,23,0)</f>
        <v>3.326243422739926E-2</v>
      </c>
    </row>
    <row r="419" spans="1:24" ht="15.75" customHeight="1" x14ac:dyDescent="0.3">
      <c r="A419">
        <v>410</v>
      </c>
      <c r="B419" t="str">
        <f>Permutations!I411</f>
        <v>p31 - i4:i3</v>
      </c>
      <c r="C419" t="str">
        <f>Permutations!J411</f>
        <v>p81 - i3:i1</v>
      </c>
      <c r="D419" t="str">
        <f>Permutations!K411</f>
        <v>p1 - i1:i2</v>
      </c>
      <c r="E419" t="str">
        <f>Permutations!L411</f>
        <v>p12 - i2:i6</v>
      </c>
      <c r="F419" t="str">
        <f>Permutations!M411</f>
        <v>p151 - i6:i5</v>
      </c>
      <c r="G419" s="7">
        <f>VLOOKUP(B419,Vlookup!$A$1:$B$30,2,0)</f>
        <v>2.2388599512381115</v>
      </c>
      <c r="H419" s="7">
        <f>VLOOKUP(C419,Vlookup!$A$1:$B$30,2,0)</f>
        <v>1.7021844231989158</v>
      </c>
      <c r="I419" s="7">
        <f>VLOOKUP(D419,Vlookup!$A$1:$B$30,2,0)</f>
        <v>1.6373343116675814</v>
      </c>
      <c r="J419" s="7">
        <f>VLOOKUP(E419,Vlookup!$A$1:$B$30,2,0)</f>
        <v>1.3354555559520354</v>
      </c>
      <c r="K419" s="7">
        <f>VLOOKUP(F419,Vlookup!$A$1:$B$30,2,0)</f>
        <v>1.2266517321719024</v>
      </c>
      <c r="L419" s="7">
        <f t="shared" si="7"/>
        <v>10.221664406896993</v>
      </c>
      <c r="M419" s="7">
        <f t="shared" si="8"/>
        <v>4.5655666855107713</v>
      </c>
      <c r="N419" s="7">
        <f t="shared" si="9"/>
        <v>2.6821809806781691</v>
      </c>
      <c r="O419" s="7">
        <f t="shared" si="10"/>
        <v>1.6381388709471552</v>
      </c>
      <c r="P419" s="7">
        <f t="shared" si="11"/>
        <v>1.2266517321719024</v>
      </c>
      <c r="Q419">
        <v>1</v>
      </c>
      <c r="R419" s="7">
        <f t="shared" si="12"/>
        <v>21.334202676204992</v>
      </c>
      <c r="S419" s="7">
        <f>VLOOKUP($A419,Rotations!$A$1:$X$1441,18,0)</f>
        <v>0.12572211023708554</v>
      </c>
      <c r="T419" s="7">
        <f>VLOOKUP($A419,Rotations!$A$1:$X$1441,19,0)</f>
        <v>7.6784630567621165E-2</v>
      </c>
      <c r="U419" s="7">
        <f>VLOOKUP($A419,Rotations!$A$1:$X$1441,20,0)</f>
        <v>0.21400221769726394</v>
      </c>
      <c r="V419" s="7">
        <f>VLOOKUP($A419,Rotations!$A$1:$X$1441,21,0)</f>
        <v>0.47912099467854408</v>
      </c>
      <c r="W419" s="7">
        <f>VLOOKUP($A419,Rotations!$A$1:$X$1441,22,0)</f>
        <v>4.6873089900629168E-2</v>
      </c>
      <c r="X419" s="7">
        <f>VLOOKUP($A419,Rotations!$A$1:$X$1441,23,0)</f>
        <v>5.7496956918856076E-2</v>
      </c>
    </row>
    <row r="420" spans="1:24" ht="15.75" customHeight="1" x14ac:dyDescent="0.3">
      <c r="A420">
        <v>411</v>
      </c>
      <c r="B420" t="str">
        <f>Permutations!I412</f>
        <v>p31 - i4:i3</v>
      </c>
      <c r="C420" t="str">
        <f>Permutations!J412</f>
        <v>p81 - i3:i1</v>
      </c>
      <c r="D420" t="str">
        <f>Permutations!K412</f>
        <v>p10 - i1:i5</v>
      </c>
      <c r="E420" t="str">
        <f>Permutations!L412</f>
        <v>p71 - i5:i2</v>
      </c>
      <c r="F420" t="str">
        <f>Permutations!M412</f>
        <v>p12 - i2:i6</v>
      </c>
      <c r="G420" s="7">
        <f>VLOOKUP(B420,Vlookup!$A$1:$B$30,2,0)</f>
        <v>2.2388599512381115</v>
      </c>
      <c r="H420" s="7">
        <f>VLOOKUP(C420,Vlookup!$A$1:$B$30,2,0)</f>
        <v>1.7021844231989158</v>
      </c>
      <c r="I420" s="7">
        <f>VLOOKUP(D420,Vlookup!$A$1:$B$30,2,0)</f>
        <v>1.0847108741813811</v>
      </c>
      <c r="J420" s="7">
        <f>VLOOKUP(E420,Vlookup!$A$1:$B$30,2,0)</f>
        <v>1.8243208303594776</v>
      </c>
      <c r="K420" s="7">
        <f>VLOOKUP(F420,Vlookup!$A$1:$B$30,2,0)</f>
        <v>1.3354555559520354</v>
      </c>
      <c r="L420" s="7">
        <f t="shared" si="7"/>
        <v>10.071129720249775</v>
      </c>
      <c r="M420" s="7">
        <f t="shared" si="8"/>
        <v>4.4983294800017948</v>
      </c>
      <c r="N420" s="7">
        <f t="shared" si="9"/>
        <v>2.6426804397305448</v>
      </c>
      <c r="O420" s="7">
        <f t="shared" si="10"/>
        <v>2.436299388742595</v>
      </c>
      <c r="P420" s="7">
        <f t="shared" si="11"/>
        <v>1.3354555559520354</v>
      </c>
      <c r="Q420">
        <v>1</v>
      </c>
      <c r="R420" s="7">
        <f t="shared" si="12"/>
        <v>21.983894584676744</v>
      </c>
      <c r="S420" s="7">
        <f>VLOOKUP($A420,Rotations!$A$1:$X$1441,18,0)</f>
        <v>0.12020983950553288</v>
      </c>
      <c r="T420" s="7">
        <f>VLOOKUP($A420,Rotations!$A$1:$X$1441,19,0)</f>
        <v>6.0746995979633067E-2</v>
      </c>
      <c r="U420" s="7">
        <f>VLOOKUP($A420,Rotations!$A$1:$X$1441,20,0)</f>
        <v>0.20461931632155975</v>
      </c>
      <c r="V420" s="7">
        <f>VLOOKUP($A420,Rotations!$A$1:$X$1441,21,0)</f>
        <v>0.45811399256206287</v>
      </c>
      <c r="W420" s="7">
        <f>VLOOKUP($A420,Rotations!$A$1:$X$1441,22,0)</f>
        <v>0.11082201014740806</v>
      </c>
      <c r="X420" s="7">
        <f>VLOOKUP($A420,Rotations!$A$1:$X$1441,23,0)</f>
        <v>4.5487845483803489E-2</v>
      </c>
    </row>
    <row r="421" spans="1:24" ht="15.75" customHeight="1" x14ac:dyDescent="0.3">
      <c r="A421">
        <v>412</v>
      </c>
      <c r="B421" t="str">
        <f>Permutations!I413</f>
        <v>p31 - i4:i3</v>
      </c>
      <c r="C421" t="str">
        <f>Permutations!J413</f>
        <v>p81 - i3:i1</v>
      </c>
      <c r="D421" t="str">
        <f>Permutations!K413</f>
        <v>p10 - i1:i5</v>
      </c>
      <c r="E421" t="str">
        <f>Permutations!L413</f>
        <v>p15 - i5:i6</v>
      </c>
      <c r="F421" t="str">
        <f>Permutations!M413</f>
        <v>p121 - i6:i2</v>
      </c>
      <c r="G421" s="7">
        <f>VLOOKUP(B421,Vlookup!$A$1:$B$30,2,0)</f>
        <v>2.2388599512381115</v>
      </c>
      <c r="H421" s="7">
        <f>VLOOKUP(C421,Vlookup!$A$1:$B$30,2,0)</f>
        <v>1.7021844231989158</v>
      </c>
      <c r="I421" s="7">
        <f>VLOOKUP(D421,Vlookup!$A$1:$B$30,2,0)</f>
        <v>1.0847108741813811</v>
      </c>
      <c r="J421" s="7">
        <f>VLOOKUP(E421,Vlookup!$A$1:$B$30,2,0)</f>
        <v>1.3219359277692486</v>
      </c>
      <c r="K421" s="7">
        <f>VLOOKUP(F421,Vlookup!$A$1:$B$30,2,0)</f>
        <v>1.2419340531937677</v>
      </c>
      <c r="L421" s="7">
        <f t="shared" si="7"/>
        <v>6.7866659813292278</v>
      </c>
      <c r="M421" s="7">
        <f t="shared" si="8"/>
        <v>3.031304382204048</v>
      </c>
      <c r="N421" s="7">
        <f t="shared" si="9"/>
        <v>1.7808319362406786</v>
      </c>
      <c r="O421" s="7">
        <f t="shared" si="10"/>
        <v>1.6417572448369266</v>
      </c>
      <c r="P421" s="7">
        <f t="shared" si="11"/>
        <v>1.2419340531937677</v>
      </c>
      <c r="Q421">
        <v>1</v>
      </c>
      <c r="R421" s="7">
        <f t="shared" si="12"/>
        <v>15.482493597804648</v>
      </c>
      <c r="S421" s="7">
        <f>VLOOKUP($A421,Rotations!$A$1:$X$1441,18,0)</f>
        <v>0.11502229437338136</v>
      </c>
      <c r="T421" s="7">
        <f>VLOOKUP($A421,Rotations!$A$1:$X$1441,19,0)</f>
        <v>6.4589078864001323E-2</v>
      </c>
      <c r="U421" s="7">
        <f>VLOOKUP($A421,Rotations!$A$1:$X$1441,20,0)</f>
        <v>0.19578915780297007</v>
      </c>
      <c r="V421" s="7">
        <f>VLOOKUP($A421,Rotations!$A$1:$X$1441,21,0)</f>
        <v>0.4383445042917084</v>
      </c>
      <c r="W421" s="7">
        <f>VLOOKUP($A421,Rotations!$A$1:$X$1441,22,0)</f>
        <v>0.10603958816231779</v>
      </c>
      <c r="X421" s="7">
        <f>VLOOKUP($A421,Rotations!$A$1:$X$1441,23,0)</f>
        <v>8.0215376505621078E-2</v>
      </c>
    </row>
    <row r="422" spans="1:24" ht="15.75" customHeight="1" x14ac:dyDescent="0.3">
      <c r="A422">
        <v>413</v>
      </c>
      <c r="B422" t="str">
        <f>Permutations!I414</f>
        <v>p31 - i4:i3</v>
      </c>
      <c r="C422" t="str">
        <f>Permutations!J414</f>
        <v>p81 - i3:i1</v>
      </c>
      <c r="D422" t="str">
        <f>Permutations!K414</f>
        <v>p11 - i1:i6</v>
      </c>
      <c r="E422" t="str">
        <f>Permutations!L414</f>
        <v>p121 - i6:i2</v>
      </c>
      <c r="F422" t="str">
        <f>Permutations!M414</f>
        <v>p7 - i2:i5</v>
      </c>
      <c r="G422" s="7">
        <f>VLOOKUP(B422,Vlookup!$A$1:$B$30,2,0)</f>
        <v>2.2388599512381115</v>
      </c>
      <c r="H422" s="7">
        <f>VLOOKUP(C422,Vlookup!$A$1:$B$30,2,0)</f>
        <v>1.7021844231989158</v>
      </c>
      <c r="I422" s="7">
        <f>VLOOKUP(D422,Vlookup!$A$1:$B$30,2,0)</f>
        <v>1.1613557664474019</v>
      </c>
      <c r="J422" s="7">
        <f>VLOOKUP(E422,Vlookup!$A$1:$B$30,2,0)</f>
        <v>1.2419340531937677</v>
      </c>
      <c r="K422" s="7">
        <f>VLOOKUP(F422,Vlookup!$A$1:$B$30,2,0)</f>
        <v>1.7991741228251155</v>
      </c>
      <c r="L422" s="7">
        <f t="shared" si="7"/>
        <v>9.8894138567229373</v>
      </c>
      <c r="M422" s="7">
        <f t="shared" si="8"/>
        <v>4.417165017961036</v>
      </c>
      <c r="N422" s="7">
        <f t="shared" si="9"/>
        <v>2.5949979084286627</v>
      </c>
      <c r="O422" s="7">
        <f t="shared" si="10"/>
        <v>2.2344556107615374</v>
      </c>
      <c r="P422" s="7">
        <f t="shared" si="11"/>
        <v>1.7991741228251155</v>
      </c>
      <c r="Q422">
        <v>1</v>
      </c>
      <c r="R422" s="7">
        <f t="shared" si="12"/>
        <v>21.935206516699285</v>
      </c>
      <c r="S422" s="7">
        <f>VLOOKUP($A422,Rotations!$A$1:$X$1441,18,0)</f>
        <v>0.11830287106953333</v>
      </c>
      <c r="T422" s="7">
        <f>VLOOKUP($A422,Rotations!$A$1:$X$1441,19,0)</f>
        <v>8.2022210342784022E-2</v>
      </c>
      <c r="U422" s="7">
        <f>VLOOKUP($A422,Rotations!$A$1:$X$1441,20,0)</f>
        <v>0.20137330435426928</v>
      </c>
      <c r="V422" s="7">
        <f>VLOOKUP($A422,Rotations!$A$1:$X$1441,21,0)</f>
        <v>0.4508466263672567</v>
      </c>
      <c r="W422" s="7">
        <f>VLOOKUP($A422,Rotations!$A$1:$X$1441,22,0)</f>
        <v>4.5588811723231301E-2</v>
      </c>
      <c r="X422" s="7">
        <f>VLOOKUP($A422,Rotations!$A$1:$X$1441,23,0)</f>
        <v>0.10186617614292554</v>
      </c>
    </row>
    <row r="423" spans="1:24" ht="15.75" customHeight="1" x14ac:dyDescent="0.3">
      <c r="A423">
        <v>414</v>
      </c>
      <c r="B423" t="str">
        <f>Permutations!I415</f>
        <v>p31 - i4:i3</v>
      </c>
      <c r="C423" t="str">
        <f>Permutations!J415</f>
        <v>p81 - i3:i1</v>
      </c>
      <c r="D423" t="str">
        <f>Permutations!K415</f>
        <v>p11 - i1:i6</v>
      </c>
      <c r="E423" t="str">
        <f>Permutations!L415</f>
        <v>p151 - i6:i5</v>
      </c>
      <c r="F423" t="str">
        <f>Permutations!M415</f>
        <v>p71 - i5:i2</v>
      </c>
      <c r="G423" s="7">
        <f>VLOOKUP(B423,Vlookup!$A$1:$B$30,2,0)</f>
        <v>2.2388599512381115</v>
      </c>
      <c r="H423" s="7">
        <f>VLOOKUP(C423,Vlookup!$A$1:$B$30,2,0)</f>
        <v>1.7021844231989158</v>
      </c>
      <c r="I423" s="7">
        <f>VLOOKUP(D423,Vlookup!$A$1:$B$30,2,0)</f>
        <v>1.1613557664474019</v>
      </c>
      <c r="J423" s="7">
        <f>VLOOKUP(E423,Vlookup!$A$1:$B$30,2,0)</f>
        <v>1.2266517321719024</v>
      </c>
      <c r="K423" s="7">
        <f>VLOOKUP(F423,Vlookup!$A$1:$B$30,2,0)</f>
        <v>1.8243208303594776</v>
      </c>
      <c r="L423" s="7">
        <f t="shared" si="7"/>
        <v>9.904243606605899</v>
      </c>
      <c r="M423" s="7">
        <f t="shared" si="8"/>
        <v>4.4237888131987688</v>
      </c>
      <c r="N423" s="7">
        <f t="shared" si="9"/>
        <v>2.5988892583596437</v>
      </c>
      <c r="O423" s="7">
        <f t="shared" si="10"/>
        <v>2.2378063065977365</v>
      </c>
      <c r="P423" s="7">
        <f t="shared" si="11"/>
        <v>1.8243208303594776</v>
      </c>
      <c r="Q423">
        <v>1</v>
      </c>
      <c r="R423" s="7">
        <f t="shared" si="12"/>
        <v>21.989048815121528</v>
      </c>
      <c r="S423" s="7">
        <f>VLOOKUP($A423,Rotations!$A$1:$X$1441,18,0)</f>
        <v>0.1181901627583103</v>
      </c>
      <c r="T423" s="7">
        <f>VLOOKUP($A423,Rotations!$A$1:$X$1441,19,0)</f>
        <v>4.547718313819539E-2</v>
      </c>
      <c r="U423" s="7">
        <f>VLOOKUP($A423,Rotations!$A$1:$X$1441,20,0)</f>
        <v>0.20118145402254042</v>
      </c>
      <c r="V423" s="7">
        <f>VLOOKUP($A423,Rotations!$A$1:$X$1441,21,0)</f>
        <v>0.45041710034291726</v>
      </c>
      <c r="W423" s="7">
        <f>VLOOKUP($A423,Rotations!$A$1:$X$1441,22,0)</f>
        <v>8.296497250508264E-2</v>
      </c>
      <c r="X423" s="7">
        <f>VLOOKUP($A423,Rotations!$A$1:$X$1441,23,0)</f>
        <v>0.10176912723295388</v>
      </c>
    </row>
    <row r="424" spans="1:24" ht="15.75" customHeight="1" x14ac:dyDescent="0.3">
      <c r="A424">
        <v>415</v>
      </c>
      <c r="B424" t="str">
        <f>Permutations!I416</f>
        <v>p31 - i4:i3</v>
      </c>
      <c r="C424" t="str">
        <f>Permutations!J416</f>
        <v>p21 - i3:i2</v>
      </c>
      <c r="D424" t="str">
        <f>Permutations!K416</f>
        <v>p11 - i2:i1</v>
      </c>
      <c r="E424" t="str">
        <f>Permutations!L416</f>
        <v>p10 - i1:i5</v>
      </c>
      <c r="F424" t="str">
        <f>Permutations!M416</f>
        <v>p15 - i5:i6</v>
      </c>
      <c r="G424" s="7">
        <f>VLOOKUP(B424,Vlookup!$A$1:$B$30,2,0)</f>
        <v>2.2388599512381115</v>
      </c>
      <c r="H424" s="7">
        <f>VLOOKUP(C424,Vlookup!$A$1:$B$30,2,0)</f>
        <v>1.5059827029565431</v>
      </c>
      <c r="I424" s="7">
        <f>VLOOKUP(D424,Vlookup!$A$1:$B$30,2,0)</f>
        <v>1.7440097060445605</v>
      </c>
      <c r="J424" s="7">
        <f>VLOOKUP(E424,Vlookup!$A$1:$B$30,2,0)</f>
        <v>1.0847108741813811</v>
      </c>
      <c r="K424" s="7">
        <f>VLOOKUP(F424,Vlookup!$A$1:$B$30,2,0)</f>
        <v>1.3219359277692486</v>
      </c>
      <c r="L424" s="7">
        <f t="shared" si="7"/>
        <v>8.4317983015186204</v>
      </c>
      <c r="M424" s="7">
        <f t="shared" si="8"/>
        <v>3.7661124345253274</v>
      </c>
      <c r="N424" s="7">
        <f t="shared" si="9"/>
        <v>2.5007673907088717</v>
      </c>
      <c r="O424" s="7">
        <f t="shared" si="10"/>
        <v>1.4339182758223568</v>
      </c>
      <c r="P424" s="7">
        <f t="shared" si="11"/>
        <v>1.3219359277692486</v>
      </c>
      <c r="Q424">
        <v>1</v>
      </c>
      <c r="R424" s="7">
        <f t="shared" si="12"/>
        <v>18.454532330344424</v>
      </c>
      <c r="S424" s="7">
        <f>VLOOKUP($A424,Rotations!$A$1:$X$1441,18,0)</f>
        <v>7.7700060351277134E-2</v>
      </c>
      <c r="T424" s="7">
        <f>VLOOKUP($A424,Rotations!$A$1:$X$1441,19,0)</f>
        <v>0.13550965941287546</v>
      </c>
      <c r="U424" s="7">
        <f>VLOOKUP($A424,Rotations!$A$1:$X$1441,20,0)</f>
        <v>0.2040752031593227</v>
      </c>
      <c r="V424" s="7">
        <f>VLOOKUP($A424,Rotations!$A$1:$X$1441,21,0)</f>
        <v>0.45689579939418895</v>
      </c>
      <c r="W424" s="7">
        <f>VLOOKUP($A424,Rotations!$A$1:$X$1441,22,0)</f>
        <v>7.1632047028123022E-2</v>
      </c>
      <c r="X424" s="7">
        <f>VLOOKUP($A424,Rotations!$A$1:$X$1441,23,0)</f>
        <v>5.418723065421277E-2</v>
      </c>
    </row>
    <row r="425" spans="1:24" ht="15.75" customHeight="1" x14ac:dyDescent="0.3">
      <c r="A425">
        <v>416</v>
      </c>
      <c r="B425" t="str">
        <f>Permutations!I417</f>
        <v>p31 - i4:i3</v>
      </c>
      <c r="C425" t="str">
        <f>Permutations!J417</f>
        <v>p21 - i3:i2</v>
      </c>
      <c r="D425" t="str">
        <f>Permutations!K417</f>
        <v>p11 - i2:i1</v>
      </c>
      <c r="E425" t="str">
        <f>Permutations!L417</f>
        <v>p11 - i1:i6</v>
      </c>
      <c r="F425" t="str">
        <f>Permutations!M417</f>
        <v>p151 - i6:i5</v>
      </c>
      <c r="G425" s="7">
        <f>VLOOKUP(B425,Vlookup!$A$1:$B$30,2,0)</f>
        <v>2.2388599512381115</v>
      </c>
      <c r="H425" s="7">
        <f>VLOOKUP(C425,Vlookup!$A$1:$B$30,2,0)</f>
        <v>1.5059827029565431</v>
      </c>
      <c r="I425" s="7">
        <f>VLOOKUP(D425,Vlookup!$A$1:$B$30,2,0)</f>
        <v>1.7440097060445605</v>
      </c>
      <c r="J425" s="7">
        <f>VLOOKUP(E425,Vlookup!$A$1:$B$30,2,0)</f>
        <v>1.1613557664474019</v>
      </c>
      <c r="K425" s="7">
        <f>VLOOKUP(F425,Vlookup!$A$1:$B$30,2,0)</f>
        <v>1.2266517321719024</v>
      </c>
      <c r="L425" s="7">
        <f t="shared" si="7"/>
        <v>8.3768813905079362</v>
      </c>
      <c r="M425" s="7">
        <f t="shared" si="8"/>
        <v>3.7415834723719268</v>
      </c>
      <c r="N425" s="7">
        <f t="shared" si="9"/>
        <v>2.4844797121683104</v>
      </c>
      <c r="O425" s="7">
        <f t="shared" si="10"/>
        <v>1.4245790625805328</v>
      </c>
      <c r="P425" s="7">
        <f t="shared" si="11"/>
        <v>1.2266517321719024</v>
      </c>
      <c r="Q425">
        <v>1</v>
      </c>
      <c r="R425" s="7">
        <f t="shared" si="12"/>
        <v>18.25417536980061</v>
      </c>
      <c r="S425" s="7">
        <f>VLOOKUP($A425,Rotations!$A$1:$X$1441,18,0)</f>
        <v>7.8041271858126857E-2</v>
      </c>
      <c r="T425" s="7">
        <f>VLOOKUP($A425,Rotations!$A$1:$X$1441,19,0)</f>
        <v>0.13610473559263545</v>
      </c>
      <c r="U425" s="7">
        <f>VLOOKUP($A425,Rotations!$A$1:$X$1441,20,0)</f>
        <v>0.20497137759298278</v>
      </c>
      <c r="V425" s="7">
        <f>VLOOKUP($A425,Rotations!$A$1:$X$1441,21,0)</f>
        <v>0.45890220844303398</v>
      </c>
      <c r="W425" s="7">
        <f>VLOOKUP($A425,Rotations!$A$1:$X$1441,22,0)</f>
        <v>5.4781987120293731E-2</v>
      </c>
      <c r="X425" s="7">
        <f>VLOOKUP($A425,Rotations!$A$1:$X$1441,23,0)</f>
        <v>6.7198419392927145E-2</v>
      </c>
    </row>
    <row r="426" spans="1:24" ht="15.75" customHeight="1" x14ac:dyDescent="0.3">
      <c r="A426">
        <v>417</v>
      </c>
      <c r="B426" t="str">
        <f>Permutations!I418</f>
        <v>p31 - i4:i3</v>
      </c>
      <c r="C426" t="str">
        <f>Permutations!J418</f>
        <v>p21 - i3:i2</v>
      </c>
      <c r="D426" t="str">
        <f>Permutations!K418</f>
        <v>p7 - i2:i5</v>
      </c>
      <c r="E426" t="str">
        <f>Permutations!L418</f>
        <v>p101 - i5:i1</v>
      </c>
      <c r="F426" t="str">
        <f>Permutations!M418</f>
        <v>p11 - i1:i6</v>
      </c>
      <c r="G426" s="7">
        <f>VLOOKUP(B426,Vlookup!$A$1:$B$30,2,0)</f>
        <v>2.2388599512381115</v>
      </c>
      <c r="H426" s="7">
        <f>VLOOKUP(C426,Vlookup!$A$1:$B$30,2,0)</f>
        <v>1.5059827029565431</v>
      </c>
      <c r="I426" s="7">
        <f>VLOOKUP(D426,Vlookup!$A$1:$B$30,2,0)</f>
        <v>1.7991741228251155</v>
      </c>
      <c r="J426" s="7">
        <f>VLOOKUP(E426,Vlookup!$A$1:$B$30,2,0)</f>
        <v>1.530542412441888</v>
      </c>
      <c r="K426" s="7">
        <f>VLOOKUP(F426,Vlookup!$A$1:$B$30,2,0)</f>
        <v>1.1613557664474019</v>
      </c>
      <c r="L426" s="7">
        <f t="shared" si="7"/>
        <v>10.782780312149232</v>
      </c>
      <c r="M426" s="7">
        <f t="shared" si="8"/>
        <v>4.8161924135479079</v>
      </c>
      <c r="N426" s="7">
        <f t="shared" si="9"/>
        <v>3.1980396614733797</v>
      </c>
      <c r="O426" s="7">
        <f t="shared" si="10"/>
        <v>1.7775042564817045</v>
      </c>
      <c r="P426" s="7">
        <f t="shared" si="11"/>
        <v>1.1613557664474019</v>
      </c>
      <c r="Q426">
        <v>1</v>
      </c>
      <c r="R426" s="7">
        <f t="shared" si="12"/>
        <v>22.735872410099624</v>
      </c>
      <c r="S426" s="7">
        <f>VLOOKUP($A426,Rotations!$A$1:$X$1441,18,0)</f>
        <v>5.1080325641320444E-2</v>
      </c>
      <c r="T426" s="7">
        <f>VLOOKUP($A426,Rotations!$A$1:$X$1441,19,0)</f>
        <v>0.14066052112663868</v>
      </c>
      <c r="U426" s="7">
        <f>VLOOKUP($A426,Rotations!$A$1:$X$1441,20,0)</f>
        <v>0.21183231180557124</v>
      </c>
      <c r="V426" s="7">
        <f>VLOOKUP($A426,Rotations!$A$1:$X$1441,21,0)</f>
        <v>0.47426287927967764</v>
      </c>
      <c r="W426" s="7">
        <f>VLOOKUP($A426,Rotations!$A$1:$X$1441,22,0)</f>
        <v>7.8180604835383832E-2</v>
      </c>
      <c r="X426" s="7">
        <f>VLOOKUP($A426,Rotations!$A$1:$X$1441,23,0)</f>
        <v>4.3983357311408233E-2</v>
      </c>
    </row>
    <row r="427" spans="1:24" ht="15.75" customHeight="1" x14ac:dyDescent="0.3">
      <c r="A427">
        <v>418</v>
      </c>
      <c r="B427" t="str">
        <f>Permutations!I419</f>
        <v>p31 - i4:i3</v>
      </c>
      <c r="C427" t="str">
        <f>Permutations!J419</f>
        <v>p21 - i3:i2</v>
      </c>
      <c r="D427" t="str">
        <f>Permutations!K419</f>
        <v>p7 - i2:i5</v>
      </c>
      <c r="E427" t="str">
        <f>Permutations!L419</f>
        <v>p15 - i5:i6</v>
      </c>
      <c r="F427" t="str">
        <f>Permutations!M419</f>
        <v>p111 - i6:i1</v>
      </c>
      <c r="G427" s="7">
        <f>VLOOKUP(B427,Vlookup!$A$1:$B$30,2,0)</f>
        <v>2.2388599512381115</v>
      </c>
      <c r="H427" s="7">
        <f>VLOOKUP(C427,Vlookup!$A$1:$B$30,2,0)</f>
        <v>1.5059827029565431</v>
      </c>
      <c r="I427" s="7">
        <f>VLOOKUP(D427,Vlookup!$A$1:$B$30,2,0)</f>
        <v>1.7991741228251155</v>
      </c>
      <c r="J427" s="7">
        <f>VLOOKUP(E427,Vlookup!$A$1:$B$30,2,0)</f>
        <v>1.3219359277692486</v>
      </c>
      <c r="K427" s="7">
        <f>VLOOKUP(F427,Vlookup!$A$1:$B$30,2,0)</f>
        <v>1.6397534939100344</v>
      </c>
      <c r="L427" s="7">
        <f t="shared" si="7"/>
        <v>13.149495132023324</v>
      </c>
      <c r="M427" s="7">
        <f t="shared" si="8"/>
        <v>5.8732995445970282</v>
      </c>
      <c r="N427" s="7">
        <f t="shared" si="9"/>
        <v>3.8999780894339455</v>
      </c>
      <c r="O427" s="7">
        <f t="shared" si="10"/>
        <v>2.1676490562848283</v>
      </c>
      <c r="P427" s="7">
        <f t="shared" si="11"/>
        <v>1.6397534939100344</v>
      </c>
      <c r="Q427">
        <v>1</v>
      </c>
      <c r="R427" s="7">
        <f t="shared" si="12"/>
        <v>27.730175316249159</v>
      </c>
      <c r="S427" s="7">
        <f>VLOOKUP($A427,Rotations!$A$1:$X$1441,18,0)</f>
        <v>3.6061798693859178E-2</v>
      </c>
      <c r="T427" s="7">
        <f>VLOOKUP($A427,Rotations!$A$1:$X$1441,19,0)</f>
        <v>0.14064022477162846</v>
      </c>
      <c r="U427" s="7">
        <f>VLOOKUP($A427,Rotations!$A$1:$X$1441,20,0)</f>
        <v>0.21180174584599282</v>
      </c>
      <c r="V427" s="7">
        <f>VLOOKUP($A427,Rotations!$A$1:$X$1441,21,0)</f>
        <v>0.47419444637690633</v>
      </c>
      <c r="W427" s="7">
        <f>VLOOKUP($A427,Rotations!$A$1:$X$1441,22,0)</f>
        <v>7.8169323906677302E-2</v>
      </c>
      <c r="X427" s="7">
        <f>VLOOKUP($A427,Rotations!$A$1:$X$1441,23,0)</f>
        <v>5.9132460404935909E-2</v>
      </c>
    </row>
    <row r="428" spans="1:24" ht="15.75" customHeight="1" x14ac:dyDescent="0.3">
      <c r="A428">
        <v>419</v>
      </c>
      <c r="B428" t="str">
        <f>Permutations!I420</f>
        <v>p31 - i4:i3</v>
      </c>
      <c r="C428" t="str">
        <f>Permutations!J420</f>
        <v>p21 - i3:i2</v>
      </c>
      <c r="D428" t="str">
        <f>Permutations!K420</f>
        <v>p12 - i2:i6</v>
      </c>
      <c r="E428" t="str">
        <f>Permutations!L420</f>
        <v>p111 - i6:i1</v>
      </c>
      <c r="F428" t="str">
        <f>Permutations!M420</f>
        <v>p10 - i1:i5</v>
      </c>
      <c r="G428" s="7">
        <f>VLOOKUP(B428,Vlookup!$A$1:$B$30,2,0)</f>
        <v>2.2388599512381115</v>
      </c>
      <c r="H428" s="7">
        <f>VLOOKUP(C428,Vlookup!$A$1:$B$30,2,0)</f>
        <v>1.5059827029565431</v>
      </c>
      <c r="I428" s="7">
        <f>VLOOKUP(D428,Vlookup!$A$1:$B$30,2,0)</f>
        <v>1.3354555559520354</v>
      </c>
      <c r="J428" s="7">
        <f>VLOOKUP(E428,Vlookup!$A$1:$B$30,2,0)</f>
        <v>1.6397534939100344</v>
      </c>
      <c r="K428" s="7">
        <f>VLOOKUP(F428,Vlookup!$A$1:$B$30,2,0)</f>
        <v>1.0847108741813811</v>
      </c>
      <c r="L428" s="7">
        <f t="shared" si="7"/>
        <v>8.008826948151258</v>
      </c>
      <c r="M428" s="7">
        <f t="shared" si="8"/>
        <v>3.5771897852397134</v>
      </c>
      <c r="N428" s="7">
        <f t="shared" si="9"/>
        <v>2.3753193036128368</v>
      </c>
      <c r="O428" s="7">
        <f t="shared" si="10"/>
        <v>1.7786584458211274</v>
      </c>
      <c r="P428" s="7">
        <f t="shared" si="11"/>
        <v>1.0847108741813811</v>
      </c>
      <c r="Q428">
        <v>1</v>
      </c>
      <c r="R428" s="7">
        <f t="shared" si="12"/>
        <v>17.824705357006319</v>
      </c>
      <c r="S428" s="7">
        <f>VLOOKUP($A428,Rotations!$A$1:$X$1441,18,0)</f>
        <v>6.0854350883001618E-2</v>
      </c>
      <c r="T428" s="7">
        <f>VLOOKUP($A428,Rotations!$A$1:$X$1441,19,0)</f>
        <v>0.1332599476983318</v>
      </c>
      <c r="U428" s="7">
        <f>VLOOKUP($A428,Rotations!$A$1:$X$1441,20,0)</f>
        <v>0.20068717623058127</v>
      </c>
      <c r="V428" s="7">
        <f>VLOOKUP($A428,Rotations!$A$1:$X$1441,21,0)</f>
        <v>0.44931048158971365</v>
      </c>
      <c r="W428" s="7">
        <f>VLOOKUP($A428,Rotations!$A$1:$X$1441,22,0)</f>
        <v>5.6101909118342431E-2</v>
      </c>
      <c r="X428" s="7">
        <f>VLOOKUP($A428,Rotations!$A$1:$X$1441,23,0)</f>
        <v>9.9786134480029084E-2</v>
      </c>
    </row>
    <row r="429" spans="1:24" ht="15.75" customHeight="1" x14ac:dyDescent="0.3">
      <c r="A429">
        <v>420</v>
      </c>
      <c r="B429" t="str">
        <f>Permutations!I421</f>
        <v>p31 - i4:i3</v>
      </c>
      <c r="C429" t="str">
        <f>Permutations!J421</f>
        <v>p21 - i3:i2</v>
      </c>
      <c r="D429" t="str">
        <f>Permutations!K421</f>
        <v>p12 - i2:i6</v>
      </c>
      <c r="E429" t="str">
        <f>Permutations!L421</f>
        <v>p151 - i6:i5</v>
      </c>
      <c r="F429" t="str">
        <f>Permutations!M421</f>
        <v>p101 - i5:i1</v>
      </c>
      <c r="G429" s="7">
        <f>VLOOKUP(B429,Vlookup!$A$1:$B$30,2,0)</f>
        <v>2.2388599512381115</v>
      </c>
      <c r="H429" s="7">
        <f>VLOOKUP(C429,Vlookup!$A$1:$B$30,2,0)</f>
        <v>1.5059827029565431</v>
      </c>
      <c r="I429" s="7">
        <f>VLOOKUP(D429,Vlookup!$A$1:$B$30,2,0)</f>
        <v>1.3354555559520354</v>
      </c>
      <c r="J429" s="7">
        <f>VLOOKUP(E429,Vlookup!$A$1:$B$30,2,0)</f>
        <v>1.2266517321719024</v>
      </c>
      <c r="K429" s="7">
        <f>VLOOKUP(F429,Vlookup!$A$1:$B$30,2,0)</f>
        <v>1.530542412441888</v>
      </c>
      <c r="L429" s="7">
        <f t="shared" si="7"/>
        <v>8.4536253343178629</v>
      </c>
      <c r="M429" s="7">
        <f t="shared" si="8"/>
        <v>3.7758616074412896</v>
      </c>
      <c r="N429" s="7">
        <f t="shared" si="9"/>
        <v>2.5072410194542893</v>
      </c>
      <c r="O429" s="7">
        <f t="shared" si="10"/>
        <v>1.8774425013844043</v>
      </c>
      <c r="P429" s="7">
        <f t="shared" si="11"/>
        <v>1.530542412441888</v>
      </c>
      <c r="Q429">
        <v>1</v>
      </c>
      <c r="R429" s="7">
        <f t="shared" si="12"/>
        <v>19.144712875039733</v>
      </c>
      <c r="S429" s="7">
        <f>VLOOKUP($A429,Rotations!$A$1:$X$1441,18,0)</f>
        <v>5.223374236673814E-2</v>
      </c>
      <c r="T429" s="7">
        <f>VLOOKUP($A429,Rotations!$A$1:$X$1441,19,0)</f>
        <v>0.13096258146149323</v>
      </c>
      <c r="U429" s="7">
        <f>VLOOKUP($A429,Rotations!$A$1:$X$1441,20,0)</f>
        <v>0.19722738241554605</v>
      </c>
      <c r="V429" s="7">
        <f>VLOOKUP($A429,Rotations!$A$1:$X$1441,21,0)</f>
        <v>0.44156448777768981</v>
      </c>
      <c r="W429" s="7">
        <f>VLOOKUP($A429,Rotations!$A$1:$X$1441,22,0)</f>
        <v>7.994595805285544E-2</v>
      </c>
      <c r="X429" s="7">
        <f>VLOOKUP($A429,Rotations!$A$1:$X$1441,23,0)</f>
        <v>9.806584792567738E-2</v>
      </c>
    </row>
    <row r="430" spans="1:24" ht="15.75" customHeight="1" x14ac:dyDescent="0.3">
      <c r="A430">
        <v>421</v>
      </c>
      <c r="B430" t="str">
        <f>Permutations!I422</f>
        <v>p31 - i4:i3</v>
      </c>
      <c r="C430" t="str">
        <f>Permutations!J422</f>
        <v>p6 - i3:i5</v>
      </c>
      <c r="D430" t="str">
        <f>Permutations!K422</f>
        <v>p101 - i5:i1</v>
      </c>
      <c r="E430" t="str">
        <f>Permutations!L422</f>
        <v>p1 - i1:i2</v>
      </c>
      <c r="F430" t="str">
        <f>Permutations!M422</f>
        <v>p12 - i2:i6</v>
      </c>
      <c r="G430" s="7">
        <f>VLOOKUP(B430,Vlookup!$A$1:$B$30,2,0)</f>
        <v>2.2388599512381115</v>
      </c>
      <c r="H430" s="7">
        <f>VLOOKUP(C430,Vlookup!$A$1:$B$30,2,0)</f>
        <v>2.2414716085286912</v>
      </c>
      <c r="I430" s="7">
        <f>VLOOKUP(D430,Vlookup!$A$1:$B$30,2,0)</f>
        <v>1.530542412441888</v>
      </c>
      <c r="J430" s="7">
        <f>VLOOKUP(E430,Vlookup!$A$1:$B$30,2,0)</f>
        <v>1.6373343116675814</v>
      </c>
      <c r="K430" s="7">
        <f>VLOOKUP(F430,Vlookup!$A$1:$B$30,2,0)</f>
        <v>1.3354555559520354</v>
      </c>
      <c r="L430" s="7">
        <f t="shared" si="7"/>
        <v>16.79470349391034</v>
      </c>
      <c r="M430" s="7">
        <f t="shared" si="8"/>
        <v>7.5014533555896179</v>
      </c>
      <c r="N430" s="7">
        <f t="shared" si="9"/>
        <v>3.3466644534095145</v>
      </c>
      <c r="O430" s="7">
        <f t="shared" si="10"/>
        <v>2.186587203467373</v>
      </c>
      <c r="P430" s="7">
        <f t="shared" si="11"/>
        <v>1.3354555559520354</v>
      </c>
      <c r="Q430">
        <v>1</v>
      </c>
      <c r="R430" s="7">
        <f t="shared" si="12"/>
        <v>32.164864062328874</v>
      </c>
      <c r="S430" s="7">
        <f>VLOOKUP($A430,Rotations!$A$1:$X$1441,18,0)</f>
        <v>6.7980613853371744E-2</v>
      </c>
      <c r="T430" s="7">
        <f>VLOOKUP($A430,Rotations!$A$1:$X$1441,19,0)</f>
        <v>4.1519079743791168E-2</v>
      </c>
      <c r="U430" s="7">
        <f>VLOOKUP($A430,Rotations!$A$1:$X$1441,20,0)</f>
        <v>0.23321887327281557</v>
      </c>
      <c r="V430" s="7">
        <f>VLOOKUP($A430,Rotations!$A$1:$X$1441,21,0)</f>
        <v>0.52214439524338319</v>
      </c>
      <c r="W430" s="7">
        <f>VLOOKUP($A430,Rotations!$A$1:$X$1441,22,0)</f>
        <v>0.10404721272642001</v>
      </c>
      <c r="X430" s="7">
        <f>VLOOKUP($A430,Rotations!$A$1:$X$1441,23,0)</f>
        <v>3.10898251602185E-2</v>
      </c>
    </row>
    <row r="431" spans="1:24" ht="15.75" customHeight="1" x14ac:dyDescent="0.3">
      <c r="A431">
        <v>422</v>
      </c>
      <c r="B431" t="str">
        <f>Permutations!I423</f>
        <v>p31 - i4:i3</v>
      </c>
      <c r="C431" t="str">
        <f>Permutations!J423</f>
        <v>p6 - i3:i5</v>
      </c>
      <c r="D431" t="str">
        <f>Permutations!K423</f>
        <v>p101 - i5:i1</v>
      </c>
      <c r="E431" t="str">
        <f>Permutations!L423</f>
        <v>p11 - i1:i6</v>
      </c>
      <c r="F431" t="str">
        <f>Permutations!M423</f>
        <v>p121 - i6:i2</v>
      </c>
      <c r="G431" s="7">
        <f>VLOOKUP(B431,Vlookup!$A$1:$B$30,2,0)</f>
        <v>2.2388599512381115</v>
      </c>
      <c r="H431" s="7">
        <f>VLOOKUP(C431,Vlookup!$A$1:$B$30,2,0)</f>
        <v>2.2414716085286912</v>
      </c>
      <c r="I431" s="7">
        <f>VLOOKUP(D431,Vlookup!$A$1:$B$30,2,0)</f>
        <v>1.530542412441888</v>
      </c>
      <c r="J431" s="7">
        <f>VLOOKUP(E431,Vlookup!$A$1:$B$30,2,0)</f>
        <v>1.1613557664474019</v>
      </c>
      <c r="K431" s="7">
        <f>VLOOKUP(F431,Vlookup!$A$1:$B$30,2,0)</f>
        <v>1.2419340531937677</v>
      </c>
      <c r="L431" s="7">
        <f t="shared" si="7"/>
        <v>11.078203912178454</v>
      </c>
      <c r="M431" s="7">
        <f t="shared" si="8"/>
        <v>4.9481451066432713</v>
      </c>
      <c r="N431" s="7">
        <f t="shared" si="9"/>
        <v>2.2075430658214978</v>
      </c>
      <c r="O431" s="7">
        <f t="shared" si="10"/>
        <v>1.4423272742239766</v>
      </c>
      <c r="P431" s="7">
        <f t="shared" si="11"/>
        <v>1.2419340531937677</v>
      </c>
      <c r="Q431">
        <v>1</v>
      </c>
      <c r="R431" s="7">
        <f t="shared" si="12"/>
        <v>21.918153412060967</v>
      </c>
      <c r="S431" s="7">
        <f>VLOOKUP($A431,Rotations!$A$1:$X$1441,18,0)</f>
        <v>6.5805145493246842E-2</v>
      </c>
      <c r="T431" s="7">
        <f>VLOOKUP($A431,Rotations!$A$1:$X$1441,19,0)</f>
        <v>4.5624281443788377E-2</v>
      </c>
      <c r="U431" s="7">
        <f>VLOOKUP($A431,Rotations!$A$1:$X$1441,20,0)</f>
        <v>0.22575556497019686</v>
      </c>
      <c r="V431" s="7">
        <f>VLOOKUP($A431,Rotations!$A$1:$X$1441,21,0)</f>
        <v>0.50543509318090718</v>
      </c>
      <c r="W431" s="7">
        <f>VLOOKUP($A431,Rotations!$A$1:$X$1441,22,0)</f>
        <v>0.10071756613432346</v>
      </c>
      <c r="X431" s="7">
        <f>VLOOKUP($A431,Rotations!$A$1:$X$1441,23,0)</f>
        <v>5.66623487775373E-2</v>
      </c>
    </row>
    <row r="432" spans="1:24" ht="15.75" customHeight="1" x14ac:dyDescent="0.3">
      <c r="A432">
        <v>423</v>
      </c>
      <c r="B432" t="str">
        <f>Permutations!I424</f>
        <v>p31 - i4:i3</v>
      </c>
      <c r="C432" t="str">
        <f>Permutations!J424</f>
        <v>p6 - i3:i5</v>
      </c>
      <c r="D432" t="str">
        <f>Permutations!K424</f>
        <v>p71 - i5:i2</v>
      </c>
      <c r="E432" t="str">
        <f>Permutations!L424</f>
        <v>p11 - i2:i1</v>
      </c>
      <c r="F432" t="str">
        <f>Permutations!M424</f>
        <v>p11 - i1:i6</v>
      </c>
      <c r="G432" s="7">
        <f>VLOOKUP(B432,Vlookup!$A$1:$B$30,2,0)</f>
        <v>2.2388599512381115</v>
      </c>
      <c r="H432" s="7">
        <f>VLOOKUP(C432,Vlookup!$A$1:$B$30,2,0)</f>
        <v>2.2414716085286912</v>
      </c>
      <c r="I432" s="7">
        <f>VLOOKUP(D432,Vlookup!$A$1:$B$30,2,0)</f>
        <v>1.8243208303594776</v>
      </c>
      <c r="J432" s="7">
        <f>VLOOKUP(E432,Vlookup!$A$1:$B$30,2,0)</f>
        <v>1.7440097060445605</v>
      </c>
      <c r="K432" s="7">
        <f>VLOOKUP(F432,Vlookup!$A$1:$B$30,2,0)</f>
        <v>1.1613557664474019</v>
      </c>
      <c r="L432" s="7">
        <f t="shared" si="7"/>
        <v>18.54281072483731</v>
      </c>
      <c r="M432" s="7">
        <f t="shared" si="8"/>
        <v>8.2822557590451122</v>
      </c>
      <c r="N432" s="7">
        <f t="shared" si="9"/>
        <v>3.6950081042880618</v>
      </c>
      <c r="O432" s="7">
        <f t="shared" si="10"/>
        <v>2.0254157288550885</v>
      </c>
      <c r="P432" s="7">
        <f t="shared" si="11"/>
        <v>1.1613557664474019</v>
      </c>
      <c r="Q432">
        <v>1</v>
      </c>
      <c r="R432" s="7">
        <f t="shared" si="12"/>
        <v>34.706846083472975</v>
      </c>
      <c r="S432" s="7">
        <f>VLOOKUP($A432,Rotations!$A$1:$X$1441,18,0)</f>
        <v>3.3461864084516367E-2</v>
      </c>
      <c r="T432" s="7">
        <f>VLOOKUP($A432,Rotations!$A$1:$X$1441,19,0)</f>
        <v>5.8357815745740421E-2</v>
      </c>
      <c r="U432" s="7">
        <f>VLOOKUP($A432,Rotations!$A$1:$X$1441,20,0)</f>
        <v>0.2386346411058374</v>
      </c>
      <c r="V432" s="7">
        <f>VLOOKUP($A432,Rotations!$A$1:$X$1441,21,0)</f>
        <v>0.53426954094993939</v>
      </c>
      <c r="W432" s="7">
        <f>VLOOKUP($A432,Rotations!$A$1:$X$1441,22,0)</f>
        <v>0.10646337887923457</v>
      </c>
      <c r="X432" s="7">
        <f>VLOOKUP($A432,Rotations!$A$1:$X$1441,23,0)</f>
        <v>2.8812759234731766E-2</v>
      </c>
    </row>
    <row r="433" spans="1:24" ht="15.75" customHeight="1" x14ac:dyDescent="0.3">
      <c r="A433">
        <v>424</v>
      </c>
      <c r="B433" t="str">
        <f>Permutations!I425</f>
        <v>p31 - i4:i3</v>
      </c>
      <c r="C433" t="str">
        <f>Permutations!J425</f>
        <v>p6 - i3:i5</v>
      </c>
      <c r="D433" t="str">
        <f>Permutations!K425</f>
        <v>p71 - i5:i2</v>
      </c>
      <c r="E433" t="str">
        <f>Permutations!L425</f>
        <v>p12 - i2:i6</v>
      </c>
      <c r="F433" t="str">
        <f>Permutations!M425</f>
        <v>p111 - i6:i1</v>
      </c>
      <c r="G433" s="7">
        <f>VLOOKUP(B433,Vlookup!$A$1:$B$30,2,0)</f>
        <v>2.2388599512381115</v>
      </c>
      <c r="H433" s="7">
        <f>VLOOKUP(C433,Vlookup!$A$1:$B$30,2,0)</f>
        <v>2.2414716085286912</v>
      </c>
      <c r="I433" s="7">
        <f>VLOOKUP(D433,Vlookup!$A$1:$B$30,2,0)</f>
        <v>1.8243208303594776</v>
      </c>
      <c r="J433" s="7">
        <f>VLOOKUP(E433,Vlookup!$A$1:$B$30,2,0)</f>
        <v>1.3354555559520354</v>
      </c>
      <c r="K433" s="7">
        <f>VLOOKUP(F433,Vlookup!$A$1:$B$30,2,0)</f>
        <v>1.6397534939100344</v>
      </c>
      <c r="L433" s="7">
        <f t="shared" si="7"/>
        <v>20.04792325822093</v>
      </c>
      <c r="M433" s="7">
        <f t="shared" si="8"/>
        <v>8.9545231478790051</v>
      </c>
      <c r="N433" s="7">
        <f t="shared" si="9"/>
        <v>3.9949304349015513</v>
      </c>
      <c r="O433" s="7">
        <f t="shared" si="10"/>
        <v>2.1898179138339176</v>
      </c>
      <c r="P433" s="7">
        <f t="shared" si="11"/>
        <v>1.6397534939100344</v>
      </c>
      <c r="Q433">
        <v>1</v>
      </c>
      <c r="R433" s="7">
        <f t="shared" si="12"/>
        <v>37.826948248745438</v>
      </c>
      <c r="S433" s="7">
        <f>VLOOKUP($A433,Rotations!$A$1:$X$1441,18,0)</f>
        <v>2.6436179662819241E-2</v>
      </c>
      <c r="T433" s="7">
        <f>VLOOKUP($A433,Rotations!$A$1:$X$1441,19,0)</f>
        <v>5.7890419798973462E-2</v>
      </c>
      <c r="U433" s="7">
        <f>VLOOKUP($A433,Rotations!$A$1:$X$1441,20,0)</f>
        <v>0.23672338273220306</v>
      </c>
      <c r="V433" s="7">
        <f>VLOOKUP($A433,Rotations!$A$1:$X$1441,21,0)</f>
        <v>0.52999050112074098</v>
      </c>
      <c r="W433" s="7">
        <f>VLOOKUP($A433,Rotations!$A$1:$X$1441,22,0)</f>
        <v>0.10561069871752202</v>
      </c>
      <c r="X433" s="7">
        <f>VLOOKUP($A433,Rotations!$A$1:$X$1441,23,0)</f>
        <v>4.3348817967741246E-2</v>
      </c>
    </row>
    <row r="434" spans="1:24" ht="15.75" customHeight="1" x14ac:dyDescent="0.3">
      <c r="A434">
        <v>425</v>
      </c>
      <c r="B434" t="str">
        <f>Permutations!I426</f>
        <v>p31 - i4:i3</v>
      </c>
      <c r="C434" t="str">
        <f>Permutations!J426</f>
        <v>p6 - i3:i5</v>
      </c>
      <c r="D434" t="str">
        <f>Permutations!K426</f>
        <v>p15 - i5:i6</v>
      </c>
      <c r="E434" t="str">
        <f>Permutations!L426</f>
        <v>p111 - i6:i1</v>
      </c>
      <c r="F434" t="str">
        <f>Permutations!M426</f>
        <v>p1 - i1:i2</v>
      </c>
      <c r="G434" s="7">
        <f>VLOOKUP(B434,Vlookup!$A$1:$B$30,2,0)</f>
        <v>2.2388599512381115</v>
      </c>
      <c r="H434" s="7">
        <f>VLOOKUP(C434,Vlookup!$A$1:$B$30,2,0)</f>
        <v>2.2414716085286912</v>
      </c>
      <c r="I434" s="7">
        <f>VLOOKUP(D434,Vlookup!$A$1:$B$30,2,0)</f>
        <v>1.3219359277692486</v>
      </c>
      <c r="J434" s="7">
        <f>VLOOKUP(E434,Vlookup!$A$1:$B$30,2,0)</f>
        <v>1.6397534939100344</v>
      </c>
      <c r="K434" s="7">
        <f>VLOOKUP(F434,Vlookup!$A$1:$B$30,2,0)</f>
        <v>1.6373343116675814</v>
      </c>
      <c r="L434" s="7">
        <f t="shared" si="7"/>
        <v>17.810926191767692</v>
      </c>
      <c r="M434" s="7">
        <f t="shared" si="8"/>
        <v>7.9553552163537855</v>
      </c>
      <c r="N434" s="7">
        <f t="shared" si="9"/>
        <v>3.5491661755090016</v>
      </c>
      <c r="O434" s="7">
        <f t="shared" si="10"/>
        <v>2.6848246582556978</v>
      </c>
      <c r="P434" s="7">
        <f t="shared" si="11"/>
        <v>1.6373343116675814</v>
      </c>
      <c r="Q434">
        <v>1</v>
      </c>
      <c r="R434" s="7">
        <f t="shared" si="12"/>
        <v>34.637606553553759</v>
      </c>
      <c r="S434" s="7">
        <f>VLOOKUP($A434,Rotations!$A$1:$X$1441,18,0)</f>
        <v>4.7270422947268964E-2</v>
      </c>
      <c r="T434" s="7">
        <f>VLOOKUP($A434,Rotations!$A$1:$X$1441,19,0)</f>
        <v>2.8870355070691273E-2</v>
      </c>
      <c r="U434" s="7">
        <f>VLOOKUP($A434,Rotations!$A$1:$X$1441,20,0)</f>
        <v>0.22967392980960977</v>
      </c>
      <c r="V434" s="7">
        <f>VLOOKUP($A434,Rotations!$A$1:$X$1441,21,0)</f>
        <v>0.51420776329420836</v>
      </c>
      <c r="W434" s="7">
        <f>VLOOKUP($A434,Rotations!$A$1:$X$1441,22,0)</f>
        <v>0.10246568769183226</v>
      </c>
      <c r="X434" s="7">
        <f>VLOOKUP($A434,Rotations!$A$1:$X$1441,23,0)</f>
        <v>7.7511841186389346E-2</v>
      </c>
    </row>
    <row r="435" spans="1:24" ht="15.75" customHeight="1" x14ac:dyDescent="0.3">
      <c r="A435">
        <v>426</v>
      </c>
      <c r="B435" t="str">
        <f>Permutations!I427</f>
        <v>p31 - i4:i3</v>
      </c>
      <c r="C435" t="str">
        <f>Permutations!J427</f>
        <v>p6 - i3:i5</v>
      </c>
      <c r="D435" t="str">
        <f>Permutations!K427</f>
        <v>p15 - i5:i6</v>
      </c>
      <c r="E435" t="str">
        <f>Permutations!L427</f>
        <v>p121 - i6:i2</v>
      </c>
      <c r="F435" t="str">
        <f>Permutations!M427</f>
        <v>p11 - i2:i1</v>
      </c>
      <c r="G435" s="7">
        <f>VLOOKUP(B435,Vlookup!$A$1:$B$30,2,0)</f>
        <v>2.2388599512381115</v>
      </c>
      <c r="H435" s="7">
        <f>VLOOKUP(C435,Vlookup!$A$1:$B$30,2,0)</f>
        <v>2.2414716085286912</v>
      </c>
      <c r="I435" s="7">
        <f>VLOOKUP(D435,Vlookup!$A$1:$B$30,2,0)</f>
        <v>1.3219359277692486</v>
      </c>
      <c r="J435" s="7">
        <f>VLOOKUP(E435,Vlookup!$A$1:$B$30,2,0)</f>
        <v>1.2419340531937677</v>
      </c>
      <c r="K435" s="7">
        <f>VLOOKUP(F435,Vlookup!$A$1:$B$30,2,0)</f>
        <v>1.7440097060445605</v>
      </c>
      <c r="L435" s="7">
        <f t="shared" si="7"/>
        <v>14.368717591421378</v>
      </c>
      <c r="M435" s="7">
        <f t="shared" si="8"/>
        <v>6.4178724459631047</v>
      </c>
      <c r="N435" s="7">
        <f t="shared" si="9"/>
        <v>2.8632405699645762</v>
      </c>
      <c r="O435" s="7">
        <f t="shared" si="10"/>
        <v>2.1659450430371923</v>
      </c>
      <c r="P435" s="7">
        <f t="shared" si="11"/>
        <v>1.7440097060445605</v>
      </c>
      <c r="Q435">
        <v>1</v>
      </c>
      <c r="R435" s="7">
        <f t="shared" si="12"/>
        <v>28.559785356430812</v>
      </c>
      <c r="S435" s="7">
        <f>VLOOKUP($A435,Rotations!$A$1:$X$1441,18,0)</f>
        <v>3.5014268753067845E-2</v>
      </c>
      <c r="T435" s="7">
        <f>VLOOKUP($A435,Rotations!$A$1:$X$1441,19,0)</f>
        <v>6.1065224555403093E-2</v>
      </c>
      <c r="U435" s="7">
        <f>VLOOKUP($A435,Rotations!$A$1:$X$1441,20,0)</f>
        <v>0.22471711064586106</v>
      </c>
      <c r="V435" s="7">
        <f>VLOOKUP($A435,Rotations!$A$1:$X$1441,21,0)</f>
        <v>0.50311013938296179</v>
      </c>
      <c r="W435" s="7">
        <f>VLOOKUP($A435,Rotations!$A$1:$X$1441,22,0)</f>
        <v>0.10025427482142683</v>
      </c>
      <c r="X435" s="7">
        <f>VLOOKUP($A435,Rotations!$A$1:$X$1441,23,0)</f>
        <v>7.5838981841279351E-2</v>
      </c>
    </row>
    <row r="436" spans="1:24" ht="15.75" customHeight="1" x14ac:dyDescent="0.3">
      <c r="A436">
        <v>427</v>
      </c>
      <c r="B436" t="str">
        <f>Permutations!I428</f>
        <v>p31 - i4:i3</v>
      </c>
      <c r="C436" t="str">
        <f>Permutations!J428</f>
        <v>p13 - i3:i6</v>
      </c>
      <c r="D436" t="str">
        <f>Permutations!K428</f>
        <v>p111 - i6:i1</v>
      </c>
      <c r="E436" t="str">
        <f>Permutations!L428</f>
        <v>p1 - i1:i2</v>
      </c>
      <c r="F436" t="str">
        <f>Permutations!M428</f>
        <v>p7 - i2:i5</v>
      </c>
      <c r="G436" s="7">
        <f>VLOOKUP(B436,Vlookup!$A$1:$B$30,2,0)</f>
        <v>2.2388599512381115</v>
      </c>
      <c r="H436" s="7">
        <f>VLOOKUP(C436,Vlookup!$A$1:$B$30,2,0)</f>
        <v>2.0145521929129111</v>
      </c>
      <c r="I436" s="7">
        <f>VLOOKUP(D436,Vlookup!$A$1:$B$30,2,0)</f>
        <v>1.6397534939100344</v>
      </c>
      <c r="J436" s="7">
        <f>VLOOKUP(E436,Vlookup!$A$1:$B$30,2,0)</f>
        <v>1.6373343116675814</v>
      </c>
      <c r="K436" s="7">
        <f>VLOOKUP(F436,Vlookup!$A$1:$B$30,2,0)</f>
        <v>1.7991741228251155</v>
      </c>
      <c r="L436" s="7">
        <f t="shared" si="7"/>
        <v>21.786856617079739</v>
      </c>
      <c r="M436" s="7">
        <f t="shared" si="8"/>
        <v>9.7312279872760215</v>
      </c>
      <c r="N436" s="7">
        <f t="shared" si="9"/>
        <v>4.8304670494564359</v>
      </c>
      <c r="O436" s="7">
        <f t="shared" si="10"/>
        <v>2.9458495239659848</v>
      </c>
      <c r="P436" s="7">
        <f t="shared" si="11"/>
        <v>1.7991741228251155</v>
      </c>
      <c r="Q436">
        <v>1</v>
      </c>
      <c r="R436" s="7">
        <f t="shared" si="12"/>
        <v>42.093575300603291</v>
      </c>
      <c r="S436" s="7">
        <f>VLOOKUP($A436,Rotations!$A$1:$X$1441,18,0)</f>
        <v>6.9983352635853771E-2</v>
      </c>
      <c r="T436" s="7">
        <f>VLOOKUP($A436,Rotations!$A$1:$X$1441,19,0)</f>
        <v>4.2742250093432417E-2</v>
      </c>
      <c r="U436" s="7">
        <f>VLOOKUP($A436,Rotations!$A$1:$X$1441,20,0)</f>
        <v>0.23118083740291245</v>
      </c>
      <c r="V436" s="7">
        <f>VLOOKUP($A436,Rotations!$A$1:$X$1441,21,0)</f>
        <v>0.51758151835507038</v>
      </c>
      <c r="W436" s="7">
        <f>VLOOKUP($A436,Rotations!$A$1:$X$1441,22,0)</f>
        <v>2.3756594512551844E-2</v>
      </c>
      <c r="X436" s="7">
        <f>VLOOKUP($A436,Rotations!$A$1:$X$1441,23,0)</f>
        <v>0.11475544700017927</v>
      </c>
    </row>
    <row r="437" spans="1:24" ht="15.75" customHeight="1" x14ac:dyDescent="0.3">
      <c r="A437">
        <v>428</v>
      </c>
      <c r="B437" t="str">
        <f>Permutations!I429</f>
        <v>p31 - i4:i3</v>
      </c>
      <c r="C437" t="str">
        <f>Permutations!J429</f>
        <v>p13 - i3:i6</v>
      </c>
      <c r="D437" t="str">
        <f>Permutations!K429</f>
        <v>p111 - i6:i1</v>
      </c>
      <c r="E437" t="str">
        <f>Permutations!L429</f>
        <v>p10 - i1:i5</v>
      </c>
      <c r="F437" t="str">
        <f>Permutations!M429</f>
        <v>p71 - i5:i2</v>
      </c>
      <c r="G437" s="7">
        <f>VLOOKUP(B437,Vlookup!$A$1:$B$30,2,0)</f>
        <v>2.2388599512381115</v>
      </c>
      <c r="H437" s="7">
        <f>VLOOKUP(C437,Vlookup!$A$1:$B$30,2,0)</f>
        <v>2.0145521929129111</v>
      </c>
      <c r="I437" s="7">
        <f>VLOOKUP(D437,Vlookup!$A$1:$B$30,2,0)</f>
        <v>1.6397534939100344</v>
      </c>
      <c r="J437" s="7">
        <f>VLOOKUP(E437,Vlookup!$A$1:$B$30,2,0)</f>
        <v>1.0847108741813811</v>
      </c>
      <c r="K437" s="7">
        <f>VLOOKUP(F437,Vlookup!$A$1:$B$30,2,0)</f>
        <v>1.8243208303594776</v>
      </c>
      <c r="L437" s="7">
        <f t="shared" si="7"/>
        <v>14.635219055368001</v>
      </c>
      <c r="M437" s="7">
        <f t="shared" si="8"/>
        <v>6.536906896420466</v>
      </c>
      <c r="N437" s="7">
        <f t="shared" si="9"/>
        <v>3.2448436528062969</v>
      </c>
      <c r="O437" s="7">
        <f t="shared" si="10"/>
        <v>1.9788606426865321</v>
      </c>
      <c r="P437" s="7">
        <f t="shared" si="11"/>
        <v>1.8243208303594776</v>
      </c>
      <c r="Q437">
        <v>1</v>
      </c>
      <c r="R437" s="7">
        <f t="shared" si="12"/>
        <v>29.220151077640772</v>
      </c>
      <c r="S437" s="7">
        <f>VLOOKUP($A437,Rotations!$A$1:$X$1441,18,0)</f>
        <v>6.7722464453674719E-2</v>
      </c>
      <c r="T437" s="7">
        <f>VLOOKUP($A437,Rotations!$A$1:$X$1441,19,0)</f>
        <v>3.4222957894464785E-2</v>
      </c>
      <c r="U437" s="7">
        <f>VLOOKUP($A437,Rotations!$A$1:$X$1441,20,0)</f>
        <v>0.22371228947623409</v>
      </c>
      <c r="V437" s="7">
        <f>VLOOKUP($A437,Rotations!$A$1:$X$1441,21,0)</f>
        <v>0.50086048550812778</v>
      </c>
      <c r="W437" s="7">
        <f>VLOOKUP($A437,Rotations!$A$1:$X$1441,22,0)</f>
        <v>6.2433654963387437E-2</v>
      </c>
      <c r="X437" s="7">
        <f>VLOOKUP($A437,Rotations!$A$1:$X$1441,23,0)</f>
        <v>0.11104814770411121</v>
      </c>
    </row>
    <row r="438" spans="1:24" ht="15.75" customHeight="1" x14ac:dyDescent="0.3">
      <c r="A438">
        <v>429</v>
      </c>
      <c r="B438" t="str">
        <f>Permutations!I430</f>
        <v>p31 - i4:i3</v>
      </c>
      <c r="C438" t="str">
        <f>Permutations!J430</f>
        <v>p13 - i3:i6</v>
      </c>
      <c r="D438" t="str">
        <f>Permutations!K430</f>
        <v>p121 - i6:i2</v>
      </c>
      <c r="E438" t="str">
        <f>Permutations!L430</f>
        <v>p11 - i2:i1</v>
      </c>
      <c r="F438" t="str">
        <f>Permutations!M430</f>
        <v>p10 - i1:i5</v>
      </c>
      <c r="G438" s="7">
        <f>VLOOKUP(B438,Vlookup!$A$1:$B$30,2,0)</f>
        <v>2.2388599512381115</v>
      </c>
      <c r="H438" s="7">
        <f>VLOOKUP(C438,Vlookup!$A$1:$B$30,2,0)</f>
        <v>2.0145521929129111</v>
      </c>
      <c r="I438" s="7">
        <f>VLOOKUP(D438,Vlookup!$A$1:$B$30,2,0)</f>
        <v>1.2419340531937677</v>
      </c>
      <c r="J438" s="7">
        <f>VLOOKUP(E438,Vlookup!$A$1:$B$30,2,0)</f>
        <v>1.7440097060445605</v>
      </c>
      <c r="K438" s="7">
        <f>VLOOKUP(F438,Vlookup!$A$1:$B$30,2,0)</f>
        <v>1.0847108741813811</v>
      </c>
      <c r="L438" s="7">
        <f t="shared" si="7"/>
        <v>10.59660823062171</v>
      </c>
      <c r="M438" s="7">
        <f t="shared" si="8"/>
        <v>4.7330375554583846</v>
      </c>
      <c r="N438" s="7">
        <f t="shared" si="9"/>
        <v>2.3494241410617018</v>
      </c>
      <c r="O438" s="7">
        <f t="shared" si="10"/>
        <v>1.8917462928244089</v>
      </c>
      <c r="P438" s="7">
        <f t="shared" si="11"/>
        <v>1.0847108741813811</v>
      </c>
      <c r="Q438">
        <v>1</v>
      </c>
      <c r="R438" s="7">
        <f t="shared" si="12"/>
        <v>21.655527094147587</v>
      </c>
      <c r="S438" s="7">
        <f>VLOOKUP($A438,Rotations!$A$1:$X$1441,18,0)</f>
        <v>5.0089331442526953E-2</v>
      </c>
      <c r="T438" s="7">
        <f>VLOOKUP($A438,Rotations!$A$1:$X$1441,19,0)</f>
        <v>8.7356280205049999E-2</v>
      </c>
      <c r="U438" s="7">
        <f>VLOOKUP($A438,Rotations!$A$1:$X$1441,20,0)</f>
        <v>0.21856025645930777</v>
      </c>
      <c r="V438" s="7">
        <f>VLOOKUP($A438,Rotations!$A$1:$X$1441,21,0)</f>
        <v>0.48932580511907497</v>
      </c>
      <c r="W438" s="7">
        <f>VLOOKUP($A438,Rotations!$A$1:$X$1441,22,0)</f>
        <v>4.6177587627052048E-2</v>
      </c>
      <c r="X438" s="7">
        <f>VLOOKUP($A438,Rotations!$A$1:$X$1441,23,0)</f>
        <v>0.10849073914698823</v>
      </c>
    </row>
    <row r="439" spans="1:24" ht="15.75" customHeight="1" x14ac:dyDescent="0.3">
      <c r="A439">
        <v>430</v>
      </c>
      <c r="B439" t="str">
        <f>Permutations!I431</f>
        <v>p31 - i4:i3</v>
      </c>
      <c r="C439" t="str">
        <f>Permutations!J431</f>
        <v>p13 - i3:i6</v>
      </c>
      <c r="D439" t="str">
        <f>Permutations!K431</f>
        <v>p121 - i6:i2</v>
      </c>
      <c r="E439" t="str">
        <f>Permutations!L431</f>
        <v>p7 - i2:i5</v>
      </c>
      <c r="F439" t="str">
        <f>Permutations!M431</f>
        <v>p101 - i5:i1</v>
      </c>
      <c r="G439" s="7">
        <f>VLOOKUP(B439,Vlookup!$A$1:$B$30,2,0)</f>
        <v>2.2388599512381115</v>
      </c>
      <c r="H439" s="7">
        <f>VLOOKUP(C439,Vlookup!$A$1:$B$30,2,0)</f>
        <v>2.0145521929129111</v>
      </c>
      <c r="I439" s="7">
        <f>VLOOKUP(D439,Vlookup!$A$1:$B$30,2,0)</f>
        <v>1.2419340531937677</v>
      </c>
      <c r="J439" s="7">
        <f>VLOOKUP(E439,Vlookup!$A$1:$B$30,2,0)</f>
        <v>1.7991741228251155</v>
      </c>
      <c r="K439" s="7">
        <f>VLOOKUP(F439,Vlookup!$A$1:$B$30,2,0)</f>
        <v>1.530542412441888</v>
      </c>
      <c r="L439" s="7">
        <f t="shared" si="7"/>
        <v>15.424906901389393</v>
      </c>
      <c r="M439" s="7">
        <f t="shared" si="8"/>
        <v>6.8896256297135823</v>
      </c>
      <c r="N439" s="7">
        <f t="shared" si="9"/>
        <v>3.4199290809892759</v>
      </c>
      <c r="O439" s="7">
        <f t="shared" si="10"/>
        <v>2.75371230235177</v>
      </c>
      <c r="P439" s="7">
        <f t="shared" si="11"/>
        <v>1.530542412441888</v>
      </c>
      <c r="Q439">
        <v>1</v>
      </c>
      <c r="R439" s="7">
        <f t="shared" si="12"/>
        <v>31.018716326885912</v>
      </c>
      <c r="S439" s="7">
        <f>VLOOKUP($A439,Rotations!$A$1:$X$1441,18,0)</f>
        <v>3.2238600381191009E-2</v>
      </c>
      <c r="T439" s="7">
        <f>VLOOKUP($A439,Rotations!$A$1:$X$1441,19,0)</f>
        <v>8.8775830480288156E-2</v>
      </c>
      <c r="U439" s="7">
        <f>VLOOKUP($A439,Rotations!$A$1:$X$1441,20,0)</f>
        <v>0.22211188745234767</v>
      </c>
      <c r="V439" s="7">
        <f>VLOOKUP($A439,Rotations!$A$1:$X$1441,21,0)</f>
        <v>0.49727740951096794</v>
      </c>
      <c r="W439" s="7">
        <f>VLOOKUP($A439,Rotations!$A$1:$X$1441,22,0)</f>
        <v>4.9342545201178062E-2</v>
      </c>
      <c r="X439" s="7">
        <f>VLOOKUP($A439,Rotations!$A$1:$X$1441,23,0)</f>
        <v>0.11025372697402709</v>
      </c>
    </row>
    <row r="440" spans="1:24" ht="15.75" customHeight="1" x14ac:dyDescent="0.3">
      <c r="A440">
        <v>431</v>
      </c>
      <c r="B440" t="str">
        <f>Permutations!I432</f>
        <v>p31 - i4:i3</v>
      </c>
      <c r="C440" t="str">
        <f>Permutations!J432</f>
        <v>p13 - i3:i6</v>
      </c>
      <c r="D440" t="str">
        <f>Permutations!K432</f>
        <v>p151 - i6:i5</v>
      </c>
      <c r="E440" t="str">
        <f>Permutations!L432</f>
        <v>p101 - i5:i1</v>
      </c>
      <c r="F440" t="str">
        <f>Permutations!M432</f>
        <v>p1 - i1:i2</v>
      </c>
      <c r="G440" s="7">
        <f>VLOOKUP(B440,Vlookup!$A$1:$B$30,2,0)</f>
        <v>2.2388599512381115</v>
      </c>
      <c r="H440" s="7">
        <f>VLOOKUP(C440,Vlookup!$A$1:$B$30,2,0)</f>
        <v>2.0145521929129111</v>
      </c>
      <c r="I440" s="7">
        <f>VLOOKUP(D440,Vlookup!$A$1:$B$30,2,0)</f>
        <v>1.2266517321719024</v>
      </c>
      <c r="J440" s="7">
        <f>VLOOKUP(E440,Vlookup!$A$1:$B$30,2,0)</f>
        <v>1.530542412441888</v>
      </c>
      <c r="K440" s="7">
        <f>VLOOKUP(F440,Vlookup!$A$1:$B$30,2,0)</f>
        <v>1.6373343116675814</v>
      </c>
      <c r="L440" s="7">
        <f t="shared" si="7"/>
        <v>13.864667515993441</v>
      </c>
      <c r="M440" s="7">
        <f t="shared" si="8"/>
        <v>6.1927355073398598</v>
      </c>
      <c r="N440" s="7">
        <f t="shared" si="9"/>
        <v>3.0740010256996957</v>
      </c>
      <c r="O440" s="7">
        <f t="shared" si="10"/>
        <v>2.5060096073535783</v>
      </c>
      <c r="P440" s="7">
        <f t="shared" si="11"/>
        <v>1.6373343116675814</v>
      </c>
      <c r="Q440">
        <v>1</v>
      </c>
      <c r="R440" s="7">
        <f t="shared" si="12"/>
        <v>28.274747968054154</v>
      </c>
      <c r="S440" s="7">
        <f>VLOOKUP($A440,Rotations!$A$1:$X$1441,18,0)</f>
        <v>5.7908007297447946E-2</v>
      </c>
      <c r="T440" s="7">
        <f>VLOOKUP($A440,Rotations!$A$1:$X$1441,19,0)</f>
        <v>3.5367247168032641E-2</v>
      </c>
      <c r="U440" s="7">
        <f>VLOOKUP($A440,Rotations!$A$1:$X$1441,20,0)</f>
        <v>0.21902000733434085</v>
      </c>
      <c r="V440" s="7">
        <f>VLOOKUP($A440,Rotations!$A$1:$X$1441,21,0)</f>
        <v>0.49035512294073319</v>
      </c>
      <c r="W440" s="7">
        <f>VLOOKUP($A440,Rotations!$A$1:$X$1441,22,0)</f>
        <v>8.8630661188738441E-2</v>
      </c>
      <c r="X440" s="7">
        <f>VLOOKUP($A440,Rotations!$A$1:$X$1441,23,0)</f>
        <v>0.108718954070707</v>
      </c>
    </row>
    <row r="441" spans="1:24" ht="15.75" customHeight="1" x14ac:dyDescent="0.3">
      <c r="A441">
        <v>432</v>
      </c>
      <c r="B441" t="str">
        <f>Permutations!I433</f>
        <v>p31 - i4:i3</v>
      </c>
      <c r="C441" t="str">
        <f>Permutations!J433</f>
        <v>p13 - i3:i6</v>
      </c>
      <c r="D441" t="str">
        <f>Permutations!K433</f>
        <v>p151 - i6:i5</v>
      </c>
      <c r="E441" t="str">
        <f>Permutations!L433</f>
        <v>p71 - i5:i2</v>
      </c>
      <c r="F441" t="str">
        <f>Permutations!M433</f>
        <v>p11 - i2:i1</v>
      </c>
      <c r="G441" s="7">
        <f>VLOOKUP(B441,Vlookup!$A$1:$B$30,2,0)</f>
        <v>2.2388599512381115</v>
      </c>
      <c r="H441" s="7">
        <f>VLOOKUP(C441,Vlookup!$A$1:$B$30,2,0)</f>
        <v>2.0145521929129111</v>
      </c>
      <c r="I441" s="7">
        <f>VLOOKUP(D441,Vlookup!$A$1:$B$30,2,0)</f>
        <v>1.2266517321719024</v>
      </c>
      <c r="J441" s="7">
        <f>VLOOKUP(E441,Vlookup!$A$1:$B$30,2,0)</f>
        <v>1.8243208303594776</v>
      </c>
      <c r="K441" s="7">
        <f>VLOOKUP(F441,Vlookup!$A$1:$B$30,2,0)</f>
        <v>1.7440097060445605</v>
      </c>
      <c r="L441" s="7">
        <f t="shared" si="7"/>
        <v>17.602600897004809</v>
      </c>
      <c r="M441" s="7">
        <f t="shared" si="8"/>
        <v>7.8623054949329916</v>
      </c>
      <c r="N441" s="7">
        <f t="shared" si="9"/>
        <v>3.9027559189541821</v>
      </c>
      <c r="O441" s="7">
        <f t="shared" si="10"/>
        <v>3.1816332350862009</v>
      </c>
      <c r="P441" s="7">
        <f t="shared" si="11"/>
        <v>1.7440097060445605</v>
      </c>
      <c r="Q441">
        <v>1</v>
      </c>
      <c r="R441" s="7">
        <f t="shared" si="12"/>
        <v>35.293305252022741</v>
      </c>
      <c r="S441" s="7">
        <f>VLOOKUP($A441,Rotations!$A$1:$X$1441,18,0)</f>
        <v>2.8333985521027043E-2</v>
      </c>
      <c r="T441" s="7">
        <f>VLOOKUP($A441,Rotations!$A$1:$X$1441,19,0)</f>
        <v>4.9414745759597208E-2</v>
      </c>
      <c r="U441" s="7">
        <f>VLOOKUP($A441,Rotations!$A$1:$X$1441,20,0)</f>
        <v>0.22277045005532273</v>
      </c>
      <c r="V441" s="7">
        <f>VLOOKUP($A441,Rotations!$A$1:$X$1441,21,0)</f>
        <v>0.49875183894815189</v>
      </c>
      <c r="W441" s="7">
        <f>VLOOKUP($A441,Rotations!$A$1:$X$1441,22,0)</f>
        <v>9.0148350016150847E-2</v>
      </c>
      <c r="X441" s="7">
        <f>VLOOKUP($A441,Rotations!$A$1:$X$1441,23,0)</f>
        <v>0.11058062969975038</v>
      </c>
    </row>
    <row r="442" spans="1:24" ht="15.75" customHeight="1" x14ac:dyDescent="0.3">
      <c r="A442">
        <v>433</v>
      </c>
      <c r="B442" t="str">
        <f>Permutations!I434</f>
        <v>p4 - i4:i5</v>
      </c>
      <c r="C442" t="str">
        <f>Permutations!J434</f>
        <v>p101 - i5:i1</v>
      </c>
      <c r="D442" t="str">
        <f>Permutations!K434</f>
        <v>p1 - i1:i2</v>
      </c>
      <c r="E442" t="str">
        <f>Permutations!L434</f>
        <v>p2 - i2:i3</v>
      </c>
      <c r="F442" t="str">
        <f>Permutations!M434</f>
        <v>p13 - i3:i6</v>
      </c>
      <c r="G442" s="7">
        <f>VLOOKUP(B442,Vlookup!$A$1:$B$30,2,0)</f>
        <v>1.89462595295753</v>
      </c>
      <c r="H442" s="7">
        <f>VLOOKUP(C442,Vlookup!$A$1:$B$30,2,0)</f>
        <v>1.530542412441888</v>
      </c>
      <c r="I442" s="7">
        <f>VLOOKUP(D442,Vlookup!$A$1:$B$30,2,0)</f>
        <v>1.6373343116675814</v>
      </c>
      <c r="J442" s="7">
        <f>VLOOKUP(E442,Vlookup!$A$1:$B$30,2,0)</f>
        <v>1.3601242124324544</v>
      </c>
      <c r="K442" s="7">
        <f>VLOOKUP(F442,Vlookup!$A$1:$B$30,2,0)</f>
        <v>2.0145521929129111</v>
      </c>
      <c r="L442" s="7">
        <f t="shared" si="7"/>
        <v>13.009580988636834</v>
      </c>
      <c r="M442" s="7">
        <f t="shared" si="8"/>
        <v>6.8665696088078754</v>
      </c>
      <c r="N442" s="7">
        <f t="shared" si="9"/>
        <v>4.4863634963585737</v>
      </c>
      <c r="O442" s="7">
        <f t="shared" si="10"/>
        <v>2.740041214789747</v>
      </c>
      <c r="P442" s="7">
        <f t="shared" si="11"/>
        <v>2.0145521929129111</v>
      </c>
      <c r="Q442">
        <v>1</v>
      </c>
      <c r="R442" s="7">
        <f t="shared" si="12"/>
        <v>30.117107501505945</v>
      </c>
      <c r="S442" s="7">
        <f>VLOOKUP($A442,Rotations!$A$1:$X$1441,18,0)</f>
        <v>0.14896395665268461</v>
      </c>
      <c r="T442" s="7">
        <f>VLOOKUP($A442,Rotations!$A$1:$X$1441,19,0)</f>
        <v>9.097956085765331E-2</v>
      </c>
      <c r="U442" s="7">
        <f>VLOOKUP($A442,Rotations!$A$1:$X$1441,20,0)</f>
        <v>6.6890626625155741E-2</v>
      </c>
      <c r="V442" s="7">
        <f>VLOOKUP($A442,Rotations!$A$1:$X$1441,21,0)</f>
        <v>0.43196648243813973</v>
      </c>
      <c r="W442" s="7">
        <f>VLOOKUP($A442,Rotations!$A$1:$X$1441,22,0)</f>
        <v>0.22799565358208873</v>
      </c>
      <c r="X442" s="7">
        <f>VLOOKUP($A442,Rotations!$A$1:$X$1441,23,0)</f>
        <v>3.3203719844277772E-2</v>
      </c>
    </row>
    <row r="443" spans="1:24" ht="15.75" customHeight="1" x14ac:dyDescent="0.3">
      <c r="A443">
        <v>434</v>
      </c>
      <c r="B443" t="str">
        <f>Permutations!I435</f>
        <v>p4 - i4:i5</v>
      </c>
      <c r="C443" t="str">
        <f>Permutations!J435</f>
        <v>p101 - i5:i1</v>
      </c>
      <c r="D443" t="str">
        <f>Permutations!K435</f>
        <v>p1 - i1:i2</v>
      </c>
      <c r="E443" t="str">
        <f>Permutations!L435</f>
        <v>p12 - i2:i6</v>
      </c>
      <c r="F443" t="str">
        <f>Permutations!M435</f>
        <v>p131 - i6:i3</v>
      </c>
      <c r="G443" s="7">
        <f>VLOOKUP(B443,Vlookup!$A$1:$B$30,2,0)</f>
        <v>1.89462595295753</v>
      </c>
      <c r="H443" s="7">
        <f>VLOOKUP(C443,Vlookup!$A$1:$B$30,2,0)</f>
        <v>1.530542412441888</v>
      </c>
      <c r="I443" s="7">
        <f>VLOOKUP(D443,Vlookup!$A$1:$B$30,2,0)</f>
        <v>1.6373343116675814</v>
      </c>
      <c r="J443" s="7">
        <f>VLOOKUP(E443,Vlookup!$A$1:$B$30,2,0)</f>
        <v>1.3354555559520354</v>
      </c>
      <c r="K443" s="7">
        <f>VLOOKUP(F443,Vlookup!$A$1:$B$30,2,0)</f>
        <v>1.4032439022773779</v>
      </c>
      <c r="L443" s="7">
        <f t="shared" si="7"/>
        <v>8.8975167986066666</v>
      </c>
      <c r="M443" s="7">
        <f t="shared" si="8"/>
        <v>4.6961864872153551</v>
      </c>
      <c r="N443" s="7">
        <f t="shared" si="9"/>
        <v>3.0683151600633356</v>
      </c>
      <c r="O443" s="7">
        <f t="shared" si="10"/>
        <v>1.8739698656521393</v>
      </c>
      <c r="P443" s="7">
        <f t="shared" si="11"/>
        <v>1.4032439022773779</v>
      </c>
      <c r="Q443">
        <v>1</v>
      </c>
      <c r="R443" s="7">
        <f t="shared" si="12"/>
        <v>20.939232213814876</v>
      </c>
      <c r="S443" s="7">
        <f>VLOOKUP($A443,Rotations!$A$1:$X$1441,18,0)</f>
        <v>0.1465342725431443</v>
      </c>
      <c r="T443" s="7">
        <f>VLOOKUP($A443,Rotations!$A$1:$X$1441,19,0)</f>
        <v>8.9495634152992887E-2</v>
      </c>
      <c r="U443" s="7">
        <f>VLOOKUP($A443,Rotations!$A$1:$X$1441,20,0)</f>
        <v>4.7757242948967327E-2</v>
      </c>
      <c r="V443" s="7">
        <f>VLOOKUP($A443,Rotations!$A$1:$X$1441,21,0)</f>
        <v>0.42492087139357659</v>
      </c>
      <c r="W443" s="7">
        <f>VLOOKUP($A443,Rotations!$A$1:$X$1441,22,0)</f>
        <v>0.22427691900360117</v>
      </c>
      <c r="X443" s="7">
        <f>VLOOKUP($A443,Rotations!$A$1:$X$1441,23,0)</f>
        <v>6.7015059957717713E-2</v>
      </c>
    </row>
    <row r="444" spans="1:24" ht="15.75" customHeight="1" x14ac:dyDescent="0.3">
      <c r="A444">
        <v>435</v>
      </c>
      <c r="B444" t="str">
        <f>Permutations!I436</f>
        <v>p4 - i4:i5</v>
      </c>
      <c r="C444" t="str">
        <f>Permutations!J436</f>
        <v>p101 - i5:i1</v>
      </c>
      <c r="D444" t="str">
        <f>Permutations!K436</f>
        <v>p8 - i1:i3</v>
      </c>
      <c r="E444" t="str">
        <f>Permutations!L436</f>
        <v>p21 - i3:i2</v>
      </c>
      <c r="F444" t="str">
        <f>Permutations!M436</f>
        <v>p12 - i2:i6</v>
      </c>
      <c r="G444" s="7">
        <f>VLOOKUP(B444,Vlookup!$A$1:$B$30,2,0)</f>
        <v>1.89462595295753</v>
      </c>
      <c r="H444" s="7">
        <f>VLOOKUP(C444,Vlookup!$A$1:$B$30,2,0)</f>
        <v>1.530542412441888</v>
      </c>
      <c r="I444" s="7">
        <f>VLOOKUP(D444,Vlookup!$A$1:$B$30,2,0)</f>
        <v>1.1080774401297739</v>
      </c>
      <c r="J444" s="7">
        <f>VLOOKUP(E444,Vlookup!$A$1:$B$30,2,0)</f>
        <v>1.5059827029565431</v>
      </c>
      <c r="K444" s="7">
        <f>VLOOKUP(F444,Vlookup!$A$1:$B$30,2,0)</f>
        <v>1.3354555559520354</v>
      </c>
      <c r="L444" s="7">
        <f t="shared" si="7"/>
        <v>6.4623189172919027</v>
      </c>
      <c r="M444" s="7">
        <f t="shared" si="8"/>
        <v>3.4108679379189115</v>
      </c>
      <c r="N444" s="7">
        <f t="shared" si="9"/>
        <v>2.2285353938523516</v>
      </c>
      <c r="O444" s="7">
        <f t="shared" si="10"/>
        <v>2.0111729678309791</v>
      </c>
      <c r="P444" s="7">
        <f t="shared" si="11"/>
        <v>1.3354555559520354</v>
      </c>
      <c r="Q444">
        <v>1</v>
      </c>
      <c r="R444" s="7">
        <f t="shared" si="12"/>
        <v>16.448350772846183</v>
      </c>
      <c r="S444" s="7">
        <f>VLOOKUP($A444,Rotations!$A$1:$X$1441,18,0)</f>
        <v>0.1354868597240361</v>
      </c>
      <c r="T444" s="7">
        <f>VLOOKUP($A444,Rotations!$A$1:$X$1441,19,0)</f>
        <v>8.1190848516963579E-2</v>
      </c>
      <c r="U444" s="7">
        <f>VLOOKUP($A444,Rotations!$A$1:$X$1441,20,0)</f>
        <v>0.12227201350491206</v>
      </c>
      <c r="V444" s="7">
        <f>VLOOKUP($A444,Rotations!$A$1:$X$1441,21,0)</f>
        <v>0.39288552430194063</v>
      </c>
      <c r="W444" s="7">
        <f>VLOOKUP($A444,Rotations!$A$1:$X$1441,22,0)</f>
        <v>0.2073683851362019</v>
      </c>
      <c r="X444" s="7">
        <f>VLOOKUP($A444,Rotations!$A$1:$X$1441,23,0)</f>
        <v>6.0796368815945578E-2</v>
      </c>
    </row>
    <row r="445" spans="1:24" ht="15.75" customHeight="1" x14ac:dyDescent="0.3">
      <c r="A445">
        <v>436</v>
      </c>
      <c r="B445" t="str">
        <f>Permutations!I437</f>
        <v>p4 - i4:i5</v>
      </c>
      <c r="C445" t="str">
        <f>Permutations!J437</f>
        <v>p101 - i5:i1</v>
      </c>
      <c r="D445" t="str">
        <f>Permutations!K437</f>
        <v>p8 - i1:i3</v>
      </c>
      <c r="E445" t="str">
        <f>Permutations!L437</f>
        <v>p13 - i3:i6</v>
      </c>
      <c r="F445" t="str">
        <f>Permutations!M437</f>
        <v>p121 - i6:i2</v>
      </c>
      <c r="G445" s="7">
        <f>VLOOKUP(B445,Vlookup!$A$1:$B$30,2,0)</f>
        <v>1.89462595295753</v>
      </c>
      <c r="H445" s="7">
        <f>VLOOKUP(C445,Vlookup!$A$1:$B$30,2,0)</f>
        <v>1.530542412441888</v>
      </c>
      <c r="I445" s="7">
        <f>VLOOKUP(D445,Vlookup!$A$1:$B$30,2,0)</f>
        <v>1.1080774401297739</v>
      </c>
      <c r="J445" s="7">
        <f>VLOOKUP(E445,Vlookup!$A$1:$B$30,2,0)</f>
        <v>2.0145521929129111</v>
      </c>
      <c r="K445" s="7">
        <f>VLOOKUP(F445,Vlookup!$A$1:$B$30,2,0)</f>
        <v>1.2419340531937677</v>
      </c>
      <c r="L445" s="7">
        <f t="shared" si="7"/>
        <v>8.0392590398874653</v>
      </c>
      <c r="M445" s="7">
        <f t="shared" si="8"/>
        <v>4.243190603051807</v>
      </c>
      <c r="N445" s="7">
        <f t="shared" si="9"/>
        <v>2.7723443457421433</v>
      </c>
      <c r="O445" s="7">
        <f t="shared" si="10"/>
        <v>2.5019409703147248</v>
      </c>
      <c r="P445" s="7">
        <f t="shared" si="11"/>
        <v>1.2419340531937677</v>
      </c>
      <c r="Q445">
        <v>1</v>
      </c>
      <c r="R445" s="7">
        <f t="shared" si="12"/>
        <v>19.798669012189908</v>
      </c>
      <c r="S445" s="7">
        <f>VLOOKUP($A445,Rotations!$A$1:$X$1441,18,0)</f>
        <v>0.14002680402582768</v>
      </c>
      <c r="T445" s="7">
        <f>VLOOKUP($A445,Rotations!$A$1:$X$1441,19,0)</f>
        <v>5.0508445763920128E-2</v>
      </c>
      <c r="U445" s="7">
        <f>VLOOKUP($A445,Rotations!$A$1:$X$1441,20,0)</f>
        <v>0.12636914980367098</v>
      </c>
      <c r="V445" s="7">
        <f>VLOOKUP($A445,Rotations!$A$1:$X$1441,21,0)</f>
        <v>0.40605047919826059</v>
      </c>
      <c r="W445" s="7">
        <f>VLOOKUP($A445,Rotations!$A$1:$X$1441,22,0)</f>
        <v>0.21431696244021772</v>
      </c>
      <c r="X445" s="7">
        <f>VLOOKUP($A445,Rotations!$A$1:$X$1441,23,0)</f>
        <v>6.2728158768102907E-2</v>
      </c>
    </row>
    <row r="446" spans="1:24" ht="15.75" customHeight="1" x14ac:dyDescent="0.3">
      <c r="A446">
        <v>437</v>
      </c>
      <c r="B446" t="str">
        <f>Permutations!I438</f>
        <v>p4 - i4:i5</v>
      </c>
      <c r="C446" t="str">
        <f>Permutations!J438</f>
        <v>p101 - i5:i1</v>
      </c>
      <c r="D446" t="str">
        <f>Permutations!K438</f>
        <v>p11 - i1:i6</v>
      </c>
      <c r="E446" t="str">
        <f>Permutations!L438</f>
        <v>p121 - i6:i2</v>
      </c>
      <c r="F446" t="str">
        <f>Permutations!M438</f>
        <v>p2 - i2:i3</v>
      </c>
      <c r="G446" s="7">
        <f>VLOOKUP(B446,Vlookup!$A$1:$B$30,2,0)</f>
        <v>1.89462595295753</v>
      </c>
      <c r="H446" s="7">
        <f>VLOOKUP(C446,Vlookup!$A$1:$B$30,2,0)</f>
        <v>1.530542412441888</v>
      </c>
      <c r="I446" s="7">
        <f>VLOOKUP(D446,Vlookup!$A$1:$B$30,2,0)</f>
        <v>1.1613557664474019</v>
      </c>
      <c r="J446" s="7">
        <f>VLOOKUP(E446,Vlookup!$A$1:$B$30,2,0)</f>
        <v>1.2419340531937677</v>
      </c>
      <c r="K446" s="7">
        <f>VLOOKUP(F446,Vlookup!$A$1:$B$30,2,0)</f>
        <v>1.3601242124324544</v>
      </c>
      <c r="L446" s="7">
        <f t="shared" si="7"/>
        <v>5.6886765178682426</v>
      </c>
      <c r="M446" s="7">
        <f t="shared" si="8"/>
        <v>3.0025327738111907</v>
      </c>
      <c r="N446" s="7">
        <f t="shared" si="9"/>
        <v>1.9617442479237348</v>
      </c>
      <c r="O446" s="7">
        <f t="shared" si="10"/>
        <v>1.6891845759932191</v>
      </c>
      <c r="P446" s="7">
        <f t="shared" si="11"/>
        <v>1.3601242124324544</v>
      </c>
      <c r="Q446">
        <v>1</v>
      </c>
      <c r="R446" s="7">
        <f t="shared" si="12"/>
        <v>14.702262328028841</v>
      </c>
      <c r="S446" s="7">
        <f>VLOOKUP($A446,Rotations!$A$1:$X$1441,18,0)</f>
        <v>0.13343145457170941</v>
      </c>
      <c r="T446" s="7">
        <f>VLOOKUP($A446,Rotations!$A$1:$X$1441,19,0)</f>
        <v>9.2511219163833869E-2</v>
      </c>
      <c r="U446" s="7">
        <f>VLOOKUP($A446,Rotations!$A$1:$X$1441,20,0)</f>
        <v>6.8016743116708619E-2</v>
      </c>
      <c r="V446" s="7">
        <f>VLOOKUP($A446,Rotations!$A$1:$X$1441,21,0)</f>
        <v>0.3869252493898967</v>
      </c>
      <c r="W446" s="7">
        <f>VLOOKUP($A446,Rotations!$A$1:$X$1441,22,0)</f>
        <v>0.20422250037581433</v>
      </c>
      <c r="X446" s="7">
        <f>VLOOKUP($A446,Rotations!$A$1:$X$1441,23,0)</f>
        <v>0.11489283338203715</v>
      </c>
    </row>
    <row r="447" spans="1:24" ht="15.75" customHeight="1" x14ac:dyDescent="0.3">
      <c r="A447">
        <v>438</v>
      </c>
      <c r="B447" t="str">
        <f>Permutations!I439</f>
        <v>p4 - i4:i5</v>
      </c>
      <c r="C447" t="str">
        <f>Permutations!J439</f>
        <v>p101 - i5:i1</v>
      </c>
      <c r="D447" t="str">
        <f>Permutations!K439</f>
        <v>p11 - i1:i6</v>
      </c>
      <c r="E447" t="str">
        <f>Permutations!L439</f>
        <v>p131 - i6:i3</v>
      </c>
      <c r="F447" t="str">
        <f>Permutations!M439</f>
        <v>p21 - i3:i2</v>
      </c>
      <c r="G447" s="7">
        <f>VLOOKUP(B447,Vlookup!$A$1:$B$30,2,0)</f>
        <v>1.89462595295753</v>
      </c>
      <c r="H447" s="7">
        <f>VLOOKUP(C447,Vlookup!$A$1:$B$30,2,0)</f>
        <v>1.530542412441888</v>
      </c>
      <c r="I447" s="7">
        <f>VLOOKUP(D447,Vlookup!$A$1:$B$30,2,0)</f>
        <v>1.1613557664474019</v>
      </c>
      <c r="J447" s="7">
        <f>VLOOKUP(E447,Vlookup!$A$1:$B$30,2,0)</f>
        <v>1.4032439022773779</v>
      </c>
      <c r="K447" s="7">
        <f>VLOOKUP(F447,Vlookup!$A$1:$B$30,2,0)</f>
        <v>1.5059827029565431</v>
      </c>
      <c r="L447" s="7">
        <f t="shared" si="7"/>
        <v>7.1168412575318252</v>
      </c>
      <c r="M447" s="7">
        <f t="shared" si="8"/>
        <v>3.7563305022937987</v>
      </c>
      <c r="N447" s="7">
        <f t="shared" si="9"/>
        <v>2.4542479004556301</v>
      </c>
      <c r="O447" s="7">
        <f t="shared" si="10"/>
        <v>2.113261044858973</v>
      </c>
      <c r="P447" s="7">
        <f t="shared" si="11"/>
        <v>1.5059827029565431</v>
      </c>
      <c r="Q447">
        <v>1</v>
      </c>
      <c r="R447" s="7">
        <f t="shared" si="12"/>
        <v>17.946663408096772</v>
      </c>
      <c r="S447" s="7">
        <f>VLOOKUP($A447,Rotations!$A$1:$X$1441,18,0)</f>
        <v>0.13675232240374988</v>
      </c>
      <c r="T447" s="7">
        <f>VLOOKUP($A447,Rotations!$A$1:$X$1441,19,0)</f>
        <v>5.5720663906185623E-2</v>
      </c>
      <c r="U447" s="7">
        <f>VLOOKUP($A447,Rotations!$A$1:$X$1441,20,0)</f>
        <v>8.3914356039970509E-2</v>
      </c>
      <c r="V447" s="7">
        <f>VLOOKUP($A447,Rotations!$A$1:$X$1441,21,0)</f>
        <v>0.39655511978460628</v>
      </c>
      <c r="W447" s="7">
        <f>VLOOKUP($A447,Rotations!$A$1:$X$1441,22,0)</f>
        <v>0.20930522943886617</v>
      </c>
      <c r="X447" s="7">
        <f>VLOOKUP($A447,Rotations!$A$1:$X$1441,23,0)</f>
        <v>0.11775230842662149</v>
      </c>
    </row>
    <row r="448" spans="1:24" ht="15.75" customHeight="1" x14ac:dyDescent="0.3">
      <c r="A448">
        <v>439</v>
      </c>
      <c r="B448" t="str">
        <f>Permutations!I440</f>
        <v>p4 - i4:i5</v>
      </c>
      <c r="C448" t="str">
        <f>Permutations!J440</f>
        <v>p71 - i5:i2</v>
      </c>
      <c r="D448" t="str">
        <f>Permutations!K440</f>
        <v>p11 - i2:i1</v>
      </c>
      <c r="E448" t="str">
        <f>Permutations!L440</f>
        <v>p8 - i1:i3</v>
      </c>
      <c r="F448" t="str">
        <f>Permutations!M440</f>
        <v>p13 - i3:i6</v>
      </c>
      <c r="G448" s="7">
        <f>VLOOKUP(B448,Vlookup!$A$1:$B$30,2,0)</f>
        <v>1.89462595295753</v>
      </c>
      <c r="H448" s="7">
        <f>VLOOKUP(C448,Vlookup!$A$1:$B$30,2,0)</f>
        <v>1.8243208303594776</v>
      </c>
      <c r="I448" s="7">
        <f>VLOOKUP(D448,Vlookup!$A$1:$B$30,2,0)</f>
        <v>1.7440097060445605</v>
      </c>
      <c r="J448" s="7">
        <f>VLOOKUP(E448,Vlookup!$A$1:$B$30,2,0)</f>
        <v>1.1080774401297739</v>
      </c>
      <c r="K448" s="7">
        <f>VLOOKUP(F448,Vlookup!$A$1:$B$30,2,0)</f>
        <v>2.0145521929129111</v>
      </c>
      <c r="L448" s="7">
        <f t="shared" si="7"/>
        <v>13.456193795159788</v>
      </c>
      <c r="M448" s="7">
        <f t="shared" si="8"/>
        <v>7.102295719191714</v>
      </c>
      <c r="N448" s="7">
        <f t="shared" si="9"/>
        <v>3.8931177022148158</v>
      </c>
      <c r="O448" s="7">
        <f t="shared" si="10"/>
        <v>2.2322798369307613</v>
      </c>
      <c r="P448" s="7">
        <f t="shared" si="11"/>
        <v>2.0145521929129111</v>
      </c>
      <c r="Q448">
        <v>1</v>
      </c>
      <c r="R448" s="7">
        <f t="shared" si="12"/>
        <v>29.69843924640999</v>
      </c>
      <c r="S448" s="7">
        <f>VLOOKUP($A448,Rotations!$A$1:$X$1441,18,0)</f>
        <v>7.5164887232267732E-2</v>
      </c>
      <c r="T448" s="7">
        <f>VLOOKUP($A448,Rotations!$A$1:$X$1441,19,0)</f>
        <v>0.13108829288681978</v>
      </c>
      <c r="U448" s="7">
        <f>VLOOKUP($A448,Rotations!$A$1:$X$1441,20,0)</f>
        <v>6.7833604863812305E-2</v>
      </c>
      <c r="V448" s="7">
        <f>VLOOKUP($A448,Rotations!$A$1:$X$1441,21,0)</f>
        <v>0.45309430854304578</v>
      </c>
      <c r="W448" s="7">
        <f>VLOOKUP($A448,Rotations!$A$1:$X$1441,22,0)</f>
        <v>0.23914710332968944</v>
      </c>
      <c r="X448" s="7">
        <f>VLOOKUP($A448,Rotations!$A$1:$X$1441,23,0)</f>
        <v>3.3671803144364972E-2</v>
      </c>
    </row>
    <row r="449" spans="1:24" ht="15.75" customHeight="1" x14ac:dyDescent="0.3">
      <c r="A449">
        <v>440</v>
      </c>
      <c r="B449" t="str">
        <f>Permutations!I441</f>
        <v>p4 - i4:i5</v>
      </c>
      <c r="C449" t="str">
        <f>Permutations!J441</f>
        <v>p71 - i5:i2</v>
      </c>
      <c r="D449" t="str">
        <f>Permutations!K441</f>
        <v>p11 - i2:i1</v>
      </c>
      <c r="E449" t="str">
        <f>Permutations!L441</f>
        <v>p11 - i1:i6</v>
      </c>
      <c r="F449" t="str">
        <f>Permutations!M441</f>
        <v>p131 - i6:i3</v>
      </c>
      <c r="G449" s="7">
        <f>VLOOKUP(B449,Vlookup!$A$1:$B$30,2,0)</f>
        <v>1.89462595295753</v>
      </c>
      <c r="H449" s="7">
        <f>VLOOKUP(C449,Vlookup!$A$1:$B$30,2,0)</f>
        <v>1.8243208303594776</v>
      </c>
      <c r="I449" s="7">
        <f>VLOOKUP(D449,Vlookup!$A$1:$B$30,2,0)</f>
        <v>1.7440097060445605</v>
      </c>
      <c r="J449" s="7">
        <f>VLOOKUP(E449,Vlookup!$A$1:$B$30,2,0)</f>
        <v>1.1613557664474019</v>
      </c>
      <c r="K449" s="7">
        <f>VLOOKUP(F449,Vlookup!$A$1:$B$30,2,0)</f>
        <v>1.4032439022773779</v>
      </c>
      <c r="L449" s="7">
        <f t="shared" si="7"/>
        <v>9.8236310023244169</v>
      </c>
      <c r="M449" s="7">
        <f t="shared" si="8"/>
        <v>5.1849975912077166</v>
      </c>
      <c r="N449" s="7">
        <f t="shared" si="9"/>
        <v>2.8421522710925942</v>
      </c>
      <c r="O449" s="7">
        <f t="shared" si="10"/>
        <v>1.6296653976419875</v>
      </c>
      <c r="P449" s="7">
        <f t="shared" si="11"/>
        <v>1.4032439022773779</v>
      </c>
      <c r="Q449">
        <v>1</v>
      </c>
      <c r="R449" s="7">
        <f t="shared" si="12"/>
        <v>21.883690164544092</v>
      </c>
      <c r="S449" s="7">
        <f>VLOOKUP($A449,Rotations!$A$1:$X$1441,18,0)</f>
        <v>7.446940554305452E-2</v>
      </c>
      <c r="T449" s="7">
        <f>VLOOKUP($A449,Rotations!$A$1:$X$1441,19,0)</f>
        <v>0.12987536607045566</v>
      </c>
      <c r="U449" s="7">
        <f>VLOOKUP($A449,Rotations!$A$1:$X$1441,20,0)</f>
        <v>4.5696132255619207E-2</v>
      </c>
      <c r="V449" s="7">
        <f>VLOOKUP($A449,Rotations!$A$1:$X$1441,21,0)</f>
        <v>0.44890194151261759</v>
      </c>
      <c r="W449" s="7">
        <f>VLOOKUP($A449,Rotations!$A$1:$X$1441,22,0)</f>
        <v>0.23693433567289482</v>
      </c>
      <c r="X449" s="7">
        <f>VLOOKUP($A449,Rotations!$A$1:$X$1441,23,0)</f>
        <v>6.4122818945358248E-2</v>
      </c>
    </row>
    <row r="450" spans="1:24" ht="15.75" customHeight="1" x14ac:dyDescent="0.3">
      <c r="A450">
        <v>441</v>
      </c>
      <c r="B450" t="str">
        <f>Permutations!I442</f>
        <v>p4 - i4:i5</v>
      </c>
      <c r="C450" t="str">
        <f>Permutations!J442</f>
        <v>p71 - i5:i2</v>
      </c>
      <c r="D450" t="str">
        <f>Permutations!K442</f>
        <v>p2 - i2:i3</v>
      </c>
      <c r="E450" t="str">
        <f>Permutations!L442</f>
        <v>p81 - i3:i1</v>
      </c>
      <c r="F450" t="str">
        <f>Permutations!M442</f>
        <v>p11 - i1:i6</v>
      </c>
      <c r="G450" s="7">
        <f>VLOOKUP(B450,Vlookup!$A$1:$B$30,2,0)</f>
        <v>1.89462595295753</v>
      </c>
      <c r="H450" s="7">
        <f>VLOOKUP(C450,Vlookup!$A$1:$B$30,2,0)</f>
        <v>1.8243208303594776</v>
      </c>
      <c r="I450" s="7">
        <f>VLOOKUP(D450,Vlookup!$A$1:$B$30,2,0)</f>
        <v>1.3601242124324544</v>
      </c>
      <c r="J450" s="7">
        <f>VLOOKUP(E450,Vlookup!$A$1:$B$30,2,0)</f>
        <v>1.7021844231989158</v>
      </c>
      <c r="K450" s="7">
        <f>VLOOKUP(F450,Vlookup!$A$1:$B$30,2,0)</f>
        <v>1.1613557664474019</v>
      </c>
      <c r="L450" s="7">
        <f t="shared" si="7"/>
        <v>9.2934114130536756</v>
      </c>
      <c r="M450" s="7">
        <f t="shared" si="8"/>
        <v>4.9051430962119831</v>
      </c>
      <c r="N450" s="7">
        <f t="shared" si="9"/>
        <v>2.6887502541126156</v>
      </c>
      <c r="O450" s="7">
        <f t="shared" si="10"/>
        <v>1.9768416954390056</v>
      </c>
      <c r="P450" s="7">
        <f t="shared" si="11"/>
        <v>1.1613557664474019</v>
      </c>
      <c r="Q450">
        <v>1</v>
      </c>
      <c r="R450" s="7">
        <f t="shared" si="12"/>
        <v>21.025502225264681</v>
      </c>
      <c r="S450" s="7">
        <f>VLOOKUP($A450,Rotations!$A$1:$X$1441,18,0)</f>
        <v>5.5235577918889979E-2</v>
      </c>
      <c r="T450" s="7">
        <f>VLOOKUP($A450,Rotations!$A$1:$X$1441,19,0)</f>
        <v>0.12788042945684111</v>
      </c>
      <c r="U450" s="7">
        <f>VLOOKUP($A450,Rotations!$A$1:$X$1441,20,0)</f>
        <v>9.4021140339924508E-2</v>
      </c>
      <c r="V450" s="7">
        <f>VLOOKUP($A450,Rotations!$A$1:$X$1441,21,0)</f>
        <v>0.44200663144619295</v>
      </c>
      <c r="W450" s="7">
        <f>VLOOKUP($A450,Rotations!$A$1:$X$1441,22,0)</f>
        <v>0.23329493125343095</v>
      </c>
      <c r="X450" s="7">
        <f>VLOOKUP($A450,Rotations!$A$1:$X$1441,23,0)</f>
        <v>4.7561289584720556E-2</v>
      </c>
    </row>
    <row r="451" spans="1:24" ht="15.75" customHeight="1" x14ac:dyDescent="0.3">
      <c r="A451">
        <v>442</v>
      </c>
      <c r="B451" t="str">
        <f>Permutations!I443</f>
        <v>p4 - i4:i5</v>
      </c>
      <c r="C451" t="str">
        <f>Permutations!J443</f>
        <v>p71 - i5:i2</v>
      </c>
      <c r="D451" t="str">
        <f>Permutations!K443</f>
        <v>p2 - i2:i3</v>
      </c>
      <c r="E451" t="str">
        <f>Permutations!L443</f>
        <v>p13 - i3:i6</v>
      </c>
      <c r="F451" t="str">
        <f>Permutations!M443</f>
        <v>p111 - i6:i1</v>
      </c>
      <c r="G451" s="7">
        <f>VLOOKUP(B451,Vlookup!$A$1:$B$30,2,0)</f>
        <v>1.89462595295753</v>
      </c>
      <c r="H451" s="7">
        <f>VLOOKUP(C451,Vlookup!$A$1:$B$30,2,0)</f>
        <v>1.8243208303594776</v>
      </c>
      <c r="I451" s="7">
        <f>VLOOKUP(D451,Vlookup!$A$1:$B$30,2,0)</f>
        <v>1.3601242124324544</v>
      </c>
      <c r="J451" s="7">
        <f>VLOOKUP(E451,Vlookup!$A$1:$B$30,2,0)</f>
        <v>2.0145521929129111</v>
      </c>
      <c r="K451" s="7">
        <f>VLOOKUP(F451,Vlookup!$A$1:$B$30,2,0)</f>
        <v>1.6397534939100344</v>
      </c>
      <c r="L451" s="7">
        <f t="shared" si="7"/>
        <v>15.529603209510142</v>
      </c>
      <c r="M451" s="7">
        <f t="shared" si="8"/>
        <v>8.1966591797543344</v>
      </c>
      <c r="N451" s="7">
        <f t="shared" si="9"/>
        <v>4.4929921554089827</v>
      </c>
      <c r="O451" s="7">
        <f t="shared" si="10"/>
        <v>3.3033689969930675</v>
      </c>
      <c r="P451" s="7">
        <f t="shared" si="11"/>
        <v>1.6397534939100344</v>
      </c>
      <c r="Q451">
        <v>1</v>
      </c>
      <c r="R451" s="7">
        <f t="shared" si="12"/>
        <v>34.162377035576561</v>
      </c>
      <c r="S451" s="7">
        <f>VLOOKUP($A451,Rotations!$A$1:$X$1441,18,0)</f>
        <v>2.9271967783699712E-2</v>
      </c>
      <c r="T451" s="7">
        <f>VLOOKUP($A451,Rotations!$A$1:$X$1441,19,0)</f>
        <v>0.13151872162554729</v>
      </c>
      <c r="U451" s="7">
        <f>VLOOKUP($A451,Rotations!$A$1:$X$1441,20,0)</f>
        <v>9.6696110857653506E-2</v>
      </c>
      <c r="V451" s="7">
        <f>VLOOKUP($A451,Rotations!$A$1:$X$1441,21,0)</f>
        <v>0.45458204484242054</v>
      </c>
      <c r="W451" s="7">
        <f>VLOOKUP($A451,Rotations!$A$1:$X$1441,22,0)</f>
        <v>0.2399323434437354</v>
      </c>
      <c r="X451" s="7">
        <f>VLOOKUP($A451,Rotations!$A$1:$X$1441,23,0)</f>
        <v>4.7998811446943568E-2</v>
      </c>
    </row>
    <row r="452" spans="1:24" ht="15.75" customHeight="1" x14ac:dyDescent="0.3">
      <c r="A452">
        <v>443</v>
      </c>
      <c r="B452" t="str">
        <f>Permutations!I444</f>
        <v>p4 - i4:i5</v>
      </c>
      <c r="C452" t="str">
        <f>Permutations!J444</f>
        <v>p71 - i5:i2</v>
      </c>
      <c r="D452" t="str">
        <f>Permutations!K444</f>
        <v>p12 - i2:i6</v>
      </c>
      <c r="E452" t="str">
        <f>Permutations!L444</f>
        <v>p111 - i6:i1</v>
      </c>
      <c r="F452" t="str">
        <f>Permutations!M444</f>
        <v>p8 - i1:i3</v>
      </c>
      <c r="G452" s="7">
        <f>VLOOKUP(B452,Vlookup!$A$1:$B$30,2,0)</f>
        <v>1.89462595295753</v>
      </c>
      <c r="H452" s="7">
        <f>VLOOKUP(C452,Vlookup!$A$1:$B$30,2,0)</f>
        <v>1.8243208303594776</v>
      </c>
      <c r="I452" s="7">
        <f>VLOOKUP(D452,Vlookup!$A$1:$B$30,2,0)</f>
        <v>1.3354555559520354</v>
      </c>
      <c r="J452" s="7">
        <f>VLOOKUP(E452,Vlookup!$A$1:$B$30,2,0)</f>
        <v>1.6397534939100344</v>
      </c>
      <c r="K452" s="7">
        <f>VLOOKUP(F452,Vlookup!$A$1:$B$30,2,0)</f>
        <v>1.1080774401297739</v>
      </c>
      <c r="L452" s="7">
        <f t="shared" si="7"/>
        <v>8.3869260980163105</v>
      </c>
      <c r="M452" s="7">
        <f t="shared" si="8"/>
        <v>4.4266922898022356</v>
      </c>
      <c r="N452" s="7">
        <f t="shared" si="9"/>
        <v>2.4264878283114091</v>
      </c>
      <c r="O452" s="7">
        <f t="shared" si="10"/>
        <v>1.8169738539756839</v>
      </c>
      <c r="P452" s="7">
        <f t="shared" si="11"/>
        <v>1.1080774401297739</v>
      </c>
      <c r="Q452">
        <v>1</v>
      </c>
      <c r="R452" s="7">
        <f t="shared" si="12"/>
        <v>19.165157510235414</v>
      </c>
      <c r="S452" s="7">
        <f>VLOOKUP($A452,Rotations!$A$1:$X$1441,18,0)</f>
        <v>5.7817288458912486E-2</v>
      </c>
      <c r="T452" s="7">
        <f>VLOOKUP($A452,Rotations!$A$1:$X$1441,19,0)</f>
        <v>0.12660933399662957</v>
      </c>
      <c r="U452" s="7">
        <f>VLOOKUP($A452,Rotations!$A$1:$X$1441,20,0)</f>
        <v>5.2178021467652241E-2</v>
      </c>
      <c r="V452" s="7">
        <f>VLOOKUP($A452,Rotations!$A$1:$X$1441,21,0)</f>
        <v>0.43761320998990788</v>
      </c>
      <c r="W452" s="7">
        <f>VLOOKUP($A452,Rotations!$A$1:$X$1441,22,0)</f>
        <v>0.23097604532799171</v>
      </c>
      <c r="X452" s="7">
        <f>VLOOKUP($A452,Rotations!$A$1:$X$1441,23,0)</f>
        <v>9.4806100758906067E-2</v>
      </c>
    </row>
    <row r="453" spans="1:24" ht="15.75" customHeight="1" x14ac:dyDescent="0.3">
      <c r="A453">
        <v>444</v>
      </c>
      <c r="B453" t="str">
        <f>Permutations!I445</f>
        <v>p4 - i4:i5</v>
      </c>
      <c r="C453" t="str">
        <f>Permutations!J445</f>
        <v>p71 - i5:i2</v>
      </c>
      <c r="D453" t="str">
        <f>Permutations!K445</f>
        <v>p12 - i2:i6</v>
      </c>
      <c r="E453" t="str">
        <f>Permutations!L445</f>
        <v>p131 - i6:i3</v>
      </c>
      <c r="F453" t="str">
        <f>Permutations!M445</f>
        <v>p81 - i3:i1</v>
      </c>
      <c r="G453" s="7">
        <f>VLOOKUP(B453,Vlookup!$A$1:$B$30,2,0)</f>
        <v>1.89462595295753</v>
      </c>
      <c r="H453" s="7">
        <f>VLOOKUP(C453,Vlookup!$A$1:$B$30,2,0)</f>
        <v>1.8243208303594776</v>
      </c>
      <c r="I453" s="7">
        <f>VLOOKUP(D453,Vlookup!$A$1:$B$30,2,0)</f>
        <v>1.3354555559520354</v>
      </c>
      <c r="J453" s="7">
        <f>VLOOKUP(E453,Vlookup!$A$1:$B$30,2,0)</f>
        <v>1.4032439022773779</v>
      </c>
      <c r="K453" s="7">
        <f>VLOOKUP(F453,Vlookup!$A$1:$B$30,2,0)</f>
        <v>1.7021844231989158</v>
      </c>
      <c r="L453" s="7">
        <f t="shared" si="7"/>
        <v>11.025388813777932</v>
      </c>
      <c r="M453" s="7">
        <f t="shared" si="8"/>
        <v>5.8192957805561525</v>
      </c>
      <c r="N453" s="7">
        <f t="shared" si="9"/>
        <v>3.1898423148572363</v>
      </c>
      <c r="O453" s="7">
        <f t="shared" si="10"/>
        <v>2.3885799124054143</v>
      </c>
      <c r="P453" s="7">
        <f t="shared" si="11"/>
        <v>1.7021844231989158</v>
      </c>
      <c r="Q453">
        <v>1</v>
      </c>
      <c r="R453" s="7">
        <f t="shared" si="12"/>
        <v>25.125291244795651</v>
      </c>
      <c r="S453" s="7">
        <f>VLOOKUP($A453,Rotations!$A$1:$X$1441,18,0)</f>
        <v>3.9800533663749506E-2</v>
      </c>
      <c r="T453" s="7">
        <f>VLOOKUP($A453,Rotations!$A$1:$X$1441,19,0)</f>
        <v>0.12695742643452809</v>
      </c>
      <c r="U453" s="7">
        <f>VLOOKUP($A453,Rotations!$A$1:$X$1441,20,0)</f>
        <v>6.7747848437438488E-2</v>
      </c>
      <c r="V453" s="7">
        <f>VLOOKUP($A453,Rotations!$A$1:$X$1441,21,0)</f>
        <v>0.43881635863869578</v>
      </c>
      <c r="W453" s="7">
        <f>VLOOKUP($A453,Rotations!$A$1:$X$1441,22,0)</f>
        <v>0.2316110776133406</v>
      </c>
      <c r="X453" s="7">
        <f>VLOOKUP($A453,Rotations!$A$1:$X$1441,23,0)</f>
        <v>9.5066755212247542E-2</v>
      </c>
    </row>
    <row r="454" spans="1:24" ht="15.75" customHeight="1" x14ac:dyDescent="0.3">
      <c r="A454">
        <v>445</v>
      </c>
      <c r="B454" t="str">
        <f>Permutations!I446</f>
        <v>p4 - i4:i5</v>
      </c>
      <c r="C454" t="str">
        <f>Permutations!J446</f>
        <v>p61 - i5:i3</v>
      </c>
      <c r="D454" t="str">
        <f>Permutations!K446</f>
        <v>p81 - i3:i1</v>
      </c>
      <c r="E454" t="str">
        <f>Permutations!L446</f>
        <v>p1 - i1:i2</v>
      </c>
      <c r="F454" t="str">
        <f>Permutations!M446</f>
        <v>p12 - i2:i6</v>
      </c>
      <c r="G454" s="7">
        <f>VLOOKUP(B454,Vlookup!$A$1:$B$30,2,0)</f>
        <v>1.89462595295753</v>
      </c>
      <c r="H454" s="7">
        <f>VLOOKUP(C454,Vlookup!$A$1:$B$30,2,0)</f>
        <v>1.9746367445127702</v>
      </c>
      <c r="I454" s="7">
        <f>VLOOKUP(D454,Vlookup!$A$1:$B$30,2,0)</f>
        <v>1.7021844231989158</v>
      </c>
      <c r="J454" s="7">
        <f>VLOOKUP(E454,Vlookup!$A$1:$B$30,2,0)</f>
        <v>1.6373343116675814</v>
      </c>
      <c r="K454" s="7">
        <f>VLOOKUP(F454,Vlookup!$A$1:$B$30,2,0)</f>
        <v>1.3354555559520354</v>
      </c>
      <c r="L454" s="7">
        <f t="shared" si="7"/>
        <v>13.924644308940705</v>
      </c>
      <c r="M454" s="7">
        <f t="shared" si="8"/>
        <v>7.349547960748767</v>
      </c>
      <c r="N454" s="7">
        <f t="shared" si="9"/>
        <v>3.7219746777082405</v>
      </c>
      <c r="O454" s="7">
        <f t="shared" si="10"/>
        <v>2.186587203467373</v>
      </c>
      <c r="P454" s="7">
        <f t="shared" si="11"/>
        <v>1.3354555559520354</v>
      </c>
      <c r="Q454">
        <v>1</v>
      </c>
      <c r="R454" s="7">
        <f t="shared" si="12"/>
        <v>29.518209706817117</v>
      </c>
      <c r="S454" s="7">
        <f>VLOOKUP($A454,Rotations!$A$1:$X$1441,18,0)</f>
        <v>7.4075874695150937E-2</v>
      </c>
      <c r="T454" s="7">
        <f>VLOOKUP($A454,Rotations!$A$1:$X$1441,19,0)</f>
        <v>4.5241753114980313E-2</v>
      </c>
      <c r="U454" s="7">
        <f>VLOOKUP($A454,Rotations!$A$1:$X$1441,20,0)</f>
        <v>0.12609080004092066</v>
      </c>
      <c r="V454" s="7">
        <f>VLOOKUP($A454,Rotations!$A$1:$X$1441,21,0)</f>
        <v>0.47173065193465513</v>
      </c>
      <c r="W454" s="7">
        <f>VLOOKUP($A454,Rotations!$A$1:$X$1441,22,0)</f>
        <v>0.24898352690581424</v>
      </c>
      <c r="X454" s="7">
        <f>VLOOKUP($A454,Rotations!$A$1:$X$1441,23,0)</f>
        <v>3.3877393308478797E-2</v>
      </c>
    </row>
    <row r="455" spans="1:24" ht="15.75" customHeight="1" x14ac:dyDescent="0.3">
      <c r="A455">
        <v>446</v>
      </c>
      <c r="B455" t="str">
        <f>Permutations!I447</f>
        <v>p4 - i4:i5</v>
      </c>
      <c r="C455" t="str">
        <f>Permutations!J447</f>
        <v>p61 - i5:i3</v>
      </c>
      <c r="D455" t="str">
        <f>Permutations!K447</f>
        <v>p81 - i3:i1</v>
      </c>
      <c r="E455" t="str">
        <f>Permutations!L447</f>
        <v>p11 - i1:i6</v>
      </c>
      <c r="F455" t="str">
        <f>Permutations!M447</f>
        <v>p121 - i6:i2</v>
      </c>
      <c r="G455" s="7">
        <f>VLOOKUP(B455,Vlookup!$A$1:$B$30,2,0)</f>
        <v>1.89462595295753</v>
      </c>
      <c r="H455" s="7">
        <f>VLOOKUP(C455,Vlookup!$A$1:$B$30,2,0)</f>
        <v>1.9746367445127702</v>
      </c>
      <c r="I455" s="7">
        <f>VLOOKUP(D455,Vlookup!$A$1:$B$30,2,0)</f>
        <v>1.7021844231989158</v>
      </c>
      <c r="J455" s="7">
        <f>VLOOKUP(E455,Vlookup!$A$1:$B$30,2,0)</f>
        <v>1.1613557664474019</v>
      </c>
      <c r="K455" s="7">
        <f>VLOOKUP(F455,Vlookup!$A$1:$B$30,2,0)</f>
        <v>1.2419340531937677</v>
      </c>
      <c r="L455" s="7">
        <f t="shared" si="7"/>
        <v>9.1850415290114622</v>
      </c>
      <c r="M455" s="7">
        <f t="shared" si="8"/>
        <v>4.8479445320980217</v>
      </c>
      <c r="N455" s="7">
        <f t="shared" si="9"/>
        <v>2.4551070193390037</v>
      </c>
      <c r="O455" s="7">
        <f t="shared" si="10"/>
        <v>1.4423272742239766</v>
      </c>
      <c r="P455" s="7">
        <f t="shared" si="11"/>
        <v>1.2419340531937677</v>
      </c>
      <c r="Q455">
        <v>1</v>
      </c>
      <c r="R455" s="7">
        <f t="shared" si="12"/>
        <v>20.17235440786623</v>
      </c>
      <c r="S455" s="7">
        <f>VLOOKUP($A455,Rotations!$A$1:$X$1441,18,0)</f>
        <v>7.1500195022428298E-2</v>
      </c>
      <c r="T455" s="7">
        <f>VLOOKUP($A455,Rotations!$A$1:$X$1441,19,0)</f>
        <v>4.9572795509187015E-2</v>
      </c>
      <c r="U455" s="7">
        <f>VLOOKUP($A455,Rotations!$A$1:$X$1441,20,0)</f>
        <v>0.12170651822286209</v>
      </c>
      <c r="V455" s="7">
        <f>VLOOKUP($A455,Rotations!$A$1:$X$1441,21,0)</f>
        <v>0.45532818546107567</v>
      </c>
      <c r="W455" s="7">
        <f>VLOOKUP($A455,Rotations!$A$1:$X$1441,22,0)</f>
        <v>0.24032616292957656</v>
      </c>
      <c r="X455" s="7">
        <f>VLOOKUP($A455,Rotations!$A$1:$X$1441,23,0)</f>
        <v>6.1566142854870443E-2</v>
      </c>
    </row>
    <row r="456" spans="1:24" ht="15.75" customHeight="1" x14ac:dyDescent="0.3">
      <c r="A456">
        <v>447</v>
      </c>
      <c r="B456" t="str">
        <f>Permutations!I448</f>
        <v>p4 - i4:i5</v>
      </c>
      <c r="C456" t="str">
        <f>Permutations!J448</f>
        <v>p61 - i5:i3</v>
      </c>
      <c r="D456" t="str">
        <f>Permutations!K448</f>
        <v>p21 - i3:i2</v>
      </c>
      <c r="E456" t="str">
        <f>Permutations!L448</f>
        <v>p11 - i2:i1</v>
      </c>
      <c r="F456" t="str">
        <f>Permutations!M448</f>
        <v>p11 - i1:i6</v>
      </c>
      <c r="G456" s="7">
        <f>VLOOKUP(B456,Vlookup!$A$1:$B$30,2,0)</f>
        <v>1.89462595295753</v>
      </c>
      <c r="H456" s="7">
        <f>VLOOKUP(C456,Vlookup!$A$1:$B$30,2,0)</f>
        <v>1.9746367445127702</v>
      </c>
      <c r="I456" s="7">
        <f>VLOOKUP(D456,Vlookup!$A$1:$B$30,2,0)</f>
        <v>1.5059827029565431</v>
      </c>
      <c r="J456" s="7">
        <f>VLOOKUP(E456,Vlookup!$A$1:$B$30,2,0)</f>
        <v>1.7440097060445605</v>
      </c>
      <c r="K456" s="7">
        <f>VLOOKUP(F456,Vlookup!$A$1:$B$30,2,0)</f>
        <v>1.1613557664474019</v>
      </c>
      <c r="L456" s="7">
        <f t="shared" si="7"/>
        <v>11.411555803211678</v>
      </c>
      <c r="M456" s="7">
        <f t="shared" si="8"/>
        <v>6.0231180647547475</v>
      </c>
      <c r="N456" s="7">
        <f t="shared" si="9"/>
        <v>3.0502410539518832</v>
      </c>
      <c r="O456" s="7">
        <f t="shared" si="10"/>
        <v>2.0254157288550885</v>
      </c>
      <c r="P456" s="7">
        <f t="shared" si="11"/>
        <v>1.1613557664474019</v>
      </c>
      <c r="Q456">
        <v>1</v>
      </c>
      <c r="R456" s="7">
        <f t="shared" si="12"/>
        <v>24.671686417220798</v>
      </c>
      <c r="S456" s="7">
        <f>VLOOKUP($A456,Rotations!$A$1:$X$1441,18,0)</f>
        <v>4.7072411135899384E-2</v>
      </c>
      <c r="T456" s="7">
        <f>VLOOKUP($A456,Rotations!$A$1:$X$1441,19,0)</f>
        <v>8.2094741907928578E-2</v>
      </c>
      <c r="U456" s="7">
        <f>VLOOKUP($A456,Rotations!$A$1:$X$1441,20,0)</f>
        <v>0.12363326131702208</v>
      </c>
      <c r="V456" s="7">
        <f>VLOOKUP($A456,Rotations!$A$1:$X$1441,21,0)</f>
        <v>0.46253651291735093</v>
      </c>
      <c r="W456" s="7">
        <f>VLOOKUP($A456,Rotations!$A$1:$X$1441,22,0)</f>
        <v>0.24413078064054108</v>
      </c>
      <c r="X456" s="7">
        <f>VLOOKUP($A456,Rotations!$A$1:$X$1441,23,0)</f>
        <v>4.053229208125804E-2</v>
      </c>
    </row>
    <row r="457" spans="1:24" ht="15.75" customHeight="1" x14ac:dyDescent="0.3">
      <c r="A457">
        <v>448</v>
      </c>
      <c r="B457" t="str">
        <f>Permutations!I449</f>
        <v>p4 - i4:i5</v>
      </c>
      <c r="C457" t="str">
        <f>Permutations!J449</f>
        <v>p61 - i5:i3</v>
      </c>
      <c r="D457" t="str">
        <f>Permutations!K449</f>
        <v>p21 - i3:i2</v>
      </c>
      <c r="E457" t="str">
        <f>Permutations!L449</f>
        <v>p12 - i2:i6</v>
      </c>
      <c r="F457" t="str">
        <f>Permutations!M449</f>
        <v>p111 - i6:i1</v>
      </c>
      <c r="G457" s="7">
        <f>VLOOKUP(B457,Vlookup!$A$1:$B$30,2,0)</f>
        <v>1.89462595295753</v>
      </c>
      <c r="H457" s="7">
        <f>VLOOKUP(C457,Vlookup!$A$1:$B$30,2,0)</f>
        <v>1.9746367445127702</v>
      </c>
      <c r="I457" s="7">
        <f>VLOOKUP(D457,Vlookup!$A$1:$B$30,2,0)</f>
        <v>1.5059827029565431</v>
      </c>
      <c r="J457" s="7">
        <f>VLOOKUP(E457,Vlookup!$A$1:$B$30,2,0)</f>
        <v>1.3354555559520354</v>
      </c>
      <c r="K457" s="7">
        <f>VLOOKUP(F457,Vlookup!$A$1:$B$30,2,0)</f>
        <v>1.6397534939100344</v>
      </c>
      <c r="L457" s="7">
        <f t="shared" si="7"/>
        <v>12.337827225581018</v>
      </c>
      <c r="M457" s="7">
        <f t="shared" si="8"/>
        <v>6.5120121501141401</v>
      </c>
      <c r="N457" s="7">
        <f t="shared" si="9"/>
        <v>3.2978279008582612</v>
      </c>
      <c r="O457" s="7">
        <f t="shared" si="10"/>
        <v>2.1898179138339176</v>
      </c>
      <c r="P457" s="7">
        <f t="shared" si="11"/>
        <v>1.6397534939100344</v>
      </c>
      <c r="Q457">
        <v>1</v>
      </c>
      <c r="R457" s="7">
        <f t="shared" si="12"/>
        <v>26.977238684297372</v>
      </c>
      <c r="S457" s="7">
        <f>VLOOKUP($A457,Rotations!$A$1:$X$1441,18,0)</f>
        <v>3.7068286035593014E-2</v>
      </c>
      <c r="T457" s="7">
        <f>VLOOKUP($A457,Rotations!$A$1:$X$1441,19,0)</f>
        <v>8.1172796795861243E-2</v>
      </c>
      <c r="U457" s="7">
        <f>VLOOKUP($A457,Rotations!$A$1:$X$1441,20,0)</f>
        <v>0.12224482792517331</v>
      </c>
      <c r="V457" s="7">
        <f>VLOOKUP($A457,Rotations!$A$1:$X$1441,21,0)</f>
        <v>0.45734210865556418</v>
      </c>
      <c r="W457" s="7">
        <f>VLOOKUP($A457,Rotations!$A$1:$X$1441,22,0)</f>
        <v>0.24138912904768803</v>
      </c>
      <c r="X457" s="7">
        <f>VLOOKUP($A457,Rotations!$A$1:$X$1441,23,0)</f>
        <v>6.078285154012019E-2</v>
      </c>
    </row>
    <row r="458" spans="1:24" ht="15.75" customHeight="1" x14ac:dyDescent="0.3">
      <c r="A458">
        <v>449</v>
      </c>
      <c r="B458" t="str">
        <f>Permutations!I450</f>
        <v>p4 - i4:i5</v>
      </c>
      <c r="C458" t="str">
        <f>Permutations!J450</f>
        <v>p61 - i5:i3</v>
      </c>
      <c r="D458" t="str">
        <f>Permutations!K450</f>
        <v>p13 - i3:i6</v>
      </c>
      <c r="E458" t="str">
        <f>Permutations!L450</f>
        <v>p111 - i6:i1</v>
      </c>
      <c r="F458" t="str">
        <f>Permutations!M450</f>
        <v>p1 - i1:i2</v>
      </c>
      <c r="G458" s="7">
        <f>VLOOKUP(B458,Vlookup!$A$1:$B$30,2,0)</f>
        <v>1.89462595295753</v>
      </c>
      <c r="H458" s="7">
        <f>VLOOKUP(C458,Vlookup!$A$1:$B$30,2,0)</f>
        <v>1.9746367445127702</v>
      </c>
      <c r="I458" s="7">
        <f>VLOOKUP(D458,Vlookup!$A$1:$B$30,2,0)</f>
        <v>2.0145521929129111</v>
      </c>
      <c r="J458" s="7">
        <f>VLOOKUP(E458,Vlookup!$A$1:$B$30,2,0)</f>
        <v>1.6397534939100344</v>
      </c>
      <c r="K458" s="7">
        <f>VLOOKUP(F458,Vlookup!$A$1:$B$30,2,0)</f>
        <v>1.6373343116675814</v>
      </c>
      <c r="L458" s="7">
        <f t="shared" si="7"/>
        <v>20.235090341421632</v>
      </c>
      <c r="M458" s="7">
        <f t="shared" si="8"/>
        <v>10.680256073677473</v>
      </c>
      <c r="N458" s="7">
        <f t="shared" si="9"/>
        <v>5.4087194028756729</v>
      </c>
      <c r="O458" s="7">
        <f t="shared" si="10"/>
        <v>2.6848246582556978</v>
      </c>
      <c r="P458" s="7">
        <f t="shared" si="11"/>
        <v>1.6373343116675814</v>
      </c>
      <c r="Q458">
        <v>1</v>
      </c>
      <c r="R458" s="7">
        <f t="shared" si="12"/>
        <v>41.646224787898056</v>
      </c>
      <c r="S458" s="7">
        <f>VLOOKUP($A458,Rotations!$A$1:$X$1441,18,0)</f>
        <v>3.9315311772109847E-2</v>
      </c>
      <c r="T458" s="7">
        <f>VLOOKUP($A458,Rotations!$A$1:$X$1441,19,0)</f>
        <v>2.4011780301646673E-2</v>
      </c>
      <c r="U458" s="7">
        <f>VLOOKUP($A458,Rotations!$A$1:$X$1441,20,0)</f>
        <v>0.12987298201510425</v>
      </c>
      <c r="V458" s="7">
        <f>VLOOKUP($A458,Rotations!$A$1:$X$1441,21,0)</f>
        <v>0.4858805436621888</v>
      </c>
      <c r="W458" s="7">
        <f>VLOOKUP($A458,Rotations!$A$1:$X$1441,22,0)</f>
        <v>0.256451962406471</v>
      </c>
      <c r="X458" s="7">
        <f>VLOOKUP($A458,Rotations!$A$1:$X$1441,23,0)</f>
        <v>6.4467419842479431E-2</v>
      </c>
    </row>
    <row r="459" spans="1:24" ht="15.75" customHeight="1" x14ac:dyDescent="0.3">
      <c r="A459">
        <v>450</v>
      </c>
      <c r="B459" t="str">
        <f>Permutations!I451</f>
        <v>p4 - i4:i5</v>
      </c>
      <c r="C459" t="str">
        <f>Permutations!J451</f>
        <v>p61 - i5:i3</v>
      </c>
      <c r="D459" t="str">
        <f>Permutations!K451</f>
        <v>p13 - i3:i6</v>
      </c>
      <c r="E459" t="str">
        <f>Permutations!L451</f>
        <v>p121 - i6:i2</v>
      </c>
      <c r="F459" t="str">
        <f>Permutations!M451</f>
        <v>p11 - i2:i1</v>
      </c>
      <c r="G459" s="7">
        <f>VLOOKUP(B459,Vlookup!$A$1:$B$30,2,0)</f>
        <v>1.89462595295753</v>
      </c>
      <c r="H459" s="7">
        <f>VLOOKUP(C459,Vlookup!$A$1:$B$30,2,0)</f>
        <v>1.9746367445127702</v>
      </c>
      <c r="I459" s="7">
        <f>VLOOKUP(D459,Vlookup!$A$1:$B$30,2,0)</f>
        <v>2.0145521929129111</v>
      </c>
      <c r="J459" s="7">
        <f>VLOOKUP(E459,Vlookup!$A$1:$B$30,2,0)</f>
        <v>1.2419340531937677</v>
      </c>
      <c r="K459" s="7">
        <f>VLOOKUP(F459,Vlookup!$A$1:$B$30,2,0)</f>
        <v>1.7440097060445605</v>
      </c>
      <c r="L459" s="7">
        <f t="shared" si="7"/>
        <v>16.324378385621131</v>
      </c>
      <c r="M459" s="7">
        <f t="shared" si="8"/>
        <v>8.6161484065699678</v>
      </c>
      <c r="N459" s="7">
        <f t="shared" si="9"/>
        <v>4.3634093361794255</v>
      </c>
      <c r="O459" s="7">
        <f t="shared" si="10"/>
        <v>2.1659450430371923</v>
      </c>
      <c r="P459" s="7">
        <f t="shared" si="11"/>
        <v>1.7440097060445605</v>
      </c>
      <c r="Q459">
        <v>1</v>
      </c>
      <c r="R459" s="7">
        <f t="shared" si="12"/>
        <v>34.213890877452279</v>
      </c>
      <c r="S459" s="7">
        <f>VLOOKUP($A459,Rotations!$A$1:$X$1441,18,0)</f>
        <v>2.9227894704575166E-2</v>
      </c>
      <c r="T459" s="7">
        <f>VLOOKUP($A459,Rotations!$A$1:$X$1441,19,0)</f>
        <v>5.0973732052027501E-2</v>
      </c>
      <c r="U459" s="7">
        <f>VLOOKUP($A459,Rotations!$A$1:$X$1441,20,0)</f>
        <v>0.12753326863081246</v>
      </c>
      <c r="V459" s="7">
        <f>VLOOKUP($A459,Rotations!$A$1:$X$1441,21,0)</f>
        <v>0.47712721257257712</v>
      </c>
      <c r="W459" s="7">
        <f>VLOOKUP($A459,Rotations!$A$1:$X$1441,22,0)</f>
        <v>0.25183187838622012</v>
      </c>
      <c r="X459" s="7">
        <f>VLOOKUP($A459,Rotations!$A$1:$X$1441,23,0)</f>
        <v>6.3306013653787574E-2</v>
      </c>
    </row>
    <row r="460" spans="1:24" ht="15.75" customHeight="1" x14ac:dyDescent="0.3">
      <c r="A460">
        <v>451</v>
      </c>
      <c r="B460" t="str">
        <f>Permutations!I452</f>
        <v>p4 - i4:i5</v>
      </c>
      <c r="C460" t="str">
        <f>Permutations!J452</f>
        <v>p15 - i5:i6</v>
      </c>
      <c r="D460" t="str">
        <f>Permutations!K452</f>
        <v>p111 - i6:i1</v>
      </c>
      <c r="E460" t="str">
        <f>Permutations!L452</f>
        <v>p1 - i1:i2</v>
      </c>
      <c r="F460" t="str">
        <f>Permutations!M452</f>
        <v>p2 - i2:i3</v>
      </c>
      <c r="G460" s="7">
        <f>VLOOKUP(B460,Vlookup!$A$1:$B$30,2,0)</f>
        <v>1.89462595295753</v>
      </c>
      <c r="H460" s="7">
        <f>VLOOKUP(C460,Vlookup!$A$1:$B$30,2,0)</f>
        <v>1.3219359277692486</v>
      </c>
      <c r="I460" s="7">
        <f>VLOOKUP(D460,Vlookup!$A$1:$B$30,2,0)</f>
        <v>1.6397534939100344</v>
      </c>
      <c r="J460" s="7">
        <f>VLOOKUP(E460,Vlookup!$A$1:$B$30,2,0)</f>
        <v>1.6373343116675814</v>
      </c>
      <c r="K460" s="7">
        <f>VLOOKUP(F460,Vlookup!$A$1:$B$30,2,0)</f>
        <v>1.3601242124324544</v>
      </c>
      <c r="L460" s="7">
        <f t="shared" si="7"/>
        <v>9.145940839490228</v>
      </c>
      <c r="M460" s="7">
        <f t="shared" si="8"/>
        <v>4.8273068492560869</v>
      </c>
      <c r="N460" s="7">
        <f t="shared" si="9"/>
        <v>3.6516950238292645</v>
      </c>
      <c r="O460" s="7">
        <f t="shared" si="10"/>
        <v>2.2269780411455038</v>
      </c>
      <c r="P460" s="7">
        <f t="shared" si="11"/>
        <v>1.3601242124324544</v>
      </c>
      <c r="Q460">
        <v>1</v>
      </c>
      <c r="R460" s="7">
        <f t="shared" si="12"/>
        <v>22.212044966153538</v>
      </c>
      <c r="S460" s="7">
        <f>VLOOKUP($A460,Rotations!$A$1:$X$1441,18,0)</f>
        <v>0.10025992854502805</v>
      </c>
      <c r="T460" s="7">
        <f>VLOOKUP($A460,Rotations!$A$1:$X$1441,19,0)</f>
        <v>6.1233633125855641E-2</v>
      </c>
      <c r="U460" s="7">
        <f>VLOOKUP($A460,Rotations!$A$1:$X$1441,20,0)</f>
        <v>4.502061838627594E-2</v>
      </c>
      <c r="V460" s="7">
        <f>VLOOKUP($A460,Rotations!$A$1:$X$1441,21,0)</f>
        <v>0.41175591231814579</v>
      </c>
      <c r="W460" s="7">
        <f>VLOOKUP($A460,Rotations!$A$1:$X$1441,22,0)</f>
        <v>0.21732833949381439</v>
      </c>
      <c r="X460" s="7">
        <f>VLOOKUP($A460,Rotations!$A$1:$X$1441,23,0)</f>
        <v>0.16440156813088017</v>
      </c>
    </row>
    <row r="461" spans="1:24" ht="15.75" customHeight="1" x14ac:dyDescent="0.3">
      <c r="A461">
        <v>452</v>
      </c>
      <c r="B461" t="str">
        <f>Permutations!I453</f>
        <v>p4 - i4:i5</v>
      </c>
      <c r="C461" t="str">
        <f>Permutations!J453</f>
        <v>p15 - i5:i6</v>
      </c>
      <c r="D461" t="str">
        <f>Permutations!K453</f>
        <v>p111 - i6:i1</v>
      </c>
      <c r="E461" t="str">
        <f>Permutations!L453</f>
        <v>p8 - i1:i3</v>
      </c>
      <c r="F461" t="str">
        <f>Permutations!M453</f>
        <v>p21 - i3:i2</v>
      </c>
      <c r="G461" s="7">
        <f>VLOOKUP(B461,Vlookup!$A$1:$B$30,2,0)</f>
        <v>1.89462595295753</v>
      </c>
      <c r="H461" s="7">
        <f>VLOOKUP(C461,Vlookup!$A$1:$B$30,2,0)</f>
        <v>1.3219359277692486</v>
      </c>
      <c r="I461" s="7">
        <f>VLOOKUP(D461,Vlookup!$A$1:$B$30,2,0)</f>
        <v>1.6397534939100344</v>
      </c>
      <c r="J461" s="7">
        <f>VLOOKUP(E461,Vlookup!$A$1:$B$30,2,0)</f>
        <v>1.1080774401297739</v>
      </c>
      <c r="K461" s="7">
        <f>VLOOKUP(F461,Vlookup!$A$1:$B$30,2,0)</f>
        <v>1.5059827029565431</v>
      </c>
      <c r="L461" s="7">
        <f t="shared" si="7"/>
        <v>6.8533442882921234</v>
      </c>
      <c r="M461" s="7">
        <f t="shared" si="8"/>
        <v>3.6172545180192346</v>
      </c>
      <c r="N461" s="7">
        <f t="shared" si="9"/>
        <v>2.7363311958116676</v>
      </c>
      <c r="O461" s="7">
        <f t="shared" si="10"/>
        <v>1.668745458371804</v>
      </c>
      <c r="P461" s="7">
        <f t="shared" si="11"/>
        <v>1.5059827029565431</v>
      </c>
      <c r="Q461">
        <v>1</v>
      </c>
      <c r="R461" s="7">
        <f t="shared" si="12"/>
        <v>17.381658163451373</v>
      </c>
      <c r="S461" s="7">
        <f>VLOOKUP($A461,Rotations!$A$1:$X$1441,18,0)</f>
        <v>9.6006114185394328E-2</v>
      </c>
      <c r="T461" s="7">
        <f>VLOOKUP($A461,Rotations!$A$1:$X$1441,19,0)</f>
        <v>5.7531910396368992E-2</v>
      </c>
      <c r="U461" s="7">
        <f>VLOOKUP($A461,Rotations!$A$1:$X$1441,20,0)</f>
        <v>8.664206192497742E-2</v>
      </c>
      <c r="V461" s="7">
        <f>VLOOKUP($A461,Rotations!$A$1:$X$1441,21,0)</f>
        <v>0.39428598950948968</v>
      </c>
      <c r="W461" s="7">
        <f>VLOOKUP($A461,Rotations!$A$1:$X$1441,22,0)</f>
        <v>0.2081075628115435</v>
      </c>
      <c r="X461" s="7">
        <f>VLOOKUP($A461,Rotations!$A$1:$X$1441,23,0)</f>
        <v>0.15742636117222608</v>
      </c>
    </row>
    <row r="462" spans="1:24" ht="15.75" customHeight="1" x14ac:dyDescent="0.3">
      <c r="A462">
        <v>453</v>
      </c>
      <c r="B462" t="str">
        <f>Permutations!I454</f>
        <v>p4 - i4:i5</v>
      </c>
      <c r="C462" t="str">
        <f>Permutations!J454</f>
        <v>p15 - i5:i6</v>
      </c>
      <c r="D462" t="str">
        <f>Permutations!K454</f>
        <v>p121 - i6:i2</v>
      </c>
      <c r="E462" t="str">
        <f>Permutations!L454</f>
        <v>p11 - i2:i1</v>
      </c>
      <c r="F462" t="str">
        <f>Permutations!M454</f>
        <v>p8 - i1:i3</v>
      </c>
      <c r="G462" s="7">
        <f>VLOOKUP(B462,Vlookup!$A$1:$B$30,2,0)</f>
        <v>1.89462595295753</v>
      </c>
      <c r="H462" s="7">
        <f>VLOOKUP(C462,Vlookup!$A$1:$B$30,2,0)</f>
        <v>1.3219359277692486</v>
      </c>
      <c r="I462" s="7">
        <f>VLOOKUP(D462,Vlookup!$A$1:$B$30,2,0)</f>
        <v>1.2419340531937677</v>
      </c>
      <c r="J462" s="7">
        <f>VLOOKUP(E462,Vlookup!$A$1:$B$30,2,0)</f>
        <v>1.7440097060445605</v>
      </c>
      <c r="K462" s="7">
        <f>VLOOKUP(F462,Vlookup!$A$1:$B$30,2,0)</f>
        <v>1.1080774401297739</v>
      </c>
      <c r="L462" s="7">
        <f t="shared" si="7"/>
        <v>6.0110651367892425</v>
      </c>
      <c r="M462" s="7">
        <f t="shared" si="8"/>
        <v>3.1726922812420626</v>
      </c>
      <c r="N462" s="7">
        <f t="shared" si="9"/>
        <v>2.4000348387504249</v>
      </c>
      <c r="O462" s="7">
        <f t="shared" si="10"/>
        <v>1.9324978106353361</v>
      </c>
      <c r="P462" s="7">
        <f t="shared" si="11"/>
        <v>1.1080774401297739</v>
      </c>
      <c r="Q462">
        <v>1</v>
      </c>
      <c r="R462" s="7">
        <f t="shared" si="12"/>
        <v>15.624367507546841</v>
      </c>
      <c r="S462" s="7">
        <f>VLOOKUP($A462,Rotations!$A$1:$X$1441,18,0)</f>
        <v>7.0919826968647098E-2</v>
      </c>
      <c r="T462" s="7">
        <f>VLOOKUP($A462,Rotations!$A$1:$X$1441,19,0)</f>
        <v>0.12368486658432132</v>
      </c>
      <c r="U462" s="7">
        <f>VLOOKUP($A462,Rotations!$A$1:$X$1441,20,0)</f>
        <v>6.4002590793962227E-2</v>
      </c>
      <c r="V462" s="7">
        <f>VLOOKUP($A462,Rotations!$A$1:$X$1441,21,0)</f>
        <v>0.38472374218577449</v>
      </c>
      <c r="W462" s="7">
        <f>VLOOKUP($A462,Rotations!$A$1:$X$1441,22,0)</f>
        <v>0.20306052579149825</v>
      </c>
      <c r="X462" s="7">
        <f>VLOOKUP($A462,Rotations!$A$1:$X$1441,23,0)</f>
        <v>0.15360844767579657</v>
      </c>
    </row>
    <row r="463" spans="1:24" ht="15.75" customHeight="1" x14ac:dyDescent="0.3">
      <c r="A463">
        <v>454</v>
      </c>
      <c r="B463" t="str">
        <f>Permutations!I455</f>
        <v>p4 - i4:i5</v>
      </c>
      <c r="C463" t="str">
        <f>Permutations!J455</f>
        <v>p15 - i5:i6</v>
      </c>
      <c r="D463" t="str">
        <f>Permutations!K455</f>
        <v>p121 - i6:i2</v>
      </c>
      <c r="E463" t="str">
        <f>Permutations!L455</f>
        <v>p2 - i2:i3</v>
      </c>
      <c r="F463" t="str">
        <f>Permutations!M455</f>
        <v>p81 - i3:i1</v>
      </c>
      <c r="G463" s="7">
        <f>VLOOKUP(B463,Vlookup!$A$1:$B$30,2,0)</f>
        <v>1.89462595295753</v>
      </c>
      <c r="H463" s="7">
        <f>VLOOKUP(C463,Vlookup!$A$1:$B$30,2,0)</f>
        <v>1.3219359277692486</v>
      </c>
      <c r="I463" s="7">
        <f>VLOOKUP(D463,Vlookup!$A$1:$B$30,2,0)</f>
        <v>1.2419340531937677</v>
      </c>
      <c r="J463" s="7">
        <f>VLOOKUP(E463,Vlookup!$A$1:$B$30,2,0)</f>
        <v>1.3601242124324544</v>
      </c>
      <c r="K463" s="7">
        <f>VLOOKUP(F463,Vlookup!$A$1:$B$30,2,0)</f>
        <v>1.7021844231989158</v>
      </c>
      <c r="L463" s="7">
        <f t="shared" si="7"/>
        <v>7.2014111580288596</v>
      </c>
      <c r="M463" s="7">
        <f t="shared" si="8"/>
        <v>3.8009672288017504</v>
      </c>
      <c r="N463" s="7">
        <f t="shared" si="9"/>
        <v>2.8753036731635229</v>
      </c>
      <c r="O463" s="7">
        <f t="shared" si="10"/>
        <v>2.3151822480182171</v>
      </c>
      <c r="P463" s="7">
        <f t="shared" si="11"/>
        <v>1.7021844231989158</v>
      </c>
      <c r="Q463">
        <v>1</v>
      </c>
      <c r="R463" s="7">
        <f t="shared" si="12"/>
        <v>18.895048731211265</v>
      </c>
      <c r="S463" s="7">
        <f>VLOOKUP($A463,Rotations!$A$1:$X$1441,18,0)</f>
        <v>5.292391748893336E-2</v>
      </c>
      <c r="T463" s="7">
        <f>VLOOKUP($A463,Rotations!$A$1:$X$1441,19,0)</f>
        <v>0.12252851426595938</v>
      </c>
      <c r="U463" s="7">
        <f>VLOOKUP($A463,Rotations!$A$1:$X$1441,20,0)</f>
        <v>9.0086267964327046E-2</v>
      </c>
      <c r="V463" s="7">
        <f>VLOOKUP($A463,Rotations!$A$1:$X$1441,21,0)</f>
        <v>0.38112688993140342</v>
      </c>
      <c r="W463" s="7">
        <f>VLOOKUP($A463,Rotations!$A$1:$X$1441,22,0)</f>
        <v>0.20116207599524352</v>
      </c>
      <c r="X463" s="7">
        <f>VLOOKUP($A463,Rotations!$A$1:$X$1441,23,0)</f>
        <v>0.1521723343541333</v>
      </c>
    </row>
    <row r="464" spans="1:24" ht="15.75" customHeight="1" x14ac:dyDescent="0.3">
      <c r="A464">
        <v>455</v>
      </c>
      <c r="B464" t="str">
        <f>Permutations!I456</f>
        <v>p4 - i4:i5</v>
      </c>
      <c r="C464" t="str">
        <f>Permutations!J456</f>
        <v>p15 - i5:i6</v>
      </c>
      <c r="D464" t="str">
        <f>Permutations!K456</f>
        <v>p131 - i6:i3</v>
      </c>
      <c r="E464" t="str">
        <f>Permutations!L456</f>
        <v>p81 - i3:i1</v>
      </c>
      <c r="F464" t="str">
        <f>Permutations!M456</f>
        <v>p1 - i1:i2</v>
      </c>
      <c r="G464" s="7">
        <f>VLOOKUP(B464,Vlookup!$A$1:$B$30,2,0)</f>
        <v>1.89462595295753</v>
      </c>
      <c r="H464" s="7">
        <f>VLOOKUP(C464,Vlookup!$A$1:$B$30,2,0)</f>
        <v>1.3219359277692486</v>
      </c>
      <c r="I464" s="7">
        <f>VLOOKUP(D464,Vlookup!$A$1:$B$30,2,0)</f>
        <v>1.4032439022773779</v>
      </c>
      <c r="J464" s="7">
        <f>VLOOKUP(E464,Vlookup!$A$1:$B$30,2,0)</f>
        <v>1.7021844231989158</v>
      </c>
      <c r="K464" s="7">
        <f>VLOOKUP(F464,Vlookup!$A$1:$B$30,2,0)</f>
        <v>1.6373343116675814</v>
      </c>
      <c r="L464" s="7">
        <f t="shared" si="7"/>
        <v>9.7951485482275427</v>
      </c>
      <c r="M464" s="7">
        <f t="shared" si="8"/>
        <v>5.1699643050583246</v>
      </c>
      <c r="N464" s="7">
        <f t="shared" si="9"/>
        <v>3.9109038467413311</v>
      </c>
      <c r="O464" s="7">
        <f t="shared" si="10"/>
        <v>2.7870449608896757</v>
      </c>
      <c r="P464" s="7">
        <f t="shared" si="11"/>
        <v>1.6373343116675814</v>
      </c>
      <c r="Q464">
        <v>1</v>
      </c>
      <c r="R464" s="7">
        <f t="shared" si="12"/>
        <v>24.300395972584454</v>
      </c>
      <c r="S464" s="7">
        <f>VLOOKUP($A464,Rotations!$A$1:$X$1441,18,0)</f>
        <v>6.7378914875083157E-2</v>
      </c>
      <c r="T464" s="7">
        <f>VLOOKUP($A464,Rotations!$A$1:$X$1441,19,0)</f>
        <v>4.115159280236394E-2</v>
      </c>
      <c r="U464" s="7">
        <f>VLOOKUP($A464,Rotations!$A$1:$X$1441,20,0)</f>
        <v>0.11469133935241226</v>
      </c>
      <c r="V464" s="7">
        <f>VLOOKUP($A464,Rotations!$A$1:$X$1441,21,0)</f>
        <v>0.40308596449532613</v>
      </c>
      <c r="W464" s="7">
        <f>VLOOKUP($A464,Rotations!$A$1:$X$1441,22,0)</f>
        <v>0.21275226588451662</v>
      </c>
      <c r="X464" s="7">
        <f>VLOOKUP($A464,Rotations!$A$1:$X$1441,23,0)</f>
        <v>0.16093992259029799</v>
      </c>
    </row>
    <row r="465" spans="1:24" ht="15.75" customHeight="1" x14ac:dyDescent="0.3">
      <c r="A465">
        <v>456</v>
      </c>
      <c r="B465" t="str">
        <f>Permutations!I457</f>
        <v>p4 - i4:i5</v>
      </c>
      <c r="C465" t="str">
        <f>Permutations!J457</f>
        <v>p15 - i5:i6</v>
      </c>
      <c r="D465" t="str">
        <f>Permutations!K457</f>
        <v>p131 - i6:i3</v>
      </c>
      <c r="E465" t="str">
        <f>Permutations!L457</f>
        <v>p21 - i3:i2</v>
      </c>
      <c r="F465" t="str">
        <f>Permutations!M457</f>
        <v>p11 - i2:i1</v>
      </c>
      <c r="G465" s="7">
        <f>VLOOKUP(B465,Vlookup!$A$1:$B$30,2,0)</f>
        <v>1.89462595295753</v>
      </c>
      <c r="H465" s="7">
        <f>VLOOKUP(C465,Vlookup!$A$1:$B$30,2,0)</f>
        <v>1.3219359277692486</v>
      </c>
      <c r="I465" s="7">
        <f>VLOOKUP(D465,Vlookup!$A$1:$B$30,2,0)</f>
        <v>1.4032439022773779</v>
      </c>
      <c r="J465" s="7">
        <f>VLOOKUP(E465,Vlookup!$A$1:$B$30,2,0)</f>
        <v>1.5059827029565431</v>
      </c>
      <c r="K465" s="7">
        <f>VLOOKUP(F465,Vlookup!$A$1:$B$30,2,0)</f>
        <v>1.7440097060445605</v>
      </c>
      <c r="L465" s="7">
        <f t="shared" si="7"/>
        <v>9.2307275604518342</v>
      </c>
      <c r="M465" s="7">
        <f t="shared" si="8"/>
        <v>4.8720580154845736</v>
      </c>
      <c r="N465" s="7">
        <f t="shared" si="9"/>
        <v>3.6855477736399185</v>
      </c>
      <c r="O465" s="7">
        <f t="shared" si="10"/>
        <v>2.6264484510914334</v>
      </c>
      <c r="P465" s="7">
        <f t="shared" si="11"/>
        <v>1.7440097060445605</v>
      </c>
      <c r="Q465">
        <v>1</v>
      </c>
      <c r="R465" s="7">
        <f t="shared" si="12"/>
        <v>23.158791506712323</v>
      </c>
      <c r="S465" s="7">
        <f>VLOOKUP($A465,Rotations!$A$1:$X$1441,18,0)</f>
        <v>4.3180146067214299E-2</v>
      </c>
      <c r="T465" s="7">
        <f>VLOOKUP($A465,Rotations!$A$1:$X$1441,19,0)</f>
        <v>7.5306593849643597E-2</v>
      </c>
      <c r="U465" s="7">
        <f>VLOOKUP($A465,Rotations!$A$1:$X$1441,20,0)</f>
        <v>0.11341042775613684</v>
      </c>
      <c r="V465" s="7">
        <f>VLOOKUP($A465,Rotations!$A$1:$X$1441,21,0)</f>
        <v>0.39858416436697092</v>
      </c>
      <c r="W465" s="7">
        <f>VLOOKUP($A465,Rotations!$A$1:$X$1441,22,0)</f>
        <v>0.21037617675656611</v>
      </c>
      <c r="X465" s="7">
        <f>VLOOKUP($A465,Rotations!$A$1:$X$1441,23,0)</f>
        <v>0.15914249120346813</v>
      </c>
    </row>
    <row r="466" spans="1:24" ht="15.75" customHeight="1" x14ac:dyDescent="0.3">
      <c r="A466">
        <v>457</v>
      </c>
      <c r="B466" t="str">
        <f>Permutations!I458</f>
        <v>p14 - i4:i6</v>
      </c>
      <c r="C466" t="str">
        <f>Permutations!J458</f>
        <v>p111 - i6:i1</v>
      </c>
      <c r="D466" t="str">
        <f>Permutations!K458</f>
        <v>p1 - i1:i2</v>
      </c>
      <c r="E466" t="str">
        <f>Permutations!L458</f>
        <v>p2 - i2:i3</v>
      </c>
      <c r="F466" t="str">
        <f>Permutations!M458</f>
        <v>p6 - i3:i5</v>
      </c>
      <c r="G466" s="7">
        <f>VLOOKUP(B466,Vlookup!$A$1:$B$30,2,0)</f>
        <v>1.478275916473532</v>
      </c>
      <c r="H466" s="7">
        <f>VLOOKUP(C466,Vlookup!$A$1:$B$30,2,0)</f>
        <v>1.6397534939100344</v>
      </c>
      <c r="I466" s="7">
        <f>VLOOKUP(D466,Vlookup!$A$1:$B$30,2,0)</f>
        <v>1.6373343116675814</v>
      </c>
      <c r="J466" s="7">
        <f>VLOOKUP(E466,Vlookup!$A$1:$B$30,2,0)</f>
        <v>1.3601242124324544</v>
      </c>
      <c r="K466" s="7">
        <f>VLOOKUP(F466,Vlookup!$A$1:$B$30,2,0)</f>
        <v>2.2414716085286912</v>
      </c>
      <c r="L466" s="7">
        <f t="shared" si="7"/>
        <v>12.099940746002007</v>
      </c>
      <c r="M466" s="7">
        <f t="shared" si="8"/>
        <v>8.1851707189187994</v>
      </c>
      <c r="N466" s="7">
        <f t="shared" si="9"/>
        <v>4.9917080520444861</v>
      </c>
      <c r="O466" s="7">
        <f t="shared" si="10"/>
        <v>3.0486798062397931</v>
      </c>
      <c r="P466" s="7">
        <f t="shared" si="11"/>
        <v>2.2414716085286912</v>
      </c>
      <c r="Q466">
        <v>1</v>
      </c>
      <c r="R466" s="7">
        <f t="shared" si="12"/>
        <v>31.566970931733778</v>
      </c>
      <c r="S466" s="7">
        <f>VLOOKUP($A466,Rotations!$A$1:$X$1441,18,0)</f>
        <v>0.15813072666488887</v>
      </c>
      <c r="T466" s="7">
        <f>VLOOKUP($A466,Rotations!$A$1:$X$1441,19,0)</f>
        <v>9.657815483255644E-2</v>
      </c>
      <c r="U466" s="7">
        <f>VLOOKUP($A466,Rotations!$A$1:$X$1441,20,0)</f>
        <v>7.1006863895052258E-2</v>
      </c>
      <c r="V466" s="7">
        <f>VLOOKUP($A466,Rotations!$A$1:$X$1441,21,0)</f>
        <v>0.38331016213653007</v>
      </c>
      <c r="W466" s="7">
        <f>VLOOKUP($A466,Rotations!$A$1:$X$1441,22,0)</f>
        <v>3.1678680927688115E-2</v>
      </c>
      <c r="X466" s="7">
        <f>VLOOKUP($A466,Rotations!$A$1:$X$1441,23,0)</f>
        <v>0.25929541154328423</v>
      </c>
    </row>
    <row r="467" spans="1:24" ht="15.75" customHeight="1" x14ac:dyDescent="0.3">
      <c r="A467">
        <v>458</v>
      </c>
      <c r="B467" t="str">
        <f>Permutations!I459</f>
        <v>p14 - i4:i6</v>
      </c>
      <c r="C467" t="str">
        <f>Permutations!J459</f>
        <v>p111 - i6:i1</v>
      </c>
      <c r="D467" t="str">
        <f>Permutations!K459</f>
        <v>p1 - i1:i2</v>
      </c>
      <c r="E467" t="str">
        <f>Permutations!L459</f>
        <v>p7 - i2:i5</v>
      </c>
      <c r="F467" t="str">
        <f>Permutations!M459</f>
        <v>p61 - i5:i3</v>
      </c>
      <c r="G467" s="7">
        <f>VLOOKUP(B467,Vlookup!$A$1:$B$30,2,0)</f>
        <v>1.478275916473532</v>
      </c>
      <c r="H467" s="7">
        <f>VLOOKUP(C467,Vlookup!$A$1:$B$30,2,0)</f>
        <v>1.6397534939100344</v>
      </c>
      <c r="I467" s="7">
        <f>VLOOKUP(D467,Vlookup!$A$1:$B$30,2,0)</f>
        <v>1.6373343116675814</v>
      </c>
      <c r="J467" s="7">
        <f>VLOOKUP(E467,Vlookup!$A$1:$B$30,2,0)</f>
        <v>1.7991741228251155</v>
      </c>
      <c r="K467" s="7">
        <f>VLOOKUP(F467,Vlookup!$A$1:$B$30,2,0)</f>
        <v>1.9746367445127702</v>
      </c>
      <c r="L467" s="7">
        <f t="shared" si="7"/>
        <v>14.100413210066831</v>
      </c>
      <c r="M467" s="7">
        <f t="shared" si="8"/>
        <v>9.5384177290148635</v>
      </c>
      <c r="N467" s="7">
        <f t="shared" si="9"/>
        <v>5.8169827138286863</v>
      </c>
      <c r="O467" s="7">
        <f t="shared" si="10"/>
        <v>3.5527153327070047</v>
      </c>
      <c r="P467" s="7">
        <f t="shared" si="11"/>
        <v>1.9746367445127702</v>
      </c>
      <c r="Q467">
        <v>1</v>
      </c>
      <c r="R467" s="7">
        <f t="shared" si="12"/>
        <v>35.983165730130153</v>
      </c>
      <c r="S467" s="7">
        <f>VLOOKUP($A467,Rotations!$A$1:$X$1441,18,0)</f>
        <v>0.16165844766009269</v>
      </c>
      <c r="T467" s="7">
        <f>VLOOKUP($A467,Rotations!$A$1:$X$1441,19,0)</f>
        <v>9.8732706270259402E-2</v>
      </c>
      <c r="U467" s="7">
        <f>VLOOKUP($A467,Rotations!$A$1:$X$1441,20,0)</f>
        <v>2.779077326047107E-2</v>
      </c>
      <c r="V467" s="7">
        <f>VLOOKUP($A467,Rotations!$A$1:$X$1441,21,0)</f>
        <v>0.3918613863999183</v>
      </c>
      <c r="W467" s="7">
        <f>VLOOKUP($A467,Rotations!$A$1:$X$1441,22,0)</f>
        <v>5.4876682038549132E-2</v>
      </c>
      <c r="X467" s="7">
        <f>VLOOKUP($A467,Rotations!$A$1:$X$1441,23,0)</f>
        <v>0.26508000437070944</v>
      </c>
    </row>
    <row r="468" spans="1:24" ht="15.75" customHeight="1" x14ac:dyDescent="0.3">
      <c r="A468">
        <v>459</v>
      </c>
      <c r="B468" t="str">
        <f>Permutations!I460</f>
        <v>p14 - i4:i6</v>
      </c>
      <c r="C468" t="str">
        <f>Permutations!J460</f>
        <v>p111 - i6:i1</v>
      </c>
      <c r="D468" t="str">
        <f>Permutations!K460</f>
        <v>p8 - i1:i3</v>
      </c>
      <c r="E468" t="str">
        <f>Permutations!L460</f>
        <v>p21 - i3:i2</v>
      </c>
      <c r="F468" t="str">
        <f>Permutations!M460</f>
        <v>p7 - i2:i5</v>
      </c>
      <c r="G468" s="7">
        <f>VLOOKUP(B468,Vlookup!$A$1:$B$30,2,0)</f>
        <v>1.478275916473532</v>
      </c>
      <c r="H468" s="7">
        <f>VLOOKUP(C468,Vlookup!$A$1:$B$30,2,0)</f>
        <v>1.6397534939100344</v>
      </c>
      <c r="I468" s="7">
        <f>VLOOKUP(D468,Vlookup!$A$1:$B$30,2,0)</f>
        <v>1.1080774401297739</v>
      </c>
      <c r="J468" s="7">
        <f>VLOOKUP(E468,Vlookup!$A$1:$B$30,2,0)</f>
        <v>1.5059827029565431</v>
      </c>
      <c r="K468" s="7">
        <f>VLOOKUP(F468,Vlookup!$A$1:$B$30,2,0)</f>
        <v>1.7991741228251155</v>
      </c>
      <c r="L468" s="7">
        <f t="shared" si="7"/>
        <v>7.2777537947383637</v>
      </c>
      <c r="M468" s="7">
        <f t="shared" si="8"/>
        <v>4.9231362789834563</v>
      </c>
      <c r="N468" s="7">
        <f t="shared" si="9"/>
        <v>3.0023636462844858</v>
      </c>
      <c r="O468" s="7">
        <f t="shared" si="10"/>
        <v>2.709525108581635</v>
      </c>
      <c r="P468" s="7">
        <f t="shared" si="11"/>
        <v>1.7991741228251155</v>
      </c>
      <c r="Q468">
        <v>1</v>
      </c>
      <c r="R468" s="7">
        <f t="shared" si="12"/>
        <v>20.711952951413053</v>
      </c>
      <c r="S468" s="7">
        <f>VLOOKUP($A468,Rotations!$A$1:$X$1441,18,0)</f>
        <v>0.14495801788115073</v>
      </c>
      <c r="T468" s="7">
        <f>VLOOKUP($A468,Rotations!$A$1:$X$1441,19,0)</f>
        <v>8.6866464357354026E-2</v>
      </c>
      <c r="U468" s="7">
        <f>VLOOKUP($A468,Rotations!$A$1:$X$1441,20,0)</f>
        <v>0.13081939278916624</v>
      </c>
      <c r="V468" s="7">
        <f>VLOOKUP($A468,Rotations!$A$1:$X$1441,21,0)</f>
        <v>0.35137940935897338</v>
      </c>
      <c r="W468" s="7">
        <f>VLOOKUP($A468,Rotations!$A$1:$X$1441,22,0)</f>
        <v>4.8281299322465672E-2</v>
      </c>
      <c r="X468" s="7">
        <f>VLOOKUP($A468,Rotations!$A$1:$X$1441,23,0)</f>
        <v>0.23769541629089014</v>
      </c>
    </row>
    <row r="469" spans="1:24" ht="15.75" customHeight="1" x14ac:dyDescent="0.3">
      <c r="A469">
        <v>460</v>
      </c>
      <c r="B469" t="str">
        <f>Permutations!I461</f>
        <v>p14 - i4:i6</v>
      </c>
      <c r="C469" t="str">
        <f>Permutations!J461</f>
        <v>p111 - i6:i1</v>
      </c>
      <c r="D469" t="str">
        <f>Permutations!K461</f>
        <v>p8 - i1:i3</v>
      </c>
      <c r="E469" t="str">
        <f>Permutations!L461</f>
        <v>p6 - i3:i5</v>
      </c>
      <c r="F469" t="str">
        <f>Permutations!M461</f>
        <v>p71 - i5:i2</v>
      </c>
      <c r="G469" s="7">
        <f>VLOOKUP(B469,Vlookup!$A$1:$B$30,2,0)</f>
        <v>1.478275916473532</v>
      </c>
      <c r="H469" s="7">
        <f>VLOOKUP(C469,Vlookup!$A$1:$B$30,2,0)</f>
        <v>1.6397534939100344</v>
      </c>
      <c r="I469" s="7">
        <f>VLOOKUP(D469,Vlookup!$A$1:$B$30,2,0)</f>
        <v>1.1080774401297739</v>
      </c>
      <c r="J469" s="7">
        <f>VLOOKUP(E469,Vlookup!$A$1:$B$30,2,0)</f>
        <v>2.2414716085286912</v>
      </c>
      <c r="K469" s="7">
        <f>VLOOKUP(F469,Vlookup!$A$1:$B$30,2,0)</f>
        <v>1.8243208303594776</v>
      </c>
      <c r="L469" s="7">
        <f t="shared" si="7"/>
        <v>10.983446495888035</v>
      </c>
      <c r="M469" s="7">
        <f t="shared" si="8"/>
        <v>7.4299028844962516</v>
      </c>
      <c r="N469" s="7">
        <f t="shared" si="9"/>
        <v>4.5311096528170554</v>
      </c>
      <c r="O469" s="7">
        <f t="shared" si="10"/>
        <v>4.0891633460982559</v>
      </c>
      <c r="P469" s="7">
        <f t="shared" si="11"/>
        <v>1.8243208303594776</v>
      </c>
      <c r="Q469">
        <v>1</v>
      </c>
      <c r="R469" s="7">
        <f t="shared" si="12"/>
        <v>29.857943209659076</v>
      </c>
      <c r="S469" s="7">
        <f>VLOOKUP($A469,Rotations!$A$1:$X$1441,18,0)</f>
        <v>0.15175558547352438</v>
      </c>
      <c r="T469" s="7">
        <f>VLOOKUP($A469,Rotations!$A$1:$X$1441,19,0)</f>
        <v>3.349192517977926E-2</v>
      </c>
      <c r="U469" s="7">
        <f>VLOOKUP($A469,Rotations!$A$1:$X$1441,20,0)</f>
        <v>0.13695395283541859</v>
      </c>
      <c r="V469" s="7">
        <f>VLOOKUP($A469,Rotations!$A$1:$X$1441,21,0)</f>
        <v>0.3678567682563908</v>
      </c>
      <c r="W469" s="7">
        <f>VLOOKUP($A469,Rotations!$A$1:$X$1441,22,0)</f>
        <v>6.1100016754312397E-2</v>
      </c>
      <c r="X469" s="7">
        <f>VLOOKUP($A469,Rotations!$A$1:$X$1441,23,0)</f>
        <v>0.24884175150057455</v>
      </c>
    </row>
    <row r="470" spans="1:24" ht="15.75" customHeight="1" x14ac:dyDescent="0.3">
      <c r="A470">
        <v>461</v>
      </c>
      <c r="B470" t="str">
        <f>Permutations!I462</f>
        <v>p14 - i4:i6</v>
      </c>
      <c r="C470" t="str">
        <f>Permutations!J462</f>
        <v>p111 - i6:i1</v>
      </c>
      <c r="D470" t="str">
        <f>Permutations!K462</f>
        <v>p10 - i1:i5</v>
      </c>
      <c r="E470" t="str">
        <f>Permutations!L462</f>
        <v>p71 - i5:i2</v>
      </c>
      <c r="F470" t="str">
        <f>Permutations!M462</f>
        <v>p2 - i2:i3</v>
      </c>
      <c r="G470" s="7">
        <f>VLOOKUP(B470,Vlookup!$A$1:$B$30,2,0)</f>
        <v>1.478275916473532</v>
      </c>
      <c r="H470" s="7">
        <f>VLOOKUP(C470,Vlookup!$A$1:$B$30,2,0)</f>
        <v>1.6397534939100344</v>
      </c>
      <c r="I470" s="7">
        <f>VLOOKUP(D470,Vlookup!$A$1:$B$30,2,0)</f>
        <v>1.0847108741813811</v>
      </c>
      <c r="J470" s="7">
        <f>VLOOKUP(E470,Vlookup!$A$1:$B$30,2,0)</f>
        <v>1.8243208303594776</v>
      </c>
      <c r="K470" s="7">
        <f>VLOOKUP(F470,Vlookup!$A$1:$B$30,2,0)</f>
        <v>1.3601242124324544</v>
      </c>
      <c r="L470" s="7">
        <f t="shared" si="7"/>
        <v>6.5242087645395319</v>
      </c>
      <c r="M470" s="7">
        <f t="shared" si="8"/>
        <v>4.4133904177396133</v>
      </c>
      <c r="N470" s="7">
        <f t="shared" si="9"/>
        <v>2.6914962731476</v>
      </c>
      <c r="O470" s="7">
        <f t="shared" si="10"/>
        <v>2.4813029326168055</v>
      </c>
      <c r="P470" s="7">
        <f t="shared" si="11"/>
        <v>1.3601242124324544</v>
      </c>
      <c r="Q470">
        <v>1</v>
      </c>
      <c r="R470" s="7">
        <f t="shared" si="12"/>
        <v>18.470522600476002</v>
      </c>
      <c r="S470" s="7">
        <f>VLOOKUP($A470,Rotations!$A$1:$X$1441,18,0)</f>
        <v>0.14571846890126638</v>
      </c>
      <c r="T470" s="7">
        <f>VLOOKUP($A470,Rotations!$A$1:$X$1441,19,0)</f>
        <v>7.363755979472951E-2</v>
      </c>
      <c r="U470" s="7">
        <f>VLOOKUP($A470,Rotations!$A$1:$X$1441,20,0)</f>
        <v>5.4140319774938536E-2</v>
      </c>
      <c r="V470" s="7">
        <f>VLOOKUP($A470,Rotations!$A$1:$X$1441,21,0)</f>
        <v>0.35322274879062693</v>
      </c>
      <c r="W470" s="7">
        <f>VLOOKUP($A470,Rotations!$A$1:$X$1441,22,0)</f>
        <v>0.1343385342303666</v>
      </c>
      <c r="X470" s="7">
        <f>VLOOKUP($A470,Rotations!$A$1:$X$1441,23,0)</f>
        <v>0.23894236850807221</v>
      </c>
    </row>
    <row r="471" spans="1:24" ht="15.75" customHeight="1" x14ac:dyDescent="0.3">
      <c r="A471">
        <v>462</v>
      </c>
      <c r="B471" t="str">
        <f>Permutations!I463</f>
        <v>p14 - i4:i6</v>
      </c>
      <c r="C471" t="str">
        <f>Permutations!J463</f>
        <v>p111 - i6:i1</v>
      </c>
      <c r="D471" t="str">
        <f>Permutations!K463</f>
        <v>p10 - i1:i5</v>
      </c>
      <c r="E471" t="str">
        <f>Permutations!L463</f>
        <v>p61 - i5:i3</v>
      </c>
      <c r="F471" t="str">
        <f>Permutations!M463</f>
        <v>p21 - i3:i2</v>
      </c>
      <c r="G471" s="7">
        <f>VLOOKUP(B471,Vlookup!$A$1:$B$30,2,0)</f>
        <v>1.478275916473532</v>
      </c>
      <c r="H471" s="7">
        <f>VLOOKUP(C471,Vlookup!$A$1:$B$30,2,0)</f>
        <v>1.6397534939100344</v>
      </c>
      <c r="I471" s="7">
        <f>VLOOKUP(D471,Vlookup!$A$1:$B$30,2,0)</f>
        <v>1.0847108741813811</v>
      </c>
      <c r="J471" s="7">
        <f>VLOOKUP(E471,Vlookup!$A$1:$B$30,2,0)</f>
        <v>1.9746367445127702</v>
      </c>
      <c r="K471" s="7">
        <f>VLOOKUP(F471,Vlookup!$A$1:$B$30,2,0)</f>
        <v>1.5059827029565431</v>
      </c>
      <c r="L471" s="7">
        <f t="shared" si="7"/>
        <v>7.8190728327779233</v>
      </c>
      <c r="M471" s="7">
        <f t="shared" si="8"/>
        <v>5.2893189597720953</v>
      </c>
      <c r="N471" s="7">
        <f t="shared" si="9"/>
        <v>3.2256793349831976</v>
      </c>
      <c r="O471" s="7">
        <f t="shared" si="10"/>
        <v>2.9737687818586505</v>
      </c>
      <c r="P471" s="7">
        <f t="shared" si="11"/>
        <v>1.5059827029565431</v>
      </c>
      <c r="Q471">
        <v>1</v>
      </c>
      <c r="R471" s="7">
        <f t="shared" si="12"/>
        <v>21.81382261234841</v>
      </c>
      <c r="S471" s="7">
        <f>VLOOKUP($A471,Rotations!$A$1:$X$1441,18,0)</f>
        <v>0.14787318079487816</v>
      </c>
      <c r="T471" s="7">
        <f>VLOOKUP($A471,Rotations!$A$1:$X$1441,19,0)</f>
        <v>4.5842492522787735E-2</v>
      </c>
      <c r="U471" s="7">
        <f>VLOOKUP($A471,Rotations!$A$1:$X$1441,20,0)</f>
        <v>6.903800079973299E-2</v>
      </c>
      <c r="V471" s="7">
        <f>VLOOKUP($A471,Rotations!$A$1:$X$1441,21,0)</f>
        <v>0.35844578787175468</v>
      </c>
      <c r="W471" s="7">
        <f>VLOOKUP($A471,Rotations!$A$1:$X$1441,22,0)</f>
        <v>0.13632497314685477</v>
      </c>
      <c r="X471" s="7">
        <f>VLOOKUP($A471,Rotations!$A$1:$X$1441,23,0)</f>
        <v>0.24247556486399169</v>
      </c>
    </row>
    <row r="472" spans="1:24" ht="15.75" customHeight="1" x14ac:dyDescent="0.3">
      <c r="A472">
        <v>463</v>
      </c>
      <c r="B472" t="str">
        <f>Permutations!I464</f>
        <v>p14 - i4:i6</v>
      </c>
      <c r="C472" t="str">
        <f>Permutations!J464</f>
        <v>p121 - i6:i2</v>
      </c>
      <c r="D472" t="str">
        <f>Permutations!K464</f>
        <v>p11 - i2:i1</v>
      </c>
      <c r="E472" t="str">
        <f>Permutations!L464</f>
        <v>p8 - i1:i3</v>
      </c>
      <c r="F472" t="str">
        <f>Permutations!M464</f>
        <v>p6 - i3:i5</v>
      </c>
      <c r="G472" s="7">
        <f>VLOOKUP(B472,Vlookup!$A$1:$B$30,2,0)</f>
        <v>1.478275916473532</v>
      </c>
      <c r="H472" s="7">
        <f>VLOOKUP(C472,Vlookup!$A$1:$B$30,2,0)</f>
        <v>1.2419340531937677</v>
      </c>
      <c r="I472" s="7">
        <f>VLOOKUP(D472,Vlookup!$A$1:$B$30,2,0)</f>
        <v>1.7440097060445605</v>
      </c>
      <c r="J472" s="7">
        <f>VLOOKUP(E472,Vlookup!$A$1:$B$30,2,0)</f>
        <v>1.1080774401297739</v>
      </c>
      <c r="K472" s="7">
        <f>VLOOKUP(F472,Vlookup!$A$1:$B$30,2,0)</f>
        <v>2.2414716085286912</v>
      </c>
      <c r="L472" s="7">
        <f t="shared" si="7"/>
        <v>7.9525478299028967</v>
      </c>
      <c r="M472" s="7">
        <f t="shared" si="8"/>
        <v>5.3796099505388133</v>
      </c>
      <c r="N472" s="7">
        <f t="shared" si="9"/>
        <v>4.331638976082961</v>
      </c>
      <c r="O472" s="7">
        <f t="shared" si="10"/>
        <v>2.4837241221020387</v>
      </c>
      <c r="P472" s="7">
        <f t="shared" si="11"/>
        <v>2.2414716085286912</v>
      </c>
      <c r="Q472">
        <v>1</v>
      </c>
      <c r="R472" s="7">
        <f t="shared" si="12"/>
        <v>23.388992487155402</v>
      </c>
      <c r="S472" s="7">
        <f>VLOOKUP($A472,Rotations!$A$1:$X$1441,18,0)</f>
        <v>0.10619200991517837</v>
      </c>
      <c r="T472" s="7">
        <f>VLOOKUP($A472,Rotations!$A$1:$X$1441,19,0)</f>
        <v>0.18519989599645129</v>
      </c>
      <c r="U472" s="7">
        <f>VLOOKUP($A472,Rotations!$A$1:$X$1441,20,0)</f>
        <v>9.5834466138703764E-2</v>
      </c>
      <c r="V472" s="7">
        <f>VLOOKUP($A472,Rotations!$A$1:$X$1441,21,0)</f>
        <v>0.34001241542448735</v>
      </c>
      <c r="W472" s="7">
        <f>VLOOKUP($A472,Rotations!$A$1:$X$1441,22,0)</f>
        <v>4.2755155039242189E-2</v>
      </c>
      <c r="X472" s="7">
        <f>VLOOKUP($A472,Rotations!$A$1:$X$1441,23,0)</f>
        <v>0.23000605748593697</v>
      </c>
    </row>
    <row r="473" spans="1:24" ht="15.75" customHeight="1" x14ac:dyDescent="0.3">
      <c r="A473">
        <v>464</v>
      </c>
      <c r="B473" t="str">
        <f>Permutations!I465</f>
        <v>p14 - i4:i6</v>
      </c>
      <c r="C473" t="str">
        <f>Permutations!J465</f>
        <v>p121 - i6:i2</v>
      </c>
      <c r="D473" t="str">
        <f>Permutations!K465</f>
        <v>p11 - i2:i1</v>
      </c>
      <c r="E473" t="str">
        <f>Permutations!L465</f>
        <v>p10 - i1:i5</v>
      </c>
      <c r="F473" t="str">
        <f>Permutations!M465</f>
        <v>p61 - i5:i3</v>
      </c>
      <c r="G473" s="7">
        <f>VLOOKUP(B473,Vlookup!$A$1:$B$30,2,0)</f>
        <v>1.478275916473532</v>
      </c>
      <c r="H473" s="7">
        <f>VLOOKUP(C473,Vlookup!$A$1:$B$30,2,0)</f>
        <v>1.2419340531937677</v>
      </c>
      <c r="I473" s="7">
        <f>VLOOKUP(D473,Vlookup!$A$1:$B$30,2,0)</f>
        <v>1.7440097060445605</v>
      </c>
      <c r="J473" s="7">
        <f>VLOOKUP(E473,Vlookup!$A$1:$B$30,2,0)</f>
        <v>1.0847108741813811</v>
      </c>
      <c r="K473" s="7">
        <f>VLOOKUP(F473,Vlookup!$A$1:$B$30,2,0)</f>
        <v>1.9746367445127702</v>
      </c>
      <c r="L473" s="7">
        <f t="shared" si="7"/>
        <v>6.8581052009047792</v>
      </c>
      <c r="M473" s="7">
        <f t="shared" si="8"/>
        <v>4.6392592373857902</v>
      </c>
      <c r="N473" s="7">
        <f t="shared" si="9"/>
        <v>3.7355117411068925</v>
      </c>
      <c r="O473" s="7">
        <f t="shared" si="10"/>
        <v>2.1419099493311236</v>
      </c>
      <c r="P473" s="7">
        <f t="shared" si="11"/>
        <v>1.9746367445127702</v>
      </c>
      <c r="Q473">
        <v>1</v>
      </c>
      <c r="R473" s="7">
        <f t="shared" si="12"/>
        <v>20.349422873241355</v>
      </c>
      <c r="S473" s="7">
        <f>VLOOKUP($A473,Rotations!$A$1:$X$1441,18,0)</f>
        <v>0.10525654524323862</v>
      </c>
      <c r="T473" s="7">
        <f>VLOOKUP($A473,Rotations!$A$1:$X$1441,19,0)</f>
        <v>0.18356843652892657</v>
      </c>
      <c r="U473" s="7">
        <f>VLOOKUP($A473,Rotations!$A$1:$X$1441,20,0)</f>
        <v>4.9141442793198743E-2</v>
      </c>
      <c r="V473" s="7">
        <f>VLOOKUP($A473,Rotations!$A$1:$X$1441,21,0)</f>
        <v>0.33701718440000095</v>
      </c>
      <c r="W473" s="7">
        <f>VLOOKUP($A473,Rotations!$A$1:$X$1441,22,0)</f>
        <v>9.7036498617822486E-2</v>
      </c>
      <c r="X473" s="7">
        <f>VLOOKUP($A473,Rotations!$A$1:$X$1441,23,0)</f>
        <v>0.22797989241681263</v>
      </c>
    </row>
    <row r="474" spans="1:24" ht="15.75" customHeight="1" x14ac:dyDescent="0.3">
      <c r="A474">
        <v>465</v>
      </c>
      <c r="B474" t="str">
        <f>Permutations!I466</f>
        <v>p14 - i4:i6</v>
      </c>
      <c r="C474" t="str">
        <f>Permutations!J466</f>
        <v>p121 - i6:i2</v>
      </c>
      <c r="D474" t="str">
        <f>Permutations!K466</f>
        <v>p2 - i2:i3</v>
      </c>
      <c r="E474" t="str">
        <f>Permutations!L466</f>
        <v>p81 - i3:i1</v>
      </c>
      <c r="F474" t="str">
        <f>Permutations!M466</f>
        <v>p10 - i1:i5</v>
      </c>
      <c r="G474" s="7">
        <f>VLOOKUP(B474,Vlookup!$A$1:$B$30,2,0)</f>
        <v>1.478275916473532</v>
      </c>
      <c r="H474" s="7">
        <f>VLOOKUP(C474,Vlookup!$A$1:$B$30,2,0)</f>
        <v>1.2419340531937677</v>
      </c>
      <c r="I474" s="7">
        <f>VLOOKUP(D474,Vlookup!$A$1:$B$30,2,0)</f>
        <v>1.3601242124324544</v>
      </c>
      <c r="J474" s="7">
        <f>VLOOKUP(E474,Vlookup!$A$1:$B$30,2,0)</f>
        <v>1.7021844231989158</v>
      </c>
      <c r="K474" s="7">
        <f>VLOOKUP(F474,Vlookup!$A$1:$B$30,2,0)</f>
        <v>1.0847108741813811</v>
      </c>
      <c r="L474" s="7">
        <f t="shared" si="7"/>
        <v>4.6105550802263577</v>
      </c>
      <c r="M474" s="7">
        <f t="shared" si="8"/>
        <v>3.1188731608541409</v>
      </c>
      <c r="N474" s="7">
        <f t="shared" si="9"/>
        <v>2.5113033601370556</v>
      </c>
      <c r="O474" s="7">
        <f t="shared" si="10"/>
        <v>1.8463779537060261</v>
      </c>
      <c r="P474" s="7">
        <f t="shared" si="11"/>
        <v>1.0847108741813811</v>
      </c>
      <c r="Q474">
        <v>1</v>
      </c>
      <c r="R474" s="7">
        <f t="shared" si="12"/>
        <v>14.171820429104962</v>
      </c>
      <c r="S474" s="7">
        <f>VLOOKUP($A474,Rotations!$A$1:$X$1441,18,0)</f>
        <v>7.6539981550548572E-2</v>
      </c>
      <c r="T474" s="7">
        <f>VLOOKUP($A474,Rotations!$A$1:$X$1441,19,0)</f>
        <v>0.17720400654947191</v>
      </c>
      <c r="U474" s="7">
        <f>VLOOKUP($A474,Rotations!$A$1:$X$1441,20,0)</f>
        <v>0.13028516434727619</v>
      </c>
      <c r="V474" s="7">
        <f>VLOOKUP($A474,Rotations!$A$1:$X$1441,21,0)</f>
        <v>0.32533259247044688</v>
      </c>
      <c r="W474" s="7">
        <f>VLOOKUP($A474,Rotations!$A$1:$X$1441,22,0)</f>
        <v>7.056256498609588E-2</v>
      </c>
      <c r="X474" s="7">
        <f>VLOOKUP($A474,Rotations!$A$1:$X$1441,23,0)</f>
        <v>0.22007569009616057</v>
      </c>
    </row>
    <row r="475" spans="1:24" ht="15.75" customHeight="1" x14ac:dyDescent="0.3">
      <c r="A475">
        <v>466</v>
      </c>
      <c r="B475" t="str">
        <f>Permutations!I467</f>
        <v>p14 - i4:i6</v>
      </c>
      <c r="C475" t="str">
        <f>Permutations!J467</f>
        <v>p121 - i6:i2</v>
      </c>
      <c r="D475" t="str">
        <f>Permutations!K467</f>
        <v>p2 - i2:i3</v>
      </c>
      <c r="E475" t="str">
        <f>Permutations!L467</f>
        <v>p6 - i3:i5</v>
      </c>
      <c r="F475" t="str">
        <f>Permutations!M467</f>
        <v>p101 - i5:i1</v>
      </c>
      <c r="G475" s="7">
        <f>VLOOKUP(B475,Vlookup!$A$1:$B$30,2,0)</f>
        <v>1.478275916473532</v>
      </c>
      <c r="H475" s="7">
        <f>VLOOKUP(C475,Vlookup!$A$1:$B$30,2,0)</f>
        <v>1.2419340531937677</v>
      </c>
      <c r="I475" s="7">
        <f>VLOOKUP(D475,Vlookup!$A$1:$B$30,2,0)</f>
        <v>1.3601242124324544</v>
      </c>
      <c r="J475" s="7">
        <f>VLOOKUP(E475,Vlookup!$A$1:$B$30,2,0)</f>
        <v>2.2414716085286912</v>
      </c>
      <c r="K475" s="7">
        <f>VLOOKUP(F475,Vlookup!$A$1:$B$30,2,0)</f>
        <v>1.530542412441888</v>
      </c>
      <c r="L475" s="7">
        <f t="shared" si="7"/>
        <v>8.5666538684195892</v>
      </c>
      <c r="M475" s="7">
        <f t="shared" si="8"/>
        <v>5.7950303951751971</v>
      </c>
      <c r="N475" s="7">
        <f t="shared" si="9"/>
        <v>4.666133745405121</v>
      </c>
      <c r="O475" s="7">
        <f t="shared" si="10"/>
        <v>3.4306673631375024</v>
      </c>
      <c r="P475" s="7">
        <f t="shared" si="11"/>
        <v>1.530542412441888</v>
      </c>
      <c r="Q475">
        <v>1</v>
      </c>
      <c r="R475" s="7">
        <f t="shared" si="12"/>
        <v>24.989027784579299</v>
      </c>
      <c r="S475" s="7">
        <f>VLOOKUP($A475,Rotations!$A$1:$X$1441,18,0)</f>
        <v>4.0017563252984931E-2</v>
      </c>
      <c r="T475" s="7">
        <f>VLOOKUP($A475,Rotations!$A$1:$X$1441,19,0)</f>
        <v>0.18672730230363691</v>
      </c>
      <c r="U475" s="7">
        <f>VLOOKUP($A475,Rotations!$A$1:$X$1441,20,0)</f>
        <v>0.13728694820430604</v>
      </c>
      <c r="V475" s="7">
        <f>VLOOKUP($A475,Rotations!$A$1:$X$1441,21,0)</f>
        <v>0.34281661304590894</v>
      </c>
      <c r="W475" s="7">
        <f>VLOOKUP($A475,Rotations!$A$1:$X$1441,22,0)</f>
        <v>6.1248577801269403E-2</v>
      </c>
      <c r="X475" s="7">
        <f>VLOOKUP($A475,Rotations!$A$1:$X$1441,23,0)</f>
        <v>0.23190299539189371</v>
      </c>
    </row>
    <row r="476" spans="1:24" ht="15.75" customHeight="1" x14ac:dyDescent="0.3">
      <c r="A476">
        <v>467</v>
      </c>
      <c r="B476" t="str">
        <f>Permutations!I468</f>
        <v>p14 - i4:i6</v>
      </c>
      <c r="C476" t="str">
        <f>Permutations!J468</f>
        <v>p121 - i6:i2</v>
      </c>
      <c r="D476" t="str">
        <f>Permutations!K468</f>
        <v>p7 - i2:i5</v>
      </c>
      <c r="E476" t="str">
        <f>Permutations!L468</f>
        <v>p101 - i5:i1</v>
      </c>
      <c r="F476" t="str">
        <f>Permutations!M468</f>
        <v>p8 - i1:i3</v>
      </c>
      <c r="G476" s="7">
        <f>VLOOKUP(B476,Vlookup!$A$1:$B$30,2,0)</f>
        <v>1.478275916473532</v>
      </c>
      <c r="H476" s="7">
        <f>VLOOKUP(C476,Vlookup!$A$1:$B$30,2,0)</f>
        <v>1.2419340531937677</v>
      </c>
      <c r="I476" s="7">
        <f>VLOOKUP(D476,Vlookup!$A$1:$B$30,2,0)</f>
        <v>1.7991741228251155</v>
      </c>
      <c r="J476" s="7">
        <f>VLOOKUP(E476,Vlookup!$A$1:$B$30,2,0)</f>
        <v>1.530542412441888</v>
      </c>
      <c r="K476" s="7">
        <f>VLOOKUP(F476,Vlookup!$A$1:$B$30,2,0)</f>
        <v>1.1080774401297739</v>
      </c>
      <c r="L476" s="7">
        <f t="shared" si="7"/>
        <v>5.6019949727199707</v>
      </c>
      <c r="M476" s="7">
        <f t="shared" si="8"/>
        <v>3.7895462614879674</v>
      </c>
      <c r="N476" s="7">
        <f t="shared" si="9"/>
        <v>3.0513264788438152</v>
      </c>
      <c r="O476" s="7">
        <f t="shared" si="10"/>
        <v>1.695959518388656</v>
      </c>
      <c r="P476" s="7">
        <f t="shared" si="11"/>
        <v>1.1080774401297739</v>
      </c>
      <c r="Q476">
        <v>1</v>
      </c>
      <c r="R476" s="7">
        <f t="shared" si="12"/>
        <v>16.246904671570185</v>
      </c>
      <c r="S476" s="7">
        <f>VLOOKUP($A476,Rotations!$A$1:$X$1441,18,0)</f>
        <v>6.8202372238248848E-2</v>
      </c>
      <c r="T476" s="7">
        <f>VLOOKUP($A476,Rotations!$A$1:$X$1441,19,0)</f>
        <v>0.18780971148204068</v>
      </c>
      <c r="U476" s="7">
        <f>VLOOKUP($A476,Rotations!$A$1:$X$1441,20,0)</f>
        <v>6.1550185725522254E-2</v>
      </c>
      <c r="V476" s="7">
        <f>VLOOKUP($A476,Rotations!$A$1:$X$1441,21,0)</f>
        <v>0.34480383100435619</v>
      </c>
      <c r="W476" s="7">
        <f>VLOOKUP($A476,Rotations!$A$1:$X$1441,22,0)</f>
        <v>0.10438662333978904</v>
      </c>
      <c r="X476" s="7">
        <f>VLOOKUP($A476,Rotations!$A$1:$X$1441,23,0)</f>
        <v>0.2332472762100429</v>
      </c>
    </row>
    <row r="477" spans="1:24" ht="15.75" customHeight="1" x14ac:dyDescent="0.3">
      <c r="A477">
        <v>468</v>
      </c>
      <c r="B477" t="str">
        <f>Permutations!I469</f>
        <v>p14 - i4:i6</v>
      </c>
      <c r="C477" t="str">
        <f>Permutations!J469</f>
        <v>p121 - i6:i2</v>
      </c>
      <c r="D477" t="str">
        <f>Permutations!K469</f>
        <v>p7 - i2:i5</v>
      </c>
      <c r="E477" t="str">
        <f>Permutations!L469</f>
        <v>p61 - i5:i3</v>
      </c>
      <c r="F477" t="str">
        <f>Permutations!M469</f>
        <v>p81 - i3:i1</v>
      </c>
      <c r="G477" s="7">
        <f>VLOOKUP(B477,Vlookup!$A$1:$B$30,2,0)</f>
        <v>1.478275916473532</v>
      </c>
      <c r="H477" s="7">
        <f>VLOOKUP(C477,Vlookup!$A$1:$B$30,2,0)</f>
        <v>1.2419340531937677</v>
      </c>
      <c r="I477" s="7">
        <f>VLOOKUP(D477,Vlookup!$A$1:$B$30,2,0)</f>
        <v>1.7991741228251155</v>
      </c>
      <c r="J477" s="7">
        <f>VLOOKUP(E477,Vlookup!$A$1:$B$30,2,0)</f>
        <v>1.9746367445127702</v>
      </c>
      <c r="K477" s="7">
        <f>VLOOKUP(F477,Vlookup!$A$1:$B$30,2,0)</f>
        <v>1.7021844231989158</v>
      </c>
      <c r="L477" s="7">
        <f t="shared" si="7"/>
        <v>11.102507090943806</v>
      </c>
      <c r="M477" s="7">
        <f t="shared" si="8"/>
        <v>7.5104430554677126</v>
      </c>
      <c r="N477" s="7">
        <f t="shared" si="9"/>
        <v>6.0473766993938174</v>
      </c>
      <c r="O477" s="7">
        <f t="shared" si="10"/>
        <v>3.3611959079858544</v>
      </c>
      <c r="P477" s="7">
        <f t="shared" si="11"/>
        <v>1.7021844231989158</v>
      </c>
      <c r="Q477">
        <v>1</v>
      </c>
      <c r="R477" s="7">
        <f t="shared" si="12"/>
        <v>30.723707176990107</v>
      </c>
      <c r="S477" s="7">
        <f>VLOOKUP($A477,Rotations!$A$1:$X$1441,18,0)</f>
        <v>3.2548155541233956E-2</v>
      </c>
      <c r="T477" s="7">
        <f>VLOOKUP($A477,Rotations!$A$1:$X$1441,19,0)</f>
        <v>0.19683095742830398</v>
      </c>
      <c r="U477" s="7">
        <f>VLOOKUP($A477,Rotations!$A$1:$X$1441,20,0)</f>
        <v>5.5402963366143913E-2</v>
      </c>
      <c r="V477" s="7">
        <f>VLOOKUP($A477,Rotations!$A$1:$X$1441,21,0)</f>
        <v>0.36136612769369192</v>
      </c>
      <c r="W477" s="7">
        <f>VLOOKUP($A477,Rotations!$A$1:$X$1441,22,0)</f>
        <v>0.10940072721768268</v>
      </c>
      <c r="X477" s="7">
        <f>VLOOKUP($A477,Rotations!$A$1:$X$1441,23,0)</f>
        <v>0.24445106875294351</v>
      </c>
    </row>
    <row r="478" spans="1:24" ht="15.75" customHeight="1" x14ac:dyDescent="0.3">
      <c r="A478">
        <v>469</v>
      </c>
      <c r="B478" t="str">
        <f>Permutations!I470</f>
        <v>p14 - i4:i6</v>
      </c>
      <c r="C478" t="str">
        <f>Permutations!J470</f>
        <v>p131 - i6:i3</v>
      </c>
      <c r="D478" t="str">
        <f>Permutations!K470</f>
        <v>p81 - i3:i1</v>
      </c>
      <c r="E478" t="str">
        <f>Permutations!L470</f>
        <v>p1 - i1:i2</v>
      </c>
      <c r="F478" t="str">
        <f>Permutations!M470</f>
        <v>p7 - i2:i5</v>
      </c>
      <c r="G478" s="7">
        <f>VLOOKUP(B478,Vlookup!$A$1:$B$30,2,0)</f>
        <v>1.478275916473532</v>
      </c>
      <c r="H478" s="7">
        <f>VLOOKUP(C478,Vlookup!$A$1:$B$30,2,0)</f>
        <v>1.4032439022773779</v>
      </c>
      <c r="I478" s="7">
        <f>VLOOKUP(D478,Vlookup!$A$1:$B$30,2,0)</f>
        <v>1.7021844231989158</v>
      </c>
      <c r="J478" s="7">
        <f>VLOOKUP(E478,Vlookup!$A$1:$B$30,2,0)</f>
        <v>1.6373343116675814</v>
      </c>
      <c r="K478" s="7">
        <f>VLOOKUP(F478,Vlookup!$A$1:$B$30,2,0)</f>
        <v>1.7991741228251155</v>
      </c>
      <c r="L478" s="7">
        <f t="shared" si="7"/>
        <v>10.401736220763228</v>
      </c>
      <c r="M478" s="7">
        <f t="shared" si="8"/>
        <v>7.0363969979142045</v>
      </c>
      <c r="N478" s="7">
        <f t="shared" si="9"/>
        <v>5.0143791727828404</v>
      </c>
      <c r="O478" s="7">
        <f t="shared" si="10"/>
        <v>2.9458495239659848</v>
      </c>
      <c r="P478" s="7">
        <f t="shared" si="11"/>
        <v>1.7991741228251155</v>
      </c>
      <c r="Q478">
        <v>1</v>
      </c>
      <c r="R478" s="7">
        <f t="shared" si="12"/>
        <v>28.197536038251375</v>
      </c>
      <c r="S478" s="7">
        <f>VLOOKUP($A478,Rotations!$A$1:$X$1441,18,0)</f>
        <v>0.10447187725799133</v>
      </c>
      <c r="T478" s="7">
        <f>VLOOKUP($A478,Rotations!$A$1:$X$1441,19,0)</f>
        <v>6.3806075835294448E-2</v>
      </c>
      <c r="U478" s="7">
        <f>VLOOKUP($A478,Rotations!$A$1:$X$1441,20,0)</f>
        <v>0.1778304021309019</v>
      </c>
      <c r="V478" s="7">
        <f>VLOOKUP($A478,Rotations!$A$1:$X$1441,21,0)</f>
        <v>0.36888812577995289</v>
      </c>
      <c r="W478" s="7">
        <f>VLOOKUP($A478,Rotations!$A$1:$X$1441,22,0)</f>
        <v>3.5464091566137189E-2</v>
      </c>
      <c r="X478" s="7">
        <f>VLOOKUP($A478,Rotations!$A$1:$X$1441,23,0)</f>
        <v>0.24953942742972215</v>
      </c>
    </row>
    <row r="479" spans="1:24" ht="15.75" customHeight="1" x14ac:dyDescent="0.3">
      <c r="A479">
        <v>470</v>
      </c>
      <c r="B479" t="str">
        <f>Permutations!I471</f>
        <v>p14 - i4:i6</v>
      </c>
      <c r="C479" t="str">
        <f>Permutations!J471</f>
        <v>p131 - i6:i3</v>
      </c>
      <c r="D479" t="str">
        <f>Permutations!K471</f>
        <v>p81 - i3:i1</v>
      </c>
      <c r="E479" t="str">
        <f>Permutations!L471</f>
        <v>p10 - i1:i5</v>
      </c>
      <c r="F479" t="str">
        <f>Permutations!M471</f>
        <v>p71 - i5:i2</v>
      </c>
      <c r="G479" s="7">
        <f>VLOOKUP(B479,Vlookup!$A$1:$B$30,2,0)</f>
        <v>1.478275916473532</v>
      </c>
      <c r="H479" s="7">
        <f>VLOOKUP(C479,Vlookup!$A$1:$B$30,2,0)</f>
        <v>1.4032439022773779</v>
      </c>
      <c r="I479" s="7">
        <f>VLOOKUP(D479,Vlookup!$A$1:$B$30,2,0)</f>
        <v>1.7021844231989158</v>
      </c>
      <c r="J479" s="7">
        <f>VLOOKUP(E479,Vlookup!$A$1:$B$30,2,0)</f>
        <v>1.0847108741813811</v>
      </c>
      <c r="K479" s="7">
        <f>VLOOKUP(F479,Vlookup!$A$1:$B$30,2,0)</f>
        <v>1.8243208303594776</v>
      </c>
      <c r="L479" s="7">
        <f t="shared" si="7"/>
        <v>6.9873176669131771</v>
      </c>
      <c r="M479" s="7">
        <f t="shared" si="8"/>
        <v>4.7266667805707181</v>
      </c>
      <c r="N479" s="7">
        <f t="shared" si="9"/>
        <v>3.3683857616624104</v>
      </c>
      <c r="O479" s="7">
        <f t="shared" si="10"/>
        <v>1.9788606426865321</v>
      </c>
      <c r="P479" s="7">
        <f t="shared" si="11"/>
        <v>1.8243208303594776</v>
      </c>
      <c r="Q479">
        <v>1</v>
      </c>
      <c r="R479" s="7">
        <f t="shared" si="12"/>
        <v>19.885551682192315</v>
      </c>
      <c r="S479" s="7">
        <f>VLOOKUP($A479,Rotations!$A$1:$X$1441,18,0)</f>
        <v>9.9512483953795416E-2</v>
      </c>
      <c r="T479" s="7">
        <f>VLOOKUP($A479,Rotations!$A$1:$X$1441,19,0)</f>
        <v>5.0287767519948103E-2</v>
      </c>
      <c r="U479" s="7">
        <f>VLOOKUP($A479,Rotations!$A$1:$X$1441,20,0)</f>
        <v>0.16938860009998261</v>
      </c>
      <c r="V479" s="7">
        <f>VLOOKUP($A479,Rotations!$A$1:$X$1441,21,0)</f>
        <v>0.351376606421756</v>
      </c>
      <c r="W479" s="7">
        <f>VLOOKUP($A479,Rotations!$A$1:$X$1441,22,0)</f>
        <v>9.1741021798916092E-2</v>
      </c>
      <c r="X479" s="7">
        <f>VLOOKUP($A479,Rotations!$A$1:$X$1441,23,0)</f>
        <v>0.2376935202056018</v>
      </c>
    </row>
    <row r="480" spans="1:24" ht="15.75" customHeight="1" x14ac:dyDescent="0.3">
      <c r="A480">
        <v>471</v>
      </c>
      <c r="B480" t="str">
        <f>Permutations!I472</f>
        <v>p14 - i4:i6</v>
      </c>
      <c r="C480" t="str">
        <f>Permutations!J472</f>
        <v>p131 - i6:i3</v>
      </c>
      <c r="D480" t="str">
        <f>Permutations!K472</f>
        <v>p21 - i3:i2</v>
      </c>
      <c r="E480" t="str">
        <f>Permutations!L472</f>
        <v>p11 - i2:i1</v>
      </c>
      <c r="F480" t="str">
        <f>Permutations!M472</f>
        <v>p10 - i1:i5</v>
      </c>
      <c r="G480" s="7">
        <f>VLOOKUP(B480,Vlookup!$A$1:$B$30,2,0)</f>
        <v>1.478275916473532</v>
      </c>
      <c r="H480" s="7">
        <f>VLOOKUP(C480,Vlookup!$A$1:$B$30,2,0)</f>
        <v>1.4032439022773779</v>
      </c>
      <c r="I480" s="7">
        <f>VLOOKUP(D480,Vlookup!$A$1:$B$30,2,0)</f>
        <v>1.5059827029565431</v>
      </c>
      <c r="J480" s="7">
        <f>VLOOKUP(E480,Vlookup!$A$1:$B$30,2,0)</f>
        <v>1.7440097060445605</v>
      </c>
      <c r="K480" s="7">
        <f>VLOOKUP(F480,Vlookup!$A$1:$B$30,2,0)</f>
        <v>1.0847108741813811</v>
      </c>
      <c r="L480" s="7">
        <f t="shared" si="7"/>
        <v>5.9097830847469162</v>
      </c>
      <c r="M480" s="7">
        <f t="shared" si="8"/>
        <v>3.9977537473821991</v>
      </c>
      <c r="N480" s="7">
        <f t="shared" si="9"/>
        <v>2.848937195375723</v>
      </c>
      <c r="O480" s="7">
        <f t="shared" si="10"/>
        <v>1.8917462928244089</v>
      </c>
      <c r="P480" s="7">
        <f t="shared" si="11"/>
        <v>1.0847108741813811</v>
      </c>
      <c r="Q480">
        <v>1</v>
      </c>
      <c r="R480" s="7">
        <f t="shared" si="12"/>
        <v>16.732931194510627</v>
      </c>
      <c r="S480" s="7">
        <f>VLOOKUP($A480,Rotations!$A$1:$X$1441,18,0)</f>
        <v>6.4824916900227819E-2</v>
      </c>
      <c r="T480" s="7">
        <f>VLOOKUP($A480,Rotations!$A$1:$X$1441,19,0)</f>
        <v>0.11305528426752938</v>
      </c>
      <c r="U480" s="7">
        <f>VLOOKUP($A480,Rotations!$A$1:$X$1441,20,0)</f>
        <v>0.17025930258473421</v>
      </c>
      <c r="V480" s="7">
        <f>VLOOKUP($A480,Rotations!$A$1:$X$1441,21,0)</f>
        <v>0.35318277569238249</v>
      </c>
      <c r="W480" s="7">
        <f>VLOOKUP($A480,Rotations!$A$1:$X$1441,22,0)</f>
        <v>5.9762392397098844E-2</v>
      </c>
      <c r="X480" s="7">
        <f>VLOOKUP($A480,Rotations!$A$1:$X$1441,23,0)</f>
        <v>0.23891532815802735</v>
      </c>
    </row>
    <row r="481" spans="1:24" ht="15.75" customHeight="1" x14ac:dyDescent="0.3">
      <c r="A481">
        <v>472</v>
      </c>
      <c r="B481" t="str">
        <f>Permutations!I473</f>
        <v>p14 - i4:i6</v>
      </c>
      <c r="C481" t="str">
        <f>Permutations!J473</f>
        <v>p131 - i6:i3</v>
      </c>
      <c r="D481" t="str">
        <f>Permutations!K473</f>
        <v>p21 - i3:i2</v>
      </c>
      <c r="E481" t="str">
        <f>Permutations!L473</f>
        <v>p7 - i2:i5</v>
      </c>
      <c r="F481" t="str">
        <f>Permutations!M473</f>
        <v>p101 - i5:i1</v>
      </c>
      <c r="G481" s="7">
        <f>VLOOKUP(B481,Vlookup!$A$1:$B$30,2,0)</f>
        <v>1.478275916473532</v>
      </c>
      <c r="H481" s="7">
        <f>VLOOKUP(C481,Vlookup!$A$1:$B$30,2,0)</f>
        <v>1.4032439022773779</v>
      </c>
      <c r="I481" s="7">
        <f>VLOOKUP(D481,Vlookup!$A$1:$B$30,2,0)</f>
        <v>1.5059827029565431</v>
      </c>
      <c r="J481" s="7">
        <f>VLOOKUP(E481,Vlookup!$A$1:$B$30,2,0)</f>
        <v>1.7991741228251155</v>
      </c>
      <c r="K481" s="7">
        <f>VLOOKUP(F481,Vlookup!$A$1:$B$30,2,0)</f>
        <v>1.530542412441888</v>
      </c>
      <c r="L481" s="7">
        <f t="shared" si="7"/>
        <v>8.6025501656466101</v>
      </c>
      <c r="M481" s="7">
        <f t="shared" si="8"/>
        <v>5.8193129373089096</v>
      </c>
      <c r="N481" s="7">
        <f t="shared" si="9"/>
        <v>4.1470430962604041</v>
      </c>
      <c r="O481" s="7">
        <f t="shared" si="10"/>
        <v>2.75371230235177</v>
      </c>
      <c r="P481" s="7">
        <f t="shared" si="11"/>
        <v>1.530542412441888</v>
      </c>
      <c r="Q481">
        <v>1</v>
      </c>
      <c r="R481" s="7">
        <f t="shared" si="12"/>
        <v>23.853160914009582</v>
      </c>
      <c r="S481" s="7">
        <f>VLOOKUP($A481,Rotations!$A$1:$X$1441,18,0)</f>
        <v>4.1923164967737001E-2</v>
      </c>
      <c r="T481" s="7">
        <f>VLOOKUP($A481,Rotations!$A$1:$X$1441,19,0)</f>
        <v>0.11544433512518013</v>
      </c>
      <c r="U481" s="7">
        <f>VLOOKUP($A481,Rotations!$A$1:$X$1441,20,0)</f>
        <v>0.17385717185283975</v>
      </c>
      <c r="V481" s="7">
        <f>VLOOKUP($A481,Rotations!$A$1:$X$1441,21,0)</f>
        <v>0.3606461297376361</v>
      </c>
      <c r="W481" s="7">
        <f>VLOOKUP($A481,Rotations!$A$1:$X$1441,22,0)</f>
        <v>6.4165182046919442E-2</v>
      </c>
      <c r="X481" s="7">
        <f>VLOOKUP($A481,Rotations!$A$1:$X$1441,23,0)</f>
        <v>0.24396401626968758</v>
      </c>
    </row>
    <row r="482" spans="1:24" ht="15.75" customHeight="1" x14ac:dyDescent="0.3">
      <c r="A482">
        <v>473</v>
      </c>
      <c r="B482" t="str">
        <f>Permutations!I474</f>
        <v>p14 - i4:i6</v>
      </c>
      <c r="C482" t="str">
        <f>Permutations!J474</f>
        <v>p131 - i6:i3</v>
      </c>
      <c r="D482" t="str">
        <f>Permutations!K474</f>
        <v>p6 - i3:i5</v>
      </c>
      <c r="E482" t="str">
        <f>Permutations!L474</f>
        <v>p101 - i5:i1</v>
      </c>
      <c r="F482" t="str">
        <f>Permutations!M474</f>
        <v>p1 - i1:i2</v>
      </c>
      <c r="G482" s="7">
        <f>VLOOKUP(B482,Vlookup!$A$1:$B$30,2,0)</f>
        <v>1.478275916473532</v>
      </c>
      <c r="H482" s="7">
        <f>VLOOKUP(C482,Vlookup!$A$1:$B$30,2,0)</f>
        <v>1.4032439022773779</v>
      </c>
      <c r="I482" s="7">
        <f>VLOOKUP(D482,Vlookup!$A$1:$B$30,2,0)</f>
        <v>2.2414716085286912</v>
      </c>
      <c r="J482" s="7">
        <f>VLOOKUP(E482,Vlookup!$A$1:$B$30,2,0)</f>
        <v>1.530542412441888</v>
      </c>
      <c r="K482" s="7">
        <f>VLOOKUP(F482,Vlookup!$A$1:$B$30,2,0)</f>
        <v>1.6373343116675814</v>
      </c>
      <c r="L482" s="7">
        <f t="shared" si="7"/>
        <v>11.652111698811261</v>
      </c>
      <c r="M482" s="7">
        <f t="shared" si="8"/>
        <v>7.8822306235007158</v>
      </c>
      <c r="N482" s="7">
        <f t="shared" si="9"/>
        <v>5.6171493855831791</v>
      </c>
      <c r="O482" s="7">
        <f t="shared" si="10"/>
        <v>2.5060096073535783</v>
      </c>
      <c r="P482" s="7">
        <f t="shared" si="11"/>
        <v>1.6373343116675814</v>
      </c>
      <c r="Q482">
        <v>1</v>
      </c>
      <c r="R482" s="7">
        <f t="shared" si="12"/>
        <v>30.294835626916317</v>
      </c>
      <c r="S482" s="7">
        <f>VLOOKUP($A482,Rotations!$A$1:$X$1441,18,0)</f>
        <v>5.4046647812567919E-2</v>
      </c>
      <c r="T482" s="7">
        <f>VLOOKUP($A482,Rotations!$A$1:$X$1441,19,0)</f>
        <v>3.300892641620809E-2</v>
      </c>
      <c r="U482" s="7">
        <f>VLOOKUP($A482,Rotations!$A$1:$X$1441,20,0)</f>
        <v>0.18541607073756364</v>
      </c>
      <c r="V482" s="7">
        <f>VLOOKUP($A482,Rotations!$A$1:$X$1441,21,0)</f>
        <v>0.38462369765949839</v>
      </c>
      <c r="W482" s="7">
        <f>VLOOKUP($A482,Rotations!$A$1:$X$1441,22,0)</f>
        <v>8.2720686727444787E-2</v>
      </c>
      <c r="X482" s="7">
        <f>VLOOKUP($A482,Rotations!$A$1:$X$1441,23,0)</f>
        <v>0.26018397064671717</v>
      </c>
    </row>
    <row r="483" spans="1:24" ht="15.75" customHeight="1" x14ac:dyDescent="0.3">
      <c r="A483">
        <v>474</v>
      </c>
      <c r="B483" t="str">
        <f>Permutations!I475</f>
        <v>p14 - i4:i6</v>
      </c>
      <c r="C483" t="str">
        <f>Permutations!J475</f>
        <v>p131 - i6:i3</v>
      </c>
      <c r="D483" t="str">
        <f>Permutations!K475</f>
        <v>p6 - i3:i5</v>
      </c>
      <c r="E483" t="str">
        <f>Permutations!L475</f>
        <v>p71 - i5:i2</v>
      </c>
      <c r="F483" t="str">
        <f>Permutations!M475</f>
        <v>p11 - i2:i1</v>
      </c>
      <c r="G483" s="7">
        <f>VLOOKUP(B483,Vlookup!$A$1:$B$30,2,0)</f>
        <v>1.478275916473532</v>
      </c>
      <c r="H483" s="7">
        <f>VLOOKUP(C483,Vlookup!$A$1:$B$30,2,0)</f>
        <v>1.4032439022773779</v>
      </c>
      <c r="I483" s="7">
        <f>VLOOKUP(D483,Vlookup!$A$1:$B$30,2,0)</f>
        <v>2.2414716085286912</v>
      </c>
      <c r="J483" s="7">
        <f>VLOOKUP(E483,Vlookup!$A$1:$B$30,2,0)</f>
        <v>1.8243208303594776</v>
      </c>
      <c r="K483" s="7">
        <f>VLOOKUP(F483,Vlookup!$A$1:$B$30,2,0)</f>
        <v>1.7440097060445605</v>
      </c>
      <c r="L483" s="7">
        <f t="shared" si="7"/>
        <v>14.793536996462107</v>
      </c>
      <c r="M483" s="7">
        <f t="shared" si="8"/>
        <v>10.007290811956471</v>
      </c>
      <c r="N483" s="7">
        <f t="shared" si="9"/>
        <v>7.1315405651970112</v>
      </c>
      <c r="O483" s="7">
        <f t="shared" si="10"/>
        <v>3.1816332350862009</v>
      </c>
      <c r="P483" s="7">
        <f t="shared" si="11"/>
        <v>1.7440097060445605</v>
      </c>
      <c r="Q483">
        <v>1</v>
      </c>
      <c r="R483" s="7">
        <f t="shared" si="12"/>
        <v>37.858011314746349</v>
      </c>
      <c r="S483" s="7">
        <f>VLOOKUP($A483,Rotations!$A$1:$X$1441,18,0)</f>
        <v>2.6414488380970047E-2</v>
      </c>
      <c r="T483" s="7">
        <f>VLOOKUP($A483,Rotations!$A$1:$X$1441,19,0)</f>
        <v>4.6067124116613033E-2</v>
      </c>
      <c r="U483" s="7">
        <f>VLOOKUP($A483,Rotations!$A$1:$X$1441,20,0)</f>
        <v>0.18837599539781302</v>
      </c>
      <c r="V483" s="7">
        <f>VLOOKUP($A483,Rotations!$A$1:$X$1441,21,0)</f>
        <v>0.39076371110649882</v>
      </c>
      <c r="W483" s="7">
        <f>VLOOKUP($A483,Rotations!$A$1:$X$1441,22,0)</f>
        <v>8.4041214120692598E-2</v>
      </c>
      <c r="X483" s="7">
        <f>VLOOKUP($A483,Rotations!$A$1:$X$1441,23,0)</f>
        <v>0.2643374668774125</v>
      </c>
    </row>
    <row r="484" spans="1:24" ht="15.75" customHeight="1" x14ac:dyDescent="0.3">
      <c r="A484">
        <v>475</v>
      </c>
      <c r="B484" t="str">
        <f>Permutations!I476</f>
        <v>p14 - i4:i6</v>
      </c>
      <c r="C484" t="str">
        <f>Permutations!J476</f>
        <v>p151 - i6:i5</v>
      </c>
      <c r="D484" t="str">
        <f>Permutations!K476</f>
        <v>p101 - i5:i1</v>
      </c>
      <c r="E484" t="str">
        <f>Permutations!L476</f>
        <v>p1 - i1:i2</v>
      </c>
      <c r="F484" t="str">
        <f>Permutations!M476</f>
        <v>p2 - i2:i3</v>
      </c>
      <c r="G484" s="7">
        <f>VLOOKUP(B484,Vlookup!$A$1:$B$30,2,0)</f>
        <v>1.478275916473532</v>
      </c>
      <c r="H484" s="7">
        <f>VLOOKUP(C484,Vlookup!$A$1:$B$30,2,0)</f>
        <v>1.2266517321719024</v>
      </c>
      <c r="I484" s="7">
        <f>VLOOKUP(D484,Vlookup!$A$1:$B$30,2,0)</f>
        <v>1.530542412441888</v>
      </c>
      <c r="J484" s="7">
        <f>VLOOKUP(E484,Vlookup!$A$1:$B$30,2,0)</f>
        <v>1.6373343116675814</v>
      </c>
      <c r="K484" s="7">
        <f>VLOOKUP(F484,Vlookup!$A$1:$B$30,2,0)</f>
        <v>1.3601242124324544</v>
      </c>
      <c r="L484" s="7">
        <f t="shared" si="7"/>
        <v>6.1807059383981606</v>
      </c>
      <c r="M484" s="7">
        <f t="shared" si="8"/>
        <v>4.1810232240963554</v>
      </c>
      <c r="N484" s="7">
        <f t="shared" si="9"/>
        <v>3.4084843435499499</v>
      </c>
      <c r="O484" s="7">
        <f t="shared" si="10"/>
        <v>2.2269780411455038</v>
      </c>
      <c r="P484" s="7">
        <f t="shared" si="11"/>
        <v>1.3601242124324544</v>
      </c>
      <c r="Q484">
        <v>1</v>
      </c>
      <c r="R484" s="7">
        <f t="shared" si="12"/>
        <v>18.357315759622423</v>
      </c>
      <c r="S484" s="7">
        <f>VLOOKUP($A484,Rotations!$A$1:$X$1441,18,0)</f>
        <v>0.12131283627227364</v>
      </c>
      <c r="T484" s="7">
        <f>VLOOKUP($A484,Rotations!$A$1:$X$1441,19,0)</f>
        <v>7.4091671693314584E-2</v>
      </c>
      <c r="U484" s="7">
        <f>VLOOKUP($A484,Rotations!$A$1:$X$1441,20,0)</f>
        <v>5.4474195088997486E-2</v>
      </c>
      <c r="V484" s="7">
        <f>VLOOKUP($A484,Rotations!$A$1:$X$1441,21,0)</f>
        <v>0.33668898107602668</v>
      </c>
      <c r="W484" s="7">
        <f>VLOOKUP($A484,Rotations!$A$1:$X$1441,22,0)</f>
        <v>0.1856744410883335</v>
      </c>
      <c r="X484" s="7">
        <f>VLOOKUP($A484,Rotations!$A$1:$X$1441,23,0)</f>
        <v>0.22775787478105414</v>
      </c>
    </row>
    <row r="485" spans="1:24" ht="15.75" customHeight="1" x14ac:dyDescent="0.3">
      <c r="A485">
        <v>476</v>
      </c>
      <c r="B485" t="str">
        <f>Permutations!I477</f>
        <v>p14 - i4:i6</v>
      </c>
      <c r="C485" t="str">
        <f>Permutations!J477</f>
        <v>p151 - i6:i5</v>
      </c>
      <c r="D485" t="str">
        <f>Permutations!K477</f>
        <v>p101 - i5:i1</v>
      </c>
      <c r="E485" t="str">
        <f>Permutations!L477</f>
        <v>p8 - i1:i3</v>
      </c>
      <c r="F485" t="str">
        <f>Permutations!M477</f>
        <v>p21 - i3:i2</v>
      </c>
      <c r="G485" s="7">
        <f>VLOOKUP(B485,Vlookup!$A$1:$B$30,2,0)</f>
        <v>1.478275916473532</v>
      </c>
      <c r="H485" s="7">
        <f>VLOOKUP(C485,Vlookup!$A$1:$B$30,2,0)</f>
        <v>1.2266517321719024</v>
      </c>
      <c r="I485" s="7">
        <f>VLOOKUP(D485,Vlookup!$A$1:$B$30,2,0)</f>
        <v>1.530542412441888</v>
      </c>
      <c r="J485" s="7">
        <f>VLOOKUP(E485,Vlookup!$A$1:$B$30,2,0)</f>
        <v>1.1080774401297739</v>
      </c>
      <c r="K485" s="7">
        <f>VLOOKUP(F485,Vlookup!$A$1:$B$30,2,0)</f>
        <v>1.5059827029565431</v>
      </c>
      <c r="L485" s="7">
        <f t="shared" si="7"/>
        <v>4.6313994901037656</v>
      </c>
      <c r="M485" s="7">
        <f t="shared" si="8"/>
        <v>3.1329736475394236</v>
      </c>
      <c r="N485" s="7">
        <f t="shared" si="9"/>
        <v>2.5540856996078252</v>
      </c>
      <c r="O485" s="7">
        <f t="shared" si="10"/>
        <v>1.668745458371804</v>
      </c>
      <c r="P485" s="7">
        <f t="shared" si="11"/>
        <v>1.5059827029565431</v>
      </c>
      <c r="Q485">
        <v>1</v>
      </c>
      <c r="R485" s="7">
        <f t="shared" si="12"/>
        <v>14.493186998579361</v>
      </c>
      <c r="S485" s="7">
        <f>VLOOKUP($A485,Rotations!$A$1:$X$1441,18,0)</f>
        <v>0.11513999360771211</v>
      </c>
      <c r="T485" s="7">
        <f>VLOOKUP($A485,Rotations!$A$1:$X$1441,19,0)</f>
        <v>6.8997936761460488E-2</v>
      </c>
      <c r="U485" s="7">
        <f>VLOOKUP($A485,Rotations!$A$1:$X$1441,20,0)</f>
        <v>0.10390969930244889</v>
      </c>
      <c r="V485" s="7">
        <f>VLOOKUP($A485,Rotations!$A$1:$X$1441,21,0)</f>
        <v>0.31955700913523993</v>
      </c>
      <c r="W485" s="7">
        <f>VLOOKUP($A485,Rotations!$A$1:$X$1441,22,0)</f>
        <v>0.17622664358489126</v>
      </c>
      <c r="X485" s="7">
        <f>VLOOKUP($A485,Rotations!$A$1:$X$1441,23,0)</f>
        <v>0.21616871760824732</v>
      </c>
    </row>
    <row r="486" spans="1:24" ht="15.75" customHeight="1" x14ac:dyDescent="0.3">
      <c r="A486">
        <v>477</v>
      </c>
      <c r="B486" t="str">
        <f>Permutations!I478</f>
        <v>p14 - i4:i6</v>
      </c>
      <c r="C486" t="str">
        <f>Permutations!J478</f>
        <v>p151 - i6:i5</v>
      </c>
      <c r="D486" t="str">
        <f>Permutations!K478</f>
        <v>p71 - i5:i2</v>
      </c>
      <c r="E486" t="str">
        <f>Permutations!L478</f>
        <v>p11 - i2:i1</v>
      </c>
      <c r="F486" t="str">
        <f>Permutations!M478</f>
        <v>p8 - i1:i3</v>
      </c>
      <c r="G486" s="7">
        <f>VLOOKUP(B486,Vlookup!$A$1:$B$30,2,0)</f>
        <v>1.478275916473532</v>
      </c>
      <c r="H486" s="7">
        <f>VLOOKUP(C486,Vlookup!$A$1:$B$30,2,0)</f>
        <v>1.2266517321719024</v>
      </c>
      <c r="I486" s="7">
        <f>VLOOKUP(D486,Vlookup!$A$1:$B$30,2,0)</f>
        <v>1.8243208303594776</v>
      </c>
      <c r="J486" s="7">
        <f>VLOOKUP(E486,Vlookup!$A$1:$B$30,2,0)</f>
        <v>1.7440097060445605</v>
      </c>
      <c r="K486" s="7">
        <f>VLOOKUP(F486,Vlookup!$A$1:$B$30,2,0)</f>
        <v>1.1080774401297739</v>
      </c>
      <c r="L486" s="7">
        <f t="shared" si="7"/>
        <v>6.3928866710329881</v>
      </c>
      <c r="M486" s="7">
        <f t="shared" si="8"/>
        <v>4.3245557881260739</v>
      </c>
      <c r="N486" s="7">
        <f t="shared" si="9"/>
        <v>3.5254960105661288</v>
      </c>
      <c r="O486" s="7">
        <f t="shared" si="10"/>
        <v>1.9324978106353361</v>
      </c>
      <c r="P486" s="7">
        <f t="shared" si="11"/>
        <v>1.1080774401297739</v>
      </c>
      <c r="Q486">
        <v>1</v>
      </c>
      <c r="R486" s="7">
        <f t="shared" si="12"/>
        <v>18.283513720490301</v>
      </c>
      <c r="S486" s="7">
        <f>VLOOKUP($A486,Rotations!$A$1:$X$1441,18,0)</f>
        <v>6.0605278453011661E-2</v>
      </c>
      <c r="T486" s="7">
        <f>VLOOKUP($A486,Rotations!$A$1:$X$1441,19,0)</f>
        <v>0.1056961938595856</v>
      </c>
      <c r="U486" s="7">
        <f>VLOOKUP($A486,Rotations!$A$1:$X$1441,20,0)</f>
        <v>5.4694082072380967E-2</v>
      </c>
      <c r="V486" s="7">
        <f>VLOOKUP($A486,Rotations!$A$1:$X$1441,21,0)</f>
        <v>0.34965306826490861</v>
      </c>
      <c r="W486" s="7">
        <f>VLOOKUP($A486,Rotations!$A$1:$X$1441,22,0)</f>
        <v>0.19282376814775551</v>
      </c>
      <c r="X486" s="7">
        <f>VLOOKUP($A486,Rotations!$A$1:$X$1441,23,0)</f>
        <v>0.23652760920235763</v>
      </c>
    </row>
    <row r="487" spans="1:24" ht="15.75" customHeight="1" x14ac:dyDescent="0.3">
      <c r="A487">
        <v>478</v>
      </c>
      <c r="B487" t="str">
        <f>Permutations!I479</f>
        <v>p14 - i4:i6</v>
      </c>
      <c r="C487" t="str">
        <f>Permutations!J479</f>
        <v>p151 - i6:i5</v>
      </c>
      <c r="D487" t="str">
        <f>Permutations!K479</f>
        <v>p71 - i5:i2</v>
      </c>
      <c r="E487" t="str">
        <f>Permutations!L479</f>
        <v>p2 - i2:i3</v>
      </c>
      <c r="F487" t="str">
        <f>Permutations!M479</f>
        <v>p81 - i3:i1</v>
      </c>
      <c r="G487" s="7">
        <f>VLOOKUP(B487,Vlookup!$A$1:$B$30,2,0)</f>
        <v>1.478275916473532</v>
      </c>
      <c r="H487" s="7">
        <f>VLOOKUP(C487,Vlookup!$A$1:$B$30,2,0)</f>
        <v>1.2266517321719024</v>
      </c>
      <c r="I487" s="7">
        <f>VLOOKUP(D487,Vlookup!$A$1:$B$30,2,0)</f>
        <v>1.8243208303594776</v>
      </c>
      <c r="J487" s="7">
        <f>VLOOKUP(E487,Vlookup!$A$1:$B$30,2,0)</f>
        <v>1.3601242124324544</v>
      </c>
      <c r="K487" s="7">
        <f>VLOOKUP(F487,Vlookup!$A$1:$B$30,2,0)</f>
        <v>1.7021844231989158</v>
      </c>
      <c r="L487" s="7">
        <f t="shared" si="7"/>
        <v>7.6588432095050649</v>
      </c>
      <c r="M487" s="7">
        <f t="shared" si="8"/>
        <v>5.1809294355382915</v>
      </c>
      <c r="N487" s="7">
        <f t="shared" si="9"/>
        <v>4.2236352011381157</v>
      </c>
      <c r="O487" s="7">
        <f t="shared" si="10"/>
        <v>2.3151822480182171</v>
      </c>
      <c r="P487" s="7">
        <f t="shared" si="11"/>
        <v>1.7021844231989158</v>
      </c>
      <c r="Q487">
        <v>1</v>
      </c>
      <c r="R487" s="7">
        <f t="shared" si="12"/>
        <v>22.080774517398606</v>
      </c>
      <c r="S487" s="7">
        <f>VLOOKUP($A487,Rotations!$A$1:$X$1441,18,0)</f>
        <v>4.5288266460583045E-2</v>
      </c>
      <c r="T487" s="7">
        <f>VLOOKUP($A487,Rotations!$A$1:$X$1441,19,0)</f>
        <v>0.10485059055306067</v>
      </c>
      <c r="U487" s="7">
        <f>VLOOKUP($A487,Rotations!$A$1:$X$1441,20,0)</f>
        <v>7.7088981722886349E-2</v>
      </c>
      <c r="V487" s="7">
        <f>VLOOKUP($A487,Rotations!$A$1:$X$1441,21,0)</f>
        <v>0.34685573205189241</v>
      </c>
      <c r="W487" s="7">
        <f>VLOOKUP($A487,Rotations!$A$1:$X$1441,22,0)</f>
        <v>0.19128111642144124</v>
      </c>
      <c r="X487" s="7">
        <f>VLOOKUP($A487,Rotations!$A$1:$X$1441,23,0)</f>
        <v>0.23463531279013625</v>
      </c>
    </row>
    <row r="488" spans="1:24" ht="15.75" customHeight="1" x14ac:dyDescent="0.3">
      <c r="A488">
        <v>479</v>
      </c>
      <c r="B488" t="str">
        <f>Permutations!I480</f>
        <v>p14 - i4:i6</v>
      </c>
      <c r="C488" t="str">
        <f>Permutations!J480</f>
        <v>p151 - i6:i5</v>
      </c>
      <c r="D488" t="str">
        <f>Permutations!K480</f>
        <v>p61 - i5:i3</v>
      </c>
      <c r="E488" t="str">
        <f>Permutations!L480</f>
        <v>p81 - i3:i1</v>
      </c>
      <c r="F488" t="str">
        <f>Permutations!M480</f>
        <v>p1 - i1:i2</v>
      </c>
      <c r="G488" s="7">
        <f>VLOOKUP(B488,Vlookup!$A$1:$B$30,2,0)</f>
        <v>1.478275916473532</v>
      </c>
      <c r="H488" s="7">
        <f>VLOOKUP(C488,Vlookup!$A$1:$B$30,2,0)</f>
        <v>1.2266517321719024</v>
      </c>
      <c r="I488" s="7">
        <f>VLOOKUP(D488,Vlookup!$A$1:$B$30,2,0)</f>
        <v>1.9746367445127702</v>
      </c>
      <c r="J488" s="7">
        <f>VLOOKUP(E488,Vlookup!$A$1:$B$30,2,0)</f>
        <v>1.7021844231989158</v>
      </c>
      <c r="K488" s="7">
        <f>VLOOKUP(F488,Vlookup!$A$1:$B$30,2,0)</f>
        <v>1.6373343116675814</v>
      </c>
      <c r="L488" s="7">
        <f t="shared" si="7"/>
        <v>9.9794812632567655</v>
      </c>
      <c r="M488" s="7">
        <f t="shared" si="8"/>
        <v>6.7507568458959231</v>
      </c>
      <c r="N488" s="7">
        <f t="shared" si="9"/>
        <v>5.50340138838191</v>
      </c>
      <c r="O488" s="7">
        <f t="shared" si="10"/>
        <v>2.7870449608896757</v>
      </c>
      <c r="P488" s="7">
        <f t="shared" si="11"/>
        <v>1.6373343116675814</v>
      </c>
      <c r="Q488">
        <v>1</v>
      </c>
      <c r="R488" s="7">
        <f t="shared" si="12"/>
        <v>27.658018770091854</v>
      </c>
      <c r="S488" s="7">
        <f>VLOOKUP($A488,Rotations!$A$1:$X$1441,18,0)</f>
        <v>5.9199262437341374E-2</v>
      </c>
      <c r="T488" s="7">
        <f>VLOOKUP($A488,Rotations!$A$1:$X$1441,19,0)</f>
        <v>3.6155879721990622E-2</v>
      </c>
      <c r="U488" s="7">
        <f>VLOOKUP($A488,Rotations!$A$1:$X$1441,20,0)</f>
        <v>0.10076806238570717</v>
      </c>
      <c r="V488" s="7">
        <f>VLOOKUP($A488,Rotations!$A$1:$X$1441,21,0)</f>
        <v>0.3608169242421706</v>
      </c>
      <c r="W488" s="7">
        <f>VLOOKUP($A488,Rotations!$A$1:$X$1441,22,0)</f>
        <v>0.19898031866017252</v>
      </c>
      <c r="X488" s="7">
        <f>VLOOKUP($A488,Rotations!$A$1:$X$1441,23,0)</f>
        <v>0.24407955255261776</v>
      </c>
    </row>
    <row r="489" spans="1:24" ht="15.75" customHeight="1" x14ac:dyDescent="0.3">
      <c r="A489">
        <v>480</v>
      </c>
      <c r="B489" t="str">
        <f>Permutations!I481</f>
        <v>p14 - i4:i6</v>
      </c>
      <c r="C489" t="str">
        <f>Permutations!J481</f>
        <v>p151 - i6:i5</v>
      </c>
      <c r="D489" t="str">
        <f>Permutations!K481</f>
        <v>p61 - i5:i3</v>
      </c>
      <c r="E489" t="str">
        <f>Permutations!L481</f>
        <v>p21 - i3:i2</v>
      </c>
      <c r="F489" t="str">
        <f>Permutations!M481</f>
        <v>p11 - i2:i1</v>
      </c>
      <c r="G489" s="7">
        <f>VLOOKUP(B489,Vlookup!$A$1:$B$30,2,0)</f>
        <v>1.478275916473532</v>
      </c>
      <c r="H489" s="7">
        <f>VLOOKUP(C489,Vlookup!$A$1:$B$30,2,0)</f>
        <v>1.2266517321719024</v>
      </c>
      <c r="I489" s="7">
        <f>VLOOKUP(D489,Vlookup!$A$1:$B$30,2,0)</f>
        <v>1.9746367445127702</v>
      </c>
      <c r="J489" s="7">
        <f>VLOOKUP(E489,Vlookup!$A$1:$B$30,2,0)</f>
        <v>1.5059827029565431</v>
      </c>
      <c r="K489" s="7">
        <f>VLOOKUP(F489,Vlookup!$A$1:$B$30,2,0)</f>
        <v>1.7440097060445605</v>
      </c>
      <c r="L489" s="7">
        <f t="shared" si="7"/>
        <v>9.4044385628460798</v>
      </c>
      <c r="M489" s="7">
        <f t="shared" si="8"/>
        <v>6.3617613315927031</v>
      </c>
      <c r="N489" s="7">
        <f t="shared" si="9"/>
        <v>5.1862816190937959</v>
      </c>
      <c r="O489" s="7">
        <f t="shared" si="10"/>
        <v>2.6264484510914334</v>
      </c>
      <c r="P489" s="7">
        <f t="shared" si="11"/>
        <v>1.7440097060445605</v>
      </c>
      <c r="Q489">
        <v>1</v>
      </c>
      <c r="R489" s="7">
        <f t="shared" si="12"/>
        <v>26.322939670668575</v>
      </c>
      <c r="S489" s="7">
        <f>VLOOKUP($A489,Rotations!$A$1:$X$1441,18,0)</f>
        <v>3.7989677920140942E-2</v>
      </c>
      <c r="T489" s="7">
        <f>VLOOKUP($A489,Rotations!$A$1:$X$1441,19,0)</f>
        <v>6.625436702223253E-2</v>
      </c>
      <c r="U489" s="7">
        <f>VLOOKUP($A489,Rotations!$A$1:$X$1441,20,0)</f>
        <v>9.9777930730816602E-2</v>
      </c>
      <c r="V489" s="7">
        <f>VLOOKUP($A489,Rotations!$A$1:$X$1441,21,0)</f>
        <v>0.35727159202227571</v>
      </c>
      <c r="W489" s="7">
        <f>VLOOKUP($A489,Rotations!$A$1:$X$1441,22,0)</f>
        <v>0.1970251683125204</v>
      </c>
      <c r="X489" s="7">
        <f>VLOOKUP($A489,Rotations!$A$1:$X$1441,23,0)</f>
        <v>0.24168126399201373</v>
      </c>
    </row>
    <row r="490" spans="1:24" ht="15.75" customHeight="1" x14ac:dyDescent="0.3">
      <c r="A490">
        <v>481</v>
      </c>
      <c r="B490" t="str">
        <f>Permutations!I482</f>
        <v>p101 - i5:i1</v>
      </c>
      <c r="C490" t="str">
        <f>Permutations!J482</f>
        <v>p1 - i1:i2</v>
      </c>
      <c r="D490" t="str">
        <f>Permutations!K482</f>
        <v>p2 - i2:i3</v>
      </c>
      <c r="E490" t="str">
        <f>Permutations!L482</f>
        <v>p3 - i3:i4</v>
      </c>
      <c r="F490" t="str">
        <f>Permutations!M482</f>
        <v>p14 - i4:i6</v>
      </c>
      <c r="G490" s="7">
        <f>VLOOKUP(B490,Vlookup!$A$1:$B$30,2,0)</f>
        <v>1.530542412441888</v>
      </c>
      <c r="H490" s="7">
        <f>VLOOKUP(C490,Vlookup!$A$1:$B$30,2,0)</f>
        <v>1.6373343116675814</v>
      </c>
      <c r="I490" s="7">
        <f>VLOOKUP(D490,Vlookup!$A$1:$B$30,2,0)</f>
        <v>1.3601242124324544</v>
      </c>
      <c r="J490" s="7">
        <f>VLOOKUP(E490,Vlookup!$A$1:$B$30,2,0)</f>
        <v>1.4338636587362954</v>
      </c>
      <c r="K490" s="7">
        <f>VLOOKUP(F490,Vlookup!$A$1:$B$30,2,0)</f>
        <v>1.478275916473532</v>
      </c>
      <c r="L490" s="7">
        <f t="shared" si="7"/>
        <v>7.2247805941733914</v>
      </c>
      <c r="M490" s="7">
        <f t="shared" si="8"/>
        <v>4.7204053513595152</v>
      </c>
      <c r="N490" s="7">
        <f t="shared" si="9"/>
        <v>2.8829820017342138</v>
      </c>
      <c r="O490" s="7">
        <f t="shared" si="10"/>
        <v>2.1196461142164886</v>
      </c>
      <c r="P490" s="7">
        <f t="shared" si="11"/>
        <v>1.478275916473532</v>
      </c>
      <c r="Q490">
        <v>1</v>
      </c>
      <c r="R490" s="7">
        <f t="shared" si="12"/>
        <v>19.42608997795714</v>
      </c>
      <c r="S490" s="7">
        <f>VLOOKUP($A490,Rotations!$A$1:$X$1441,18,0)</f>
        <v>0.24299307563775199</v>
      </c>
      <c r="T490" s="7">
        <f>VLOOKUP($A490,Rotations!$A$1:$X$1441,19,0)</f>
        <v>0.14840773439253832</v>
      </c>
      <c r="U490" s="7">
        <f>VLOOKUP($A490,Rotations!$A$1:$X$1441,20,0)</f>
        <v>0.10911336849678238</v>
      </c>
      <c r="V490" s="7">
        <f>VLOOKUP($A490,Rotations!$A$1:$X$1441,21,0)</f>
        <v>7.6097450292412799E-2</v>
      </c>
      <c r="W490" s="7">
        <f>VLOOKUP($A490,Rotations!$A$1:$X$1441,22,0)</f>
        <v>0.37191120819327916</v>
      </c>
      <c r="X490" s="7">
        <f>VLOOKUP($A490,Rotations!$A$1:$X$1441,23,0)</f>
        <v>5.1477162987235404E-2</v>
      </c>
    </row>
    <row r="491" spans="1:24" ht="15.75" customHeight="1" x14ac:dyDescent="0.3">
      <c r="A491">
        <v>482</v>
      </c>
      <c r="B491" t="str">
        <f>Permutations!I483</f>
        <v>p101 - i5:i1</v>
      </c>
      <c r="C491" t="str">
        <f>Permutations!J483</f>
        <v>p1 - i1:i2</v>
      </c>
      <c r="D491" t="str">
        <f>Permutations!K483</f>
        <v>p2 - i2:i3</v>
      </c>
      <c r="E491" t="str">
        <f>Permutations!L483</f>
        <v>p13 - i3:i6</v>
      </c>
      <c r="F491" t="str">
        <f>Permutations!M483</f>
        <v>p141 - i6:i4</v>
      </c>
      <c r="G491" s="7">
        <f>VLOOKUP(B491,Vlookup!$A$1:$B$30,2,0)</f>
        <v>1.530542412441888</v>
      </c>
      <c r="H491" s="7">
        <f>VLOOKUP(C491,Vlookup!$A$1:$B$30,2,0)</f>
        <v>1.6373343116675814</v>
      </c>
      <c r="I491" s="7">
        <f>VLOOKUP(D491,Vlookup!$A$1:$B$30,2,0)</f>
        <v>1.3601242124324544</v>
      </c>
      <c r="J491" s="7">
        <f>VLOOKUP(E491,Vlookup!$A$1:$B$30,2,0)</f>
        <v>2.0145521929129111</v>
      </c>
      <c r="K491" s="7">
        <f>VLOOKUP(F491,Vlookup!$A$1:$B$30,2,0)</f>
        <v>0.88688155974910687</v>
      </c>
      <c r="L491" s="7">
        <f t="shared" si="7"/>
        <v>6.0898339647853428</v>
      </c>
      <c r="M491" s="7">
        <f t="shared" si="8"/>
        <v>3.9788730552519485</v>
      </c>
      <c r="N491" s="7">
        <f t="shared" si="9"/>
        <v>2.4300920263495684</v>
      </c>
      <c r="O491" s="7">
        <f t="shared" si="10"/>
        <v>1.7866691910465862</v>
      </c>
      <c r="P491" s="7">
        <f t="shared" si="11"/>
        <v>0.88688155974910687</v>
      </c>
      <c r="Q491">
        <v>1</v>
      </c>
      <c r="R491" s="7">
        <f t="shared" si="12"/>
        <v>16.172349797182552</v>
      </c>
      <c r="S491" s="7">
        <f>VLOOKUP($A491,Rotations!$A$1:$X$1441,18,0)</f>
        <v>0.24602937143649486</v>
      </c>
      <c r="T491" s="7">
        <f>VLOOKUP($A491,Rotations!$A$1:$X$1441,19,0)</f>
        <v>0.15026214847102332</v>
      </c>
      <c r="U491" s="7">
        <f>VLOOKUP($A491,Rotations!$A$1:$X$1441,20,0)</f>
        <v>0.11047678373601892</v>
      </c>
      <c r="V491" s="7">
        <f>VLOOKUP($A491,Rotations!$A$1:$X$1441,21,0)</f>
        <v>6.1833933382656234E-2</v>
      </c>
      <c r="W491" s="7">
        <f>VLOOKUP($A491,Rotations!$A$1:$X$1441,22,0)</f>
        <v>0.37655838768997418</v>
      </c>
      <c r="X491" s="7">
        <f>VLOOKUP($A491,Rotations!$A$1:$X$1441,23,0)</f>
        <v>5.483937528383253E-2</v>
      </c>
    </row>
    <row r="492" spans="1:24" ht="15.75" customHeight="1" x14ac:dyDescent="0.3">
      <c r="A492">
        <v>483</v>
      </c>
      <c r="B492" t="str">
        <f>Permutations!I484</f>
        <v>p101 - i5:i1</v>
      </c>
      <c r="C492" t="str">
        <f>Permutations!J484</f>
        <v>p1 - i1:i2</v>
      </c>
      <c r="D492" t="str">
        <f>Permutations!K484</f>
        <v>p5 - i2:i4</v>
      </c>
      <c r="E492" t="str">
        <f>Permutations!L484</f>
        <v>p31 - i4:i3</v>
      </c>
      <c r="F492" t="str">
        <f>Permutations!M484</f>
        <v>p13 - i3:i6</v>
      </c>
      <c r="G492" s="7">
        <f>VLOOKUP(B492,Vlookup!$A$1:$B$30,2,0)</f>
        <v>1.530542412441888</v>
      </c>
      <c r="H492" s="7">
        <f>VLOOKUP(C492,Vlookup!$A$1:$B$30,2,0)</f>
        <v>1.6373343116675814</v>
      </c>
      <c r="I492" s="7">
        <f>VLOOKUP(D492,Vlookup!$A$1:$B$30,2,0)</f>
        <v>0.9108240498099236</v>
      </c>
      <c r="J492" s="7">
        <f>VLOOKUP(E492,Vlookup!$A$1:$B$30,2,0)</f>
        <v>2.2388599512381115</v>
      </c>
      <c r="K492" s="7">
        <f>VLOOKUP(F492,Vlookup!$A$1:$B$30,2,0)</f>
        <v>2.0145521929129111</v>
      </c>
      <c r="L492" s="7">
        <f t="shared" si="7"/>
        <v>10.294912797967271</v>
      </c>
      <c r="M492" s="7">
        <f t="shared" si="8"/>
        <v>6.7263165752737022</v>
      </c>
      <c r="N492" s="7">
        <f t="shared" si="9"/>
        <v>4.1080899162389928</v>
      </c>
      <c r="O492" s="7">
        <f t="shared" si="10"/>
        <v>4.5103002243916306</v>
      </c>
      <c r="P492" s="7">
        <f t="shared" si="11"/>
        <v>2.0145521929129111</v>
      </c>
      <c r="Q492">
        <v>1</v>
      </c>
      <c r="R492" s="7">
        <f t="shared" si="12"/>
        <v>28.65417170678451</v>
      </c>
      <c r="S492" s="7">
        <f>VLOOKUP($A492,Rotations!$A$1:$X$1441,18,0)</f>
        <v>0.23474126713916138</v>
      </c>
      <c r="T492" s="7">
        <f>VLOOKUP($A492,Rotations!$A$1:$X$1441,19,0)</f>
        <v>0.14336795208309272</v>
      </c>
      <c r="U492" s="7">
        <f>VLOOKUP($A492,Rotations!$A$1:$X$1441,20,0)</f>
        <v>7.0305720700205104E-2</v>
      </c>
      <c r="V492" s="7">
        <f>VLOOKUP($A492,Rotations!$A$1:$X$1441,21,0)</f>
        <v>0.15740466241862147</v>
      </c>
      <c r="W492" s="7">
        <f>VLOOKUP($A492,Rotations!$A$1:$X$1441,22,0)</f>
        <v>0.35928146530683774</v>
      </c>
      <c r="X492" s="7">
        <f>VLOOKUP($A492,Rotations!$A$1:$X$1441,23,0)</f>
        <v>3.489893235208149E-2</v>
      </c>
    </row>
    <row r="493" spans="1:24" ht="15.75" customHeight="1" x14ac:dyDescent="0.3">
      <c r="A493">
        <v>484</v>
      </c>
      <c r="B493" t="str">
        <f>Permutations!I485</f>
        <v>p101 - i5:i1</v>
      </c>
      <c r="C493" t="str">
        <f>Permutations!J485</f>
        <v>p1 - i1:i2</v>
      </c>
      <c r="D493" t="str">
        <f>Permutations!K485</f>
        <v>p5 - i2:i4</v>
      </c>
      <c r="E493" t="str">
        <f>Permutations!L485</f>
        <v>p14 - i4:i6</v>
      </c>
      <c r="F493" t="str">
        <f>Permutations!M485</f>
        <v>p131 - i6:i3</v>
      </c>
      <c r="G493" s="7">
        <f>VLOOKUP(B493,Vlookup!$A$1:$B$30,2,0)</f>
        <v>1.530542412441888</v>
      </c>
      <c r="H493" s="7">
        <f>VLOOKUP(C493,Vlookup!$A$1:$B$30,2,0)</f>
        <v>1.6373343116675814</v>
      </c>
      <c r="I493" s="7">
        <f>VLOOKUP(D493,Vlookup!$A$1:$B$30,2,0)</f>
        <v>0.9108240498099236</v>
      </c>
      <c r="J493" s="7">
        <f>VLOOKUP(E493,Vlookup!$A$1:$B$30,2,0)</f>
        <v>1.478275916473532</v>
      </c>
      <c r="K493" s="7">
        <f>VLOOKUP(F493,Vlookup!$A$1:$B$30,2,0)</f>
        <v>1.4032439022773779</v>
      </c>
      <c r="L493" s="7">
        <f t="shared" si="7"/>
        <v>4.7348463063135933</v>
      </c>
      <c r="M493" s="7">
        <f t="shared" si="8"/>
        <v>3.093574060949694</v>
      </c>
      <c r="N493" s="7">
        <f t="shared" si="9"/>
        <v>1.889396709581546</v>
      </c>
      <c r="O493" s="7">
        <f t="shared" si="10"/>
        <v>2.0743816656749861</v>
      </c>
      <c r="P493" s="7">
        <f t="shared" si="11"/>
        <v>1.4032439022773779</v>
      </c>
      <c r="Q493">
        <v>1</v>
      </c>
      <c r="R493" s="7">
        <f t="shared" si="12"/>
        <v>14.195442644797199</v>
      </c>
      <c r="S493" s="7">
        <f>VLOOKUP($A493,Rotations!$A$1:$X$1441,18,0)</f>
        <v>0.21792726992444483</v>
      </c>
      <c r="T493" s="7">
        <f>VLOOKUP($A493,Rotations!$A$1:$X$1441,19,0)</f>
        <v>0.13309882311236224</v>
      </c>
      <c r="U493" s="7">
        <f>VLOOKUP($A493,Rotations!$A$1:$X$1441,20,0)</f>
        <v>7.0445143911487124E-2</v>
      </c>
      <c r="V493" s="7">
        <f>VLOOKUP($A493,Rotations!$A$1:$X$1441,21,0)</f>
        <v>0.14613011496582476</v>
      </c>
      <c r="W493" s="7">
        <f>VLOOKUP($A493,Rotations!$A$1:$X$1441,22,0)</f>
        <v>0.33354692944703429</v>
      </c>
      <c r="X493" s="7">
        <f>VLOOKUP($A493,Rotations!$A$1:$X$1441,23,0)</f>
        <v>9.8851718638846661E-2</v>
      </c>
    </row>
    <row r="494" spans="1:24" ht="15.75" customHeight="1" x14ac:dyDescent="0.3">
      <c r="A494">
        <v>485</v>
      </c>
      <c r="B494" t="str">
        <f>Permutations!I486</f>
        <v>p101 - i5:i1</v>
      </c>
      <c r="C494" t="str">
        <f>Permutations!J486</f>
        <v>p1 - i1:i2</v>
      </c>
      <c r="D494" t="str">
        <f>Permutations!K486</f>
        <v>p12 - i2:i6</v>
      </c>
      <c r="E494" t="str">
        <f>Permutations!L486</f>
        <v>p131 - i6:i3</v>
      </c>
      <c r="F494" t="str">
        <f>Permutations!M486</f>
        <v>p3 - i3:i4</v>
      </c>
      <c r="G494" s="7">
        <f>VLOOKUP(B494,Vlookup!$A$1:$B$30,2,0)</f>
        <v>1.530542412441888</v>
      </c>
      <c r="H494" s="7">
        <f>VLOOKUP(C494,Vlookup!$A$1:$B$30,2,0)</f>
        <v>1.6373343116675814</v>
      </c>
      <c r="I494" s="7">
        <f>VLOOKUP(D494,Vlookup!$A$1:$B$30,2,0)</f>
        <v>1.3354555559520354</v>
      </c>
      <c r="J494" s="7">
        <f>VLOOKUP(E494,Vlookup!$A$1:$B$30,2,0)</f>
        <v>1.4032439022773779</v>
      </c>
      <c r="K494" s="7">
        <f>VLOOKUP(F494,Vlookup!$A$1:$B$30,2,0)</f>
        <v>1.4338636587362954</v>
      </c>
      <c r="L494" s="7">
        <f t="shared" si="7"/>
        <v>6.7336911386665594</v>
      </c>
      <c r="M494" s="7">
        <f t="shared" si="8"/>
        <v>4.3995456015644558</v>
      </c>
      <c r="N494" s="7">
        <f t="shared" si="9"/>
        <v>2.6870172879255403</v>
      </c>
      <c r="O494" s="7">
        <f t="shared" si="10"/>
        <v>2.0120604358188379</v>
      </c>
      <c r="P494" s="7">
        <f t="shared" si="11"/>
        <v>1.4338636587362954</v>
      </c>
      <c r="Q494">
        <v>1</v>
      </c>
      <c r="R494" s="7">
        <f t="shared" si="12"/>
        <v>18.26617812271169</v>
      </c>
      <c r="S494" s="7">
        <f>VLOOKUP($A494,Rotations!$A$1:$X$1441,18,0)</f>
        <v>0.24085747834103158</v>
      </c>
      <c r="T494" s="7">
        <f>VLOOKUP($A494,Rotations!$A$1:$X$1441,19,0)</f>
        <v>0.1471034208620014</v>
      </c>
      <c r="U494" s="7">
        <f>VLOOKUP($A494,Rotations!$A$1:$X$1441,20,0)</f>
        <v>7.84982851422798E-2</v>
      </c>
      <c r="V494" s="7">
        <f>VLOOKUP($A494,Rotations!$A$1:$X$1441,21,0)</f>
        <v>5.4745989734799862E-2</v>
      </c>
      <c r="W494" s="7">
        <f>VLOOKUP($A494,Rotations!$A$1:$X$1441,22,0)</f>
        <v>0.36864258595475224</v>
      </c>
      <c r="X494" s="7">
        <f>VLOOKUP($A494,Rotations!$A$1:$X$1441,23,0)</f>
        <v>0.11015223996513504</v>
      </c>
    </row>
    <row r="495" spans="1:24" ht="15.75" customHeight="1" x14ac:dyDescent="0.3">
      <c r="A495">
        <v>486</v>
      </c>
      <c r="B495" t="str">
        <f>Permutations!I487</f>
        <v>p101 - i5:i1</v>
      </c>
      <c r="C495" t="str">
        <f>Permutations!J487</f>
        <v>p1 - i1:i2</v>
      </c>
      <c r="D495" t="str">
        <f>Permutations!K487</f>
        <v>p12 - i2:i6</v>
      </c>
      <c r="E495" t="str">
        <f>Permutations!L487</f>
        <v>p141 - i6:i4</v>
      </c>
      <c r="F495" t="str">
        <f>Permutations!M487</f>
        <v>p31 - i4:i3</v>
      </c>
      <c r="G495" s="7">
        <f>VLOOKUP(B495,Vlookup!$A$1:$B$30,2,0)</f>
        <v>1.530542412441888</v>
      </c>
      <c r="H495" s="7">
        <f>VLOOKUP(C495,Vlookup!$A$1:$B$30,2,0)</f>
        <v>1.6373343116675814</v>
      </c>
      <c r="I495" s="7">
        <f>VLOOKUP(D495,Vlookup!$A$1:$B$30,2,0)</f>
        <v>1.3354555559520354</v>
      </c>
      <c r="J495" s="7">
        <f>VLOOKUP(E495,Vlookup!$A$1:$B$30,2,0)</f>
        <v>0.88688155974910687</v>
      </c>
      <c r="K495" s="7">
        <f>VLOOKUP(F495,Vlookup!$A$1:$B$30,2,0)</f>
        <v>2.2388599512381115</v>
      </c>
      <c r="L495" s="7">
        <f t="shared" si="7"/>
        <v>6.6451490054696887</v>
      </c>
      <c r="M495" s="7">
        <f t="shared" si="8"/>
        <v>4.3416954351939552</v>
      </c>
      <c r="N495" s="7">
        <f t="shared" si="9"/>
        <v>2.651685367035431</v>
      </c>
      <c r="O495" s="7">
        <f t="shared" si="10"/>
        <v>1.9856036056138657</v>
      </c>
      <c r="P495" s="7">
        <f t="shared" si="11"/>
        <v>2.2388599512381115</v>
      </c>
      <c r="Q495">
        <v>1</v>
      </c>
      <c r="R495" s="7">
        <f t="shared" si="12"/>
        <v>18.862993364551052</v>
      </c>
      <c r="S495" s="7">
        <f>VLOOKUP($A495,Rotations!$A$1:$X$1441,18,0)</f>
        <v>0.23017001338468582</v>
      </c>
      <c r="T495" s="7">
        <f>VLOOKUP($A495,Rotations!$A$1:$X$1441,19,0)</f>
        <v>0.1405760642432661</v>
      </c>
      <c r="U495" s="7">
        <f>VLOOKUP($A495,Rotations!$A$1:$X$1441,20,0)</f>
        <v>5.3013855260071574E-2</v>
      </c>
      <c r="V495" s="7">
        <f>VLOOKUP($A495,Rotations!$A$1:$X$1441,21,0)</f>
        <v>0.11869059740250815</v>
      </c>
      <c r="W495" s="7">
        <f>VLOOKUP($A495,Rotations!$A$1:$X$1441,22,0)</f>
        <v>0.35228496755757865</v>
      </c>
      <c r="X495" s="7">
        <f>VLOOKUP($A495,Rotations!$A$1:$X$1441,23,0)</f>
        <v>0.10526450215188972</v>
      </c>
    </row>
    <row r="496" spans="1:24" ht="15.75" customHeight="1" x14ac:dyDescent="0.3">
      <c r="A496">
        <v>487</v>
      </c>
      <c r="B496" t="str">
        <f>Permutations!I488</f>
        <v>p101 - i5:i1</v>
      </c>
      <c r="C496" t="str">
        <f>Permutations!J488</f>
        <v>p8 - i1:i3</v>
      </c>
      <c r="D496" t="str">
        <f>Permutations!K488</f>
        <v>p21 - i3:i2</v>
      </c>
      <c r="E496" t="str">
        <f>Permutations!L488</f>
        <v>p5 - i2:i4</v>
      </c>
      <c r="F496" t="str">
        <f>Permutations!M488</f>
        <v>p14 - i4:i6</v>
      </c>
      <c r="G496" s="7">
        <f>VLOOKUP(B496,Vlookup!$A$1:$B$30,2,0)</f>
        <v>1.530542412441888</v>
      </c>
      <c r="H496" s="7">
        <f>VLOOKUP(C496,Vlookup!$A$1:$B$30,2,0)</f>
        <v>1.1080774401297739</v>
      </c>
      <c r="I496" s="7">
        <f>VLOOKUP(D496,Vlookup!$A$1:$B$30,2,0)</f>
        <v>1.5059827029565431</v>
      </c>
      <c r="J496" s="7">
        <f>VLOOKUP(E496,Vlookup!$A$1:$B$30,2,0)</f>
        <v>0.9108240498099236</v>
      </c>
      <c r="K496" s="7">
        <f>VLOOKUP(F496,Vlookup!$A$1:$B$30,2,0)</f>
        <v>1.478275916473532</v>
      </c>
      <c r="L496" s="7">
        <f t="shared" si="7"/>
        <v>3.4389467924973869</v>
      </c>
      <c r="M496" s="7">
        <f t="shared" si="8"/>
        <v>2.246881082511627</v>
      </c>
      <c r="N496" s="7">
        <f t="shared" si="9"/>
        <v>2.0277292914189107</v>
      </c>
      <c r="O496" s="7">
        <f t="shared" si="10"/>
        <v>1.3464492569788988</v>
      </c>
      <c r="P496" s="7">
        <f t="shared" si="11"/>
        <v>1.478275916473532</v>
      </c>
      <c r="Q496">
        <v>1</v>
      </c>
      <c r="R496" s="7">
        <f t="shared" si="12"/>
        <v>11.538282339880356</v>
      </c>
      <c r="S496" s="7">
        <f>VLOOKUP($A496,Rotations!$A$1:$X$1441,18,0)</f>
        <v>0.19473271812266346</v>
      </c>
      <c r="T496" s="7">
        <f>VLOOKUP($A496,Rotations!$A$1:$X$1441,19,0)</f>
        <v>0.11669408126070008</v>
      </c>
      <c r="U496" s="7">
        <f>VLOOKUP($A496,Rotations!$A$1:$X$1441,20,0)</f>
        <v>0.17573926791601954</v>
      </c>
      <c r="V496" s="7">
        <f>VLOOKUP($A496,Rotations!$A$1:$X$1441,21,0)</f>
        <v>0.12811923585576437</v>
      </c>
      <c r="W496" s="7">
        <f>VLOOKUP($A496,Rotations!$A$1:$X$1441,22,0)</f>
        <v>0.2980466841768275</v>
      </c>
      <c r="X496" s="7">
        <f>VLOOKUP($A496,Rotations!$A$1:$X$1441,23,0)</f>
        <v>8.6668012668025013E-2</v>
      </c>
    </row>
    <row r="497" spans="1:24" ht="15.75" customHeight="1" x14ac:dyDescent="0.3">
      <c r="A497">
        <v>488</v>
      </c>
      <c r="B497" t="str">
        <f>Permutations!I489</f>
        <v>p101 - i5:i1</v>
      </c>
      <c r="C497" t="str">
        <f>Permutations!J489</f>
        <v>p8 - i1:i3</v>
      </c>
      <c r="D497" t="str">
        <f>Permutations!K489</f>
        <v>p21 - i3:i2</v>
      </c>
      <c r="E497" t="str">
        <f>Permutations!L489</f>
        <v>p12 - i2:i6</v>
      </c>
      <c r="F497" t="str">
        <f>Permutations!M489</f>
        <v>p141 - i6:i4</v>
      </c>
      <c r="G497" s="7">
        <f>VLOOKUP(B497,Vlookup!$A$1:$B$30,2,0)</f>
        <v>1.530542412441888</v>
      </c>
      <c r="H497" s="7">
        <f>VLOOKUP(C497,Vlookup!$A$1:$B$30,2,0)</f>
        <v>1.1080774401297739</v>
      </c>
      <c r="I497" s="7">
        <f>VLOOKUP(D497,Vlookup!$A$1:$B$30,2,0)</f>
        <v>1.5059827029565431</v>
      </c>
      <c r="J497" s="7">
        <f>VLOOKUP(E497,Vlookup!$A$1:$B$30,2,0)</f>
        <v>1.3354555559520354</v>
      </c>
      <c r="K497" s="7">
        <f>VLOOKUP(F497,Vlookup!$A$1:$B$30,2,0)</f>
        <v>0.88688155974910687</v>
      </c>
      <c r="L497" s="7">
        <f t="shared" si="7"/>
        <v>3.0250358768797443</v>
      </c>
      <c r="M497" s="7">
        <f t="shared" si="8"/>
        <v>1.9764469460558638</v>
      </c>
      <c r="N497" s="7">
        <f t="shared" si="9"/>
        <v>1.783672218635179</v>
      </c>
      <c r="O497" s="7">
        <f t="shared" si="10"/>
        <v>1.1843909064383518</v>
      </c>
      <c r="P497" s="7">
        <f t="shared" si="11"/>
        <v>0.88688155974910687</v>
      </c>
      <c r="Q497">
        <v>1</v>
      </c>
      <c r="R497" s="7">
        <f t="shared" si="12"/>
        <v>9.8564275077582462</v>
      </c>
      <c r="S497" s="7">
        <f>VLOOKUP($A497,Rotations!$A$1:$X$1441,18,0)</f>
        <v>0.20052366280786338</v>
      </c>
      <c r="T497" s="7">
        <f>VLOOKUP($A497,Rotations!$A$1:$X$1441,19,0)</f>
        <v>0.12016431973005304</v>
      </c>
      <c r="U497" s="7">
        <f>VLOOKUP($A497,Rotations!$A$1:$X$1441,20,0)</f>
        <v>0.18096538702599954</v>
      </c>
      <c r="V497" s="7">
        <f>VLOOKUP($A497,Rotations!$A$1:$X$1441,21,0)</f>
        <v>0.10145663824066828</v>
      </c>
      <c r="W497" s="7">
        <f>VLOOKUP($A497,Rotations!$A$1:$X$1441,22,0)</f>
        <v>0.30690997062563097</v>
      </c>
      <c r="X497" s="7">
        <f>VLOOKUP($A497,Rotations!$A$1:$X$1441,23,0)</f>
        <v>8.9980021569784768E-2</v>
      </c>
    </row>
    <row r="498" spans="1:24" ht="15.75" customHeight="1" x14ac:dyDescent="0.3">
      <c r="A498">
        <v>489</v>
      </c>
      <c r="B498" t="str">
        <f>Permutations!I490</f>
        <v>p101 - i5:i1</v>
      </c>
      <c r="C498" t="str">
        <f>Permutations!J490</f>
        <v>p8 - i1:i3</v>
      </c>
      <c r="D498" t="str">
        <f>Permutations!K490</f>
        <v>p3 - i3:i4</v>
      </c>
      <c r="E498" t="str">
        <f>Permutations!L490</f>
        <v>p51 - i4:i2</v>
      </c>
      <c r="F498" t="str">
        <f>Permutations!M490</f>
        <v>p12 - i2:i6</v>
      </c>
      <c r="G498" s="7">
        <f>VLOOKUP(B498,Vlookup!$A$1:$B$30,2,0)</f>
        <v>1.530542412441888</v>
      </c>
      <c r="H498" s="7">
        <f>VLOOKUP(C498,Vlookup!$A$1:$B$30,2,0)</f>
        <v>1.1080774401297739</v>
      </c>
      <c r="I498" s="7">
        <f>VLOOKUP(D498,Vlookup!$A$1:$B$30,2,0)</f>
        <v>1.4338636587362954</v>
      </c>
      <c r="J498" s="7">
        <f>VLOOKUP(E498,Vlookup!$A$1:$B$30,2,0)</f>
        <v>1.4376356077157479</v>
      </c>
      <c r="K498" s="7">
        <f>VLOOKUP(F498,Vlookup!$A$1:$B$30,2,0)</f>
        <v>1.3354555559520354</v>
      </c>
      <c r="L498" s="7">
        <f t="shared" si="7"/>
        <v>4.6687605396099645</v>
      </c>
      <c r="M498" s="7">
        <f t="shared" si="8"/>
        <v>3.0503960567556176</v>
      </c>
      <c r="N498" s="7">
        <f t="shared" si="9"/>
        <v>2.752872629911467</v>
      </c>
      <c r="O498" s="7">
        <f t="shared" si="10"/>
        <v>1.9198984597584763</v>
      </c>
      <c r="P498" s="7">
        <f t="shared" si="11"/>
        <v>1.3354555559520354</v>
      </c>
      <c r="Q498">
        <v>1</v>
      </c>
      <c r="R498" s="7">
        <f t="shared" si="12"/>
        <v>14.727383241987562</v>
      </c>
      <c r="S498" s="7">
        <f>VLOOKUP($A498,Rotations!$A$1:$X$1441,18,0)</f>
        <v>0.20712410389776381</v>
      </c>
      <c r="T498" s="7">
        <f>VLOOKUP($A498,Rotations!$A$1:$X$1441,19,0)</f>
        <v>9.0678400501228926E-2</v>
      </c>
      <c r="U498" s="7">
        <f>VLOOKUP($A498,Rotations!$A$1:$X$1441,20,0)</f>
        <v>0.18692204750013336</v>
      </c>
      <c r="V498" s="7">
        <f>VLOOKUP($A498,Rotations!$A$1:$X$1441,21,0)</f>
        <v>0.13036249741127623</v>
      </c>
      <c r="W498" s="7">
        <f>VLOOKUP($A498,Rotations!$A$1:$X$1441,22,0)</f>
        <v>0.31701222565454762</v>
      </c>
      <c r="X498" s="7">
        <f>VLOOKUP($A498,Rotations!$A$1:$X$1441,23,0)</f>
        <v>6.7900725035049958E-2</v>
      </c>
    </row>
    <row r="499" spans="1:24" ht="15.75" customHeight="1" x14ac:dyDescent="0.3">
      <c r="A499">
        <v>490</v>
      </c>
      <c r="B499" t="str">
        <f>Permutations!I491</f>
        <v>p101 - i5:i1</v>
      </c>
      <c r="C499" t="str">
        <f>Permutations!J491</f>
        <v>p8 - i1:i3</v>
      </c>
      <c r="D499" t="str">
        <f>Permutations!K491</f>
        <v>p3 - i3:i4</v>
      </c>
      <c r="E499" t="str">
        <f>Permutations!L491</f>
        <v>p14 - i4:i6</v>
      </c>
      <c r="F499" t="str">
        <f>Permutations!M491</f>
        <v>p121 - i6:i2</v>
      </c>
      <c r="G499" s="7">
        <f>VLOOKUP(B499,Vlookup!$A$1:$B$30,2,0)</f>
        <v>1.530542412441888</v>
      </c>
      <c r="H499" s="7">
        <f>VLOOKUP(C499,Vlookup!$A$1:$B$30,2,0)</f>
        <v>1.1080774401297739</v>
      </c>
      <c r="I499" s="7">
        <f>VLOOKUP(D499,Vlookup!$A$1:$B$30,2,0)</f>
        <v>1.4338636587362954</v>
      </c>
      <c r="J499" s="7">
        <f>VLOOKUP(E499,Vlookup!$A$1:$B$30,2,0)</f>
        <v>1.478275916473532</v>
      </c>
      <c r="K499" s="7">
        <f>VLOOKUP(F499,Vlookup!$A$1:$B$30,2,0)</f>
        <v>1.2419340531937677</v>
      </c>
      <c r="L499" s="7">
        <f t="shared" si="7"/>
        <v>4.4645467639306258</v>
      </c>
      <c r="M499" s="7">
        <f t="shared" si="8"/>
        <v>2.9169703025790121</v>
      </c>
      <c r="N499" s="7">
        <f t="shared" si="9"/>
        <v>2.6324606899653036</v>
      </c>
      <c r="O499" s="7">
        <f t="shared" si="10"/>
        <v>1.8359212006847052</v>
      </c>
      <c r="P499" s="7">
        <f t="shared" si="11"/>
        <v>1.2419340531937677</v>
      </c>
      <c r="Q499">
        <v>1</v>
      </c>
      <c r="R499" s="7">
        <f t="shared" si="12"/>
        <v>14.091833010353414</v>
      </c>
      <c r="S499" s="7">
        <f>VLOOKUP($A499,Rotations!$A$1:$X$1441,18,0)</f>
        <v>0.20699722317429423</v>
      </c>
      <c r="T499" s="7">
        <f>VLOOKUP($A499,Rotations!$A$1:$X$1441,19,0)</f>
        <v>7.0963088993837048E-2</v>
      </c>
      <c r="U499" s="7">
        <f>VLOOKUP($A499,Rotations!$A$1:$X$1441,20,0)</f>
        <v>0.18680754221478554</v>
      </c>
      <c r="V499" s="7">
        <f>VLOOKUP($A499,Rotations!$A$1:$X$1441,21,0)</f>
        <v>0.13028263954986091</v>
      </c>
      <c r="W499" s="7">
        <f>VLOOKUP($A499,Rotations!$A$1:$X$1441,22,0)</f>
        <v>0.31681802932595621</v>
      </c>
      <c r="X499" s="7">
        <f>VLOOKUP($A499,Rotations!$A$1:$X$1441,23,0)</f>
        <v>8.8131476741266104E-2</v>
      </c>
    </row>
    <row r="500" spans="1:24" ht="15.75" customHeight="1" x14ac:dyDescent="0.3">
      <c r="A500">
        <v>491</v>
      </c>
      <c r="B500" t="str">
        <f>Permutations!I492</f>
        <v>p101 - i5:i1</v>
      </c>
      <c r="C500" t="str">
        <f>Permutations!J492</f>
        <v>p8 - i1:i3</v>
      </c>
      <c r="D500" t="str">
        <f>Permutations!K492</f>
        <v>p13 - i3:i6</v>
      </c>
      <c r="E500" t="str">
        <f>Permutations!L492</f>
        <v>p121 - i6:i2</v>
      </c>
      <c r="F500" t="str">
        <f>Permutations!M492</f>
        <v>p5 - i2:i4</v>
      </c>
      <c r="G500" s="7">
        <f>VLOOKUP(B500,Vlookup!$A$1:$B$30,2,0)</f>
        <v>1.530542412441888</v>
      </c>
      <c r="H500" s="7">
        <f>VLOOKUP(C500,Vlookup!$A$1:$B$30,2,0)</f>
        <v>1.1080774401297739</v>
      </c>
      <c r="I500" s="7">
        <f>VLOOKUP(D500,Vlookup!$A$1:$B$30,2,0)</f>
        <v>2.0145521929129111</v>
      </c>
      <c r="J500" s="7">
        <f>VLOOKUP(E500,Vlookup!$A$1:$B$30,2,0)</f>
        <v>1.2419340531937677</v>
      </c>
      <c r="K500" s="7">
        <f>VLOOKUP(F500,Vlookup!$A$1:$B$30,2,0)</f>
        <v>0.9108240498099236</v>
      </c>
      <c r="L500" s="7">
        <f t="shared" si="7"/>
        <v>3.8648000491870587</v>
      </c>
      <c r="M500" s="7">
        <f t="shared" si="8"/>
        <v>2.525117904456502</v>
      </c>
      <c r="N500" s="7">
        <f t="shared" si="9"/>
        <v>2.2788280069674274</v>
      </c>
      <c r="O500" s="7">
        <f t="shared" si="10"/>
        <v>1.1311834039268005</v>
      </c>
      <c r="P500" s="7">
        <f t="shared" si="11"/>
        <v>0.9108240498099236</v>
      </c>
      <c r="Q500">
        <v>1</v>
      </c>
      <c r="R500" s="7">
        <f t="shared" si="12"/>
        <v>11.710753414347712</v>
      </c>
      <c r="S500" s="7">
        <f>VLOOKUP($A500,Rotations!$A$1:$X$1441,18,0)</f>
        <v>0.21562386424794777</v>
      </c>
      <c r="T500" s="7">
        <f>VLOOKUP($A500,Rotations!$A$1:$X$1441,19,0)</f>
        <v>7.77767251673155E-2</v>
      </c>
      <c r="U500" s="7">
        <f>VLOOKUP($A500,Rotations!$A$1:$X$1441,20,0)</f>
        <v>0.19459277523301499</v>
      </c>
      <c r="V500" s="7">
        <f>VLOOKUP($A500,Rotations!$A$1:$X$1441,21,0)</f>
        <v>8.5391602454443785E-2</v>
      </c>
      <c r="W500" s="7">
        <f>VLOOKUP($A500,Rotations!$A$1:$X$1441,22,0)</f>
        <v>0.33002146936609611</v>
      </c>
      <c r="X500" s="7">
        <f>VLOOKUP($A500,Rotations!$A$1:$X$1441,23,0)</f>
        <v>9.6593563531181856E-2</v>
      </c>
    </row>
    <row r="501" spans="1:24" ht="15.75" customHeight="1" x14ac:dyDescent="0.3">
      <c r="A501">
        <v>492</v>
      </c>
      <c r="B501" t="str">
        <f>Permutations!I493</f>
        <v>p101 - i5:i1</v>
      </c>
      <c r="C501" t="str">
        <f>Permutations!J493</f>
        <v>p8 - i1:i3</v>
      </c>
      <c r="D501" t="str">
        <f>Permutations!K493</f>
        <v>p13 - i3:i6</v>
      </c>
      <c r="E501" t="str">
        <f>Permutations!L493</f>
        <v>p141 - i6:i4</v>
      </c>
      <c r="F501" t="str">
        <f>Permutations!M493</f>
        <v>p51 - i4:i2</v>
      </c>
      <c r="G501" s="7">
        <f>VLOOKUP(B501,Vlookup!$A$1:$B$30,2,0)</f>
        <v>1.530542412441888</v>
      </c>
      <c r="H501" s="7">
        <f>VLOOKUP(C501,Vlookup!$A$1:$B$30,2,0)</f>
        <v>1.1080774401297739</v>
      </c>
      <c r="I501" s="7">
        <f>VLOOKUP(D501,Vlookup!$A$1:$B$30,2,0)</f>
        <v>2.0145521929129111</v>
      </c>
      <c r="J501" s="7">
        <f>VLOOKUP(E501,Vlookup!$A$1:$B$30,2,0)</f>
        <v>0.88688155974910687</v>
      </c>
      <c r="K501" s="7">
        <f>VLOOKUP(F501,Vlookup!$A$1:$B$30,2,0)</f>
        <v>1.4376356077157479</v>
      </c>
      <c r="L501" s="7">
        <f t="shared" si="7"/>
        <v>4.3562064248174837</v>
      </c>
      <c r="M501" s="7">
        <f t="shared" si="8"/>
        <v>2.8461847181793671</v>
      </c>
      <c r="N501" s="7">
        <f t="shared" si="9"/>
        <v>2.5685792482572625</v>
      </c>
      <c r="O501" s="7">
        <f t="shared" si="10"/>
        <v>1.2750125101217977</v>
      </c>
      <c r="P501" s="7">
        <f t="shared" si="11"/>
        <v>1.4376356077157479</v>
      </c>
      <c r="Q501">
        <v>1</v>
      </c>
      <c r="R501" s="7">
        <f t="shared" si="12"/>
        <v>13.483618509091659</v>
      </c>
      <c r="S501" s="7">
        <f>VLOOKUP($A501,Rotations!$A$1:$X$1441,18,0)</f>
        <v>0.21108463698081176</v>
      </c>
      <c r="T501" s="7">
        <f>VLOOKUP($A501,Rotations!$A$1:$X$1441,19,0)</f>
        <v>7.416406800042033E-2</v>
      </c>
      <c r="U501" s="7">
        <f>VLOOKUP($A501,Rotations!$A$1:$X$1441,20,0)</f>
        <v>0.19049628603222013</v>
      </c>
      <c r="V501" s="7">
        <f>VLOOKUP($A501,Rotations!$A$1:$X$1441,21,0)</f>
        <v>0.10662090497045633</v>
      </c>
      <c r="W501" s="7">
        <f>VLOOKUP($A501,Rotations!$A$1:$X$1441,22,0)</f>
        <v>0.32307398951403177</v>
      </c>
      <c r="X501" s="7">
        <f>VLOOKUP($A501,Rotations!$A$1:$X$1441,23,0)</f>
        <v>9.4560114502059617E-2</v>
      </c>
    </row>
    <row r="502" spans="1:24" ht="15.75" customHeight="1" x14ac:dyDescent="0.3">
      <c r="A502">
        <v>493</v>
      </c>
      <c r="B502" t="str">
        <f>Permutations!I494</f>
        <v>p101 - i5:i1</v>
      </c>
      <c r="C502" t="str">
        <f>Permutations!J494</f>
        <v>p9 - i1:i4</v>
      </c>
      <c r="D502" t="str">
        <f>Permutations!K494</f>
        <v>p51 - i4:i2</v>
      </c>
      <c r="E502" t="str">
        <f>Permutations!L494</f>
        <v>p2 - i2:i3</v>
      </c>
      <c r="F502" t="str">
        <f>Permutations!M494</f>
        <v>p13 - i3:i6</v>
      </c>
      <c r="G502" s="7">
        <f>VLOOKUP(B502,Vlookup!$A$1:$B$30,2,0)</f>
        <v>1.530542412441888</v>
      </c>
      <c r="H502" s="7">
        <f>VLOOKUP(C502,Vlookup!$A$1:$B$30,2,0)</f>
        <v>1.2538815092968505</v>
      </c>
      <c r="I502" s="7">
        <f>VLOOKUP(D502,Vlookup!$A$1:$B$30,2,0)</f>
        <v>1.4376356077157479</v>
      </c>
      <c r="J502" s="7">
        <f>VLOOKUP(E502,Vlookup!$A$1:$B$30,2,0)</f>
        <v>1.3601242124324544</v>
      </c>
      <c r="K502" s="7">
        <f>VLOOKUP(F502,Vlookup!$A$1:$B$30,2,0)</f>
        <v>2.0145521929129111</v>
      </c>
      <c r="L502" s="7">
        <f t="shared" si="7"/>
        <v>7.5597560812736173</v>
      </c>
      <c r="M502" s="7">
        <f t="shared" si="8"/>
        <v>4.9392659882011918</v>
      </c>
      <c r="N502" s="7">
        <f t="shared" si="9"/>
        <v>3.9391808169904543</v>
      </c>
      <c r="O502" s="7">
        <f t="shared" si="10"/>
        <v>2.740041214789747</v>
      </c>
      <c r="P502" s="7">
        <f t="shared" si="11"/>
        <v>2.0145521929129111</v>
      </c>
      <c r="Q502">
        <v>1</v>
      </c>
      <c r="R502" s="7">
        <f t="shared" si="12"/>
        <v>22.192796294167923</v>
      </c>
      <c r="S502" s="7">
        <f>VLOOKUP($A502,Rotations!$A$1:$X$1441,18,0)</f>
        <v>0.22256167824598058</v>
      </c>
      <c r="T502" s="7">
        <f>VLOOKUP($A502,Rotations!$A$1:$X$1441,19,0)</f>
        <v>0.12346534336954224</v>
      </c>
      <c r="U502" s="7">
        <f>VLOOKUP($A502,Rotations!$A$1:$X$1441,20,0)</f>
        <v>9.0775049985130446E-2</v>
      </c>
      <c r="V502" s="7">
        <f>VLOOKUP($A502,Rotations!$A$1:$X$1441,21,0)</f>
        <v>0.17749817394690534</v>
      </c>
      <c r="W502" s="7">
        <f>VLOOKUP($A502,Rotations!$A$1:$X$1441,22,0)</f>
        <v>0.34064008793971839</v>
      </c>
      <c r="X502" s="7">
        <f>VLOOKUP($A502,Rotations!$A$1:$X$1441,23,0)</f>
        <v>4.5059666512722932E-2</v>
      </c>
    </row>
    <row r="503" spans="1:24" ht="15.75" customHeight="1" x14ac:dyDescent="0.3">
      <c r="A503">
        <v>494</v>
      </c>
      <c r="B503" t="str">
        <f>Permutations!I495</f>
        <v>p101 - i5:i1</v>
      </c>
      <c r="C503" t="str">
        <f>Permutations!J495</f>
        <v>p9 - i1:i4</v>
      </c>
      <c r="D503" t="str">
        <f>Permutations!K495</f>
        <v>p51 - i4:i2</v>
      </c>
      <c r="E503" t="str">
        <f>Permutations!L495</f>
        <v>p12 - i2:i6</v>
      </c>
      <c r="F503" t="str">
        <f>Permutations!M495</f>
        <v>p131 - i6:i3</v>
      </c>
      <c r="G503" s="7">
        <f>VLOOKUP(B503,Vlookup!$A$1:$B$30,2,0)</f>
        <v>1.530542412441888</v>
      </c>
      <c r="H503" s="7">
        <f>VLOOKUP(C503,Vlookup!$A$1:$B$30,2,0)</f>
        <v>1.2538815092968505</v>
      </c>
      <c r="I503" s="7">
        <f>VLOOKUP(D503,Vlookup!$A$1:$B$30,2,0)</f>
        <v>1.4376356077157479</v>
      </c>
      <c r="J503" s="7">
        <f>VLOOKUP(E503,Vlookup!$A$1:$B$30,2,0)</f>
        <v>1.3354555559520354</v>
      </c>
      <c r="K503" s="7">
        <f>VLOOKUP(F503,Vlookup!$A$1:$B$30,2,0)</f>
        <v>1.4032439022773779</v>
      </c>
      <c r="L503" s="7">
        <f t="shared" si="7"/>
        <v>5.170270801592423</v>
      </c>
      <c r="M503" s="7">
        <f t="shared" si="8"/>
        <v>3.3780643774147814</v>
      </c>
      <c r="N503" s="7">
        <f t="shared" si="9"/>
        <v>2.6940858066478115</v>
      </c>
      <c r="O503" s="7">
        <f t="shared" si="10"/>
        <v>1.8739698656521393</v>
      </c>
      <c r="P503" s="7">
        <f t="shared" si="11"/>
        <v>1.4032439022773779</v>
      </c>
      <c r="Q503">
        <v>1</v>
      </c>
      <c r="R503" s="7">
        <f t="shared" si="12"/>
        <v>15.519634753584532</v>
      </c>
      <c r="S503" s="7">
        <f>VLOOKUP($A503,Rotations!$A$1:$X$1441,18,0)</f>
        <v>0.21766390968927657</v>
      </c>
      <c r="T503" s="7">
        <f>VLOOKUP($A503,Rotations!$A$1:$X$1441,19,0)</f>
        <v>0.12074832271547584</v>
      </c>
      <c r="U503" s="7">
        <f>VLOOKUP($A503,Rotations!$A$1:$X$1441,20,0)</f>
        <v>6.4434506087137938E-2</v>
      </c>
      <c r="V503" s="7">
        <f>VLOOKUP($A503,Rotations!$A$1:$X$1441,21,0)</f>
        <v>0.17359208830772033</v>
      </c>
      <c r="W503" s="7">
        <f>VLOOKUP($A503,Rotations!$A$1:$X$1441,22,0)</f>
        <v>0.33314384543735853</v>
      </c>
      <c r="X503" s="7">
        <f>VLOOKUP($A503,Rotations!$A$1:$X$1441,23,0)</f>
        <v>9.0417327763030908E-2</v>
      </c>
    </row>
    <row r="504" spans="1:24" ht="15.75" customHeight="1" x14ac:dyDescent="0.3">
      <c r="A504">
        <v>495</v>
      </c>
      <c r="B504" t="str">
        <f>Permutations!I496</f>
        <v>p101 - i5:i1</v>
      </c>
      <c r="C504" t="str">
        <f>Permutations!J496</f>
        <v>p9 - i1:i4</v>
      </c>
      <c r="D504" t="str">
        <f>Permutations!K496</f>
        <v>p31 - i4:i3</v>
      </c>
      <c r="E504" t="str">
        <f>Permutations!L496</f>
        <v>p21 - i3:i2</v>
      </c>
      <c r="F504" t="str">
        <f>Permutations!M496</f>
        <v>p12 - i2:i6</v>
      </c>
      <c r="G504" s="7">
        <f>VLOOKUP(B504,Vlookup!$A$1:$B$30,2,0)</f>
        <v>1.530542412441888</v>
      </c>
      <c r="H504" s="7">
        <f>VLOOKUP(C504,Vlookup!$A$1:$B$30,2,0)</f>
        <v>1.2538815092968505</v>
      </c>
      <c r="I504" s="7">
        <f>VLOOKUP(D504,Vlookup!$A$1:$B$30,2,0)</f>
        <v>2.2388599512381115</v>
      </c>
      <c r="J504" s="7">
        <f>VLOOKUP(E504,Vlookup!$A$1:$B$30,2,0)</f>
        <v>1.5059827029565431</v>
      </c>
      <c r="K504" s="7">
        <f>VLOOKUP(F504,Vlookup!$A$1:$B$30,2,0)</f>
        <v>1.3354555559520354</v>
      </c>
      <c r="L504" s="7">
        <f t="shared" si="7"/>
        <v>8.6412827824051988</v>
      </c>
      <c r="M504" s="7">
        <f t="shared" si="8"/>
        <v>5.6458956721222471</v>
      </c>
      <c r="N504" s="7">
        <f t="shared" si="9"/>
        <v>4.5027346126894745</v>
      </c>
      <c r="O504" s="7">
        <f t="shared" si="10"/>
        <v>2.0111729678309791</v>
      </c>
      <c r="P504" s="7">
        <f t="shared" si="11"/>
        <v>1.3354555559520354</v>
      </c>
      <c r="Q504">
        <v>1</v>
      </c>
      <c r="R504" s="7">
        <f t="shared" si="12"/>
        <v>23.136541590999936</v>
      </c>
      <c r="S504" s="7">
        <f>VLOOKUP($A504,Rotations!$A$1:$X$1441,18,0)</f>
        <v>0.24402504799241423</v>
      </c>
      <c r="T504" s="7">
        <f>VLOOKUP($A504,Rotations!$A$1:$X$1441,19,0)</f>
        <v>5.7720621325337777E-2</v>
      </c>
      <c r="U504" s="7">
        <f>VLOOKUP($A504,Rotations!$A$1:$X$1441,20,0)</f>
        <v>8.6926257319863268E-2</v>
      </c>
      <c r="V504" s="7">
        <f>VLOOKUP($A504,Rotations!$A$1:$X$1441,21,0)</f>
        <v>0.19461571622446064</v>
      </c>
      <c r="W504" s="7">
        <f>VLOOKUP($A504,Rotations!$A$1:$X$1441,22,0)</f>
        <v>0.37349068565055715</v>
      </c>
      <c r="X504" s="7">
        <f>VLOOKUP($A504,Rotations!$A$1:$X$1441,23,0)</f>
        <v>4.3221671487366886E-2</v>
      </c>
    </row>
    <row r="505" spans="1:24" ht="15.75" customHeight="1" x14ac:dyDescent="0.3">
      <c r="A505">
        <v>496</v>
      </c>
      <c r="B505" t="str">
        <f>Permutations!I497</f>
        <v>p101 - i5:i1</v>
      </c>
      <c r="C505" t="str">
        <f>Permutations!J497</f>
        <v>p9 - i1:i4</v>
      </c>
      <c r="D505" t="str">
        <f>Permutations!K497</f>
        <v>p31 - i4:i3</v>
      </c>
      <c r="E505" t="str">
        <f>Permutations!L497</f>
        <v>p13 - i3:i6</v>
      </c>
      <c r="F505" t="str">
        <f>Permutations!M497</f>
        <v>p121 - i6:i2</v>
      </c>
      <c r="G505" s="7">
        <f>VLOOKUP(B505,Vlookup!$A$1:$B$30,2,0)</f>
        <v>1.530542412441888</v>
      </c>
      <c r="H505" s="7">
        <f>VLOOKUP(C505,Vlookup!$A$1:$B$30,2,0)</f>
        <v>1.2538815092968505</v>
      </c>
      <c r="I505" s="7">
        <f>VLOOKUP(D505,Vlookup!$A$1:$B$30,2,0)</f>
        <v>2.2388599512381115</v>
      </c>
      <c r="J505" s="7">
        <f>VLOOKUP(E505,Vlookup!$A$1:$B$30,2,0)</f>
        <v>2.0145521929129111</v>
      </c>
      <c r="K505" s="7">
        <f>VLOOKUP(F505,Vlookup!$A$1:$B$30,2,0)</f>
        <v>1.2419340531937677</v>
      </c>
      <c r="L505" s="7">
        <f t="shared" si="7"/>
        <v>10.749935373630056</v>
      </c>
      <c r="M505" s="7">
        <f t="shared" si="8"/>
        <v>7.0236115551212883</v>
      </c>
      <c r="N505" s="7">
        <f t="shared" si="9"/>
        <v>5.601495438799458</v>
      </c>
      <c r="O505" s="7">
        <f t="shared" si="10"/>
        <v>2.5019409703147248</v>
      </c>
      <c r="P505" s="7">
        <f t="shared" si="11"/>
        <v>1.2419340531937677</v>
      </c>
      <c r="Q505">
        <v>1</v>
      </c>
      <c r="R505" s="7">
        <f t="shared" si="12"/>
        <v>28.118917391059291</v>
      </c>
      <c r="S505" s="7">
        <f>VLOOKUP($A505,Rotations!$A$1:$X$1441,18,0)</f>
        <v>0.24978243143011331</v>
      </c>
      <c r="T505" s="7">
        <f>VLOOKUP($A505,Rotations!$A$1:$X$1441,19,0)</f>
        <v>3.5563246838157453E-2</v>
      </c>
      <c r="U505" s="7">
        <f>VLOOKUP($A505,Rotations!$A$1:$X$1441,20,0)</f>
        <v>8.8977144301801731E-2</v>
      </c>
      <c r="V505" s="7">
        <f>VLOOKUP($A505,Rotations!$A$1:$X$1441,21,0)</f>
        <v>0.19920736495283822</v>
      </c>
      <c r="W505" s="7">
        <f>VLOOKUP($A505,Rotations!$A$1:$X$1441,22,0)</f>
        <v>0.38230260518664605</v>
      </c>
      <c r="X505" s="7">
        <f>VLOOKUP($A505,Rotations!$A$1:$X$1441,23,0)</f>
        <v>4.4167207290443329E-2</v>
      </c>
    </row>
    <row r="506" spans="1:24" ht="15.75" customHeight="1" x14ac:dyDescent="0.3">
      <c r="A506">
        <v>497</v>
      </c>
      <c r="B506" t="str">
        <f>Permutations!I498</f>
        <v>p101 - i5:i1</v>
      </c>
      <c r="C506" t="str">
        <f>Permutations!J498</f>
        <v>p9 - i1:i4</v>
      </c>
      <c r="D506" t="str">
        <f>Permutations!K498</f>
        <v>p14 - i4:i6</v>
      </c>
      <c r="E506" t="str">
        <f>Permutations!L498</f>
        <v>p121 - i6:i2</v>
      </c>
      <c r="F506" t="str">
        <f>Permutations!M498</f>
        <v>p2 - i2:i3</v>
      </c>
      <c r="G506" s="7">
        <f>VLOOKUP(B506,Vlookup!$A$1:$B$30,2,0)</f>
        <v>1.530542412441888</v>
      </c>
      <c r="H506" s="7">
        <f>VLOOKUP(C506,Vlookup!$A$1:$B$30,2,0)</f>
        <v>1.2538815092968505</v>
      </c>
      <c r="I506" s="7">
        <f>VLOOKUP(D506,Vlookup!$A$1:$B$30,2,0)</f>
        <v>1.478275916473532</v>
      </c>
      <c r="J506" s="7">
        <f>VLOOKUP(E506,Vlookup!$A$1:$B$30,2,0)</f>
        <v>1.2419340531937677</v>
      </c>
      <c r="K506" s="7">
        <f>VLOOKUP(F506,Vlookup!$A$1:$B$30,2,0)</f>
        <v>1.3601242124324544</v>
      </c>
      <c r="L506" s="7">
        <f t="shared" si="7"/>
        <v>4.7921949317968187</v>
      </c>
      <c r="M506" s="7">
        <f t="shared" si="8"/>
        <v>3.1310435391013836</v>
      </c>
      <c r="N506" s="7">
        <f t="shared" si="9"/>
        <v>2.4970808771693309</v>
      </c>
      <c r="O506" s="7">
        <f t="shared" si="10"/>
        <v>1.6891845759932191</v>
      </c>
      <c r="P506" s="7">
        <f t="shared" si="11"/>
        <v>1.3601242124324544</v>
      </c>
      <c r="Q506">
        <v>1</v>
      </c>
      <c r="R506" s="7">
        <f t="shared" si="12"/>
        <v>14.469628136493206</v>
      </c>
      <c r="S506" s="7">
        <f>VLOOKUP($A506,Rotations!$A$1:$X$1441,18,0)</f>
        <v>0.2163872844254178</v>
      </c>
      <c r="T506" s="7">
        <f>VLOOKUP($A506,Rotations!$A$1:$X$1441,19,0)</f>
        <v>9.3998560267222461E-2</v>
      </c>
      <c r="U506" s="7">
        <f>VLOOKUP($A506,Rotations!$A$1:$X$1441,20,0)</f>
        <v>6.9110276405648902E-2</v>
      </c>
      <c r="V506" s="7">
        <f>VLOOKUP($A506,Rotations!$A$1:$X$1441,21,0)</f>
        <v>0.1725739496284327</v>
      </c>
      <c r="W506" s="7">
        <f>VLOOKUP($A506,Rotations!$A$1:$X$1441,22,0)</f>
        <v>0.33118991632622796</v>
      </c>
      <c r="X506" s="7">
        <f>VLOOKUP($A506,Rotations!$A$1:$X$1441,23,0)</f>
        <v>0.11674001294705022</v>
      </c>
    </row>
    <row r="507" spans="1:24" ht="15.75" customHeight="1" x14ac:dyDescent="0.3">
      <c r="A507">
        <v>498</v>
      </c>
      <c r="B507" t="str">
        <f>Permutations!I499</f>
        <v>p101 - i5:i1</v>
      </c>
      <c r="C507" t="str">
        <f>Permutations!J499</f>
        <v>p9 - i1:i4</v>
      </c>
      <c r="D507" t="str">
        <f>Permutations!K499</f>
        <v>p14 - i4:i6</v>
      </c>
      <c r="E507" t="str">
        <f>Permutations!L499</f>
        <v>p131 - i6:i3</v>
      </c>
      <c r="F507" t="str">
        <f>Permutations!M499</f>
        <v>p21 - i3:i2</v>
      </c>
      <c r="G507" s="7">
        <f>VLOOKUP(B507,Vlookup!$A$1:$B$30,2,0)</f>
        <v>1.530542412441888</v>
      </c>
      <c r="H507" s="7">
        <f>VLOOKUP(C507,Vlookup!$A$1:$B$30,2,0)</f>
        <v>1.2538815092968505</v>
      </c>
      <c r="I507" s="7">
        <f>VLOOKUP(D507,Vlookup!$A$1:$B$30,2,0)</f>
        <v>1.478275916473532</v>
      </c>
      <c r="J507" s="7">
        <f>VLOOKUP(E507,Vlookup!$A$1:$B$30,2,0)</f>
        <v>1.4032439022773779</v>
      </c>
      <c r="K507" s="7">
        <f>VLOOKUP(F507,Vlookup!$A$1:$B$30,2,0)</f>
        <v>1.5059827029565431</v>
      </c>
      <c r="L507" s="7">
        <f t="shared" si="7"/>
        <v>5.9952944235132968</v>
      </c>
      <c r="M507" s="7">
        <f t="shared" si="8"/>
        <v>3.9171044034958604</v>
      </c>
      <c r="N507" s="7">
        <f t="shared" si="9"/>
        <v>3.1239829078367118</v>
      </c>
      <c r="O507" s="7">
        <f t="shared" si="10"/>
        <v>2.113261044858973</v>
      </c>
      <c r="P507" s="7">
        <f t="shared" si="11"/>
        <v>1.5059827029565431</v>
      </c>
      <c r="Q507">
        <v>1</v>
      </c>
      <c r="R507" s="7">
        <f t="shared" si="12"/>
        <v>17.655625482661385</v>
      </c>
      <c r="S507" s="7">
        <f>VLOOKUP($A507,Rotations!$A$1:$X$1441,18,0)</f>
        <v>0.22186154817016437</v>
      </c>
      <c r="T507" s="7">
        <f>VLOOKUP($A507,Rotations!$A$1:$X$1441,19,0)</f>
        <v>5.6639171519697488E-2</v>
      </c>
      <c r="U507" s="7">
        <f>VLOOKUP($A507,Rotations!$A$1:$X$1441,20,0)</f>
        <v>8.5297612618453283E-2</v>
      </c>
      <c r="V507" s="7">
        <f>VLOOKUP($A507,Rotations!$A$1:$X$1441,21,0)</f>
        <v>0.17693980374156684</v>
      </c>
      <c r="W507" s="7">
        <f>VLOOKUP($A507,Rotations!$A$1:$X$1441,22,0)</f>
        <v>0.33956850916445552</v>
      </c>
      <c r="X507" s="7">
        <f>VLOOKUP($A507,Rotations!$A$1:$X$1441,23,0)</f>
        <v>0.11969335478566251</v>
      </c>
    </row>
    <row r="508" spans="1:24" ht="15.75" customHeight="1" x14ac:dyDescent="0.3">
      <c r="A508">
        <v>499</v>
      </c>
      <c r="B508" t="str">
        <f>Permutations!I500</f>
        <v>p101 - i5:i1</v>
      </c>
      <c r="C508" t="str">
        <f>Permutations!J500</f>
        <v>p11 - i1:i6</v>
      </c>
      <c r="D508" t="str">
        <f>Permutations!K500</f>
        <v>p121 - i6:i2</v>
      </c>
      <c r="E508" t="str">
        <f>Permutations!L500</f>
        <v>p2 - i2:i3</v>
      </c>
      <c r="F508" t="str">
        <f>Permutations!M500</f>
        <v>p3 - i3:i4</v>
      </c>
      <c r="G508" s="7">
        <f>VLOOKUP(B508,Vlookup!$A$1:$B$30,2,0)</f>
        <v>1.530542412441888</v>
      </c>
      <c r="H508" s="7">
        <f>VLOOKUP(C508,Vlookup!$A$1:$B$30,2,0)</f>
        <v>1.1613557664474019</v>
      </c>
      <c r="I508" s="7">
        <f>VLOOKUP(D508,Vlookup!$A$1:$B$30,2,0)</f>
        <v>1.2419340531937677</v>
      </c>
      <c r="J508" s="7">
        <f>VLOOKUP(E508,Vlookup!$A$1:$B$30,2,0)</f>
        <v>1.3601242124324544</v>
      </c>
      <c r="K508" s="7">
        <f>VLOOKUP(F508,Vlookup!$A$1:$B$30,2,0)</f>
        <v>1.4338636587362954</v>
      </c>
      <c r="L508" s="7">
        <f t="shared" si="7"/>
        <v>4.3052226285325519</v>
      </c>
      <c r="M508" s="7">
        <f t="shared" si="8"/>
        <v>2.8128737848328087</v>
      </c>
      <c r="N508" s="7">
        <f t="shared" si="9"/>
        <v>2.4220603764145552</v>
      </c>
      <c r="O508" s="7">
        <f t="shared" si="10"/>
        <v>1.9502326795742213</v>
      </c>
      <c r="P508" s="7">
        <f t="shared" si="11"/>
        <v>1.4338636587362954</v>
      </c>
      <c r="Q508">
        <v>1</v>
      </c>
      <c r="R508" s="7">
        <f t="shared" si="12"/>
        <v>13.924253128090431</v>
      </c>
      <c r="S508" s="7">
        <f>VLOOKUP($A508,Rotations!$A$1:$X$1441,18,0)</f>
        <v>0.20201254307551975</v>
      </c>
      <c r="T508" s="7">
        <f>VLOOKUP($A508,Rotations!$A$1:$X$1441,19,0)</f>
        <v>0.14006012829800343</v>
      </c>
      <c r="U508" s="7">
        <f>VLOOKUP($A508,Rotations!$A$1:$X$1441,20,0)</f>
        <v>0.10297598338281108</v>
      </c>
      <c r="V508" s="7">
        <f>VLOOKUP($A508,Rotations!$A$1:$X$1441,21,0)</f>
        <v>7.1817137393360486E-2</v>
      </c>
      <c r="W508" s="7">
        <f>VLOOKUP($A508,Rotations!$A$1:$X$1441,22,0)</f>
        <v>0.30918876502232684</v>
      </c>
      <c r="X508" s="7">
        <f>VLOOKUP($A508,Rotations!$A$1:$X$1441,23,0)</f>
        <v>0.17394544282797852</v>
      </c>
    </row>
    <row r="509" spans="1:24" ht="15.75" customHeight="1" x14ac:dyDescent="0.3">
      <c r="A509">
        <v>500</v>
      </c>
      <c r="B509" t="str">
        <f>Permutations!I501</f>
        <v>p101 - i5:i1</v>
      </c>
      <c r="C509" t="str">
        <f>Permutations!J501</f>
        <v>p11 - i1:i6</v>
      </c>
      <c r="D509" t="str">
        <f>Permutations!K501</f>
        <v>p121 - i6:i2</v>
      </c>
      <c r="E509" t="str">
        <f>Permutations!L501</f>
        <v>p5 - i2:i4</v>
      </c>
      <c r="F509" t="str">
        <f>Permutations!M501</f>
        <v>p31 - i4:i3</v>
      </c>
      <c r="G509" s="7">
        <f>VLOOKUP(B509,Vlookup!$A$1:$B$30,2,0)</f>
        <v>1.530542412441888</v>
      </c>
      <c r="H509" s="7">
        <f>VLOOKUP(C509,Vlookup!$A$1:$B$30,2,0)</f>
        <v>1.1613557664474019</v>
      </c>
      <c r="I509" s="7">
        <f>VLOOKUP(D509,Vlookup!$A$1:$B$30,2,0)</f>
        <v>1.2419340531937677</v>
      </c>
      <c r="J509" s="7">
        <f>VLOOKUP(E509,Vlookup!$A$1:$B$30,2,0)</f>
        <v>0.9108240498099236</v>
      </c>
      <c r="K509" s="7">
        <f>VLOOKUP(F509,Vlookup!$A$1:$B$30,2,0)</f>
        <v>2.2388599512381115</v>
      </c>
      <c r="L509" s="7">
        <f t="shared" si="7"/>
        <v>4.5016383493404231</v>
      </c>
      <c r="M509" s="7">
        <f t="shared" si="8"/>
        <v>2.941204577374847</v>
      </c>
      <c r="N509" s="7">
        <f t="shared" si="9"/>
        <v>2.5325612205569175</v>
      </c>
      <c r="O509" s="7">
        <f t="shared" si="10"/>
        <v>2.039207487743945</v>
      </c>
      <c r="P509" s="7">
        <f t="shared" si="11"/>
        <v>2.2388599512381115</v>
      </c>
      <c r="Q509">
        <v>1</v>
      </c>
      <c r="R509" s="7">
        <f t="shared" si="12"/>
        <v>15.253471586254246</v>
      </c>
      <c r="S509" s="7">
        <f>VLOOKUP($A509,Rotations!$A$1:$X$1441,18,0)</f>
        <v>0.1928219789667639</v>
      </c>
      <c r="T509" s="7">
        <f>VLOOKUP($A509,Rotations!$A$1:$X$1441,19,0)</f>
        <v>0.13368809036112073</v>
      </c>
      <c r="U509" s="7">
        <f>VLOOKUP($A509,Rotations!$A$1:$X$1441,20,0)</f>
        <v>6.5558846348208091E-2</v>
      </c>
      <c r="V509" s="7">
        <f>VLOOKUP($A509,Rotations!$A$1:$X$1441,21,0)</f>
        <v>0.14677707553837602</v>
      </c>
      <c r="W509" s="7">
        <f>VLOOKUP($A509,Rotations!$A$1:$X$1441,22,0)</f>
        <v>0.29512221685960988</v>
      </c>
      <c r="X509" s="7">
        <f>VLOOKUP($A509,Rotations!$A$1:$X$1441,23,0)</f>
        <v>0.1660317919259213</v>
      </c>
    </row>
    <row r="510" spans="1:24" ht="15.75" customHeight="1" x14ac:dyDescent="0.3">
      <c r="A510">
        <v>501</v>
      </c>
      <c r="B510" t="str">
        <f>Permutations!I502</f>
        <v>p101 - i5:i1</v>
      </c>
      <c r="C510" t="str">
        <f>Permutations!J502</f>
        <v>p11 - i1:i6</v>
      </c>
      <c r="D510" t="str">
        <f>Permutations!K502</f>
        <v>p131 - i6:i3</v>
      </c>
      <c r="E510" t="str">
        <f>Permutations!L502</f>
        <v>p21 - i3:i2</v>
      </c>
      <c r="F510" t="str">
        <f>Permutations!M502</f>
        <v>p5 - i2:i4</v>
      </c>
      <c r="G510" s="7">
        <f>VLOOKUP(B510,Vlookup!$A$1:$B$30,2,0)</f>
        <v>1.530542412441888</v>
      </c>
      <c r="H510" s="7">
        <f>VLOOKUP(C510,Vlookup!$A$1:$B$30,2,0)</f>
        <v>1.1613557664474019</v>
      </c>
      <c r="I510" s="7">
        <f>VLOOKUP(D510,Vlookup!$A$1:$B$30,2,0)</f>
        <v>1.4032439022773779</v>
      </c>
      <c r="J510" s="7">
        <f>VLOOKUP(E510,Vlookup!$A$1:$B$30,2,0)</f>
        <v>1.5059827029565431</v>
      </c>
      <c r="K510" s="7">
        <f>VLOOKUP(F510,Vlookup!$A$1:$B$30,2,0)</f>
        <v>0.9108240498099236</v>
      </c>
      <c r="L510" s="7">
        <f t="shared" si="7"/>
        <v>3.4213561605237821</v>
      </c>
      <c r="M510" s="7">
        <f t="shared" si="8"/>
        <v>2.2353880119304992</v>
      </c>
      <c r="N510" s="7">
        <f t="shared" si="9"/>
        <v>1.9248089831840005</v>
      </c>
      <c r="O510" s="7">
        <f t="shared" si="10"/>
        <v>1.3716852644505737</v>
      </c>
      <c r="P510" s="7">
        <f t="shared" si="11"/>
        <v>0.9108240498099236</v>
      </c>
      <c r="Q510">
        <v>1</v>
      </c>
      <c r="R510" s="7">
        <f t="shared" si="12"/>
        <v>10.864062469898778</v>
      </c>
      <c r="S510" s="7">
        <f>VLOOKUP($A510,Rotations!$A$1:$X$1441,18,0)</f>
        <v>0.20575986359836593</v>
      </c>
      <c r="T510" s="7">
        <f>VLOOKUP($A510,Rotations!$A$1:$X$1441,19,0)</f>
        <v>8.3838255931752745E-2</v>
      </c>
      <c r="U510" s="7">
        <f>VLOOKUP($A510,Rotations!$A$1:$X$1441,20,0)</f>
        <v>0.12625896327926342</v>
      </c>
      <c r="V510" s="7">
        <f>VLOOKUP($A510,Rotations!$A$1:$X$1441,21,0)</f>
        <v>9.2046598845571356E-2</v>
      </c>
      <c r="W510" s="7">
        <f>VLOOKUP($A510,Rotations!$A$1:$X$1441,22,0)</f>
        <v>0.31492419801555682</v>
      </c>
      <c r="X510" s="7">
        <f>VLOOKUP($A510,Rotations!$A$1:$X$1441,23,0)</f>
        <v>0.17717212032948981</v>
      </c>
    </row>
    <row r="511" spans="1:24" ht="15.75" customHeight="1" x14ac:dyDescent="0.3">
      <c r="A511">
        <v>502</v>
      </c>
      <c r="B511" t="str">
        <f>Permutations!I503</f>
        <v>p101 - i5:i1</v>
      </c>
      <c r="C511" t="str">
        <f>Permutations!J503</f>
        <v>p11 - i1:i6</v>
      </c>
      <c r="D511" t="str">
        <f>Permutations!K503</f>
        <v>p131 - i6:i3</v>
      </c>
      <c r="E511" t="str">
        <f>Permutations!L503</f>
        <v>p3 - i3:i4</v>
      </c>
      <c r="F511" t="str">
        <f>Permutations!M503</f>
        <v>p51 - i4:i2</v>
      </c>
      <c r="G511" s="7">
        <f>VLOOKUP(B511,Vlookup!$A$1:$B$30,2,0)</f>
        <v>1.530542412441888</v>
      </c>
      <c r="H511" s="7">
        <f>VLOOKUP(C511,Vlookup!$A$1:$B$30,2,0)</f>
        <v>1.1613557664474019</v>
      </c>
      <c r="I511" s="7">
        <f>VLOOKUP(D511,Vlookup!$A$1:$B$30,2,0)</f>
        <v>1.4032439022773779</v>
      </c>
      <c r="J511" s="7">
        <f>VLOOKUP(E511,Vlookup!$A$1:$B$30,2,0)</f>
        <v>1.4338636587362954</v>
      </c>
      <c r="K511" s="7">
        <f>VLOOKUP(F511,Vlookup!$A$1:$B$30,2,0)</f>
        <v>1.4376356077157479</v>
      </c>
      <c r="L511" s="7">
        <f t="shared" si="7"/>
        <v>5.1416261028102843</v>
      </c>
      <c r="M511" s="7">
        <f t="shared" si="8"/>
        <v>3.3593489870085538</v>
      </c>
      <c r="N511" s="7">
        <f t="shared" si="9"/>
        <v>2.8926097274092277</v>
      </c>
      <c r="O511" s="7">
        <f t="shared" si="10"/>
        <v>2.0613734524088798</v>
      </c>
      <c r="P511" s="7">
        <f t="shared" si="11"/>
        <v>1.4376356077157479</v>
      </c>
      <c r="Q511">
        <v>1</v>
      </c>
      <c r="R511" s="7">
        <f t="shared" si="12"/>
        <v>15.892593877352693</v>
      </c>
      <c r="S511" s="7">
        <f>VLOOKUP($A511,Rotations!$A$1:$X$1441,18,0)</f>
        <v>0.2113782692072502</v>
      </c>
      <c r="T511" s="7">
        <f>VLOOKUP($A511,Rotations!$A$1:$X$1441,19,0)</f>
        <v>6.2922390625297656E-2</v>
      </c>
      <c r="U511" s="7">
        <f>VLOOKUP($A511,Rotations!$A$1:$X$1441,20,0)</f>
        <v>0.12970654559708997</v>
      </c>
      <c r="V511" s="7">
        <f>VLOOKUP($A511,Rotations!$A$1:$X$1441,21,0)</f>
        <v>9.0459469285527477E-2</v>
      </c>
      <c r="W511" s="7">
        <f>VLOOKUP($A511,Rotations!$A$1:$X$1441,22,0)</f>
        <v>0.32352340609025554</v>
      </c>
      <c r="X511" s="7">
        <f>VLOOKUP($A511,Rotations!$A$1:$X$1441,23,0)</f>
        <v>0.18200991919457918</v>
      </c>
    </row>
    <row r="512" spans="1:24" ht="15.75" customHeight="1" x14ac:dyDescent="0.3">
      <c r="A512">
        <v>503</v>
      </c>
      <c r="B512" t="str">
        <f>Permutations!I504</f>
        <v>p101 - i5:i1</v>
      </c>
      <c r="C512" t="str">
        <f>Permutations!J504</f>
        <v>p11 - i1:i6</v>
      </c>
      <c r="D512" t="str">
        <f>Permutations!K504</f>
        <v>p141 - i6:i4</v>
      </c>
      <c r="E512" t="str">
        <f>Permutations!L504</f>
        <v>p51 - i4:i2</v>
      </c>
      <c r="F512" t="str">
        <f>Permutations!M504</f>
        <v>p2 - i2:i3</v>
      </c>
      <c r="G512" s="7">
        <f>VLOOKUP(B512,Vlookup!$A$1:$B$30,2,0)</f>
        <v>1.530542412441888</v>
      </c>
      <c r="H512" s="7">
        <f>VLOOKUP(C512,Vlookup!$A$1:$B$30,2,0)</f>
        <v>1.1613557664474019</v>
      </c>
      <c r="I512" s="7">
        <f>VLOOKUP(D512,Vlookup!$A$1:$B$30,2,0)</f>
        <v>0.88688155974910687</v>
      </c>
      <c r="J512" s="7">
        <f>VLOOKUP(E512,Vlookup!$A$1:$B$30,2,0)</f>
        <v>1.4376356077157479</v>
      </c>
      <c r="K512" s="7">
        <f>VLOOKUP(F512,Vlookup!$A$1:$B$30,2,0)</f>
        <v>1.3601242124324544</v>
      </c>
      <c r="L512" s="7">
        <f t="shared" si="7"/>
        <v>3.0825041304046437</v>
      </c>
      <c r="M512" s="7">
        <f t="shared" si="8"/>
        <v>2.0139945847607676</v>
      </c>
      <c r="N512" s="7">
        <f t="shared" si="9"/>
        <v>1.734175386170937</v>
      </c>
      <c r="O512" s="7">
        <f t="shared" si="10"/>
        <v>1.9553629987092347</v>
      </c>
      <c r="P512" s="7">
        <f t="shared" si="11"/>
        <v>1.3601242124324544</v>
      </c>
      <c r="Q512">
        <v>1</v>
      </c>
      <c r="R512" s="7">
        <f t="shared" si="12"/>
        <v>11.146161312478039</v>
      </c>
      <c r="S512" s="7">
        <f>VLOOKUP($A512,Rotations!$A$1:$X$1441,18,0)</f>
        <v>0.18068952424958329</v>
      </c>
      <c r="T512" s="7">
        <f>VLOOKUP($A512,Rotations!$A$1:$X$1441,19,0)</f>
        <v>0.12202624511721413</v>
      </c>
      <c r="U512" s="7">
        <f>VLOOKUP($A512,Rotations!$A$1:$X$1441,20,0)</f>
        <v>8.9716986141274296E-2</v>
      </c>
      <c r="V512" s="7">
        <f>VLOOKUP($A512,Rotations!$A$1:$X$1441,21,0)</f>
        <v>0.17542927505635697</v>
      </c>
      <c r="W512" s="7">
        <f>VLOOKUP($A512,Rotations!$A$1:$X$1441,22,0)</f>
        <v>0.27655298034793419</v>
      </c>
      <c r="X512" s="7">
        <f>VLOOKUP($A512,Rotations!$A$1:$X$1441,23,0)</f>
        <v>0.15558498908763696</v>
      </c>
    </row>
    <row r="513" spans="1:24" ht="15.75" customHeight="1" x14ac:dyDescent="0.3">
      <c r="A513">
        <v>504</v>
      </c>
      <c r="B513" t="str">
        <f>Permutations!I505</f>
        <v>p101 - i5:i1</v>
      </c>
      <c r="C513" t="str">
        <f>Permutations!J505</f>
        <v>p11 - i1:i6</v>
      </c>
      <c r="D513" t="str">
        <f>Permutations!K505</f>
        <v>p141 - i6:i4</v>
      </c>
      <c r="E513" t="str">
        <f>Permutations!L505</f>
        <v>p31 - i4:i3</v>
      </c>
      <c r="F513" t="str">
        <f>Permutations!M505</f>
        <v>p21 - i3:i2</v>
      </c>
      <c r="G513" s="7">
        <f>VLOOKUP(B513,Vlookup!$A$1:$B$30,2,0)</f>
        <v>1.530542412441888</v>
      </c>
      <c r="H513" s="7">
        <f>VLOOKUP(C513,Vlookup!$A$1:$B$30,2,0)</f>
        <v>1.1613557664474019</v>
      </c>
      <c r="I513" s="7">
        <f>VLOOKUP(D513,Vlookup!$A$1:$B$30,2,0)</f>
        <v>0.88688155974910687</v>
      </c>
      <c r="J513" s="7">
        <f>VLOOKUP(E513,Vlookup!$A$1:$B$30,2,0)</f>
        <v>2.2388599512381115</v>
      </c>
      <c r="K513" s="7">
        <f>VLOOKUP(F513,Vlookup!$A$1:$B$30,2,0)</f>
        <v>1.5059827029565431</v>
      </c>
      <c r="L513" s="7">
        <f t="shared" si="7"/>
        <v>5.3152437556486731</v>
      </c>
      <c r="M513" s="7">
        <f t="shared" si="8"/>
        <v>3.4727843622239276</v>
      </c>
      <c r="N513" s="7">
        <f t="shared" si="9"/>
        <v>2.9902846849826275</v>
      </c>
      <c r="O513" s="7">
        <f t="shared" si="10"/>
        <v>3.3716843609067255</v>
      </c>
      <c r="P513" s="7">
        <f t="shared" si="11"/>
        <v>1.5059827029565431</v>
      </c>
      <c r="Q513">
        <v>1</v>
      </c>
      <c r="R513" s="7">
        <f t="shared" si="12"/>
        <v>17.655979866718496</v>
      </c>
      <c r="S513" s="7">
        <f>VLOOKUP($A513,Rotations!$A$1:$X$1441,18,0)</f>
        <v>0.19669168114368563</v>
      </c>
      <c r="T513" s="7">
        <f>VLOOKUP($A513,Rotations!$A$1:$X$1441,19,0)</f>
        <v>5.6638034679966927E-2</v>
      </c>
      <c r="U513" s="7">
        <f>VLOOKUP($A513,Rotations!$A$1:$X$1441,20,0)</f>
        <v>8.5295900557483012E-2</v>
      </c>
      <c r="V513" s="7">
        <f>VLOOKUP($A513,Rotations!$A$1:$X$1441,21,0)</f>
        <v>0.19096557576293724</v>
      </c>
      <c r="W513" s="7">
        <f>VLOOKUP($A513,Rotations!$A$1:$X$1441,22,0)</f>
        <v>0.30104496016490717</v>
      </c>
      <c r="X513" s="7">
        <f>VLOOKUP($A513,Rotations!$A$1:$X$1441,23,0)</f>
        <v>0.16936384769102003</v>
      </c>
    </row>
    <row r="514" spans="1:24" ht="15.75" customHeight="1" x14ac:dyDescent="0.3">
      <c r="A514">
        <v>505</v>
      </c>
      <c r="B514" t="str">
        <f>Permutations!I506</f>
        <v>p71 - i5:i2</v>
      </c>
      <c r="C514" t="str">
        <f>Permutations!J506</f>
        <v>p11 - i2:i1</v>
      </c>
      <c r="D514" t="str">
        <f>Permutations!K506</f>
        <v>p8 - i1:i3</v>
      </c>
      <c r="E514" t="str">
        <f>Permutations!L506</f>
        <v>p3 - i3:i4</v>
      </c>
      <c r="F514" t="str">
        <f>Permutations!M506</f>
        <v>p14 - i4:i6</v>
      </c>
      <c r="G514" s="7">
        <f>VLOOKUP(B514,Vlookup!$A$1:$B$30,2,0)</f>
        <v>1.8243208303594776</v>
      </c>
      <c r="H514" s="7">
        <f>VLOOKUP(C514,Vlookup!$A$1:$B$30,2,0)</f>
        <v>1.7440097060445605</v>
      </c>
      <c r="I514" s="7">
        <f>VLOOKUP(D514,Vlookup!$A$1:$B$30,2,0)</f>
        <v>1.1080774401297739</v>
      </c>
      <c r="J514" s="7">
        <f>VLOOKUP(E514,Vlookup!$A$1:$B$30,2,0)</f>
        <v>1.4338636587362954</v>
      </c>
      <c r="K514" s="7">
        <f>VLOOKUP(F514,Vlookup!$A$1:$B$30,2,0)</f>
        <v>1.478275916473532</v>
      </c>
      <c r="L514" s="7">
        <f t="shared" si="7"/>
        <v>7.4728039194822271</v>
      </c>
      <c r="M514" s="7">
        <f t="shared" si="8"/>
        <v>4.0962114750450622</v>
      </c>
      <c r="N514" s="7">
        <f t="shared" si="9"/>
        <v>2.3487320402220293</v>
      </c>
      <c r="O514" s="7">
        <f t="shared" si="10"/>
        <v>2.1196461142164886</v>
      </c>
      <c r="P514" s="7">
        <f t="shared" si="11"/>
        <v>1.478275916473532</v>
      </c>
      <c r="Q514">
        <v>1</v>
      </c>
      <c r="R514" s="7">
        <f t="shared" si="12"/>
        <v>18.515669465439341</v>
      </c>
      <c r="S514" s="7">
        <f>VLOOKUP($A514,Rotations!$A$1:$X$1441,18,0)</f>
        <v>0.12685104606161204</v>
      </c>
      <c r="T514" s="7">
        <f>VLOOKUP($A514,Rotations!$A$1:$X$1441,19,0)</f>
        <v>0.22122945555335702</v>
      </c>
      <c r="U514" s="7">
        <f>VLOOKUP($A514,Rotations!$A$1:$X$1441,20,0)</f>
        <v>0.11447850255552147</v>
      </c>
      <c r="V514" s="7">
        <f>VLOOKUP($A514,Rotations!$A$1:$X$1441,21,0)</f>
        <v>7.9839182657306926E-2</v>
      </c>
      <c r="W514" s="7">
        <f>VLOOKUP($A514,Rotations!$A$1:$X$1441,22,0)</f>
        <v>0.40359350405507532</v>
      </c>
      <c r="X514" s="7">
        <f>VLOOKUP($A514,Rotations!$A$1:$X$1441,23,0)</f>
        <v>5.4008309117127132E-2</v>
      </c>
    </row>
    <row r="515" spans="1:24" ht="15.75" customHeight="1" x14ac:dyDescent="0.3">
      <c r="A515">
        <v>506</v>
      </c>
      <c r="B515" t="str">
        <f>Permutations!I507</f>
        <v>p71 - i5:i2</v>
      </c>
      <c r="C515" t="str">
        <f>Permutations!J507</f>
        <v>p11 - i2:i1</v>
      </c>
      <c r="D515" t="str">
        <f>Permutations!K507</f>
        <v>p8 - i1:i3</v>
      </c>
      <c r="E515" t="str">
        <f>Permutations!L507</f>
        <v>p13 - i3:i6</v>
      </c>
      <c r="F515" t="str">
        <f>Permutations!M507</f>
        <v>p141 - i6:i4</v>
      </c>
      <c r="G515" s="7">
        <f>VLOOKUP(B515,Vlookup!$A$1:$B$30,2,0)</f>
        <v>1.8243208303594776</v>
      </c>
      <c r="H515" s="7">
        <f>VLOOKUP(C515,Vlookup!$A$1:$B$30,2,0)</f>
        <v>1.7440097060445605</v>
      </c>
      <c r="I515" s="7">
        <f>VLOOKUP(D515,Vlookup!$A$1:$B$30,2,0)</f>
        <v>1.1080774401297739</v>
      </c>
      <c r="J515" s="7">
        <f>VLOOKUP(E515,Vlookup!$A$1:$B$30,2,0)</f>
        <v>2.0145521929129111</v>
      </c>
      <c r="K515" s="7">
        <f>VLOOKUP(F515,Vlookup!$A$1:$B$30,2,0)</f>
        <v>0.88688155974910687</v>
      </c>
      <c r="L515" s="7">
        <f t="shared" si="7"/>
        <v>6.2988951052361521</v>
      </c>
      <c r="M515" s="7">
        <f t="shared" si="8"/>
        <v>3.4527343000271347</v>
      </c>
      <c r="N515" s="7">
        <f t="shared" si="9"/>
        <v>1.9797678235736356</v>
      </c>
      <c r="O515" s="7">
        <f t="shared" si="10"/>
        <v>1.7866691910465862</v>
      </c>
      <c r="P515" s="7">
        <f t="shared" si="11"/>
        <v>0.88688155974910687</v>
      </c>
      <c r="Q515">
        <v>1</v>
      </c>
      <c r="R515" s="7">
        <f t="shared" si="12"/>
        <v>15.404947979632615</v>
      </c>
      <c r="S515" s="7">
        <f>VLOOKUP($A515,Rotations!$A$1:$X$1441,18,0)</f>
        <v>0.12851506062799767</v>
      </c>
      <c r="T515" s="7">
        <f>VLOOKUP($A515,Rotations!$A$1:$X$1441,19,0)</f>
        <v>0.22413151310813301</v>
      </c>
      <c r="U515" s="7">
        <f>VLOOKUP($A515,Rotations!$A$1:$X$1441,20,0)</f>
        <v>0.11598021579876802</v>
      </c>
      <c r="V515" s="7">
        <f>VLOOKUP($A515,Rotations!$A$1:$X$1441,21,0)</f>
        <v>6.4914208170136808E-2</v>
      </c>
      <c r="W515" s="7">
        <f>VLOOKUP($A515,Rotations!$A$1:$X$1441,22,0)</f>
        <v>0.40888778810315535</v>
      </c>
      <c r="X515" s="7">
        <f>VLOOKUP($A515,Rotations!$A$1:$X$1441,23,0)</f>
        <v>5.7571214191809147E-2</v>
      </c>
    </row>
    <row r="516" spans="1:24" ht="15.75" customHeight="1" x14ac:dyDescent="0.3">
      <c r="A516">
        <v>507</v>
      </c>
      <c r="B516" t="str">
        <f>Permutations!I508</f>
        <v>p71 - i5:i2</v>
      </c>
      <c r="C516" t="str">
        <f>Permutations!J508</f>
        <v>p11 - i2:i1</v>
      </c>
      <c r="D516" t="str">
        <f>Permutations!K508</f>
        <v>p9 - i1:i4</v>
      </c>
      <c r="E516" t="str">
        <f>Permutations!L508</f>
        <v>p31 - i4:i3</v>
      </c>
      <c r="F516" t="str">
        <f>Permutations!M508</f>
        <v>p13 - i3:i6</v>
      </c>
      <c r="G516" s="7">
        <f>VLOOKUP(B516,Vlookup!$A$1:$B$30,2,0)</f>
        <v>1.8243208303594776</v>
      </c>
      <c r="H516" s="7">
        <f>VLOOKUP(C516,Vlookup!$A$1:$B$30,2,0)</f>
        <v>1.7440097060445605</v>
      </c>
      <c r="I516" s="7">
        <f>VLOOKUP(D516,Vlookup!$A$1:$B$30,2,0)</f>
        <v>1.2538815092968505</v>
      </c>
      <c r="J516" s="7">
        <f>VLOOKUP(E516,Vlookup!$A$1:$B$30,2,0)</f>
        <v>2.2388599512381115</v>
      </c>
      <c r="K516" s="7">
        <f>VLOOKUP(F516,Vlookup!$A$1:$B$30,2,0)</f>
        <v>2.0145521929129111</v>
      </c>
      <c r="L516" s="7">
        <f t="shared" si="7"/>
        <v>17.993351496114293</v>
      </c>
      <c r="M516" s="7">
        <f t="shared" si="8"/>
        <v>9.8630411913724352</v>
      </c>
      <c r="N516" s="7">
        <f t="shared" si="9"/>
        <v>5.6553820527421017</v>
      </c>
      <c r="O516" s="7">
        <f t="shared" si="10"/>
        <v>4.5103002243916306</v>
      </c>
      <c r="P516" s="7">
        <f t="shared" si="11"/>
        <v>2.0145521929129111</v>
      </c>
      <c r="Q516">
        <v>1</v>
      </c>
      <c r="R516" s="7">
        <f t="shared" si="12"/>
        <v>41.036627157533367</v>
      </c>
      <c r="S516" s="7">
        <f>VLOOKUP($A516,Rotations!$A$1:$X$1441,18,0)</f>
        <v>0.13781303300176084</v>
      </c>
      <c r="T516" s="7">
        <f>VLOOKUP($A516,Rotations!$A$1:$X$1441,19,0)</f>
        <v>0.24034726717451024</v>
      </c>
      <c r="U516" s="7">
        <f>VLOOKUP($A516,Rotations!$A$1:$X$1441,20,0)</f>
        <v>4.9091563621429017E-2</v>
      </c>
      <c r="V516" s="7">
        <f>VLOOKUP($A516,Rotations!$A$1:$X$1441,21,0)</f>
        <v>0.10990913573567522</v>
      </c>
      <c r="W516" s="7">
        <f>VLOOKUP($A516,Rotations!$A$1:$X$1441,22,0)</f>
        <v>0.43847052602643377</v>
      </c>
      <c r="X516" s="7">
        <f>VLOOKUP($A516,Rotations!$A$1:$X$1441,23,0)</f>
        <v>2.4368474440191006E-2</v>
      </c>
    </row>
    <row r="517" spans="1:24" ht="15.75" customHeight="1" x14ac:dyDescent="0.3">
      <c r="A517">
        <v>508</v>
      </c>
      <c r="B517" t="str">
        <f>Permutations!I509</f>
        <v>p71 - i5:i2</v>
      </c>
      <c r="C517" t="str">
        <f>Permutations!J509</f>
        <v>p11 - i2:i1</v>
      </c>
      <c r="D517" t="str">
        <f>Permutations!K509</f>
        <v>p9 - i1:i4</v>
      </c>
      <c r="E517" t="str">
        <f>Permutations!L509</f>
        <v>p14 - i4:i6</v>
      </c>
      <c r="F517" t="str">
        <f>Permutations!M509</f>
        <v>p131 - i6:i3</v>
      </c>
      <c r="G517" s="7">
        <f>VLOOKUP(B517,Vlookup!$A$1:$B$30,2,0)</f>
        <v>1.8243208303594776</v>
      </c>
      <c r="H517" s="7">
        <f>VLOOKUP(C517,Vlookup!$A$1:$B$30,2,0)</f>
        <v>1.7440097060445605</v>
      </c>
      <c r="I517" s="7">
        <f>VLOOKUP(D517,Vlookup!$A$1:$B$30,2,0)</f>
        <v>1.2538815092968505</v>
      </c>
      <c r="J517" s="7">
        <f>VLOOKUP(E517,Vlookup!$A$1:$B$30,2,0)</f>
        <v>1.478275916473532</v>
      </c>
      <c r="K517" s="7">
        <f>VLOOKUP(F517,Vlookup!$A$1:$B$30,2,0)</f>
        <v>1.4032439022773779</v>
      </c>
      <c r="L517" s="7">
        <f t="shared" si="7"/>
        <v>8.2755197194483081</v>
      </c>
      <c r="M517" s="7">
        <f t="shared" si="8"/>
        <v>4.5362194969936507</v>
      </c>
      <c r="N517" s="7">
        <f t="shared" si="9"/>
        <v>2.6010288138142665</v>
      </c>
      <c r="O517" s="7">
        <f t="shared" si="10"/>
        <v>2.0743816656749861</v>
      </c>
      <c r="P517" s="7">
        <f t="shared" si="11"/>
        <v>1.4032439022773779</v>
      </c>
      <c r="Q517">
        <v>1</v>
      </c>
      <c r="R517" s="7">
        <f t="shared" si="12"/>
        <v>19.89039359820859</v>
      </c>
      <c r="S517" s="7">
        <f>VLOOKUP($A517,Rotations!$A$1:$X$1441,18,0)</f>
        <v>0.13076809169068057</v>
      </c>
      <c r="T517" s="7">
        <f>VLOOKUP($A517,Rotations!$A$1:$X$1441,19,0)</f>
        <v>0.22806082114947193</v>
      </c>
      <c r="U517" s="7">
        <f>VLOOKUP($A517,Rotations!$A$1:$X$1441,20,0)</f>
        <v>5.0275525975014598E-2</v>
      </c>
      <c r="V517" s="7">
        <f>VLOOKUP($A517,Rotations!$A$1:$X$1441,21,0)</f>
        <v>0.1042906293147368</v>
      </c>
      <c r="W517" s="7">
        <f>VLOOKUP($A517,Rotations!$A$1:$X$1441,22,0)</f>
        <v>0.41605610661186893</v>
      </c>
      <c r="X517" s="7">
        <f>VLOOKUP($A517,Rotations!$A$1:$X$1441,23,0)</f>
        <v>7.0548825258227157E-2</v>
      </c>
    </row>
    <row r="518" spans="1:24" ht="15.75" customHeight="1" x14ac:dyDescent="0.3">
      <c r="A518">
        <v>509</v>
      </c>
      <c r="B518" t="str">
        <f>Permutations!I510</f>
        <v>p71 - i5:i2</v>
      </c>
      <c r="C518" t="str">
        <f>Permutations!J510</f>
        <v>p11 - i2:i1</v>
      </c>
      <c r="D518" t="str">
        <f>Permutations!K510</f>
        <v>p11 - i1:i6</v>
      </c>
      <c r="E518" t="str">
        <f>Permutations!L510</f>
        <v>p131 - i6:i3</v>
      </c>
      <c r="F518" t="str">
        <f>Permutations!M510</f>
        <v>p3 - i3:i4</v>
      </c>
      <c r="G518" s="7">
        <f>VLOOKUP(B518,Vlookup!$A$1:$B$30,2,0)</f>
        <v>1.8243208303594776</v>
      </c>
      <c r="H518" s="7">
        <f>VLOOKUP(C518,Vlookup!$A$1:$B$30,2,0)</f>
        <v>1.7440097060445605</v>
      </c>
      <c r="I518" s="7">
        <f>VLOOKUP(D518,Vlookup!$A$1:$B$30,2,0)</f>
        <v>1.1613557664474019</v>
      </c>
      <c r="J518" s="7">
        <f>VLOOKUP(E518,Vlookup!$A$1:$B$30,2,0)</f>
        <v>1.4032439022773779</v>
      </c>
      <c r="K518" s="7">
        <f>VLOOKUP(F518,Vlookup!$A$1:$B$30,2,0)</f>
        <v>1.4338636587362954</v>
      </c>
      <c r="L518" s="7">
        <f t="shared" si="7"/>
        <v>7.4345796166679747</v>
      </c>
      <c r="M518" s="7">
        <f t="shared" si="8"/>
        <v>4.0752588541144981</v>
      </c>
      <c r="N518" s="7">
        <f t="shared" si="9"/>
        <v>2.3367179895788799</v>
      </c>
      <c r="O518" s="7">
        <f t="shared" si="10"/>
        <v>2.0120604358188379</v>
      </c>
      <c r="P518" s="7">
        <f t="shared" si="11"/>
        <v>1.4338636587362954</v>
      </c>
      <c r="Q518">
        <v>1</v>
      </c>
      <c r="R518" s="7">
        <f t="shared" si="12"/>
        <v>18.292480554916487</v>
      </c>
      <c r="S518" s="7">
        <f>VLOOKUP($A518,Rotations!$A$1:$X$1441,18,0)</f>
        <v>0.1277419966397525</v>
      </c>
      <c r="T518" s="7">
        <f>VLOOKUP($A518,Rotations!$A$1:$X$1441,19,0)</f>
        <v>0.22278328200923997</v>
      </c>
      <c r="U518" s="7">
        <f>VLOOKUP($A518,Rotations!$A$1:$X$1441,20,0)</f>
        <v>7.8385413855252911E-2</v>
      </c>
      <c r="V518" s="7">
        <f>VLOOKUP($A518,Rotations!$A$1:$X$1441,21,0)</f>
        <v>5.4667271450575851E-2</v>
      </c>
      <c r="W518" s="7">
        <f>VLOOKUP($A518,Rotations!$A$1:$X$1441,22,0)</f>
        <v>0.40642818202530634</v>
      </c>
      <c r="X518" s="7">
        <f>VLOOKUP($A518,Rotations!$A$1:$X$1441,23,0)</f>
        <v>0.10999385401987236</v>
      </c>
    </row>
    <row r="519" spans="1:24" ht="15.75" customHeight="1" x14ac:dyDescent="0.3">
      <c r="A519">
        <v>510</v>
      </c>
      <c r="B519" t="str">
        <f>Permutations!I511</f>
        <v>p71 - i5:i2</v>
      </c>
      <c r="C519" t="str">
        <f>Permutations!J511</f>
        <v>p11 - i2:i1</v>
      </c>
      <c r="D519" t="str">
        <f>Permutations!K511</f>
        <v>p11 - i1:i6</v>
      </c>
      <c r="E519" t="str">
        <f>Permutations!L511</f>
        <v>p141 - i6:i4</v>
      </c>
      <c r="F519" t="str">
        <f>Permutations!M511</f>
        <v>p31 - i4:i3</v>
      </c>
      <c r="G519" s="7">
        <f>VLOOKUP(B519,Vlookup!$A$1:$B$30,2,0)</f>
        <v>1.8243208303594776</v>
      </c>
      <c r="H519" s="7">
        <f>VLOOKUP(C519,Vlookup!$A$1:$B$30,2,0)</f>
        <v>1.7440097060445605</v>
      </c>
      <c r="I519" s="7">
        <f>VLOOKUP(D519,Vlookup!$A$1:$B$30,2,0)</f>
        <v>1.1613557664474019</v>
      </c>
      <c r="J519" s="7">
        <f>VLOOKUP(E519,Vlookup!$A$1:$B$30,2,0)</f>
        <v>0.88688155974910687</v>
      </c>
      <c r="K519" s="7">
        <f>VLOOKUP(F519,Vlookup!$A$1:$B$30,2,0)</f>
        <v>2.2388599512381115</v>
      </c>
      <c r="L519" s="7">
        <f t="shared" si="7"/>
        <v>7.3368214146468311</v>
      </c>
      <c r="M519" s="7">
        <f t="shared" si="8"/>
        <v>4.0216727740816989</v>
      </c>
      <c r="N519" s="7">
        <f t="shared" si="9"/>
        <v>2.3059921972584161</v>
      </c>
      <c r="O519" s="7">
        <f t="shared" si="10"/>
        <v>1.9856036056138657</v>
      </c>
      <c r="P519" s="7">
        <f t="shared" si="11"/>
        <v>2.2388599512381115</v>
      </c>
      <c r="Q519">
        <v>1</v>
      </c>
      <c r="R519" s="7">
        <f t="shared" si="12"/>
        <v>18.888949942838924</v>
      </c>
      <c r="S519" s="7">
        <f>VLOOKUP($A519,Rotations!$A$1:$X$1441,18,0)</f>
        <v>0.12208154525459217</v>
      </c>
      <c r="T519" s="7">
        <f>VLOOKUP($A519,Rotations!$A$1:$X$1441,19,0)</f>
        <v>0.2129113998529269</v>
      </c>
      <c r="U519" s="7">
        <f>VLOOKUP($A519,Rotations!$A$1:$X$1441,20,0)</f>
        <v>5.2941005351073767E-2</v>
      </c>
      <c r="V519" s="7">
        <f>VLOOKUP($A519,Rotations!$A$1:$X$1441,21,0)</f>
        <v>0.11852749665880162</v>
      </c>
      <c r="W519" s="7">
        <f>VLOOKUP($A519,Rotations!$A$1:$X$1441,22,0)</f>
        <v>0.3884187017726905</v>
      </c>
      <c r="X519" s="7">
        <f>VLOOKUP($A519,Rotations!$A$1:$X$1441,23,0)</f>
        <v>0.10511985110991504</v>
      </c>
    </row>
    <row r="520" spans="1:24" ht="15.75" customHeight="1" x14ac:dyDescent="0.3">
      <c r="A520">
        <v>511</v>
      </c>
      <c r="B520" t="str">
        <f>Permutations!I512</f>
        <v>p71 - i5:i2</v>
      </c>
      <c r="C520" t="str">
        <f>Permutations!J512</f>
        <v>p2 - i2:i3</v>
      </c>
      <c r="D520" t="str">
        <f>Permutations!K512</f>
        <v>p81 - i3:i1</v>
      </c>
      <c r="E520" t="str">
        <f>Permutations!L512</f>
        <v>p9 - i1:i4</v>
      </c>
      <c r="F520" t="str">
        <f>Permutations!M512</f>
        <v>p14 - i4:i6</v>
      </c>
      <c r="G520" s="7">
        <f>VLOOKUP(B520,Vlookup!$A$1:$B$30,2,0)</f>
        <v>1.8243208303594776</v>
      </c>
      <c r="H520" s="7">
        <f>VLOOKUP(C520,Vlookup!$A$1:$B$30,2,0)</f>
        <v>1.3601242124324544</v>
      </c>
      <c r="I520" s="7">
        <f>VLOOKUP(D520,Vlookup!$A$1:$B$30,2,0)</f>
        <v>1.7021844231989158</v>
      </c>
      <c r="J520" s="7">
        <f>VLOOKUP(E520,Vlookup!$A$1:$B$30,2,0)</f>
        <v>1.2538815092968505</v>
      </c>
      <c r="K520" s="7">
        <f>VLOOKUP(F520,Vlookup!$A$1:$B$30,2,0)</f>
        <v>1.478275916473532</v>
      </c>
      <c r="L520" s="7">
        <f t="shared" ref="L520:L729" si="13">G520*H520*I520*J520*K520</f>
        <v>7.8288577198669351</v>
      </c>
      <c r="M520" s="7">
        <f t="shared" ref="M520:M729" si="14">H520*I520*J520*K520</f>
        <v>4.2913820801598144</v>
      </c>
      <c r="N520" s="7">
        <f t="shared" ref="N520:N729" si="15">I520*J520*K520</f>
        <v>3.1551398327694509</v>
      </c>
      <c r="O520" s="7">
        <f t="shared" ref="O520:O729" si="16">J520*K520</f>
        <v>1.8535828373050172</v>
      </c>
      <c r="P520" s="7">
        <f t="shared" ref="P520:P729" si="17">K520</f>
        <v>1.478275916473532</v>
      </c>
      <c r="Q520">
        <v>1</v>
      </c>
      <c r="R520" s="7">
        <f t="shared" ref="R520:R729" si="18">SUM(L520:Q520)</f>
        <v>19.607238386574746</v>
      </c>
      <c r="S520" s="7">
        <f>VLOOKUP($A520,Rotations!$A$1:$X$1441,18,0)</f>
        <v>9.4535640397690177E-2</v>
      </c>
      <c r="T520" s="7">
        <f>VLOOKUP($A520,Rotations!$A$1:$X$1441,19,0)</f>
        <v>0.2188672364537661</v>
      </c>
      <c r="U520" s="7">
        <f>VLOOKUP($A520,Rotations!$A$1:$X$1441,20,0)</f>
        <v>0.16091709452208239</v>
      </c>
      <c r="V520" s="7">
        <f>VLOOKUP($A520,Rotations!$A$1:$X$1441,21,0)</f>
        <v>7.5394397075608618E-2</v>
      </c>
      <c r="W520" s="7">
        <f>VLOOKUP($A520,Rotations!$A$1:$X$1441,22,0)</f>
        <v>0.39928405854581872</v>
      </c>
      <c r="X520" s="7">
        <f>VLOOKUP($A520,Rotations!$A$1:$X$1441,23,0)</f>
        <v>5.1001573005034155E-2</v>
      </c>
    </row>
    <row r="521" spans="1:24" ht="15.75" customHeight="1" x14ac:dyDescent="0.3">
      <c r="A521">
        <v>512</v>
      </c>
      <c r="B521" t="str">
        <f>Permutations!I513</f>
        <v>p71 - i5:i2</v>
      </c>
      <c r="C521" t="str">
        <f>Permutations!J513</f>
        <v>p2 - i2:i3</v>
      </c>
      <c r="D521" t="str">
        <f>Permutations!K513</f>
        <v>p81 - i3:i1</v>
      </c>
      <c r="E521" t="str">
        <f>Permutations!L513</f>
        <v>p11 - i1:i6</v>
      </c>
      <c r="F521" t="str">
        <f>Permutations!M513</f>
        <v>p141 - i6:i4</v>
      </c>
      <c r="G521" s="7">
        <f>VLOOKUP(B521,Vlookup!$A$1:$B$30,2,0)</f>
        <v>1.8243208303594776</v>
      </c>
      <c r="H521" s="7">
        <f>VLOOKUP(C521,Vlookup!$A$1:$B$30,2,0)</f>
        <v>1.3601242124324544</v>
      </c>
      <c r="I521" s="7">
        <f>VLOOKUP(D521,Vlookup!$A$1:$B$30,2,0)</f>
        <v>1.7021844231989158</v>
      </c>
      <c r="J521" s="7">
        <f>VLOOKUP(E521,Vlookup!$A$1:$B$30,2,0)</f>
        <v>1.1613557664474019</v>
      </c>
      <c r="K521" s="7">
        <f>VLOOKUP(F521,Vlookup!$A$1:$B$30,2,0)</f>
        <v>0.88688155974910687</v>
      </c>
      <c r="L521" s="7">
        <f t="shared" si="13"/>
        <v>4.3502809599610472</v>
      </c>
      <c r="M521" s="7">
        <f t="shared" si="14"/>
        <v>2.3846030191432042</v>
      </c>
      <c r="N521" s="7">
        <f t="shared" si="15"/>
        <v>1.7532244462280142</v>
      </c>
      <c r="O521" s="7">
        <f t="shared" si="16"/>
        <v>1.0299850135704913</v>
      </c>
      <c r="P521" s="7">
        <f t="shared" si="17"/>
        <v>0.88688155974910687</v>
      </c>
      <c r="Q521">
        <v>1</v>
      </c>
      <c r="R521" s="7">
        <f t="shared" si="18"/>
        <v>11.404974998651863</v>
      </c>
      <c r="S521" s="7">
        <f>VLOOKUP($A521,Rotations!$A$1:$X$1441,18,0)</f>
        <v>9.031015093783562E-2</v>
      </c>
      <c r="T521" s="7">
        <f>VLOOKUP($A521,Rotations!$A$1:$X$1441,19,0)</f>
        <v>0.2090844582671228</v>
      </c>
      <c r="U521" s="7">
        <f>VLOOKUP($A521,Rotations!$A$1:$X$1441,20,0)</f>
        <v>0.15372453218312676</v>
      </c>
      <c r="V521" s="7">
        <f>VLOOKUP($A521,Rotations!$A$1:$X$1441,21,0)</f>
        <v>8.7681033945116588E-2</v>
      </c>
      <c r="W521" s="7">
        <f>VLOOKUP($A521,Rotations!$A$1:$X$1441,22,0)</f>
        <v>0.38143713252113898</v>
      </c>
      <c r="X521" s="7">
        <f>VLOOKUP($A521,Rotations!$A$1:$X$1441,23,0)</f>
        <v>7.7762692145659382E-2</v>
      </c>
    </row>
    <row r="522" spans="1:24" ht="15.75" customHeight="1" x14ac:dyDescent="0.3">
      <c r="A522">
        <v>513</v>
      </c>
      <c r="B522" t="str">
        <f>Permutations!I514</f>
        <v>p71 - i5:i2</v>
      </c>
      <c r="C522" t="str">
        <f>Permutations!J514</f>
        <v>p2 - i2:i3</v>
      </c>
      <c r="D522" t="str">
        <f>Permutations!K514</f>
        <v>p3 - i3:i4</v>
      </c>
      <c r="E522" t="str">
        <f>Permutations!L514</f>
        <v>p91 - i4:i1</v>
      </c>
      <c r="F522" t="str">
        <f>Permutations!M514</f>
        <v>p11 - i1:i6</v>
      </c>
      <c r="G522" s="7">
        <f>VLOOKUP(B522,Vlookup!$A$1:$B$30,2,0)</f>
        <v>1.8243208303594776</v>
      </c>
      <c r="H522" s="7">
        <f>VLOOKUP(C522,Vlookup!$A$1:$B$30,2,0)</f>
        <v>1.3601242124324544</v>
      </c>
      <c r="I522" s="7">
        <f>VLOOKUP(D522,Vlookup!$A$1:$B$30,2,0)</f>
        <v>1.4338636587362954</v>
      </c>
      <c r="J522" s="7">
        <f>VLOOKUP(E522,Vlookup!$A$1:$B$30,2,0)</f>
        <v>2.9131157743633094</v>
      </c>
      <c r="K522" s="7">
        <f>VLOOKUP(F522,Vlookup!$A$1:$B$30,2,0)</f>
        <v>1.1613557664474019</v>
      </c>
      <c r="L522" s="7">
        <f t="shared" si="13"/>
        <v>12.036789679132955</v>
      </c>
      <c r="M522" s="7">
        <f t="shared" si="14"/>
        <v>6.5979566087403256</v>
      </c>
      <c r="N522" s="7">
        <f t="shared" si="15"/>
        <v>4.8509956285099136</v>
      </c>
      <c r="O522" s="7">
        <f t="shared" si="16"/>
        <v>3.3831638028857181</v>
      </c>
      <c r="P522" s="7">
        <f t="shared" si="17"/>
        <v>1.1613557664474019</v>
      </c>
      <c r="Q522">
        <v>1</v>
      </c>
      <c r="R522" s="7">
        <f t="shared" si="18"/>
        <v>29.030261485716316</v>
      </c>
      <c r="S522" s="7">
        <f>VLOOKUP($A522,Rotations!$A$1:$X$1441,18,0)</f>
        <v>4.0005005363758804E-2</v>
      </c>
      <c r="T522" s="7">
        <f>VLOOKUP($A522,Rotations!$A$1:$X$1441,19,0)</f>
        <v>0.22727858004264623</v>
      </c>
      <c r="U522" s="7">
        <f>VLOOKUP($A522,Rotations!$A$1:$X$1441,20,0)</f>
        <v>0.16710134116073105</v>
      </c>
      <c r="V522" s="7">
        <f>VLOOKUP($A522,Rotations!$A$1:$X$1441,21,0)</f>
        <v>0.11653921217865458</v>
      </c>
      <c r="W522" s="7">
        <f>VLOOKUP($A522,Rotations!$A$1:$X$1441,22,0)</f>
        <v>0.41462904786632337</v>
      </c>
      <c r="X522" s="7">
        <f>VLOOKUP($A522,Rotations!$A$1:$X$1441,23,0)</f>
        <v>3.4446813387885855E-2</v>
      </c>
    </row>
    <row r="523" spans="1:24" ht="15.75" customHeight="1" x14ac:dyDescent="0.3">
      <c r="A523">
        <v>514</v>
      </c>
      <c r="B523" t="str">
        <f>Permutations!I515</f>
        <v>p71 - i5:i2</v>
      </c>
      <c r="C523" t="str">
        <f>Permutations!J515</f>
        <v>p2 - i2:i3</v>
      </c>
      <c r="D523" t="str">
        <f>Permutations!K515</f>
        <v>p3 - i3:i4</v>
      </c>
      <c r="E523" t="str">
        <f>Permutations!L515</f>
        <v>p14 - i4:i6</v>
      </c>
      <c r="F523" t="str">
        <f>Permutations!M515</f>
        <v>p111 - i6:i1</v>
      </c>
      <c r="G523" s="7">
        <f>VLOOKUP(B523,Vlookup!$A$1:$B$30,2,0)</f>
        <v>1.8243208303594776</v>
      </c>
      <c r="H523" s="7">
        <f>VLOOKUP(C523,Vlookup!$A$1:$B$30,2,0)</f>
        <v>1.3601242124324544</v>
      </c>
      <c r="I523" s="7">
        <f>VLOOKUP(D523,Vlookup!$A$1:$B$30,2,0)</f>
        <v>1.4338636587362954</v>
      </c>
      <c r="J523" s="7">
        <f>VLOOKUP(E523,Vlookup!$A$1:$B$30,2,0)</f>
        <v>1.478275916473532</v>
      </c>
      <c r="K523" s="7">
        <f>VLOOKUP(F523,Vlookup!$A$1:$B$30,2,0)</f>
        <v>1.6397534939100344</v>
      </c>
      <c r="L523" s="7">
        <f t="shared" si="13"/>
        <v>8.6242574608114229</v>
      </c>
      <c r="M523" s="7">
        <f t="shared" si="14"/>
        <v>4.7273798102234217</v>
      </c>
      <c r="N523" s="7">
        <f t="shared" si="15"/>
        <v>3.4756971216393153</v>
      </c>
      <c r="O523" s="7">
        <f t="shared" si="16"/>
        <v>2.4240080990005324</v>
      </c>
      <c r="P523" s="7">
        <f t="shared" si="17"/>
        <v>1.6397534939100344</v>
      </c>
      <c r="Q523">
        <v>1</v>
      </c>
      <c r="R523" s="7">
        <f t="shared" si="18"/>
        <v>21.891095985584727</v>
      </c>
      <c r="S523" s="7">
        <f>VLOOKUP($A523,Rotations!$A$1:$X$1441,18,0)</f>
        <v>4.5680673122008117E-2</v>
      </c>
      <c r="T523" s="7">
        <f>VLOOKUP($A523,Rotations!$A$1:$X$1441,19,0)</f>
        <v>0.21594989183439689</v>
      </c>
      <c r="U523" s="7">
        <f>VLOOKUP($A523,Rotations!$A$1:$X$1441,20,0)</f>
        <v>0.15877218408471006</v>
      </c>
      <c r="V523" s="7">
        <f>VLOOKUP($A523,Rotations!$A$1:$X$1441,21,0)</f>
        <v>0.11073032161554361</v>
      </c>
      <c r="W523" s="7">
        <f>VLOOKUP($A523,Rotations!$A$1:$X$1441,22,0)</f>
        <v>0.39396188598736631</v>
      </c>
      <c r="X523" s="7">
        <f>VLOOKUP($A523,Rotations!$A$1:$X$1441,23,0)</f>
        <v>7.4905043355975004E-2</v>
      </c>
    </row>
    <row r="524" spans="1:24" ht="15.75" customHeight="1" x14ac:dyDescent="0.3">
      <c r="A524">
        <v>515</v>
      </c>
      <c r="B524" t="str">
        <f>Permutations!I516</f>
        <v>p71 - i5:i2</v>
      </c>
      <c r="C524" t="str">
        <f>Permutations!J516</f>
        <v>p2 - i2:i3</v>
      </c>
      <c r="D524" t="str">
        <f>Permutations!K516</f>
        <v>p13 - i3:i6</v>
      </c>
      <c r="E524" t="str">
        <f>Permutations!L516</f>
        <v>p111 - i6:i1</v>
      </c>
      <c r="F524" t="str">
        <f>Permutations!M516</f>
        <v>p9 - i1:i4</v>
      </c>
      <c r="G524" s="7">
        <f>VLOOKUP(B524,Vlookup!$A$1:$B$30,2,0)</f>
        <v>1.8243208303594776</v>
      </c>
      <c r="H524" s="7">
        <f>VLOOKUP(C524,Vlookup!$A$1:$B$30,2,0)</f>
        <v>1.3601242124324544</v>
      </c>
      <c r="I524" s="7">
        <f>VLOOKUP(D524,Vlookup!$A$1:$B$30,2,0)</f>
        <v>2.0145521929129111</v>
      </c>
      <c r="J524" s="7">
        <f>VLOOKUP(E524,Vlookup!$A$1:$B$30,2,0)</f>
        <v>1.6397534939100344</v>
      </c>
      <c r="K524" s="7">
        <f>VLOOKUP(F524,Vlookup!$A$1:$B$30,2,0)</f>
        <v>1.2538815092968505</v>
      </c>
      <c r="L524" s="7">
        <f t="shared" si="13"/>
        <v>10.277639383502249</v>
      </c>
      <c r="M524" s="7">
        <f t="shared" si="14"/>
        <v>5.6336797850831246</v>
      </c>
      <c r="N524" s="7">
        <f t="shared" si="15"/>
        <v>4.1420333037140908</v>
      </c>
      <c r="O524" s="7">
        <f t="shared" si="16"/>
        <v>2.0560565858186979</v>
      </c>
      <c r="P524" s="7">
        <f t="shared" si="17"/>
        <v>1.2538815092968505</v>
      </c>
      <c r="Q524">
        <v>1</v>
      </c>
      <c r="R524" s="7">
        <f t="shared" si="18"/>
        <v>24.363290567415014</v>
      </c>
      <c r="S524" s="7">
        <f>VLOOKUP($A524,Rotations!$A$1:$X$1441,18,0)</f>
        <v>5.1466016293130371E-2</v>
      </c>
      <c r="T524" s="7">
        <f>VLOOKUP($A524,Rotations!$A$1:$X$1441,19,0)</f>
        <v>0.23123640747518562</v>
      </c>
      <c r="U524" s="7">
        <f>VLOOKUP($A524,Rotations!$A$1:$X$1441,20,0)</f>
        <v>0.17001124262146694</v>
      </c>
      <c r="V524" s="7">
        <f>VLOOKUP($A524,Rotations!$A$1:$X$1441,21,0)</f>
        <v>4.10453586814526E-2</v>
      </c>
      <c r="W524" s="7">
        <f>VLOOKUP($A524,Rotations!$A$1:$X$1441,22,0)</f>
        <v>0.42184939489447315</v>
      </c>
      <c r="X524" s="7">
        <f>VLOOKUP($A524,Rotations!$A$1:$X$1441,23,0)</f>
        <v>8.4391580034291272E-2</v>
      </c>
    </row>
    <row r="525" spans="1:24" ht="15.75" customHeight="1" x14ac:dyDescent="0.3">
      <c r="A525">
        <v>516</v>
      </c>
      <c r="B525" t="str">
        <f>Permutations!I517</f>
        <v>p71 - i5:i2</v>
      </c>
      <c r="C525" t="str">
        <f>Permutations!J517</f>
        <v>p2 - i2:i3</v>
      </c>
      <c r="D525" t="str">
        <f>Permutations!K517</f>
        <v>p13 - i3:i6</v>
      </c>
      <c r="E525" t="str">
        <f>Permutations!L517</f>
        <v>p141 - i6:i4</v>
      </c>
      <c r="F525" t="str">
        <f>Permutations!M517</f>
        <v>p91 - i4:i1</v>
      </c>
      <c r="G525" s="7">
        <f>VLOOKUP(B525,Vlookup!$A$1:$B$30,2,0)</f>
        <v>1.8243208303594776</v>
      </c>
      <c r="H525" s="7">
        <f>VLOOKUP(C525,Vlookup!$A$1:$B$30,2,0)</f>
        <v>1.3601242124324544</v>
      </c>
      <c r="I525" s="7">
        <f>VLOOKUP(D525,Vlookup!$A$1:$B$30,2,0)</f>
        <v>2.0145521929129111</v>
      </c>
      <c r="J525" s="7">
        <f>VLOOKUP(E525,Vlookup!$A$1:$B$30,2,0)</f>
        <v>0.88688155974910687</v>
      </c>
      <c r="K525" s="7">
        <f>VLOOKUP(F525,Vlookup!$A$1:$B$30,2,0)</f>
        <v>2.9131157743633094</v>
      </c>
      <c r="L525" s="7">
        <f t="shared" si="13"/>
        <v>12.914621496010232</v>
      </c>
      <c r="M525" s="7">
        <f t="shared" si="14"/>
        <v>7.0791394151134268</v>
      </c>
      <c r="N525" s="7">
        <f t="shared" si="15"/>
        <v>5.2047742040067435</v>
      </c>
      <c r="O525" s="7">
        <f t="shared" si="16"/>
        <v>2.5835886616970591</v>
      </c>
      <c r="P525" s="7">
        <f t="shared" si="17"/>
        <v>2.9131157743633094</v>
      </c>
      <c r="Q525">
        <v>1</v>
      </c>
      <c r="R525" s="7">
        <f t="shared" si="18"/>
        <v>31.69523955119077</v>
      </c>
      <c r="S525" s="7">
        <f>VLOOKUP($A525,Rotations!$A$1:$X$1441,18,0)</f>
        <v>3.1550479319927736E-2</v>
      </c>
      <c r="T525" s="7">
        <f>VLOOKUP($A525,Rotations!$A$1:$X$1441,19,0)</f>
        <v>0.2233502417194215</v>
      </c>
      <c r="U525" s="7">
        <f>VLOOKUP($A525,Rotations!$A$1:$X$1441,20,0)</f>
        <v>0.16421312088840809</v>
      </c>
      <c r="V525" s="7">
        <f>VLOOKUP($A525,Rotations!$A$1:$X$1441,21,0)</f>
        <v>9.1910198995604861E-2</v>
      </c>
      <c r="W525" s="7">
        <f>VLOOKUP($A525,Rotations!$A$1:$X$1441,22,0)</f>
        <v>0.407462498434565</v>
      </c>
      <c r="X525" s="7">
        <f>VLOOKUP($A525,Rotations!$A$1:$X$1441,23,0)</f>
        <v>8.1513460642072835E-2</v>
      </c>
    </row>
    <row r="526" spans="1:24" ht="15.75" customHeight="1" x14ac:dyDescent="0.3">
      <c r="A526">
        <v>517</v>
      </c>
      <c r="B526" t="str">
        <f>Permutations!I518</f>
        <v>p71 - i5:i2</v>
      </c>
      <c r="C526" t="str">
        <f>Permutations!J518</f>
        <v>p5 - i2:i4</v>
      </c>
      <c r="D526" t="str">
        <f>Permutations!K518</f>
        <v>p91 - i4:i1</v>
      </c>
      <c r="E526" t="str">
        <f>Permutations!L518</f>
        <v>p8 - i1:i3</v>
      </c>
      <c r="F526" t="str">
        <f>Permutations!M518</f>
        <v>p13 - i3:i6</v>
      </c>
      <c r="G526" s="7">
        <f>VLOOKUP(B526,Vlookup!$A$1:$B$30,2,0)</f>
        <v>1.8243208303594776</v>
      </c>
      <c r="H526" s="7">
        <f>VLOOKUP(C526,Vlookup!$A$1:$B$30,2,0)</f>
        <v>0.9108240498099236</v>
      </c>
      <c r="I526" s="7">
        <f>VLOOKUP(D526,Vlookup!$A$1:$B$30,2,0)</f>
        <v>2.9131157743633094</v>
      </c>
      <c r="J526" s="7">
        <f>VLOOKUP(E526,Vlookup!$A$1:$B$30,2,0)</f>
        <v>1.1080774401297739</v>
      </c>
      <c r="K526" s="7">
        <f>VLOOKUP(F526,Vlookup!$A$1:$B$30,2,0)</f>
        <v>2.0145521929129111</v>
      </c>
      <c r="L526" s="7">
        <f t="shared" si="13"/>
        <v>10.805430835483588</v>
      </c>
      <c r="M526" s="7">
        <f t="shared" si="14"/>
        <v>5.9229882461816796</v>
      </c>
      <c r="N526" s="7">
        <f t="shared" si="15"/>
        <v>6.502889605756156</v>
      </c>
      <c r="O526" s="7">
        <f t="shared" si="16"/>
        <v>2.2322798369307613</v>
      </c>
      <c r="P526" s="7">
        <f t="shared" si="17"/>
        <v>2.0145521929129111</v>
      </c>
      <c r="Q526">
        <v>1</v>
      </c>
      <c r="R526" s="7">
        <f t="shared" si="18"/>
        <v>28.478140717265095</v>
      </c>
      <c r="S526" s="7">
        <f>VLOOKUP($A526,Rotations!$A$1:$X$1441,18,0)</f>
        <v>7.8385729570379717E-2</v>
      </c>
      <c r="T526" s="7">
        <f>VLOOKUP($A526,Rotations!$A$1:$X$1441,19,0)</f>
        <v>0.20798367087886541</v>
      </c>
      <c r="U526" s="7">
        <f>VLOOKUP($A526,Rotations!$A$1:$X$1441,20,0)</f>
        <v>7.0740299126746467E-2</v>
      </c>
      <c r="V526" s="7">
        <f>VLOOKUP($A526,Rotations!$A$1:$X$1441,21,0)</f>
        <v>0.22834670529644965</v>
      </c>
      <c r="W526" s="7">
        <f>VLOOKUP($A526,Rotations!$A$1:$X$1441,22,0)</f>
        <v>0.37942894315894404</v>
      </c>
      <c r="X526" s="7">
        <f>VLOOKUP($A526,Rotations!$A$1:$X$1441,23,0)</f>
        <v>3.5114651968614727E-2</v>
      </c>
    </row>
    <row r="527" spans="1:24" ht="15.75" customHeight="1" x14ac:dyDescent="0.3">
      <c r="A527">
        <v>518</v>
      </c>
      <c r="B527" t="str">
        <f>Permutations!I519</f>
        <v>p71 - i5:i2</v>
      </c>
      <c r="C527" t="str">
        <f>Permutations!J519</f>
        <v>p5 - i2:i4</v>
      </c>
      <c r="D527" t="str">
        <f>Permutations!K519</f>
        <v>p91 - i4:i1</v>
      </c>
      <c r="E527" t="str">
        <f>Permutations!L519</f>
        <v>p11 - i1:i6</v>
      </c>
      <c r="F527" t="str">
        <f>Permutations!M519</f>
        <v>p131 - i6:i3</v>
      </c>
      <c r="G527" s="7">
        <f>VLOOKUP(B527,Vlookup!$A$1:$B$30,2,0)</f>
        <v>1.8243208303594776</v>
      </c>
      <c r="H527" s="7">
        <f>VLOOKUP(C527,Vlookup!$A$1:$B$30,2,0)</f>
        <v>0.9108240498099236</v>
      </c>
      <c r="I527" s="7">
        <f>VLOOKUP(D527,Vlookup!$A$1:$B$30,2,0)</f>
        <v>2.9131157743633094</v>
      </c>
      <c r="J527" s="7">
        <f>VLOOKUP(E527,Vlookup!$A$1:$B$30,2,0)</f>
        <v>1.1613557664474019</v>
      </c>
      <c r="K527" s="7">
        <f>VLOOKUP(F527,Vlookup!$A$1:$B$30,2,0)</f>
        <v>1.4032439022773779</v>
      </c>
      <c r="L527" s="7">
        <f t="shared" si="13"/>
        <v>7.8884539688415147</v>
      </c>
      <c r="M527" s="7">
        <f t="shared" si="14"/>
        <v>4.3240497162372016</v>
      </c>
      <c r="N527" s="7">
        <f t="shared" si="15"/>
        <v>4.7474039768049288</v>
      </c>
      <c r="O527" s="7">
        <f t="shared" si="16"/>
        <v>1.6296653976419875</v>
      </c>
      <c r="P527" s="7">
        <f t="shared" si="17"/>
        <v>1.4032439022773779</v>
      </c>
      <c r="Q527">
        <v>1</v>
      </c>
      <c r="R527" s="7">
        <f t="shared" si="18"/>
        <v>20.992816961803008</v>
      </c>
      <c r="S527" s="7">
        <f>VLOOKUP($A527,Rotations!$A$1:$X$1441,18,0)</f>
        <v>7.7629667357516016E-2</v>
      </c>
      <c r="T527" s="7">
        <f>VLOOKUP($A527,Rotations!$A$1:$X$1441,19,0)</f>
        <v>0.20597758386141915</v>
      </c>
      <c r="U527" s="7">
        <f>VLOOKUP($A527,Rotations!$A$1:$X$1441,20,0)</f>
        <v>4.7635341260752508E-2</v>
      </c>
      <c r="V527" s="7">
        <f>VLOOKUP($A527,Rotations!$A$1:$X$1441,21,0)</f>
        <v>0.22614420853775638</v>
      </c>
      <c r="W527" s="7">
        <f>VLOOKUP($A527,Rotations!$A$1:$X$1441,22,0)</f>
        <v>0.37576919682550308</v>
      </c>
      <c r="X527" s="7">
        <f>VLOOKUP($A527,Rotations!$A$1:$X$1441,23,0)</f>
        <v>6.684400215705294E-2</v>
      </c>
    </row>
    <row r="528" spans="1:24" ht="15.75" customHeight="1" x14ac:dyDescent="0.3">
      <c r="A528">
        <v>519</v>
      </c>
      <c r="B528" t="str">
        <f>Permutations!I520</f>
        <v>p71 - i5:i2</v>
      </c>
      <c r="C528" t="str">
        <f>Permutations!J520</f>
        <v>p5 - i2:i4</v>
      </c>
      <c r="D528" t="str">
        <f>Permutations!K520</f>
        <v>p31 - i4:i3</v>
      </c>
      <c r="E528" t="str">
        <f>Permutations!L520</f>
        <v>p81 - i3:i1</v>
      </c>
      <c r="F528" t="str">
        <f>Permutations!M520</f>
        <v>p11 - i1:i6</v>
      </c>
      <c r="G528" s="7">
        <f>VLOOKUP(B528,Vlookup!$A$1:$B$30,2,0)</f>
        <v>1.8243208303594776</v>
      </c>
      <c r="H528" s="7">
        <f>VLOOKUP(C528,Vlookup!$A$1:$B$30,2,0)</f>
        <v>0.9108240498099236</v>
      </c>
      <c r="I528" s="7">
        <f>VLOOKUP(D528,Vlookup!$A$1:$B$30,2,0)</f>
        <v>2.2388599512381115</v>
      </c>
      <c r="J528" s="7">
        <f>VLOOKUP(E528,Vlookup!$A$1:$B$30,2,0)</f>
        <v>1.7021844231989158</v>
      </c>
      <c r="K528" s="7">
        <f>VLOOKUP(F528,Vlookup!$A$1:$B$30,2,0)</f>
        <v>1.1613557664474019</v>
      </c>
      <c r="L528" s="7">
        <f t="shared" si="13"/>
        <v>7.3541845949218656</v>
      </c>
      <c r="M528" s="7">
        <f t="shared" si="14"/>
        <v>4.0311903874236554</v>
      </c>
      <c r="N528" s="7">
        <f t="shared" si="15"/>
        <v>4.4258717018560381</v>
      </c>
      <c r="O528" s="7">
        <f t="shared" si="16"/>
        <v>1.9768416954390056</v>
      </c>
      <c r="P528" s="7">
        <f t="shared" si="17"/>
        <v>1.1613557664474019</v>
      </c>
      <c r="Q528">
        <v>1</v>
      </c>
      <c r="R528" s="7">
        <f t="shared" si="18"/>
        <v>19.94944414608797</v>
      </c>
      <c r="S528" s="7">
        <f>VLOOKUP($A528,Rotations!$A$1:$X$1441,18,0)</f>
        <v>5.8214943631657051E-2</v>
      </c>
      <c r="T528" s="7">
        <f>VLOOKUP($A528,Rotations!$A$1:$X$1441,19,0)</f>
        <v>0.20207031122790259</v>
      </c>
      <c r="U528" s="7">
        <f>VLOOKUP($A528,Rotations!$A$1:$X$1441,20,0)</f>
        <v>9.9092570247209549E-2</v>
      </c>
      <c r="V528" s="7">
        <f>VLOOKUP($A528,Rotations!$A$1:$X$1441,21,0)</f>
        <v>0.22185438699172674</v>
      </c>
      <c r="W528" s="7">
        <f>VLOOKUP($A528,Rotations!$A$1:$X$1441,22,0)</f>
        <v>0.36864107797028522</v>
      </c>
      <c r="X528" s="7">
        <f>VLOOKUP($A528,Rotations!$A$1:$X$1441,23,0)</f>
        <v>5.012670993121867E-2</v>
      </c>
    </row>
    <row r="529" spans="1:24" ht="15.75" customHeight="1" x14ac:dyDescent="0.3">
      <c r="A529">
        <v>520</v>
      </c>
      <c r="B529" t="str">
        <f>Permutations!I521</f>
        <v>p71 - i5:i2</v>
      </c>
      <c r="C529" t="str">
        <f>Permutations!J521</f>
        <v>p5 - i2:i4</v>
      </c>
      <c r="D529" t="str">
        <f>Permutations!K521</f>
        <v>p31 - i4:i3</v>
      </c>
      <c r="E529" t="str">
        <f>Permutations!L521</f>
        <v>p13 - i3:i6</v>
      </c>
      <c r="F529" t="str">
        <f>Permutations!M521</f>
        <v>p111 - i6:i1</v>
      </c>
      <c r="G529" s="7">
        <f>VLOOKUP(B529,Vlookup!$A$1:$B$30,2,0)</f>
        <v>1.8243208303594776</v>
      </c>
      <c r="H529" s="7">
        <f>VLOOKUP(C529,Vlookup!$A$1:$B$30,2,0)</f>
        <v>0.9108240498099236</v>
      </c>
      <c r="I529" s="7">
        <f>VLOOKUP(D529,Vlookup!$A$1:$B$30,2,0)</f>
        <v>2.2388599512381115</v>
      </c>
      <c r="J529" s="7">
        <f>VLOOKUP(E529,Vlookup!$A$1:$B$30,2,0)</f>
        <v>2.0145521929129111</v>
      </c>
      <c r="K529" s="7">
        <f>VLOOKUP(F529,Vlookup!$A$1:$B$30,2,0)</f>
        <v>1.6397534939100344</v>
      </c>
      <c r="L529" s="7">
        <f t="shared" si="13"/>
        <v>12.289089938298744</v>
      </c>
      <c r="M529" s="7">
        <f t="shared" si="14"/>
        <v>6.7362547934494694</v>
      </c>
      <c r="N529" s="7">
        <f t="shared" si="15"/>
        <v>7.3957805515293886</v>
      </c>
      <c r="O529" s="7">
        <f t="shared" si="16"/>
        <v>3.3033689969930675</v>
      </c>
      <c r="P529" s="7">
        <f t="shared" si="17"/>
        <v>1.6397534939100344</v>
      </c>
      <c r="Q529">
        <v>1</v>
      </c>
      <c r="R529" s="7">
        <f t="shared" si="18"/>
        <v>32.364247774180704</v>
      </c>
      <c r="S529" s="7">
        <f>VLOOKUP($A529,Rotations!$A$1:$X$1441,18,0)</f>
        <v>3.0898292677074737E-2</v>
      </c>
      <c r="T529" s="7">
        <f>VLOOKUP($A529,Rotations!$A$1:$X$1441,19,0)</f>
        <v>0.20813877215534934</v>
      </c>
      <c r="U529" s="7">
        <f>VLOOKUP($A529,Rotations!$A$1:$X$1441,20,0)</f>
        <v>0.10206846208946661</v>
      </c>
      <c r="V529" s="7">
        <f>VLOOKUP($A529,Rotations!$A$1:$X$1441,21,0)</f>
        <v>0.22851699205657228</v>
      </c>
      <c r="W529" s="7">
        <f>VLOOKUP($A529,Rotations!$A$1:$X$1441,22,0)</f>
        <v>0.37971189764844893</v>
      </c>
      <c r="X529" s="7">
        <f>VLOOKUP($A529,Rotations!$A$1:$X$1441,23,0)</f>
        <v>5.066558337308813E-2</v>
      </c>
    </row>
    <row r="530" spans="1:24" ht="15.75" customHeight="1" x14ac:dyDescent="0.3">
      <c r="A530">
        <v>521</v>
      </c>
      <c r="B530" t="str">
        <f>Permutations!I522</f>
        <v>p71 - i5:i2</v>
      </c>
      <c r="C530" t="str">
        <f>Permutations!J522</f>
        <v>p5 - i2:i4</v>
      </c>
      <c r="D530" t="str">
        <f>Permutations!K522</f>
        <v>p14 - i4:i6</v>
      </c>
      <c r="E530" t="str">
        <f>Permutations!L522</f>
        <v>p111 - i6:i1</v>
      </c>
      <c r="F530" t="str">
        <f>Permutations!M522</f>
        <v>p8 - i1:i3</v>
      </c>
      <c r="G530" s="7">
        <f>VLOOKUP(B530,Vlookup!$A$1:$B$30,2,0)</f>
        <v>1.8243208303594776</v>
      </c>
      <c r="H530" s="7">
        <f>VLOOKUP(C530,Vlookup!$A$1:$B$30,2,0)</f>
        <v>0.9108240498099236</v>
      </c>
      <c r="I530" s="7">
        <f>VLOOKUP(D530,Vlookup!$A$1:$B$30,2,0)</f>
        <v>1.478275916473532</v>
      </c>
      <c r="J530" s="7">
        <f>VLOOKUP(E530,Vlookup!$A$1:$B$30,2,0)</f>
        <v>1.6397534939100344</v>
      </c>
      <c r="K530" s="7">
        <f>VLOOKUP(F530,Vlookup!$A$1:$B$30,2,0)</f>
        <v>1.1080774401297739</v>
      </c>
      <c r="L530" s="7">
        <f t="shared" si="13"/>
        <v>4.4631335860738384</v>
      </c>
      <c r="M530" s="7">
        <f t="shared" si="14"/>
        <v>2.4464630956356457</v>
      </c>
      <c r="N530" s="7">
        <f t="shared" si="15"/>
        <v>2.6859886891943496</v>
      </c>
      <c r="O530" s="7">
        <f t="shared" si="16"/>
        <v>1.8169738539756839</v>
      </c>
      <c r="P530" s="7">
        <f t="shared" si="17"/>
        <v>1.1080774401297739</v>
      </c>
      <c r="Q530">
        <v>1</v>
      </c>
      <c r="R530" s="7">
        <f t="shared" si="18"/>
        <v>13.520636665009292</v>
      </c>
      <c r="S530" s="7">
        <f>VLOOKUP($A530,Rotations!$A$1:$X$1441,18,0)</f>
        <v>8.195453125350384E-2</v>
      </c>
      <c r="T530" s="7">
        <f>VLOOKUP($A530,Rotations!$A$1:$X$1441,19,0)</f>
        <v>0.18094289168844879</v>
      </c>
      <c r="U530" s="7">
        <f>VLOOKUP($A530,Rotations!$A$1:$X$1441,20,0)</f>
        <v>7.3961014172353901E-2</v>
      </c>
      <c r="V530" s="7">
        <f>VLOOKUP($A530,Rotations!$A$1:$X$1441,21,0)</f>
        <v>0.19865844750828557</v>
      </c>
      <c r="W530" s="7">
        <f>VLOOKUP($A530,Rotations!$A$1:$X$1441,22,0)</f>
        <v>0.33009788641271587</v>
      </c>
      <c r="X530" s="7">
        <f>VLOOKUP($A530,Rotations!$A$1:$X$1441,23,0)</f>
        <v>0.13438522896469204</v>
      </c>
    </row>
    <row r="531" spans="1:24" ht="15.75" customHeight="1" x14ac:dyDescent="0.3">
      <c r="A531">
        <v>522</v>
      </c>
      <c r="B531" t="str">
        <f>Permutations!I523</f>
        <v>p71 - i5:i2</v>
      </c>
      <c r="C531" t="str">
        <f>Permutations!J523</f>
        <v>p5 - i2:i4</v>
      </c>
      <c r="D531" t="str">
        <f>Permutations!K523</f>
        <v>p14 - i4:i6</v>
      </c>
      <c r="E531" t="str">
        <f>Permutations!L523</f>
        <v>p131 - i6:i3</v>
      </c>
      <c r="F531" t="str">
        <f>Permutations!M523</f>
        <v>p81 - i3:i1</v>
      </c>
      <c r="G531" s="7">
        <f>VLOOKUP(B531,Vlookup!$A$1:$B$30,2,0)</f>
        <v>1.8243208303594776</v>
      </c>
      <c r="H531" s="7">
        <f>VLOOKUP(C531,Vlookup!$A$1:$B$30,2,0)</f>
        <v>0.9108240498099236</v>
      </c>
      <c r="I531" s="7">
        <f>VLOOKUP(D531,Vlookup!$A$1:$B$30,2,0)</f>
        <v>1.478275916473532</v>
      </c>
      <c r="J531" s="7">
        <f>VLOOKUP(E531,Vlookup!$A$1:$B$30,2,0)</f>
        <v>1.4032439022773779</v>
      </c>
      <c r="K531" s="7">
        <f>VLOOKUP(F531,Vlookup!$A$1:$B$30,2,0)</f>
        <v>1.7021844231989158</v>
      </c>
      <c r="L531" s="7">
        <f t="shared" si="13"/>
        <v>5.8672012295343583</v>
      </c>
      <c r="M531" s="7">
        <f t="shared" si="14"/>
        <v>3.2161016482929936</v>
      </c>
      <c r="N531" s="7">
        <f t="shared" si="15"/>
        <v>3.5309801590813823</v>
      </c>
      <c r="O531" s="7">
        <f t="shared" si="16"/>
        <v>2.3885799124054143</v>
      </c>
      <c r="P531" s="7">
        <f t="shared" si="17"/>
        <v>1.7021844231989158</v>
      </c>
      <c r="Q531">
        <v>1</v>
      </c>
      <c r="R531" s="7">
        <f t="shared" si="18"/>
        <v>17.705047372513064</v>
      </c>
      <c r="S531" s="7">
        <f>VLOOKUP($A531,Rotations!$A$1:$X$1441,18,0)</f>
        <v>5.648106887036583E-2</v>
      </c>
      <c r="T531" s="7">
        <f>VLOOKUP($A531,Rotations!$A$1:$X$1441,19,0)</f>
        <v>0.18164885869133365</v>
      </c>
      <c r="U531" s="7">
        <f>VLOOKUP($A531,Rotations!$A$1:$X$1441,20,0)</f>
        <v>9.6141195636761906E-2</v>
      </c>
      <c r="V531" s="7">
        <f>VLOOKUP($A531,Rotations!$A$1:$X$1441,21,0)</f>
        <v>0.19943353354497084</v>
      </c>
      <c r="W531" s="7">
        <f>VLOOKUP($A531,Rotations!$A$1:$X$1441,22,0)</f>
        <v>0.33138579672162516</v>
      </c>
      <c r="X531" s="7">
        <f>VLOOKUP($A531,Rotations!$A$1:$X$1441,23,0)</f>
        <v>0.13490954653494258</v>
      </c>
    </row>
    <row r="532" spans="1:24" ht="15.75" customHeight="1" x14ac:dyDescent="0.3">
      <c r="A532">
        <v>523</v>
      </c>
      <c r="B532" t="str">
        <f>Permutations!I524</f>
        <v>p71 - i5:i2</v>
      </c>
      <c r="C532" t="str">
        <f>Permutations!J524</f>
        <v>p12 - i2:i6</v>
      </c>
      <c r="D532" t="str">
        <f>Permutations!K524</f>
        <v>p111 - i6:i1</v>
      </c>
      <c r="E532" t="str">
        <f>Permutations!L524</f>
        <v>p8 - i1:i3</v>
      </c>
      <c r="F532" t="str">
        <f>Permutations!M524</f>
        <v>p3 - i3:i4</v>
      </c>
      <c r="G532" s="7">
        <f>VLOOKUP(B532,Vlookup!$A$1:$B$30,2,0)</f>
        <v>1.8243208303594776</v>
      </c>
      <c r="H532" s="7">
        <f>VLOOKUP(C532,Vlookup!$A$1:$B$30,2,0)</f>
        <v>1.3354555559520354</v>
      </c>
      <c r="I532" s="7">
        <f>VLOOKUP(D532,Vlookup!$A$1:$B$30,2,0)</f>
        <v>1.6397534939100344</v>
      </c>
      <c r="J532" s="7">
        <f>VLOOKUP(E532,Vlookup!$A$1:$B$30,2,0)</f>
        <v>1.1080774401297739</v>
      </c>
      <c r="K532" s="7">
        <f>VLOOKUP(F532,Vlookup!$A$1:$B$30,2,0)</f>
        <v>1.4338636587362954</v>
      </c>
      <c r="L532" s="7">
        <f t="shared" si="13"/>
        <v>6.3472732027555825</v>
      </c>
      <c r="M532" s="7">
        <f t="shared" si="14"/>
        <v>3.4792527153816848</v>
      </c>
      <c r="N532" s="7">
        <f t="shared" si="15"/>
        <v>2.6052927780897615</v>
      </c>
      <c r="O532" s="7">
        <f t="shared" si="16"/>
        <v>1.5888319724676261</v>
      </c>
      <c r="P532" s="7">
        <f t="shared" si="17"/>
        <v>1.4338636587362954</v>
      </c>
      <c r="Q532">
        <v>1</v>
      </c>
      <c r="R532" s="7">
        <f t="shared" si="18"/>
        <v>16.45451432743095</v>
      </c>
      <c r="S532" s="7">
        <f>VLOOKUP($A532,Rotations!$A$1:$X$1441,18,0)</f>
        <v>9.6559031816510085E-2</v>
      </c>
      <c r="T532" s="7">
        <f>VLOOKUP($A532,Rotations!$A$1:$X$1441,19,0)</f>
        <v>0.21144669761425294</v>
      </c>
      <c r="U532" s="7">
        <f>VLOOKUP($A532,Rotations!$A$1:$X$1441,20,0)</f>
        <v>8.7141050182558938E-2</v>
      </c>
      <c r="V532" s="7">
        <f>VLOOKUP($A532,Rotations!$A$1:$X$1441,21,0)</f>
        <v>6.0773595628582158E-2</v>
      </c>
      <c r="W532" s="7">
        <f>VLOOKUP($A532,Rotations!$A$1:$X$1441,22,0)</f>
        <v>0.38574661496840335</v>
      </c>
      <c r="X532" s="7">
        <f>VLOOKUP($A532,Rotations!$A$1:$X$1441,23,0)</f>
        <v>0.15833300978969259</v>
      </c>
    </row>
    <row r="533" spans="1:24" ht="15.75" customHeight="1" x14ac:dyDescent="0.3">
      <c r="A533">
        <v>524</v>
      </c>
      <c r="B533" t="str">
        <f>Permutations!I525</f>
        <v>p71 - i5:i2</v>
      </c>
      <c r="C533" t="str">
        <f>Permutations!J525</f>
        <v>p12 - i2:i6</v>
      </c>
      <c r="D533" t="str">
        <f>Permutations!K525</f>
        <v>p111 - i6:i1</v>
      </c>
      <c r="E533" t="str">
        <f>Permutations!L525</f>
        <v>p9 - i1:i4</v>
      </c>
      <c r="F533" t="str">
        <f>Permutations!M525</f>
        <v>p31 - i4:i3</v>
      </c>
      <c r="G533" s="7">
        <f>VLOOKUP(B533,Vlookup!$A$1:$B$30,2,0)</f>
        <v>1.8243208303594776</v>
      </c>
      <c r="H533" s="7">
        <f>VLOOKUP(C533,Vlookup!$A$1:$B$30,2,0)</f>
        <v>1.3354555559520354</v>
      </c>
      <c r="I533" s="7">
        <f>VLOOKUP(D533,Vlookup!$A$1:$B$30,2,0)</f>
        <v>1.6397534939100344</v>
      </c>
      <c r="J533" s="7">
        <f>VLOOKUP(E533,Vlookup!$A$1:$B$30,2,0)</f>
        <v>1.2538815092968505</v>
      </c>
      <c r="K533" s="7">
        <f>VLOOKUP(F533,Vlookup!$A$1:$B$30,2,0)</f>
        <v>2.2388599512381115</v>
      </c>
      <c r="L533" s="7">
        <f t="shared" si="13"/>
        <v>11.214828765904363</v>
      </c>
      <c r="M533" s="7">
        <f t="shared" si="14"/>
        <v>6.1473993933920665</v>
      </c>
      <c r="N533" s="7">
        <f t="shared" si="15"/>
        <v>4.6032227474688483</v>
      </c>
      <c r="O533" s="7">
        <f t="shared" si="16"/>
        <v>2.8072650947627165</v>
      </c>
      <c r="P533" s="7">
        <f t="shared" si="17"/>
        <v>2.2388599512381115</v>
      </c>
      <c r="Q533">
        <v>1</v>
      </c>
      <c r="R533" s="7">
        <f t="shared" si="18"/>
        <v>28.011575952766105</v>
      </c>
      <c r="S533" s="7">
        <f>VLOOKUP($A533,Rotations!$A$1:$X$1441,18,0)</f>
        <v>0.10021803484018195</v>
      </c>
      <c r="T533" s="7">
        <f>VLOOKUP($A533,Rotations!$A$1:$X$1441,19,0)</f>
        <v>0.2194592479822621</v>
      </c>
      <c r="U533" s="7">
        <f>VLOOKUP($A533,Rotations!$A$1:$X$1441,20,0)</f>
        <v>3.5699526570237519E-2</v>
      </c>
      <c r="V533" s="7">
        <f>VLOOKUP($A533,Rotations!$A$1:$X$1441,21,0)</f>
        <v>7.9926240316265648E-2</v>
      </c>
      <c r="W533" s="7">
        <f>VLOOKUP($A533,Rotations!$A$1:$X$1441,22,0)</f>
        <v>0.40036407750906688</v>
      </c>
      <c r="X533" s="7">
        <f>VLOOKUP($A533,Rotations!$A$1:$X$1441,23,0)</f>
        <v>0.16433287278198591</v>
      </c>
    </row>
    <row r="534" spans="1:24" ht="15.75" customHeight="1" x14ac:dyDescent="0.3">
      <c r="A534">
        <v>525</v>
      </c>
      <c r="B534" t="str">
        <f>Permutations!I526</f>
        <v>p71 - i5:i2</v>
      </c>
      <c r="C534" t="str">
        <f>Permutations!J526</f>
        <v>p12 - i2:i6</v>
      </c>
      <c r="D534" t="str">
        <f>Permutations!K526</f>
        <v>p131 - i6:i3</v>
      </c>
      <c r="E534" t="str">
        <f>Permutations!L526</f>
        <v>p81 - i3:i1</v>
      </c>
      <c r="F534" t="str">
        <f>Permutations!M526</f>
        <v>p9 - i1:i4</v>
      </c>
      <c r="G534" s="7">
        <f>VLOOKUP(B534,Vlookup!$A$1:$B$30,2,0)</f>
        <v>1.8243208303594776</v>
      </c>
      <c r="H534" s="7">
        <f>VLOOKUP(C534,Vlookup!$A$1:$B$30,2,0)</f>
        <v>1.3354555559520354</v>
      </c>
      <c r="I534" s="7">
        <f>VLOOKUP(D534,Vlookup!$A$1:$B$30,2,0)</f>
        <v>1.4032439022773779</v>
      </c>
      <c r="J534" s="7">
        <f>VLOOKUP(E534,Vlookup!$A$1:$B$30,2,0)</f>
        <v>1.7021844231989158</v>
      </c>
      <c r="K534" s="7">
        <f>VLOOKUP(F534,Vlookup!$A$1:$B$30,2,0)</f>
        <v>1.2538815092968505</v>
      </c>
      <c r="L534" s="7">
        <f t="shared" si="13"/>
        <v>7.2967073763685422</v>
      </c>
      <c r="M534" s="7">
        <f t="shared" si="14"/>
        <v>3.999684296172151</v>
      </c>
      <c r="N534" s="7">
        <f t="shared" si="15"/>
        <v>2.99499618564304</v>
      </c>
      <c r="O534" s="7">
        <f t="shared" si="16"/>
        <v>2.1343375736622456</v>
      </c>
      <c r="P534" s="7">
        <f t="shared" si="17"/>
        <v>1.2538815092968505</v>
      </c>
      <c r="Q534">
        <v>1</v>
      </c>
      <c r="R534" s="7">
        <f t="shared" si="18"/>
        <v>18.679606941142829</v>
      </c>
      <c r="S534" s="7">
        <f>VLOOKUP($A534,Rotations!$A$1:$X$1441,18,0)</f>
        <v>6.7125690237898411E-2</v>
      </c>
      <c r="T534" s="7">
        <f>VLOOKUP($A534,Rotations!$A$1:$X$1441,19,0)</f>
        <v>0.21412036713484764</v>
      </c>
      <c r="U534" s="7">
        <f>VLOOKUP($A534,Rotations!$A$1:$X$1441,20,0)</f>
        <v>0.1142603043194262</v>
      </c>
      <c r="V534" s="7">
        <f>VLOOKUP($A534,Rotations!$A$1:$X$1441,21,0)</f>
        <v>5.3534317030913894E-2</v>
      </c>
      <c r="W534" s="7">
        <f>VLOOKUP($A534,Rotations!$A$1:$X$1441,22,0)</f>
        <v>0.39062424596832152</v>
      </c>
      <c r="X534" s="7">
        <f>VLOOKUP($A534,Rotations!$A$1:$X$1441,23,0)</f>
        <v>0.16033507530859237</v>
      </c>
    </row>
    <row r="535" spans="1:24" ht="15.75" customHeight="1" x14ac:dyDescent="0.3">
      <c r="A535">
        <v>526</v>
      </c>
      <c r="B535" t="str">
        <f>Permutations!I527</f>
        <v>p71 - i5:i2</v>
      </c>
      <c r="C535" t="str">
        <f>Permutations!J527</f>
        <v>p12 - i2:i6</v>
      </c>
      <c r="D535" t="str">
        <f>Permutations!K527</f>
        <v>p131 - i6:i3</v>
      </c>
      <c r="E535" t="str">
        <f>Permutations!L527</f>
        <v>p3 - i3:i4</v>
      </c>
      <c r="F535" t="str">
        <f>Permutations!M527</f>
        <v>p91 - i4:i1</v>
      </c>
      <c r="G535" s="7">
        <f>VLOOKUP(B535,Vlookup!$A$1:$B$30,2,0)</f>
        <v>1.8243208303594776</v>
      </c>
      <c r="H535" s="7">
        <f>VLOOKUP(C535,Vlookup!$A$1:$B$30,2,0)</f>
        <v>1.3354555559520354</v>
      </c>
      <c r="I535" s="7">
        <f>VLOOKUP(D535,Vlookup!$A$1:$B$30,2,0)</f>
        <v>1.4032439022773779</v>
      </c>
      <c r="J535" s="7">
        <f>VLOOKUP(E535,Vlookup!$A$1:$B$30,2,0)</f>
        <v>1.4338636587362954</v>
      </c>
      <c r="K535" s="7">
        <f>VLOOKUP(F535,Vlookup!$A$1:$B$30,2,0)</f>
        <v>2.9131157743633094</v>
      </c>
      <c r="L535" s="7">
        <f t="shared" si="13"/>
        <v>14.280039953434445</v>
      </c>
      <c r="M535" s="7">
        <f t="shared" si="14"/>
        <v>7.82759244744281</v>
      </c>
      <c r="N535" s="7">
        <f t="shared" si="15"/>
        <v>5.8613649945561717</v>
      </c>
      <c r="O535" s="7">
        <f t="shared" si="16"/>
        <v>4.1770108425509909</v>
      </c>
      <c r="P535" s="7">
        <f t="shared" si="17"/>
        <v>2.9131157743633094</v>
      </c>
      <c r="Q535">
        <v>1</v>
      </c>
      <c r="R535" s="7">
        <f t="shared" si="18"/>
        <v>36.059124012347731</v>
      </c>
      <c r="S535" s="7">
        <f>VLOOKUP($A535,Rotations!$A$1:$X$1441,18,0)</f>
        <v>2.7732232198917808E-2</v>
      </c>
      <c r="T535" s="7">
        <f>VLOOKUP($A535,Rotations!$A$1:$X$1441,19,0)</f>
        <v>0.21707661131097933</v>
      </c>
      <c r="U535" s="7">
        <f>VLOOKUP($A535,Rotations!$A$1:$X$1441,20,0)</f>
        <v>0.11583783458302138</v>
      </c>
      <c r="V535" s="7">
        <f>VLOOKUP($A535,Rotations!$A$1:$X$1441,21,0)</f>
        <v>8.0787203076973554E-2</v>
      </c>
      <c r="W535" s="7">
        <f>VLOOKUP($A535,Rotations!$A$1:$X$1441,22,0)</f>
        <v>0.39601738379846746</v>
      </c>
      <c r="X535" s="7">
        <f>VLOOKUP($A535,Rotations!$A$1:$X$1441,23,0)</f>
        <v>0.16254873503164036</v>
      </c>
    </row>
    <row r="536" spans="1:24" ht="15.75" customHeight="1" x14ac:dyDescent="0.3">
      <c r="A536">
        <v>527</v>
      </c>
      <c r="B536" t="str">
        <f>Permutations!I528</f>
        <v>p71 - i5:i2</v>
      </c>
      <c r="C536" t="str">
        <f>Permutations!J528</f>
        <v>p12 - i2:i6</v>
      </c>
      <c r="D536" t="str">
        <f>Permutations!K528</f>
        <v>p141 - i6:i4</v>
      </c>
      <c r="E536" t="str">
        <f>Permutations!L528</f>
        <v>p91 - i4:i1</v>
      </c>
      <c r="F536" t="str">
        <f>Permutations!M528</f>
        <v>p8 - i1:i3</v>
      </c>
      <c r="G536" s="7">
        <f>VLOOKUP(B536,Vlookup!$A$1:$B$30,2,0)</f>
        <v>1.8243208303594776</v>
      </c>
      <c r="H536" s="7">
        <f>VLOOKUP(C536,Vlookup!$A$1:$B$30,2,0)</f>
        <v>1.3354555559520354</v>
      </c>
      <c r="I536" s="7">
        <f>VLOOKUP(D536,Vlookup!$A$1:$B$30,2,0)</f>
        <v>0.88688155974910687</v>
      </c>
      <c r="J536" s="7">
        <f>VLOOKUP(E536,Vlookup!$A$1:$B$30,2,0)</f>
        <v>2.9131157743633094</v>
      </c>
      <c r="K536" s="7">
        <f>VLOOKUP(F536,Vlookup!$A$1:$B$30,2,0)</f>
        <v>1.1080774401297739</v>
      </c>
      <c r="L536" s="7">
        <f t="shared" si="13"/>
        <v>6.9746776276009745</v>
      </c>
      <c r="M536" s="7">
        <f t="shared" si="14"/>
        <v>3.8231639476629953</v>
      </c>
      <c r="N536" s="7">
        <f t="shared" si="15"/>
        <v>2.8628163106015858</v>
      </c>
      <c r="O536" s="7">
        <f t="shared" si="16"/>
        <v>3.2279578700581602</v>
      </c>
      <c r="P536" s="7">
        <f t="shared" si="17"/>
        <v>1.1080774401297739</v>
      </c>
      <c r="Q536">
        <v>1</v>
      </c>
      <c r="R536" s="7">
        <f t="shared" si="18"/>
        <v>18.996693196053489</v>
      </c>
      <c r="S536" s="7">
        <f>VLOOKUP($A536,Rotations!$A$1:$X$1441,18,0)</f>
        <v>5.8330017161090646E-2</v>
      </c>
      <c r="T536" s="7">
        <f>VLOOKUP($A536,Rotations!$A$1:$X$1441,19,0)</f>
        <v>0.20125418188346839</v>
      </c>
      <c r="U536" s="7">
        <f>VLOOKUP($A536,Rotations!$A$1:$X$1441,20,0)</f>
        <v>5.2640740663630198E-2</v>
      </c>
      <c r="V536" s="7">
        <f>VLOOKUP($A536,Rotations!$A$1:$X$1441,21,0)</f>
        <v>0.16992209311085571</v>
      </c>
      <c r="W536" s="7">
        <f>VLOOKUP($A536,Rotations!$A$1:$X$1441,22,0)</f>
        <v>0.36715219620696643</v>
      </c>
      <c r="X536" s="7">
        <f>VLOOKUP($A536,Rotations!$A$1:$X$1441,23,0)</f>
        <v>0.15070077097398868</v>
      </c>
    </row>
    <row r="537" spans="1:24" ht="15.75" customHeight="1" x14ac:dyDescent="0.3">
      <c r="A537">
        <v>528</v>
      </c>
      <c r="B537" t="str">
        <f>Permutations!I529</f>
        <v>p71 - i5:i2</v>
      </c>
      <c r="C537" t="str">
        <f>Permutations!J529</f>
        <v>p12 - i2:i6</v>
      </c>
      <c r="D537" t="str">
        <f>Permutations!K529</f>
        <v>p141 - i6:i4</v>
      </c>
      <c r="E537" t="str">
        <f>Permutations!L529</f>
        <v>p31 - i4:i3</v>
      </c>
      <c r="F537" t="str">
        <f>Permutations!M529</f>
        <v>p81 - i3:i1</v>
      </c>
      <c r="G537" s="7">
        <f>VLOOKUP(B537,Vlookup!$A$1:$B$30,2,0)</f>
        <v>1.8243208303594776</v>
      </c>
      <c r="H537" s="7">
        <f>VLOOKUP(C537,Vlookup!$A$1:$B$30,2,0)</f>
        <v>1.3354555559520354</v>
      </c>
      <c r="I537" s="7">
        <f>VLOOKUP(D537,Vlookup!$A$1:$B$30,2,0)</f>
        <v>0.88688155974910687</v>
      </c>
      <c r="J537" s="7">
        <f>VLOOKUP(E537,Vlookup!$A$1:$B$30,2,0)</f>
        <v>2.2388599512381115</v>
      </c>
      <c r="K537" s="7">
        <f>VLOOKUP(F537,Vlookup!$A$1:$B$30,2,0)</f>
        <v>1.7021844231989158</v>
      </c>
      <c r="L537" s="7">
        <f t="shared" si="13"/>
        <v>8.2343594476007365</v>
      </c>
      <c r="M537" s="7">
        <f t="shared" si="14"/>
        <v>4.5136575269922101</v>
      </c>
      <c r="N537" s="7">
        <f t="shared" si="15"/>
        <v>3.3798635281235256</v>
      </c>
      <c r="O537" s="7">
        <f t="shared" si="16"/>
        <v>3.8109525347213977</v>
      </c>
      <c r="P537" s="7">
        <f t="shared" si="17"/>
        <v>1.7021844231989158</v>
      </c>
      <c r="Q537">
        <v>1</v>
      </c>
      <c r="R537" s="7">
        <f t="shared" si="18"/>
        <v>22.641017460636785</v>
      </c>
      <c r="S537" s="7">
        <f>VLOOKUP($A537,Rotations!$A$1:$X$1441,18,0)</f>
        <v>4.4167626377152873E-2</v>
      </c>
      <c r="T537" s="7">
        <f>VLOOKUP($A537,Rotations!$A$1:$X$1441,19,0)</f>
        <v>0.19935753924661573</v>
      </c>
      <c r="U537" s="7">
        <f>VLOOKUP($A537,Rotations!$A$1:$X$1441,20,0)</f>
        <v>7.5181445628859186E-2</v>
      </c>
      <c r="V537" s="7">
        <f>VLOOKUP($A537,Rotations!$A$1:$X$1441,21,0)</f>
        <v>0.16832072769463841</v>
      </c>
      <c r="W537" s="7">
        <f>VLOOKUP($A537,Rotations!$A$1:$X$1441,22,0)</f>
        <v>0.36369211153680825</v>
      </c>
      <c r="X537" s="7">
        <f>VLOOKUP($A537,Rotations!$A$1:$X$1441,23,0)</f>
        <v>0.14928054951592559</v>
      </c>
    </row>
    <row r="538" spans="1:24" ht="15.75" customHeight="1" x14ac:dyDescent="0.3">
      <c r="A538">
        <v>529</v>
      </c>
      <c r="B538" t="str">
        <f>Permutations!I530</f>
        <v>p61 - i5:i3</v>
      </c>
      <c r="C538" t="str">
        <f>Permutations!J530</f>
        <v>p81 - i3:i1</v>
      </c>
      <c r="D538" t="str">
        <f>Permutations!K530</f>
        <v>p1 - i1:i2</v>
      </c>
      <c r="E538" t="str">
        <f>Permutations!L530</f>
        <v>p5 - i2:i4</v>
      </c>
      <c r="F538" t="str">
        <f>Permutations!M530</f>
        <v>p14 - i4:i6</v>
      </c>
      <c r="G538" s="7">
        <f>VLOOKUP(B538,Vlookup!$A$1:$B$30,2,0)</f>
        <v>1.9746367445127702</v>
      </c>
      <c r="H538" s="7">
        <f>VLOOKUP(C538,Vlookup!$A$1:$B$30,2,0)</f>
        <v>1.7021844231989158</v>
      </c>
      <c r="I538" s="7">
        <f>VLOOKUP(D538,Vlookup!$A$1:$B$30,2,0)</f>
        <v>1.6373343116675814</v>
      </c>
      <c r="J538" s="7">
        <f>VLOOKUP(E538,Vlookup!$A$1:$B$30,2,0)</f>
        <v>0.9108240498099236</v>
      </c>
      <c r="K538" s="7">
        <f>VLOOKUP(F538,Vlookup!$A$1:$B$30,2,0)</f>
        <v>1.478275916473532</v>
      </c>
      <c r="L538" s="7">
        <f t="shared" si="13"/>
        <v>7.4100507102434623</v>
      </c>
      <c r="M538" s="7">
        <f t="shared" si="14"/>
        <v>3.7526146167566878</v>
      </c>
      <c r="N538" s="7">
        <f t="shared" si="15"/>
        <v>2.2045875673708717</v>
      </c>
      <c r="O538" s="7">
        <f t="shared" si="16"/>
        <v>1.3464492569788988</v>
      </c>
      <c r="P538" s="7">
        <f t="shared" si="17"/>
        <v>1.478275916473532</v>
      </c>
      <c r="Q538">
        <v>1</v>
      </c>
      <c r="R538" s="7">
        <f t="shared" si="18"/>
        <v>17.191978067823452</v>
      </c>
      <c r="S538" s="7">
        <f>VLOOKUP($A538,Rotations!$A$1:$X$1441,18,0)</f>
        <v>0.128233502780985</v>
      </c>
      <c r="T538" s="7">
        <f>VLOOKUP($A538,Rotations!$A$1:$X$1441,19,0)</f>
        <v>7.8318460602210552E-2</v>
      </c>
      <c r="U538" s="7">
        <f>VLOOKUP($A538,Rotations!$A$1:$X$1441,20,0)</f>
        <v>0.2182770709660275</v>
      </c>
      <c r="V538" s="7">
        <f>VLOOKUP($A538,Rotations!$A$1:$X$1441,21,0)</f>
        <v>8.5986377521053078E-2</v>
      </c>
      <c r="W538" s="7">
        <f>VLOOKUP($A538,Rotations!$A$1:$X$1441,22,0)</f>
        <v>0.43101792481413942</v>
      </c>
      <c r="X538" s="7">
        <f>VLOOKUP($A538,Rotations!$A$1:$X$1441,23,0)</f>
        <v>5.8166663315584517E-2</v>
      </c>
    </row>
    <row r="539" spans="1:24" ht="15.75" customHeight="1" x14ac:dyDescent="0.3">
      <c r="A539">
        <v>530</v>
      </c>
      <c r="B539" t="str">
        <f>Permutations!I531</f>
        <v>p61 - i5:i3</v>
      </c>
      <c r="C539" t="str">
        <f>Permutations!J531</f>
        <v>p81 - i3:i1</v>
      </c>
      <c r="D539" t="str">
        <f>Permutations!K531</f>
        <v>p1 - i1:i2</v>
      </c>
      <c r="E539" t="str">
        <f>Permutations!L531</f>
        <v>p12 - i2:i6</v>
      </c>
      <c r="F539" t="str">
        <f>Permutations!M531</f>
        <v>p141 - i6:i4</v>
      </c>
      <c r="G539" s="7">
        <f>VLOOKUP(B539,Vlookup!$A$1:$B$30,2,0)</f>
        <v>1.9746367445127702</v>
      </c>
      <c r="H539" s="7">
        <f>VLOOKUP(C539,Vlookup!$A$1:$B$30,2,0)</f>
        <v>1.7021844231989158</v>
      </c>
      <c r="I539" s="7">
        <f>VLOOKUP(D539,Vlookup!$A$1:$B$30,2,0)</f>
        <v>1.6373343116675814</v>
      </c>
      <c r="J539" s="7">
        <f>VLOOKUP(E539,Vlookup!$A$1:$B$30,2,0)</f>
        <v>1.3354555559520354</v>
      </c>
      <c r="K539" s="7">
        <f>VLOOKUP(F539,Vlookup!$A$1:$B$30,2,0)</f>
        <v>0.88688155974910687</v>
      </c>
      <c r="L539" s="7">
        <f t="shared" si="13"/>
        <v>6.5181785588797343</v>
      </c>
      <c r="M539" s="7">
        <f t="shared" si="14"/>
        <v>3.3009507075125639</v>
      </c>
      <c r="N539" s="7">
        <f t="shared" si="15"/>
        <v>1.9392438695385814</v>
      </c>
      <c r="O539" s="7">
        <f t="shared" si="16"/>
        <v>1.1843909064383518</v>
      </c>
      <c r="P539" s="7">
        <f t="shared" si="17"/>
        <v>0.88688155974910687</v>
      </c>
      <c r="Q539">
        <v>1</v>
      </c>
      <c r="R539" s="7">
        <f t="shared" si="18"/>
        <v>14.829645602118338</v>
      </c>
      <c r="S539" s="7">
        <f>VLOOKUP($A539,Rotations!$A$1:$X$1441,18,0)</f>
        <v>0.13076805215504073</v>
      </c>
      <c r="T539" s="7">
        <f>VLOOKUP($A539,Rotations!$A$1:$X$1441,19,0)</f>
        <v>7.9866433643509843E-2</v>
      </c>
      <c r="U539" s="7">
        <f>VLOOKUP($A539,Rotations!$A$1:$X$1441,20,0)</f>
        <v>0.22259134143037376</v>
      </c>
      <c r="V539" s="7">
        <f>VLOOKUP($A539,Rotations!$A$1:$X$1441,21,0)</f>
        <v>6.7432494803325249E-2</v>
      </c>
      <c r="W539" s="7">
        <f>VLOOKUP($A539,Rotations!$A$1:$X$1441,22,0)</f>
        <v>0.43953704179880376</v>
      </c>
      <c r="X539" s="7">
        <f>VLOOKUP($A539,Rotations!$A$1:$X$1441,23,0)</f>
        <v>5.9804636168946643E-2</v>
      </c>
    </row>
    <row r="540" spans="1:24" ht="15.75" customHeight="1" x14ac:dyDescent="0.3">
      <c r="A540">
        <v>531</v>
      </c>
      <c r="B540" t="str">
        <f>Permutations!I532</f>
        <v>p61 - i5:i3</v>
      </c>
      <c r="C540" t="str">
        <f>Permutations!J532</f>
        <v>p81 - i3:i1</v>
      </c>
      <c r="D540" t="str">
        <f>Permutations!K532</f>
        <v>p9 - i1:i4</v>
      </c>
      <c r="E540" t="str">
        <f>Permutations!L532</f>
        <v>p51 - i4:i2</v>
      </c>
      <c r="F540" t="str">
        <f>Permutations!M532</f>
        <v>p12 - i2:i6</v>
      </c>
      <c r="G540" s="7">
        <f>VLOOKUP(B540,Vlookup!$A$1:$B$30,2,0)</f>
        <v>1.9746367445127702</v>
      </c>
      <c r="H540" s="7">
        <f>VLOOKUP(C540,Vlookup!$A$1:$B$30,2,0)</f>
        <v>1.7021844231989158</v>
      </c>
      <c r="I540" s="7">
        <f>VLOOKUP(D540,Vlookup!$A$1:$B$30,2,0)</f>
        <v>1.2538815092968505</v>
      </c>
      <c r="J540" s="7">
        <f>VLOOKUP(E540,Vlookup!$A$1:$B$30,2,0)</f>
        <v>1.4376356077157479</v>
      </c>
      <c r="K540" s="7">
        <f>VLOOKUP(F540,Vlookup!$A$1:$B$30,2,0)</f>
        <v>1.3354555559520354</v>
      </c>
      <c r="L540" s="7">
        <f t="shared" si="13"/>
        <v>8.0914915388921074</v>
      </c>
      <c r="M540" s="7">
        <f t="shared" si="14"/>
        <v>4.097711420278789</v>
      </c>
      <c r="N540" s="7">
        <f t="shared" si="15"/>
        <v>2.4073251784186569</v>
      </c>
      <c r="O540" s="7">
        <f t="shared" si="16"/>
        <v>1.9198984597584763</v>
      </c>
      <c r="P540" s="7">
        <f t="shared" si="17"/>
        <v>1.3354555559520354</v>
      </c>
      <c r="Q540">
        <v>1</v>
      </c>
      <c r="R540" s="7">
        <f t="shared" si="18"/>
        <v>18.85188215330006</v>
      </c>
      <c r="S540" s="7">
        <f>VLOOKUP($A540,Rotations!$A$1:$X$1441,18,0)</f>
        <v>0.12769680814057335</v>
      </c>
      <c r="T540" s="7">
        <f>VLOOKUP($A540,Rotations!$A$1:$X$1441,19,0)</f>
        <v>7.0839375352145476E-2</v>
      </c>
      <c r="U540" s="7">
        <f>VLOOKUP($A540,Rotations!$A$1:$X$1441,20,0)</f>
        <v>0.2173635177091045</v>
      </c>
      <c r="V540" s="7">
        <f>VLOOKUP($A540,Rotations!$A$1:$X$1441,21,0)</f>
        <v>0.10184120843458562</v>
      </c>
      <c r="W540" s="7">
        <f>VLOOKUP($A540,Rotations!$A$1:$X$1441,22,0)</f>
        <v>0.42921398898495</v>
      </c>
      <c r="X540" s="7">
        <f>VLOOKUP($A540,Rotations!$A$1:$X$1441,23,0)</f>
        <v>5.3045101378641282E-2</v>
      </c>
    </row>
    <row r="541" spans="1:24" ht="15.75" customHeight="1" x14ac:dyDescent="0.3">
      <c r="A541">
        <v>532</v>
      </c>
      <c r="B541" t="str">
        <f>Permutations!I533</f>
        <v>p61 - i5:i3</v>
      </c>
      <c r="C541" t="str">
        <f>Permutations!J533</f>
        <v>p81 - i3:i1</v>
      </c>
      <c r="D541" t="str">
        <f>Permutations!K533</f>
        <v>p9 - i1:i4</v>
      </c>
      <c r="E541" t="str">
        <f>Permutations!L533</f>
        <v>p14 - i4:i6</v>
      </c>
      <c r="F541" t="str">
        <f>Permutations!M533</f>
        <v>p121 - i6:i2</v>
      </c>
      <c r="G541" s="7">
        <f>VLOOKUP(B541,Vlookup!$A$1:$B$30,2,0)</f>
        <v>1.9746367445127702</v>
      </c>
      <c r="H541" s="7">
        <f>VLOOKUP(C541,Vlookup!$A$1:$B$30,2,0)</f>
        <v>1.7021844231989158</v>
      </c>
      <c r="I541" s="7">
        <f>VLOOKUP(D541,Vlookup!$A$1:$B$30,2,0)</f>
        <v>1.2538815092968505</v>
      </c>
      <c r="J541" s="7">
        <f>VLOOKUP(E541,Vlookup!$A$1:$B$30,2,0)</f>
        <v>1.478275916473532</v>
      </c>
      <c r="K541" s="7">
        <f>VLOOKUP(F541,Vlookup!$A$1:$B$30,2,0)</f>
        <v>1.2419340531937677</v>
      </c>
      <c r="L541" s="7">
        <f t="shared" si="13"/>
        <v>7.7375659040227234</v>
      </c>
      <c r="M541" s="7">
        <f t="shared" si="14"/>
        <v>3.9184756009044706</v>
      </c>
      <c r="N541" s="7">
        <f t="shared" si="15"/>
        <v>2.3020276460646238</v>
      </c>
      <c r="O541" s="7">
        <f t="shared" si="16"/>
        <v>1.8359212006847052</v>
      </c>
      <c r="P541" s="7">
        <f t="shared" si="17"/>
        <v>1.2419340531937677</v>
      </c>
      <c r="Q541">
        <v>1</v>
      </c>
      <c r="R541" s="7">
        <f t="shared" si="18"/>
        <v>18.03592440487029</v>
      </c>
      <c r="S541" s="7">
        <f>VLOOKUP($A541,Rotations!$A$1:$X$1441,18,0)</f>
        <v>0.12763568943785333</v>
      </c>
      <c r="T541" s="7">
        <f>VLOOKUP($A541,Rotations!$A$1:$X$1441,19,0)</f>
        <v>5.5444898611904096E-2</v>
      </c>
      <c r="U541" s="7">
        <f>VLOOKUP($A541,Rotations!$A$1:$X$1441,20,0)</f>
        <v>0.21725948240536835</v>
      </c>
      <c r="V541" s="7">
        <f>VLOOKUP($A541,Rotations!$A$1:$X$1441,21,0)</f>
        <v>0.10179246483140872</v>
      </c>
      <c r="W541" s="7">
        <f>VLOOKUP($A541,Rotations!$A$1:$X$1441,22,0)</f>
        <v>0.42900855705146596</v>
      </c>
      <c r="X541" s="7">
        <f>VLOOKUP($A541,Rotations!$A$1:$X$1441,23,0)</f>
        <v>6.8858907661999563E-2</v>
      </c>
    </row>
    <row r="542" spans="1:24" ht="15.75" customHeight="1" x14ac:dyDescent="0.3">
      <c r="A542">
        <v>533</v>
      </c>
      <c r="B542" t="str">
        <f>Permutations!I534</f>
        <v>p61 - i5:i3</v>
      </c>
      <c r="C542" t="str">
        <f>Permutations!J534</f>
        <v>p81 - i3:i1</v>
      </c>
      <c r="D542" t="str">
        <f>Permutations!K534</f>
        <v>p11 - i1:i6</v>
      </c>
      <c r="E542" t="str">
        <f>Permutations!L534</f>
        <v>p121 - i6:i2</v>
      </c>
      <c r="F542" t="str">
        <f>Permutations!M534</f>
        <v>p5 - i2:i4</v>
      </c>
      <c r="G542" s="7">
        <f>VLOOKUP(B542,Vlookup!$A$1:$B$30,2,0)</f>
        <v>1.9746367445127702</v>
      </c>
      <c r="H542" s="7">
        <f>VLOOKUP(C542,Vlookup!$A$1:$B$30,2,0)</f>
        <v>1.7021844231989158</v>
      </c>
      <c r="I542" s="7">
        <f>VLOOKUP(D542,Vlookup!$A$1:$B$30,2,0)</f>
        <v>1.1613557664474019</v>
      </c>
      <c r="J542" s="7">
        <f>VLOOKUP(E542,Vlookup!$A$1:$B$30,2,0)</f>
        <v>1.2419340531937677</v>
      </c>
      <c r="K542" s="7">
        <f>VLOOKUP(F542,Vlookup!$A$1:$B$30,2,0)</f>
        <v>0.9108240498099236</v>
      </c>
      <c r="L542" s="7">
        <f t="shared" si="13"/>
        <v>4.4156244719793953</v>
      </c>
      <c r="M542" s="7">
        <f t="shared" si="14"/>
        <v>2.2361705180711215</v>
      </c>
      <c r="N542" s="7">
        <f t="shared" si="15"/>
        <v>1.3137063690599906</v>
      </c>
      <c r="O542" s="7">
        <f t="shared" si="16"/>
        <v>1.1311834039268005</v>
      </c>
      <c r="P542" s="7">
        <f t="shared" si="17"/>
        <v>0.9108240498099236</v>
      </c>
      <c r="Q542">
        <v>1</v>
      </c>
      <c r="R542" s="7">
        <f t="shared" si="18"/>
        <v>11.007508812847231</v>
      </c>
      <c r="S542" s="7">
        <f>VLOOKUP($A542,Rotations!$A$1:$X$1441,18,0)</f>
        <v>0.11934638358197089</v>
      </c>
      <c r="T542" s="7">
        <f>VLOOKUP($A542,Rotations!$A$1:$X$1441,19,0)</f>
        <v>8.2745702528702086E-2</v>
      </c>
      <c r="U542" s="7">
        <f>VLOOKUP($A542,Rotations!$A$1:$X$1441,20,0)</f>
        <v>0.20314955509835361</v>
      </c>
      <c r="V542" s="7">
        <f>VLOOKUP($A542,Rotations!$A$1:$X$1441,21,0)</f>
        <v>9.0847076936505983E-2</v>
      </c>
      <c r="W542" s="7">
        <f>VLOOKUP($A542,Rotations!$A$1:$X$1441,22,0)</f>
        <v>0.40114657612863075</v>
      </c>
      <c r="X542" s="7">
        <f>VLOOKUP($A542,Rotations!$A$1:$X$1441,23,0)</f>
        <v>0.10276470572583676</v>
      </c>
    </row>
    <row r="543" spans="1:24" ht="15.75" customHeight="1" x14ac:dyDescent="0.3">
      <c r="A543">
        <v>534</v>
      </c>
      <c r="B543" t="str">
        <f>Permutations!I535</f>
        <v>p61 - i5:i3</v>
      </c>
      <c r="C543" t="str">
        <f>Permutations!J535</f>
        <v>p81 - i3:i1</v>
      </c>
      <c r="D543" t="str">
        <f>Permutations!K535</f>
        <v>p11 - i1:i6</v>
      </c>
      <c r="E543" t="str">
        <f>Permutations!L535</f>
        <v>p141 - i6:i4</v>
      </c>
      <c r="F543" t="str">
        <f>Permutations!M535</f>
        <v>p51 - i4:i2</v>
      </c>
      <c r="G543" s="7">
        <f>VLOOKUP(B543,Vlookup!$A$1:$B$30,2,0)</f>
        <v>1.9746367445127702</v>
      </c>
      <c r="H543" s="7">
        <f>VLOOKUP(C543,Vlookup!$A$1:$B$30,2,0)</f>
        <v>1.7021844231989158</v>
      </c>
      <c r="I543" s="7">
        <f>VLOOKUP(D543,Vlookup!$A$1:$B$30,2,0)</f>
        <v>1.1613557664474019</v>
      </c>
      <c r="J543" s="7">
        <f>VLOOKUP(E543,Vlookup!$A$1:$B$30,2,0)</f>
        <v>0.88688155974910687</v>
      </c>
      <c r="K543" s="7">
        <f>VLOOKUP(F543,Vlookup!$A$1:$B$30,2,0)</f>
        <v>1.4376356077157479</v>
      </c>
      <c r="L543" s="7">
        <f t="shared" si="13"/>
        <v>4.9770677524349569</v>
      </c>
      <c r="M543" s="7">
        <f t="shared" si="14"/>
        <v>2.5204978922151167</v>
      </c>
      <c r="N543" s="7">
        <f t="shared" si="15"/>
        <v>1.4807431309225263</v>
      </c>
      <c r="O543" s="7">
        <f t="shared" si="16"/>
        <v>1.2750125101217977</v>
      </c>
      <c r="P543" s="7">
        <f t="shared" si="17"/>
        <v>1.4376356077157479</v>
      </c>
      <c r="Q543">
        <v>1</v>
      </c>
      <c r="R543" s="7">
        <f t="shared" si="18"/>
        <v>12.690956893410146</v>
      </c>
      <c r="S543" s="7">
        <f>VLOOKUP($A543,Rotations!$A$1:$X$1441,18,0)</f>
        <v>0.11667702785212444</v>
      </c>
      <c r="T543" s="7">
        <f>VLOOKUP($A543,Rotations!$A$1:$X$1441,19,0)</f>
        <v>7.8796264804843516E-2</v>
      </c>
      <c r="U543" s="7">
        <f>VLOOKUP($A543,Rotations!$A$1:$X$1441,20,0)</f>
        <v>0.19860581935503224</v>
      </c>
      <c r="V543" s="7">
        <f>VLOOKUP($A543,Rotations!$A$1:$X$1441,21,0)</f>
        <v>0.1132803160384422</v>
      </c>
      <c r="W543" s="7">
        <f>VLOOKUP($A543,Rotations!$A$1:$X$1441,22,0)</f>
        <v>0.39217434857251221</v>
      </c>
      <c r="X543" s="7">
        <f>VLOOKUP($A543,Rotations!$A$1:$X$1441,23,0)</f>
        <v>0.10046622337704539</v>
      </c>
    </row>
    <row r="544" spans="1:24" ht="15.75" customHeight="1" x14ac:dyDescent="0.3">
      <c r="A544">
        <v>535</v>
      </c>
      <c r="B544" t="str">
        <f>Permutations!I536</f>
        <v>p61 - i5:i3</v>
      </c>
      <c r="C544" t="str">
        <f>Permutations!J536</f>
        <v>p21 - i3:i2</v>
      </c>
      <c r="D544" t="str">
        <f>Permutations!K536</f>
        <v>p11 - i2:i1</v>
      </c>
      <c r="E544" t="str">
        <f>Permutations!L536</f>
        <v>p9 - i1:i4</v>
      </c>
      <c r="F544" t="str">
        <f>Permutations!M536</f>
        <v>p14 - i4:i6</v>
      </c>
      <c r="G544" s="7">
        <f>VLOOKUP(B544,Vlookup!$A$1:$B$30,2,0)</f>
        <v>1.9746367445127702</v>
      </c>
      <c r="H544" s="7">
        <f>VLOOKUP(C544,Vlookup!$A$1:$B$30,2,0)</f>
        <v>1.5059827029565431</v>
      </c>
      <c r="I544" s="7">
        <f>VLOOKUP(D544,Vlookup!$A$1:$B$30,2,0)</f>
        <v>1.7440097060445605</v>
      </c>
      <c r="J544" s="7">
        <f>VLOOKUP(E544,Vlookup!$A$1:$B$30,2,0)</f>
        <v>1.2538815092968505</v>
      </c>
      <c r="K544" s="7">
        <f>VLOOKUP(F544,Vlookup!$A$1:$B$30,2,0)</f>
        <v>1.478275916473532</v>
      </c>
      <c r="L544" s="7">
        <f t="shared" si="13"/>
        <v>9.6132025985827365</v>
      </c>
      <c r="M544" s="7">
        <f t="shared" si="14"/>
        <v>4.8683397720094268</v>
      </c>
      <c r="N544" s="7">
        <f t="shared" si="15"/>
        <v>3.2326664592175653</v>
      </c>
      <c r="O544" s="7">
        <f t="shared" si="16"/>
        <v>1.8535828373050172</v>
      </c>
      <c r="P544" s="7">
        <f t="shared" si="17"/>
        <v>1.478275916473532</v>
      </c>
      <c r="Q544">
        <v>1</v>
      </c>
      <c r="R544" s="7">
        <f t="shared" si="18"/>
        <v>22.046067583588275</v>
      </c>
      <c r="S544" s="7">
        <f>VLOOKUP($A544,Rotations!$A$1:$X$1441,18,0)</f>
        <v>8.4077708202476772E-2</v>
      </c>
      <c r="T544" s="7">
        <f>VLOOKUP($A544,Rotations!$A$1:$X$1441,19,0)</f>
        <v>0.14663233916710183</v>
      </c>
      <c r="U544" s="7">
        <f>VLOOKUP($A544,Rotations!$A$1:$X$1441,20,0)</f>
        <v>0.22082576647971261</v>
      </c>
      <c r="V544" s="7">
        <f>VLOOKUP($A544,Rotations!$A$1:$X$1441,21,0)</f>
        <v>6.7053950137302629E-2</v>
      </c>
      <c r="W544" s="7">
        <f>VLOOKUP($A544,Rotations!$A$1:$X$1441,22,0)</f>
        <v>0.43605067262603697</v>
      </c>
      <c r="X544" s="7">
        <f>VLOOKUP($A544,Rotations!$A$1:$X$1441,23,0)</f>
        <v>4.5359563387369302E-2</v>
      </c>
    </row>
    <row r="545" spans="1:24" ht="15.75" customHeight="1" x14ac:dyDescent="0.3">
      <c r="A545">
        <v>536</v>
      </c>
      <c r="B545" t="str">
        <f>Permutations!I537</f>
        <v>p61 - i5:i3</v>
      </c>
      <c r="C545" t="str">
        <f>Permutations!J537</f>
        <v>p21 - i3:i2</v>
      </c>
      <c r="D545" t="str">
        <f>Permutations!K537</f>
        <v>p11 - i2:i1</v>
      </c>
      <c r="E545" t="str">
        <f>Permutations!L537</f>
        <v>p11 - i1:i6</v>
      </c>
      <c r="F545" t="str">
        <f>Permutations!M537</f>
        <v>p141 - i6:i4</v>
      </c>
      <c r="G545" s="7">
        <f>VLOOKUP(B545,Vlookup!$A$1:$B$30,2,0)</f>
        <v>1.9746367445127702</v>
      </c>
      <c r="H545" s="7">
        <f>VLOOKUP(C545,Vlookup!$A$1:$B$30,2,0)</f>
        <v>1.5059827029565431</v>
      </c>
      <c r="I545" s="7">
        <f>VLOOKUP(D545,Vlookup!$A$1:$B$30,2,0)</f>
        <v>1.7440097060445605</v>
      </c>
      <c r="J545" s="7">
        <f>VLOOKUP(E545,Vlookup!$A$1:$B$30,2,0)</f>
        <v>1.1613557664474019</v>
      </c>
      <c r="K545" s="7">
        <f>VLOOKUP(F545,Vlookup!$A$1:$B$30,2,0)</f>
        <v>0.88688155974910687</v>
      </c>
      <c r="L545" s="7">
        <f t="shared" si="13"/>
        <v>5.3417923438227124</v>
      </c>
      <c r="M545" s="7">
        <f t="shared" si="14"/>
        <v>2.7052025435396057</v>
      </c>
      <c r="N545" s="7">
        <f t="shared" si="15"/>
        <v>1.7963038607473749</v>
      </c>
      <c r="O545" s="7">
        <f t="shared" si="16"/>
        <v>1.0299850135704913</v>
      </c>
      <c r="P545" s="7">
        <f t="shared" si="17"/>
        <v>0.88688155974910687</v>
      </c>
      <c r="Q545">
        <v>1</v>
      </c>
      <c r="R545" s="7">
        <f t="shared" si="18"/>
        <v>12.760165321429291</v>
      </c>
      <c r="S545" s="7">
        <f>VLOOKUP($A545,Rotations!$A$1:$X$1441,18,0)</f>
        <v>8.0718782839023645E-2</v>
      </c>
      <c r="T545" s="7">
        <f>VLOOKUP($A545,Rotations!$A$1:$X$1441,19,0)</f>
        <v>0.14077434073136033</v>
      </c>
      <c r="U545" s="7">
        <f>VLOOKUP($A545,Rotations!$A$1:$X$1441,20,0)</f>
        <v>0.21200372216153943</v>
      </c>
      <c r="V545" s="7">
        <f>VLOOKUP($A545,Rotations!$A$1:$X$1441,21,0)</f>
        <v>7.8368890591143853E-2</v>
      </c>
      <c r="W545" s="7">
        <f>VLOOKUP($A545,Rotations!$A$1:$X$1441,22,0)</f>
        <v>0.41863033975365199</v>
      </c>
      <c r="X545" s="7">
        <f>VLOOKUP($A545,Rotations!$A$1:$X$1441,23,0)</f>
        <v>6.9503923923280767E-2</v>
      </c>
    </row>
    <row r="546" spans="1:24" ht="15.75" customHeight="1" x14ac:dyDescent="0.3">
      <c r="A546">
        <v>537</v>
      </c>
      <c r="B546" t="str">
        <f>Permutations!I538</f>
        <v>p61 - i5:i3</v>
      </c>
      <c r="C546" t="str">
        <f>Permutations!J538</f>
        <v>p21 - i3:i2</v>
      </c>
      <c r="D546" t="str">
        <f>Permutations!K538</f>
        <v>p5 - i2:i4</v>
      </c>
      <c r="E546" t="str">
        <f>Permutations!L538</f>
        <v>p91 - i4:i1</v>
      </c>
      <c r="F546" t="str">
        <f>Permutations!M538</f>
        <v>p11 - i1:i6</v>
      </c>
      <c r="G546" s="7">
        <f>VLOOKUP(B546,Vlookup!$A$1:$B$30,2,0)</f>
        <v>1.9746367445127702</v>
      </c>
      <c r="H546" s="7">
        <f>VLOOKUP(C546,Vlookup!$A$1:$B$30,2,0)</f>
        <v>1.5059827029565431</v>
      </c>
      <c r="I546" s="7">
        <f>VLOOKUP(D546,Vlookup!$A$1:$B$30,2,0)</f>
        <v>0.9108240498099236</v>
      </c>
      <c r="J546" s="7">
        <f>VLOOKUP(E546,Vlookup!$A$1:$B$30,2,0)</f>
        <v>2.9131157743633094</v>
      </c>
      <c r="K546" s="7">
        <f>VLOOKUP(F546,Vlookup!$A$1:$B$30,2,0)</f>
        <v>1.1613557664474019</v>
      </c>
      <c r="L546" s="7">
        <f t="shared" si="13"/>
        <v>9.1635702364229292</v>
      </c>
      <c r="M546" s="7">
        <f t="shared" si="14"/>
        <v>4.6406359356409048</v>
      </c>
      <c r="N546" s="7">
        <f t="shared" si="15"/>
        <v>3.0814669561147117</v>
      </c>
      <c r="O546" s="7">
        <f t="shared" si="16"/>
        <v>3.3831638028857181</v>
      </c>
      <c r="P546" s="7">
        <f t="shared" si="17"/>
        <v>1.1613557664474019</v>
      </c>
      <c r="Q546">
        <v>1</v>
      </c>
      <c r="R546" s="7">
        <f t="shared" si="18"/>
        <v>22.430192697511664</v>
      </c>
      <c r="S546" s="7">
        <f>VLOOKUP($A546,Rotations!$A$1:$X$1441,18,0)</f>
        <v>5.1776450702371322E-2</v>
      </c>
      <c r="T546" s="7">
        <f>VLOOKUP($A546,Rotations!$A$1:$X$1441,19,0)</f>
        <v>0.13738031579445861</v>
      </c>
      <c r="U546" s="7">
        <f>VLOOKUP($A546,Rotations!$A$1:$X$1441,20,0)</f>
        <v>0.20689237931316223</v>
      </c>
      <c r="V546" s="7">
        <f>VLOOKUP($A546,Rotations!$A$1:$X$1441,21,0)</f>
        <v>0.15083079528162216</v>
      </c>
      <c r="W546" s="7">
        <f>VLOOKUP($A546,Rotations!$A$1:$X$1441,22,0)</f>
        <v>0.40853729435144387</v>
      </c>
      <c r="X546" s="7">
        <f>VLOOKUP($A546,Rotations!$A$1:$X$1441,23,0)</f>
        <v>4.4582764556941899E-2</v>
      </c>
    </row>
    <row r="547" spans="1:24" ht="15.75" customHeight="1" x14ac:dyDescent="0.3">
      <c r="A547">
        <v>538</v>
      </c>
      <c r="B547" t="str">
        <f>Permutations!I539</f>
        <v>p61 - i5:i3</v>
      </c>
      <c r="C547" t="str">
        <f>Permutations!J539</f>
        <v>p21 - i3:i2</v>
      </c>
      <c r="D547" t="str">
        <f>Permutations!K539</f>
        <v>p5 - i2:i4</v>
      </c>
      <c r="E547" t="str">
        <f>Permutations!L539</f>
        <v>p14 - i4:i6</v>
      </c>
      <c r="F547" t="str">
        <f>Permutations!M539</f>
        <v>p111 - i6:i1</v>
      </c>
      <c r="G547" s="7">
        <f>VLOOKUP(B547,Vlookup!$A$1:$B$30,2,0)</f>
        <v>1.9746367445127702</v>
      </c>
      <c r="H547" s="7">
        <f>VLOOKUP(C547,Vlookup!$A$1:$B$30,2,0)</f>
        <v>1.5059827029565431</v>
      </c>
      <c r="I547" s="7">
        <f>VLOOKUP(D547,Vlookup!$A$1:$B$30,2,0)</f>
        <v>0.9108240498099236</v>
      </c>
      <c r="J547" s="7">
        <f>VLOOKUP(E547,Vlookup!$A$1:$B$30,2,0)</f>
        <v>1.478275916473532</v>
      </c>
      <c r="K547" s="7">
        <f>VLOOKUP(F547,Vlookup!$A$1:$B$30,2,0)</f>
        <v>1.6397534939100344</v>
      </c>
      <c r="L547" s="7">
        <f t="shared" si="13"/>
        <v>6.5656201600120205</v>
      </c>
      <c r="M547" s="7">
        <f t="shared" si="14"/>
        <v>3.3249761903078774</v>
      </c>
      <c r="N547" s="7">
        <f t="shared" si="15"/>
        <v>2.2078448735037193</v>
      </c>
      <c r="O547" s="7">
        <f t="shared" si="16"/>
        <v>2.4240080990005324</v>
      </c>
      <c r="P547" s="7">
        <f t="shared" si="17"/>
        <v>1.6397534939100344</v>
      </c>
      <c r="Q547">
        <v>1</v>
      </c>
      <c r="R547" s="7">
        <f t="shared" si="18"/>
        <v>17.162202816734183</v>
      </c>
      <c r="S547" s="7">
        <f>VLOOKUP($A547,Rotations!$A$1:$X$1441,18,0)</f>
        <v>5.8267578508333424E-2</v>
      </c>
      <c r="T547" s="7">
        <f>VLOOKUP($A547,Rotations!$A$1:$X$1441,19,0)</f>
        <v>0.12864577450109943</v>
      </c>
      <c r="U547" s="7">
        <f>VLOOKUP($A547,Rotations!$A$1:$X$1441,20,0)</f>
        <v>0.19373831120710361</v>
      </c>
      <c r="V547" s="7">
        <f>VLOOKUP($A547,Rotations!$A$1:$X$1441,21,0)</f>
        <v>0.14124108221334958</v>
      </c>
      <c r="W547" s="7">
        <f>VLOOKUP($A547,Rotations!$A$1:$X$1441,22,0)</f>
        <v>0.38256278812939704</v>
      </c>
      <c r="X547" s="7">
        <f>VLOOKUP($A547,Rotations!$A$1:$X$1441,23,0)</f>
        <v>9.5544465440716958E-2</v>
      </c>
    </row>
    <row r="548" spans="1:24" ht="15.75" customHeight="1" x14ac:dyDescent="0.3">
      <c r="A548">
        <v>539</v>
      </c>
      <c r="B548" t="str">
        <f>Permutations!I540</f>
        <v>p61 - i5:i3</v>
      </c>
      <c r="C548" t="str">
        <f>Permutations!J540</f>
        <v>p21 - i3:i2</v>
      </c>
      <c r="D548" t="str">
        <f>Permutations!K540</f>
        <v>p12 - i2:i6</v>
      </c>
      <c r="E548" t="str">
        <f>Permutations!L540</f>
        <v>p111 - i6:i1</v>
      </c>
      <c r="F548" t="str">
        <f>Permutations!M540</f>
        <v>p9 - i1:i4</v>
      </c>
      <c r="G548" s="7">
        <f>VLOOKUP(B548,Vlookup!$A$1:$B$30,2,0)</f>
        <v>1.9746367445127702</v>
      </c>
      <c r="H548" s="7">
        <f>VLOOKUP(C548,Vlookup!$A$1:$B$30,2,0)</f>
        <v>1.5059827029565431</v>
      </c>
      <c r="I548" s="7">
        <f>VLOOKUP(D548,Vlookup!$A$1:$B$30,2,0)</f>
        <v>1.3354555559520354</v>
      </c>
      <c r="J548" s="7">
        <f>VLOOKUP(E548,Vlookup!$A$1:$B$30,2,0)</f>
        <v>1.6397534939100344</v>
      </c>
      <c r="K548" s="7">
        <f>VLOOKUP(F548,Vlookup!$A$1:$B$30,2,0)</f>
        <v>1.2538815092968505</v>
      </c>
      <c r="L548" s="7">
        <f t="shared" si="13"/>
        <v>8.1652916233445474</v>
      </c>
      <c r="M548" s="7">
        <f t="shared" si="14"/>
        <v>4.1350854257294207</v>
      </c>
      <c r="N548" s="7">
        <f t="shared" si="15"/>
        <v>2.7457721908833532</v>
      </c>
      <c r="O548" s="7">
        <f t="shared" si="16"/>
        <v>2.0560565858186979</v>
      </c>
      <c r="P548" s="7">
        <f t="shared" si="17"/>
        <v>1.2538815092968505</v>
      </c>
      <c r="Q548">
        <v>1</v>
      </c>
      <c r="R548" s="7">
        <f t="shared" si="18"/>
        <v>19.356087335072871</v>
      </c>
      <c r="S548" s="7">
        <f>VLOOKUP($A548,Rotations!$A$1:$X$1441,18,0)</f>
        <v>6.4779698892184712E-2</v>
      </c>
      <c r="T548" s="7">
        <f>VLOOKUP($A548,Rotations!$A$1:$X$1441,19,0)</f>
        <v>0.14185574508687326</v>
      </c>
      <c r="U548" s="7">
        <f>VLOOKUP($A548,Rotations!$A$1:$X$1441,20,0)</f>
        <v>0.21363229841584372</v>
      </c>
      <c r="V548" s="7">
        <f>VLOOKUP($A548,Rotations!$A$1:$X$1441,21,0)</f>
        <v>5.1663333745556032E-2</v>
      </c>
      <c r="W548" s="7">
        <f>VLOOKUP($A548,Rotations!$A$1:$X$1441,22,0)</f>
        <v>0.42184618626664233</v>
      </c>
      <c r="X548" s="7">
        <f>VLOOKUP($A548,Rotations!$A$1:$X$1441,23,0)</f>
        <v>0.10622273759289985</v>
      </c>
    </row>
    <row r="549" spans="1:24" ht="15.75" customHeight="1" x14ac:dyDescent="0.3">
      <c r="A549">
        <v>540</v>
      </c>
      <c r="B549" t="str">
        <f>Permutations!I541</f>
        <v>p61 - i5:i3</v>
      </c>
      <c r="C549" t="str">
        <f>Permutations!J541</f>
        <v>p21 - i3:i2</v>
      </c>
      <c r="D549" t="str">
        <f>Permutations!K541</f>
        <v>p12 - i2:i6</v>
      </c>
      <c r="E549" t="str">
        <f>Permutations!L541</f>
        <v>p141 - i6:i4</v>
      </c>
      <c r="F549" t="str">
        <f>Permutations!M541</f>
        <v>p91 - i4:i1</v>
      </c>
      <c r="G549" s="7">
        <f>VLOOKUP(B549,Vlookup!$A$1:$B$30,2,0)</f>
        <v>1.9746367445127702</v>
      </c>
      <c r="H549" s="7">
        <f>VLOOKUP(C549,Vlookup!$A$1:$B$30,2,0)</f>
        <v>1.5059827029565431</v>
      </c>
      <c r="I549" s="7">
        <f>VLOOKUP(D549,Vlookup!$A$1:$B$30,2,0)</f>
        <v>1.3354555559520354</v>
      </c>
      <c r="J549" s="7">
        <f>VLOOKUP(E549,Vlookup!$A$1:$B$30,2,0)</f>
        <v>0.88688155974910687</v>
      </c>
      <c r="K549" s="7">
        <f>VLOOKUP(F549,Vlookup!$A$1:$B$30,2,0)</f>
        <v>2.9131157743633094</v>
      </c>
      <c r="L549" s="7">
        <f t="shared" si="13"/>
        <v>10.260298769512152</v>
      </c>
      <c r="M549" s="7">
        <f t="shared" si="14"/>
        <v>5.196043676399742</v>
      </c>
      <c r="N549" s="7">
        <f t="shared" si="15"/>
        <v>3.4502678325580209</v>
      </c>
      <c r="O549" s="7">
        <f t="shared" si="16"/>
        <v>2.5835886616970591</v>
      </c>
      <c r="P549" s="7">
        <f t="shared" si="17"/>
        <v>2.9131157743633094</v>
      </c>
      <c r="Q549">
        <v>1</v>
      </c>
      <c r="R549" s="7">
        <f t="shared" si="18"/>
        <v>25.403314714530282</v>
      </c>
      <c r="S549" s="7">
        <f>VLOOKUP($A549,Rotations!$A$1:$X$1441,18,0)</f>
        <v>3.9364941592760584E-2</v>
      </c>
      <c r="T549" s="7">
        <f>VLOOKUP($A549,Rotations!$A$1:$X$1441,19,0)</f>
        <v>0.13581959170802715</v>
      </c>
      <c r="U549" s="7">
        <f>VLOOKUP($A549,Rotations!$A$1:$X$1441,20,0)</f>
        <v>0.20454195583490881</v>
      </c>
      <c r="V549" s="7">
        <f>VLOOKUP($A549,Rotations!$A$1:$X$1441,21,0)</f>
        <v>0.11467463231076119</v>
      </c>
      <c r="W549" s="7">
        <f>VLOOKUP($A549,Rotations!$A$1:$X$1441,22,0)</f>
        <v>0.40389606178611914</v>
      </c>
      <c r="X549" s="7">
        <f>VLOOKUP($A549,Rotations!$A$1:$X$1441,23,0)</f>
        <v>0.10170281676742321</v>
      </c>
    </row>
    <row r="550" spans="1:24" ht="15.75" customHeight="1" x14ac:dyDescent="0.3">
      <c r="A550">
        <v>541</v>
      </c>
      <c r="B550" t="str">
        <f>Permutations!I542</f>
        <v>p61 - i5:i3</v>
      </c>
      <c r="C550" t="str">
        <f>Permutations!J542</f>
        <v>p3 - i3:i4</v>
      </c>
      <c r="D550" t="str">
        <f>Permutations!K542</f>
        <v>p91 - i4:i1</v>
      </c>
      <c r="E550" t="str">
        <f>Permutations!L542</f>
        <v>p1 - i1:i2</v>
      </c>
      <c r="F550" t="str">
        <f>Permutations!M542</f>
        <v>p12 - i2:i6</v>
      </c>
      <c r="G550" s="7">
        <f>VLOOKUP(B550,Vlookup!$A$1:$B$30,2,0)</f>
        <v>1.9746367445127702</v>
      </c>
      <c r="H550" s="7">
        <f>VLOOKUP(C550,Vlookup!$A$1:$B$30,2,0)</f>
        <v>1.4338636587362954</v>
      </c>
      <c r="I550" s="7">
        <f>VLOOKUP(D550,Vlookup!$A$1:$B$30,2,0)</f>
        <v>2.9131157743633094</v>
      </c>
      <c r="J550" s="7">
        <f>VLOOKUP(E550,Vlookup!$A$1:$B$30,2,0)</f>
        <v>1.6373343116675814</v>
      </c>
      <c r="K550" s="7">
        <f>VLOOKUP(F550,Vlookup!$A$1:$B$30,2,0)</f>
        <v>1.3354555559520354</v>
      </c>
      <c r="L550" s="7">
        <f t="shared" si="13"/>
        <v>18.035144195599685</v>
      </c>
      <c r="M550" s="7">
        <f t="shared" si="14"/>
        <v>9.1333984570664661</v>
      </c>
      <c r="N550" s="7">
        <f t="shared" si="15"/>
        <v>6.3697816744417599</v>
      </c>
      <c r="O550" s="7">
        <f t="shared" si="16"/>
        <v>2.186587203467373</v>
      </c>
      <c r="P550" s="7">
        <f t="shared" si="17"/>
        <v>1.3354555559520354</v>
      </c>
      <c r="Q550">
        <v>1</v>
      </c>
      <c r="R550" s="7">
        <f t="shared" si="18"/>
        <v>38.060367086527322</v>
      </c>
      <c r="S550" s="7">
        <f>VLOOKUP($A550,Rotations!$A$1:$X$1441,18,0)</f>
        <v>5.7450502211298562E-2</v>
      </c>
      <c r="T550" s="7">
        <f>VLOOKUP($A550,Rotations!$A$1:$X$1441,19,0)</f>
        <v>3.5087826476186627E-2</v>
      </c>
      <c r="U550" s="7">
        <f>VLOOKUP($A550,Rotations!$A$1:$X$1441,20,0)</f>
        <v>0.23997137064659377</v>
      </c>
      <c r="V550" s="7">
        <f>VLOOKUP($A550,Rotations!$A$1:$X$1441,21,0)</f>
        <v>0.16735996423682806</v>
      </c>
      <c r="W550" s="7">
        <f>VLOOKUP($A550,Rotations!$A$1:$X$1441,22,0)</f>
        <v>0.47385628610985725</v>
      </c>
      <c r="X550" s="7">
        <f>VLOOKUP($A550,Rotations!$A$1:$X$1441,23,0)</f>
        <v>2.6274050319235669E-2</v>
      </c>
    </row>
    <row r="551" spans="1:24" ht="15.75" customHeight="1" x14ac:dyDescent="0.3">
      <c r="A551">
        <v>542</v>
      </c>
      <c r="B551" t="str">
        <f>Permutations!I543</f>
        <v>p61 - i5:i3</v>
      </c>
      <c r="C551" t="str">
        <f>Permutations!J543</f>
        <v>p3 - i3:i4</v>
      </c>
      <c r="D551" t="str">
        <f>Permutations!K543</f>
        <v>p91 - i4:i1</v>
      </c>
      <c r="E551" t="str">
        <f>Permutations!L543</f>
        <v>p11 - i1:i6</v>
      </c>
      <c r="F551" t="str">
        <f>Permutations!M543</f>
        <v>p121 - i6:i2</v>
      </c>
      <c r="G551" s="7">
        <f>VLOOKUP(B551,Vlookup!$A$1:$B$30,2,0)</f>
        <v>1.9746367445127702</v>
      </c>
      <c r="H551" s="7">
        <f>VLOOKUP(C551,Vlookup!$A$1:$B$30,2,0)</f>
        <v>1.4338636587362954</v>
      </c>
      <c r="I551" s="7">
        <f>VLOOKUP(D551,Vlookup!$A$1:$B$30,2,0)</f>
        <v>2.9131157743633094</v>
      </c>
      <c r="J551" s="7">
        <f>VLOOKUP(E551,Vlookup!$A$1:$B$30,2,0)</f>
        <v>1.1613557664474019</v>
      </c>
      <c r="K551" s="7">
        <f>VLOOKUP(F551,Vlookup!$A$1:$B$30,2,0)</f>
        <v>1.2419340531937677</v>
      </c>
      <c r="L551" s="7">
        <f t="shared" si="13"/>
        <v>11.896429434246349</v>
      </c>
      <c r="M551" s="7">
        <f t="shared" si="14"/>
        <v>6.0246166629405655</v>
      </c>
      <c r="N551" s="7">
        <f t="shared" si="15"/>
        <v>4.2016663343363012</v>
      </c>
      <c r="O551" s="7">
        <f t="shared" si="16"/>
        <v>1.4423272742239766</v>
      </c>
      <c r="P551" s="7">
        <f t="shared" si="17"/>
        <v>1.2419340531937677</v>
      </c>
      <c r="Q551">
        <v>1</v>
      </c>
      <c r="R551" s="7">
        <f t="shared" si="18"/>
        <v>25.806973758940959</v>
      </c>
      <c r="S551" s="7">
        <f>VLOOKUP($A551,Rotations!$A$1:$X$1441,18,0)</f>
        <v>5.5889051064124666E-2</v>
      </c>
      <c r="T551" s="7">
        <f>VLOOKUP($A551,Rotations!$A$1:$X$1441,19,0)</f>
        <v>3.8749215980953398E-2</v>
      </c>
      <c r="U551" s="7">
        <f>VLOOKUP($A551,Rotations!$A$1:$X$1441,20,0)</f>
        <v>0.23344917227473469</v>
      </c>
      <c r="V551" s="7">
        <f>VLOOKUP($A551,Rotations!$A$1:$X$1441,21,0)</f>
        <v>0.16281127626909808</v>
      </c>
      <c r="W551" s="7">
        <f>VLOOKUP($A551,Rotations!$A$1:$X$1441,22,0)</f>
        <v>0.460977313549783</v>
      </c>
      <c r="X551" s="7">
        <f>VLOOKUP($A551,Rotations!$A$1:$X$1441,23,0)</f>
        <v>4.8123970861306174E-2</v>
      </c>
    </row>
    <row r="552" spans="1:24" ht="15.75" customHeight="1" x14ac:dyDescent="0.3">
      <c r="A552">
        <v>543</v>
      </c>
      <c r="B552" t="str">
        <f>Permutations!I544</f>
        <v>p61 - i5:i3</v>
      </c>
      <c r="C552" t="str">
        <f>Permutations!J544</f>
        <v>p3 - i3:i4</v>
      </c>
      <c r="D552" t="str">
        <f>Permutations!K544</f>
        <v>p51 - i4:i2</v>
      </c>
      <c r="E552" t="str">
        <f>Permutations!L544</f>
        <v>p11 - i2:i1</v>
      </c>
      <c r="F552" t="str">
        <f>Permutations!M544</f>
        <v>p11 - i1:i6</v>
      </c>
      <c r="G552" s="7">
        <f>VLOOKUP(B552,Vlookup!$A$1:$B$30,2,0)</f>
        <v>1.9746367445127702</v>
      </c>
      <c r="H552" s="7">
        <f>VLOOKUP(C552,Vlookup!$A$1:$B$30,2,0)</f>
        <v>1.4338636587362954</v>
      </c>
      <c r="I552" s="7">
        <f>VLOOKUP(D552,Vlookup!$A$1:$B$30,2,0)</f>
        <v>1.4376356077157479</v>
      </c>
      <c r="J552" s="7">
        <f>VLOOKUP(E552,Vlookup!$A$1:$B$30,2,0)</f>
        <v>1.7440097060445605</v>
      </c>
      <c r="K552" s="7">
        <f>VLOOKUP(F552,Vlookup!$A$1:$B$30,2,0)</f>
        <v>1.1613557664474019</v>
      </c>
      <c r="L552" s="7">
        <f t="shared" si="13"/>
        <v>8.2443813299016746</v>
      </c>
      <c r="M552" s="7">
        <f t="shared" si="14"/>
        <v>4.1751382135532618</v>
      </c>
      <c r="N552" s="7">
        <f t="shared" si="15"/>
        <v>2.9118097722296197</v>
      </c>
      <c r="O552" s="7">
        <f t="shared" si="16"/>
        <v>2.0254157288550885</v>
      </c>
      <c r="P552" s="7">
        <f t="shared" si="17"/>
        <v>1.1613557664474019</v>
      </c>
      <c r="Q552">
        <v>1</v>
      </c>
      <c r="R552" s="7">
        <f t="shared" si="18"/>
        <v>19.518100810987043</v>
      </c>
      <c r="S552" s="7">
        <f>VLOOKUP($A552,Rotations!$A$1:$X$1441,18,0)</f>
        <v>5.9501473923818278E-2</v>
      </c>
      <c r="T552" s="7">
        <f>VLOOKUP($A552,Rotations!$A$1:$X$1441,19,0)</f>
        <v>0.10377114804709639</v>
      </c>
      <c r="U552" s="7">
        <f>VLOOKUP($A552,Rotations!$A$1:$X$1441,20,0)</f>
        <v>0.21391108971027609</v>
      </c>
      <c r="V552" s="7">
        <f>VLOOKUP($A552,Rotations!$A$1:$X$1441,21,0)</f>
        <v>0.14918509748604827</v>
      </c>
      <c r="W552" s="7">
        <f>VLOOKUP($A552,Rotations!$A$1:$X$1441,22,0)</f>
        <v>0.42239669780067862</v>
      </c>
      <c r="X552" s="7">
        <f>VLOOKUP($A552,Rotations!$A$1:$X$1441,23,0)</f>
        <v>5.123449303208253E-2</v>
      </c>
    </row>
    <row r="553" spans="1:24" ht="15.75" customHeight="1" x14ac:dyDescent="0.3">
      <c r="A553">
        <v>544</v>
      </c>
      <c r="B553" t="str">
        <f>Permutations!I545</f>
        <v>p61 - i5:i3</v>
      </c>
      <c r="C553" t="str">
        <f>Permutations!J545</f>
        <v>p3 - i3:i4</v>
      </c>
      <c r="D553" t="str">
        <f>Permutations!K545</f>
        <v>p51 - i4:i2</v>
      </c>
      <c r="E553" t="str">
        <f>Permutations!L545</f>
        <v>p12 - i2:i6</v>
      </c>
      <c r="F553" t="str">
        <f>Permutations!M545</f>
        <v>p111 - i6:i1</v>
      </c>
      <c r="G553" s="7">
        <f>VLOOKUP(B553,Vlookup!$A$1:$B$30,2,0)</f>
        <v>1.9746367445127702</v>
      </c>
      <c r="H553" s="7">
        <f>VLOOKUP(C553,Vlookup!$A$1:$B$30,2,0)</f>
        <v>1.4338636587362954</v>
      </c>
      <c r="I553" s="7">
        <f>VLOOKUP(D553,Vlookup!$A$1:$B$30,2,0)</f>
        <v>1.4376356077157479</v>
      </c>
      <c r="J553" s="7">
        <f>VLOOKUP(E553,Vlookup!$A$1:$B$30,2,0)</f>
        <v>1.3354555559520354</v>
      </c>
      <c r="K553" s="7">
        <f>VLOOKUP(F553,Vlookup!$A$1:$B$30,2,0)</f>
        <v>1.6397534939100344</v>
      </c>
      <c r="L553" s="7">
        <f t="shared" si="13"/>
        <v>8.9135744664636505</v>
      </c>
      <c r="M553" s="7">
        <f t="shared" si="14"/>
        <v>4.514032513186633</v>
      </c>
      <c r="N553" s="7">
        <f t="shared" si="15"/>
        <v>3.148160207341455</v>
      </c>
      <c r="O553" s="7">
        <f t="shared" si="16"/>
        <v>2.1898179138339176</v>
      </c>
      <c r="P553" s="7">
        <f t="shared" si="17"/>
        <v>1.6397534939100344</v>
      </c>
      <c r="Q553">
        <v>1</v>
      </c>
      <c r="R553" s="7">
        <f t="shared" si="18"/>
        <v>21.405338594735692</v>
      </c>
      <c r="S553" s="7">
        <f>VLOOKUP($A553,Rotations!$A$1:$X$1441,18,0)</f>
        <v>4.6717317531521523E-2</v>
      </c>
      <c r="T553" s="7">
        <f>VLOOKUP($A553,Rotations!$A$1:$X$1441,19,0)</f>
        <v>0.10230241881679317</v>
      </c>
      <c r="U553" s="7">
        <f>VLOOKUP($A553,Rotations!$A$1:$X$1441,20,0)</f>
        <v>0.21088349026615205</v>
      </c>
      <c r="V553" s="7">
        <f>VLOOKUP($A553,Rotations!$A$1:$X$1441,21,0)</f>
        <v>0.14707360004647138</v>
      </c>
      <c r="W553" s="7">
        <f>VLOOKUP($A553,Rotations!$A$1:$X$1441,22,0)</f>
        <v>0.4164182886906449</v>
      </c>
      <c r="X553" s="7">
        <f>VLOOKUP($A553,Rotations!$A$1:$X$1441,23,0)</f>
        <v>7.6604884648416915E-2</v>
      </c>
    </row>
    <row r="554" spans="1:24" ht="15.75" customHeight="1" x14ac:dyDescent="0.3">
      <c r="A554">
        <v>545</v>
      </c>
      <c r="B554" t="str">
        <f>Permutations!I546</f>
        <v>p61 - i5:i3</v>
      </c>
      <c r="C554" t="str">
        <f>Permutations!J546</f>
        <v>p3 - i3:i4</v>
      </c>
      <c r="D554" t="str">
        <f>Permutations!K546</f>
        <v>p14 - i4:i6</v>
      </c>
      <c r="E554" t="str">
        <f>Permutations!L546</f>
        <v>p111 - i6:i1</v>
      </c>
      <c r="F554" t="str">
        <f>Permutations!M546</f>
        <v>p1 - i1:i2</v>
      </c>
      <c r="G554" s="7">
        <f>VLOOKUP(B554,Vlookup!$A$1:$B$30,2,0)</f>
        <v>1.9746367445127702</v>
      </c>
      <c r="H554" s="7">
        <f>VLOOKUP(C554,Vlookup!$A$1:$B$30,2,0)</f>
        <v>1.4338636587362954</v>
      </c>
      <c r="I554" s="7">
        <f>VLOOKUP(D554,Vlookup!$A$1:$B$30,2,0)</f>
        <v>1.478275916473532</v>
      </c>
      <c r="J554" s="7">
        <f>VLOOKUP(E554,Vlookup!$A$1:$B$30,2,0)</f>
        <v>1.6397534939100344</v>
      </c>
      <c r="K554" s="7">
        <f>VLOOKUP(F554,Vlookup!$A$1:$B$30,2,0)</f>
        <v>1.6373343116675814</v>
      </c>
      <c r="L554" s="7">
        <f t="shared" si="13"/>
        <v>11.237417111876319</v>
      </c>
      <c r="M554" s="7">
        <f t="shared" si="14"/>
        <v>5.6908781542243023</v>
      </c>
      <c r="N554" s="7">
        <f t="shared" si="15"/>
        <v>3.968911632253679</v>
      </c>
      <c r="O554" s="7">
        <f t="shared" si="16"/>
        <v>2.6848246582556978</v>
      </c>
      <c r="P554" s="7">
        <f t="shared" si="17"/>
        <v>1.6373343116675814</v>
      </c>
      <c r="Q554">
        <v>1</v>
      </c>
      <c r="R554" s="7">
        <f t="shared" si="18"/>
        <v>26.219365868277578</v>
      </c>
      <c r="S554" s="7">
        <f>VLOOKUP($A554,Rotations!$A$1:$X$1441,18,0)</f>
        <v>6.2447517605624774E-2</v>
      </c>
      <c r="T554" s="7">
        <f>VLOOKUP($A554,Rotations!$A$1:$X$1441,19,0)</f>
        <v>3.8139747735466217E-2</v>
      </c>
      <c r="U554" s="7">
        <f>VLOOKUP($A554,Rotations!$A$1:$X$1441,20,0)</f>
        <v>0.21704865719539052</v>
      </c>
      <c r="V554" s="7">
        <f>VLOOKUP($A554,Rotations!$A$1:$X$1441,21,0)</f>
        <v>0.15137328843851278</v>
      </c>
      <c r="W554" s="7">
        <f>VLOOKUP($A554,Rotations!$A$1:$X$1441,22,0)</f>
        <v>0.42859225384517413</v>
      </c>
      <c r="X554" s="7">
        <f>VLOOKUP($A554,Rotations!$A$1:$X$1441,23,0)</f>
        <v>0.10239853517983162</v>
      </c>
    </row>
    <row r="555" spans="1:24" ht="15.75" customHeight="1" x14ac:dyDescent="0.3">
      <c r="A555">
        <v>546</v>
      </c>
      <c r="B555" t="str">
        <f>Permutations!I547</f>
        <v>p61 - i5:i3</v>
      </c>
      <c r="C555" t="str">
        <f>Permutations!J547</f>
        <v>p3 - i3:i4</v>
      </c>
      <c r="D555" t="str">
        <f>Permutations!K547</f>
        <v>p14 - i4:i6</v>
      </c>
      <c r="E555" t="str">
        <f>Permutations!L547</f>
        <v>p121 - i6:i2</v>
      </c>
      <c r="F555" t="str">
        <f>Permutations!M547</f>
        <v>p11 - i2:i1</v>
      </c>
      <c r="G555" s="7">
        <f>VLOOKUP(B555,Vlookup!$A$1:$B$30,2,0)</f>
        <v>1.9746367445127702</v>
      </c>
      <c r="H555" s="7">
        <f>VLOOKUP(C555,Vlookup!$A$1:$B$30,2,0)</f>
        <v>1.4338636587362954</v>
      </c>
      <c r="I555" s="7">
        <f>VLOOKUP(D555,Vlookup!$A$1:$B$30,2,0)</f>
        <v>1.478275916473532</v>
      </c>
      <c r="J555" s="7">
        <f>VLOOKUP(E555,Vlookup!$A$1:$B$30,2,0)</f>
        <v>1.2419340531937677</v>
      </c>
      <c r="K555" s="7">
        <f>VLOOKUP(F555,Vlookup!$A$1:$B$30,2,0)</f>
        <v>1.7440097060445605</v>
      </c>
      <c r="L555" s="7">
        <f t="shared" si="13"/>
        <v>9.0656303439283192</v>
      </c>
      <c r="M555" s="7">
        <f t="shared" si="14"/>
        <v>4.59103699408025</v>
      </c>
      <c r="N555" s="7">
        <f t="shared" si="15"/>
        <v>3.2018643935271092</v>
      </c>
      <c r="O555" s="7">
        <f t="shared" si="16"/>
        <v>2.1659450430371923</v>
      </c>
      <c r="P555" s="7">
        <f t="shared" si="17"/>
        <v>1.7440097060445605</v>
      </c>
      <c r="Q555">
        <v>1</v>
      </c>
      <c r="R555" s="7">
        <f t="shared" si="18"/>
        <v>21.76848648061743</v>
      </c>
      <c r="S555" s="7">
        <f>VLOOKUP($A555,Rotations!$A$1:$X$1441,18,0)</f>
        <v>4.593796637586154E-2</v>
      </c>
      <c r="T555" s="7">
        <f>VLOOKUP($A555,Rotations!$A$1:$X$1441,19,0)</f>
        <v>8.0116259235451195E-2</v>
      </c>
      <c r="U555" s="7">
        <f>VLOOKUP($A555,Rotations!$A$1:$X$1441,20,0)</f>
        <v>0.21090290306439496</v>
      </c>
      <c r="V555" s="7">
        <f>VLOOKUP($A555,Rotations!$A$1:$X$1441,21,0)</f>
        <v>0.14708713884991664</v>
      </c>
      <c r="W555" s="7">
        <f>VLOOKUP($A555,Rotations!$A$1:$X$1441,22,0)</f>
        <v>0.4164566219153692</v>
      </c>
      <c r="X555" s="7">
        <f>VLOOKUP($A555,Rotations!$A$1:$X$1441,23,0)</f>
        <v>9.9499110559006509E-2</v>
      </c>
    </row>
    <row r="556" spans="1:24" ht="15.75" customHeight="1" x14ac:dyDescent="0.3">
      <c r="A556">
        <v>547</v>
      </c>
      <c r="B556" t="str">
        <f>Permutations!I548</f>
        <v>p61 - i5:i3</v>
      </c>
      <c r="C556" t="str">
        <f>Permutations!J548</f>
        <v>p13 - i3:i6</v>
      </c>
      <c r="D556" t="str">
        <f>Permutations!K548</f>
        <v>p111 - i6:i1</v>
      </c>
      <c r="E556" t="str">
        <f>Permutations!L548</f>
        <v>p1 - i1:i2</v>
      </c>
      <c r="F556" t="str">
        <f>Permutations!M548</f>
        <v>p5 - i2:i4</v>
      </c>
      <c r="G556" s="7">
        <f>VLOOKUP(B556,Vlookup!$A$1:$B$30,2,0)</f>
        <v>1.9746367445127702</v>
      </c>
      <c r="H556" s="7">
        <f>VLOOKUP(C556,Vlookup!$A$1:$B$30,2,0)</f>
        <v>2.0145521929129111</v>
      </c>
      <c r="I556" s="7">
        <f>VLOOKUP(D556,Vlookup!$A$1:$B$30,2,0)</f>
        <v>1.6397534939100344</v>
      </c>
      <c r="J556" s="7">
        <f>VLOOKUP(E556,Vlookup!$A$1:$B$30,2,0)</f>
        <v>1.6373343116675814</v>
      </c>
      <c r="K556" s="7">
        <f>VLOOKUP(F556,Vlookup!$A$1:$B$30,2,0)</f>
        <v>0.9108240498099236</v>
      </c>
      <c r="L556" s="7">
        <f t="shared" si="13"/>
        <v>9.7278340900339497</v>
      </c>
      <c r="M556" s="7">
        <f t="shared" si="14"/>
        <v>4.926391710812732</v>
      </c>
      <c r="N556" s="7">
        <f t="shared" si="15"/>
        <v>2.4454028682619988</v>
      </c>
      <c r="O556" s="7">
        <f t="shared" si="16"/>
        <v>1.4913234686458101</v>
      </c>
      <c r="P556" s="7">
        <f t="shared" si="17"/>
        <v>0.9108240498099236</v>
      </c>
      <c r="Q556">
        <v>1</v>
      </c>
      <c r="R556" s="7">
        <f t="shared" si="18"/>
        <v>20.501776187564417</v>
      </c>
      <c r="S556" s="7">
        <f>VLOOKUP($A556,Rotations!$A$1:$X$1441,18,0)</f>
        <v>7.2741183739503959E-2</v>
      </c>
      <c r="T556" s="7">
        <f>VLOOKUP($A556,Rotations!$A$1:$X$1441,19,0)</f>
        <v>4.442659218777318E-2</v>
      </c>
      <c r="U556" s="7">
        <f>VLOOKUP($A556,Rotations!$A$1:$X$1441,20,0)</f>
        <v>0.24029097116965359</v>
      </c>
      <c r="V556" s="7">
        <f>VLOOKUP($A556,Rotations!$A$1:$X$1441,21,0)</f>
        <v>4.877626166880903E-2</v>
      </c>
      <c r="W556" s="7">
        <f>VLOOKUP($A556,Rotations!$A$1:$X$1441,22,0)</f>
        <v>0.47448738104625671</v>
      </c>
      <c r="X556" s="7">
        <f>VLOOKUP($A556,Rotations!$A$1:$X$1441,23,0)</f>
        <v>0.1192776101880034</v>
      </c>
    </row>
    <row r="557" spans="1:24" ht="15.75" customHeight="1" x14ac:dyDescent="0.3">
      <c r="A557">
        <v>548</v>
      </c>
      <c r="B557" t="str">
        <f>Permutations!I549</f>
        <v>p61 - i5:i3</v>
      </c>
      <c r="C557" t="str">
        <f>Permutations!J549</f>
        <v>p13 - i3:i6</v>
      </c>
      <c r="D557" t="str">
        <f>Permutations!K549</f>
        <v>p111 - i6:i1</v>
      </c>
      <c r="E557" t="str">
        <f>Permutations!L549</f>
        <v>p9 - i1:i4</v>
      </c>
      <c r="F557" t="str">
        <f>Permutations!M549</f>
        <v>p51 - i4:i2</v>
      </c>
      <c r="G557" s="7">
        <f>VLOOKUP(B557,Vlookup!$A$1:$B$30,2,0)</f>
        <v>1.9746367445127702</v>
      </c>
      <c r="H557" s="7">
        <f>VLOOKUP(C557,Vlookup!$A$1:$B$30,2,0)</f>
        <v>2.0145521929129111</v>
      </c>
      <c r="I557" s="7">
        <f>VLOOKUP(D557,Vlookup!$A$1:$B$30,2,0)</f>
        <v>1.6397534939100344</v>
      </c>
      <c r="J557" s="7">
        <f>VLOOKUP(E557,Vlookup!$A$1:$B$30,2,0)</f>
        <v>1.2538815092968505</v>
      </c>
      <c r="K557" s="7">
        <f>VLOOKUP(F557,Vlookup!$A$1:$B$30,2,0)</f>
        <v>1.4376356077157479</v>
      </c>
      <c r="L557" s="7">
        <f t="shared" si="13"/>
        <v>11.758437677377639</v>
      </c>
      <c r="M557" s="7">
        <f t="shared" si="14"/>
        <v>5.9547345657638742</v>
      </c>
      <c r="N557" s="7">
        <f t="shared" si="15"/>
        <v>2.9558601592514298</v>
      </c>
      <c r="O557" s="7">
        <f t="shared" si="16"/>
        <v>1.802624705621517</v>
      </c>
      <c r="P557" s="7">
        <f t="shared" si="17"/>
        <v>1.4376356077157479</v>
      </c>
      <c r="Q557">
        <v>1</v>
      </c>
      <c r="R557" s="7">
        <f t="shared" si="18"/>
        <v>24.90929271573021</v>
      </c>
      <c r="S557" s="7">
        <f>VLOOKUP($A557,Rotations!$A$1:$X$1441,18,0)</f>
        <v>7.2367558814030883E-2</v>
      </c>
      <c r="T557" s="7">
        <f>VLOOKUP($A557,Rotations!$A$1:$X$1441,19,0)</f>
        <v>4.0145660152305342E-2</v>
      </c>
      <c r="U557" s="7">
        <f>VLOOKUP($A557,Rotations!$A$1:$X$1441,20,0)</f>
        <v>0.23905675017434203</v>
      </c>
      <c r="V557" s="7">
        <f>VLOOKUP($A557,Rotations!$A$1:$X$1441,21,0)</f>
        <v>5.7714830530209378E-2</v>
      </c>
      <c r="W557" s="7">
        <f>VLOOKUP($A557,Rotations!$A$1:$X$1441,22,0)</f>
        <v>0.47205024291806524</v>
      </c>
      <c r="X557" s="7">
        <f>VLOOKUP($A557,Rotations!$A$1:$X$1441,23,0)</f>
        <v>0.11866495741104705</v>
      </c>
    </row>
    <row r="558" spans="1:24" ht="15.75" customHeight="1" x14ac:dyDescent="0.3">
      <c r="A558">
        <v>549</v>
      </c>
      <c r="B558" t="str">
        <f>Permutations!I550</f>
        <v>p61 - i5:i3</v>
      </c>
      <c r="C558" t="str">
        <f>Permutations!J550</f>
        <v>p13 - i3:i6</v>
      </c>
      <c r="D558" t="str">
        <f>Permutations!K550</f>
        <v>p121 - i6:i2</v>
      </c>
      <c r="E558" t="str">
        <f>Permutations!L550</f>
        <v>p11 - i2:i1</v>
      </c>
      <c r="F558" t="str">
        <f>Permutations!M550</f>
        <v>p9 - i1:i4</v>
      </c>
      <c r="G558" s="7">
        <f>VLOOKUP(B558,Vlookup!$A$1:$B$30,2,0)</f>
        <v>1.9746367445127702</v>
      </c>
      <c r="H558" s="7">
        <f>VLOOKUP(C558,Vlookup!$A$1:$B$30,2,0)</f>
        <v>2.0145521929129111</v>
      </c>
      <c r="I558" s="7">
        <f>VLOOKUP(D558,Vlookup!$A$1:$B$30,2,0)</f>
        <v>1.2419340531937677</v>
      </c>
      <c r="J558" s="7">
        <f>VLOOKUP(E558,Vlookup!$A$1:$B$30,2,0)</f>
        <v>1.7440097060445605</v>
      </c>
      <c r="K558" s="7">
        <f>VLOOKUP(F558,Vlookup!$A$1:$B$30,2,0)</f>
        <v>1.2538815092968505</v>
      </c>
      <c r="L558" s="7">
        <f t="shared" si="13"/>
        <v>10.803629168355604</v>
      </c>
      <c r="M558" s="7">
        <f t="shared" si="14"/>
        <v>5.4711982841286266</v>
      </c>
      <c r="N558" s="7">
        <f t="shared" si="15"/>
        <v>2.7158384396175066</v>
      </c>
      <c r="O558" s="7">
        <f t="shared" si="16"/>
        <v>2.1867815224435101</v>
      </c>
      <c r="P558" s="7">
        <f t="shared" si="17"/>
        <v>1.2538815092968505</v>
      </c>
      <c r="Q558">
        <v>1</v>
      </c>
      <c r="R558" s="7">
        <f t="shared" si="18"/>
        <v>23.431328923842099</v>
      </c>
      <c r="S558" s="7">
        <f>VLOOKUP($A558,Rotations!$A$1:$X$1441,18,0)</f>
        <v>5.3513034338440249E-2</v>
      </c>
      <c r="T558" s="7">
        <f>VLOOKUP($A558,Rotations!$A$1:$X$1441,19,0)</f>
        <v>9.3327251286135657E-2</v>
      </c>
      <c r="U558" s="7">
        <f>VLOOKUP($A558,Rotations!$A$1:$X$1441,20,0)</f>
        <v>0.23349927363964038</v>
      </c>
      <c r="V558" s="7">
        <f>VLOOKUP($A558,Rotations!$A$1:$X$1441,21,0)</f>
        <v>4.2677903726684029E-2</v>
      </c>
      <c r="W558" s="7">
        <f>VLOOKUP($A558,Rotations!$A$1:$X$1441,22,0)</f>
        <v>0.4610762455458759</v>
      </c>
      <c r="X558" s="7">
        <f>VLOOKUP($A558,Rotations!$A$1:$X$1441,23,0)</f>
        <v>0.11590629146322373</v>
      </c>
    </row>
    <row r="559" spans="1:24" ht="15.75" customHeight="1" x14ac:dyDescent="0.3">
      <c r="A559">
        <v>550</v>
      </c>
      <c r="B559" t="str">
        <f>Permutations!I551</f>
        <v>p61 - i5:i3</v>
      </c>
      <c r="C559" t="str">
        <f>Permutations!J551</f>
        <v>p13 - i3:i6</v>
      </c>
      <c r="D559" t="str">
        <f>Permutations!K551</f>
        <v>p121 - i6:i2</v>
      </c>
      <c r="E559" t="str">
        <f>Permutations!L551</f>
        <v>p5 - i2:i4</v>
      </c>
      <c r="F559" t="str">
        <f>Permutations!M551</f>
        <v>p91 - i4:i1</v>
      </c>
      <c r="G559" s="7">
        <f>VLOOKUP(B559,Vlookup!$A$1:$B$30,2,0)</f>
        <v>1.9746367445127702</v>
      </c>
      <c r="H559" s="7">
        <f>VLOOKUP(C559,Vlookup!$A$1:$B$30,2,0)</f>
        <v>2.0145521929129111</v>
      </c>
      <c r="I559" s="7">
        <f>VLOOKUP(D559,Vlookup!$A$1:$B$30,2,0)</f>
        <v>1.2419340531937677</v>
      </c>
      <c r="J559" s="7">
        <f>VLOOKUP(E559,Vlookup!$A$1:$B$30,2,0)</f>
        <v>0.9108240498099236</v>
      </c>
      <c r="K559" s="7">
        <f>VLOOKUP(F559,Vlookup!$A$1:$B$30,2,0)</f>
        <v>2.9131157743633094</v>
      </c>
      <c r="L559" s="7">
        <f t="shared" si="13"/>
        <v>13.108605915109573</v>
      </c>
      <c r="M559" s="7">
        <f t="shared" si="14"/>
        <v>6.6384898141577144</v>
      </c>
      <c r="N559" s="7">
        <f t="shared" si="15"/>
        <v>3.2952682176771457</v>
      </c>
      <c r="O559" s="7">
        <f t="shared" si="16"/>
        <v>2.653335907170761</v>
      </c>
      <c r="P559" s="7">
        <f t="shared" si="17"/>
        <v>2.9131157743633094</v>
      </c>
      <c r="Q559">
        <v>1</v>
      </c>
      <c r="R559" s="7">
        <f t="shared" si="18"/>
        <v>29.608815628478503</v>
      </c>
      <c r="S559" s="7">
        <f>VLOOKUP($A559,Rotations!$A$1:$X$1441,18,0)</f>
        <v>3.3773725114427569E-2</v>
      </c>
      <c r="T559" s="7">
        <f>VLOOKUP($A559,Rotations!$A$1:$X$1441,19,0)</f>
        <v>8.9613037565025588E-2</v>
      </c>
      <c r="U559" s="7">
        <f>VLOOKUP($A559,Rotations!$A$1:$X$1441,20,0)</f>
        <v>0.22420653015829003</v>
      </c>
      <c r="V559" s="7">
        <f>VLOOKUP($A559,Rotations!$A$1:$X$1441,21,0)</f>
        <v>9.838677138984922E-2</v>
      </c>
      <c r="W559" s="7">
        <f>VLOOKUP($A559,Rotations!$A$1:$X$1441,22,0)</f>
        <v>0.44272645281027001</v>
      </c>
      <c r="X559" s="7">
        <f>VLOOKUP($A559,Rotations!$A$1:$X$1441,23,0)</f>
        <v>0.1112934829621376</v>
      </c>
    </row>
    <row r="560" spans="1:24" ht="15.75" customHeight="1" x14ac:dyDescent="0.3">
      <c r="A560">
        <v>551</v>
      </c>
      <c r="B560" t="str">
        <f>Permutations!I552</f>
        <v>p61 - i5:i3</v>
      </c>
      <c r="C560" t="str">
        <f>Permutations!J552</f>
        <v>p13 - i3:i6</v>
      </c>
      <c r="D560" t="str">
        <f>Permutations!K552</f>
        <v>p141 - i6:i4</v>
      </c>
      <c r="E560" t="str">
        <f>Permutations!L552</f>
        <v>p91 - i4:i1</v>
      </c>
      <c r="F560" t="str">
        <f>Permutations!M552</f>
        <v>p1 - i1:i2</v>
      </c>
      <c r="G560" s="7">
        <f>VLOOKUP(B560,Vlookup!$A$1:$B$30,2,0)</f>
        <v>1.9746367445127702</v>
      </c>
      <c r="H560" s="7">
        <f>VLOOKUP(C560,Vlookup!$A$1:$B$30,2,0)</f>
        <v>2.0145521929129111</v>
      </c>
      <c r="I560" s="7">
        <f>VLOOKUP(D560,Vlookup!$A$1:$B$30,2,0)</f>
        <v>0.88688155974910687</v>
      </c>
      <c r="J560" s="7">
        <f>VLOOKUP(E560,Vlookup!$A$1:$B$30,2,0)</f>
        <v>2.9131157743633094</v>
      </c>
      <c r="K560" s="7">
        <f>VLOOKUP(F560,Vlookup!$A$1:$B$30,2,0)</f>
        <v>1.6373343116675814</v>
      </c>
      <c r="L560" s="7">
        <f t="shared" si="13"/>
        <v>16.827766245630691</v>
      </c>
      <c r="M560" s="7">
        <f t="shared" si="14"/>
        <v>8.5219553887025654</v>
      </c>
      <c r="N560" s="7">
        <f t="shared" si="15"/>
        <v>4.2301983630319224</v>
      </c>
      <c r="O560" s="7">
        <f t="shared" si="16"/>
        <v>4.7697444112251226</v>
      </c>
      <c r="P560" s="7">
        <f t="shared" si="17"/>
        <v>1.6373343116675814</v>
      </c>
      <c r="Q560">
        <v>1</v>
      </c>
      <c r="R560" s="7">
        <f t="shared" si="18"/>
        <v>36.98699872025788</v>
      </c>
      <c r="S560" s="7">
        <f>VLOOKUP($A560,Rotations!$A$1:$X$1441,18,0)</f>
        <v>4.4267833788060477E-2</v>
      </c>
      <c r="T560" s="7">
        <f>VLOOKUP($A560,Rotations!$A$1:$X$1441,19,0)</f>
        <v>2.7036527282552864E-2</v>
      </c>
      <c r="U560" s="7">
        <f>VLOOKUP($A560,Rotations!$A$1:$X$1441,20,0)</f>
        <v>0.2304040793673553</v>
      </c>
      <c r="V560" s="7">
        <f>VLOOKUP($A560,Rotations!$A$1:$X$1441,21,0)</f>
        <v>0.12895732490489206</v>
      </c>
      <c r="W560" s="7">
        <f>VLOOKUP($A560,Rotations!$A$1:$X$1441,22,0)</f>
        <v>0.45496436120441636</v>
      </c>
      <c r="X560" s="7">
        <f>VLOOKUP($A560,Rotations!$A$1:$X$1441,23,0)</f>
        <v>0.11436987345272304</v>
      </c>
    </row>
    <row r="561" spans="1:24" ht="15.75" customHeight="1" x14ac:dyDescent="0.3">
      <c r="A561">
        <v>552</v>
      </c>
      <c r="B561" t="str">
        <f>Permutations!I553</f>
        <v>p61 - i5:i3</v>
      </c>
      <c r="C561" t="str">
        <f>Permutations!J553</f>
        <v>p13 - i3:i6</v>
      </c>
      <c r="D561" t="str">
        <f>Permutations!K553</f>
        <v>p141 - i6:i4</v>
      </c>
      <c r="E561" t="str">
        <f>Permutations!L553</f>
        <v>p51 - i4:i2</v>
      </c>
      <c r="F561" t="str">
        <f>Permutations!M553</f>
        <v>p11 - i2:i1</v>
      </c>
      <c r="G561" s="7">
        <f>VLOOKUP(B561,Vlookup!$A$1:$B$30,2,0)</f>
        <v>1.9746367445127702</v>
      </c>
      <c r="H561" s="7">
        <f>VLOOKUP(C561,Vlookup!$A$1:$B$30,2,0)</f>
        <v>2.0145521929129111</v>
      </c>
      <c r="I561" s="7">
        <f>VLOOKUP(D561,Vlookup!$A$1:$B$30,2,0)</f>
        <v>0.88688155974910687</v>
      </c>
      <c r="J561" s="7">
        <f>VLOOKUP(E561,Vlookup!$A$1:$B$30,2,0)</f>
        <v>1.4376356077157479</v>
      </c>
      <c r="K561" s="7">
        <f>VLOOKUP(F561,Vlookup!$A$1:$B$30,2,0)</f>
        <v>1.7440097060445605</v>
      </c>
      <c r="L561" s="7">
        <f t="shared" si="13"/>
        <v>8.8456363517787384</v>
      </c>
      <c r="M561" s="7">
        <f t="shared" si="14"/>
        <v>4.4796271397053067</v>
      </c>
      <c r="N561" s="7">
        <f t="shared" si="15"/>
        <v>2.2236341929806538</v>
      </c>
      <c r="O561" s="7">
        <f t="shared" si="16"/>
        <v>2.5072504536115345</v>
      </c>
      <c r="P561" s="7">
        <f t="shared" si="17"/>
        <v>1.7440097060445605</v>
      </c>
      <c r="Q561">
        <v>1</v>
      </c>
      <c r="R561" s="7">
        <f t="shared" si="18"/>
        <v>20.800157844120793</v>
      </c>
      <c r="S561" s="7">
        <f>VLOOKUP($A561,Rotations!$A$1:$X$1441,18,0)</f>
        <v>4.8076558240285276E-2</v>
      </c>
      <c r="T561" s="7">
        <f>VLOOKUP($A561,Rotations!$A$1:$X$1441,19,0)</f>
        <v>8.3845984204274124E-2</v>
      </c>
      <c r="U561" s="7">
        <f>VLOOKUP($A561,Rotations!$A$1:$X$1441,20,0)</f>
        <v>0.21536505507680473</v>
      </c>
      <c r="V561" s="7">
        <f>VLOOKUP($A561,Rotations!$A$1:$X$1441,21,0)</f>
        <v>0.12053997245603662</v>
      </c>
      <c r="W561" s="7">
        <f>VLOOKUP($A561,Rotations!$A$1:$X$1441,22,0)</f>
        <v>0.42526775123867511</v>
      </c>
      <c r="X561" s="7">
        <f>VLOOKUP($A561,Rotations!$A$1:$X$1441,23,0)</f>
        <v>0.10690467878392415</v>
      </c>
    </row>
    <row r="562" spans="1:24" ht="15.75" customHeight="1" x14ac:dyDescent="0.3">
      <c r="A562">
        <v>553</v>
      </c>
      <c r="B562" t="str">
        <f>Permutations!I554</f>
        <v>p41 - i5:i4</v>
      </c>
      <c r="C562" t="str">
        <f>Permutations!J554</f>
        <v>p91 - i4:i1</v>
      </c>
      <c r="D562" t="str">
        <f>Permutations!K554</f>
        <v>p1 - i1:i2</v>
      </c>
      <c r="E562" t="str">
        <f>Permutations!L554</f>
        <v>p2 - i2:i3</v>
      </c>
      <c r="F562" t="str">
        <f>Permutations!M554</f>
        <v>p13 - i3:i6</v>
      </c>
      <c r="G562" s="7">
        <f>VLOOKUP(B562,Vlookup!$A$1:$B$30,2,0)</f>
        <v>1.25400669441983</v>
      </c>
      <c r="H562" s="7">
        <f>VLOOKUP(C562,Vlookup!$A$1:$B$30,2,0)</f>
        <v>2.9131157743633094</v>
      </c>
      <c r="I562" s="7">
        <f>VLOOKUP(D562,Vlookup!$A$1:$B$30,2,0)</f>
        <v>1.6373343116675814</v>
      </c>
      <c r="J562" s="7">
        <f>VLOOKUP(E562,Vlookup!$A$1:$B$30,2,0)</f>
        <v>1.3601242124324544</v>
      </c>
      <c r="K562" s="7">
        <f>VLOOKUP(F562,Vlookup!$A$1:$B$30,2,0)</f>
        <v>2.0145521929129111</v>
      </c>
      <c r="L562" s="7">
        <f t="shared" si="13"/>
        <v>16.388985014901561</v>
      </c>
      <c r="M562" s="7">
        <f t="shared" si="14"/>
        <v>13.069296270769891</v>
      </c>
      <c r="N562" s="7">
        <f t="shared" si="15"/>
        <v>4.4863634963585737</v>
      </c>
      <c r="O562" s="7">
        <f t="shared" si="16"/>
        <v>2.740041214789747</v>
      </c>
      <c r="P562" s="7">
        <f t="shared" si="17"/>
        <v>2.0145521929129111</v>
      </c>
      <c r="Q562">
        <v>1</v>
      </c>
      <c r="R562" s="7">
        <f t="shared" si="18"/>
        <v>39.699238189732682</v>
      </c>
      <c r="S562" s="7">
        <f>VLOOKUP($A562,Rotations!$A$1:$X$1441,18,0)</f>
        <v>0.11300880573367957</v>
      </c>
      <c r="T562" s="7">
        <f>VLOOKUP($A562,Rotations!$A$1:$X$1441,19,0)</f>
        <v>6.9019994834520454E-2</v>
      </c>
      <c r="U562" s="7">
        <f>VLOOKUP($A562,Rotations!$A$1:$X$1441,20,0)</f>
        <v>5.0745361492451256E-2</v>
      </c>
      <c r="V562" s="7">
        <f>VLOOKUP($A562,Rotations!$A$1:$X$1441,21,0)</f>
        <v>0.32920773462474079</v>
      </c>
      <c r="W562" s="7">
        <f>VLOOKUP($A562,Rotations!$A$1:$X$1441,22,0)</f>
        <v>0.41282870307421177</v>
      </c>
      <c r="X562" s="7">
        <f>VLOOKUP($A562,Rotations!$A$1:$X$1441,23,0)</f>
        <v>2.5189400240396238E-2</v>
      </c>
    </row>
    <row r="563" spans="1:24" ht="15.75" customHeight="1" x14ac:dyDescent="0.3">
      <c r="A563">
        <v>554</v>
      </c>
      <c r="B563" t="str">
        <f>Permutations!I555</f>
        <v>p41 - i5:i4</v>
      </c>
      <c r="C563" t="str">
        <f>Permutations!J555</f>
        <v>p91 - i4:i1</v>
      </c>
      <c r="D563" t="str">
        <f>Permutations!K555</f>
        <v>p1 - i1:i2</v>
      </c>
      <c r="E563" t="str">
        <f>Permutations!L555</f>
        <v>p12 - i2:i6</v>
      </c>
      <c r="F563" t="str">
        <f>Permutations!M555</f>
        <v>p131 - i6:i3</v>
      </c>
      <c r="G563" s="7">
        <f>VLOOKUP(B563,Vlookup!$A$1:$B$30,2,0)</f>
        <v>1.25400669441983</v>
      </c>
      <c r="H563" s="7">
        <f>VLOOKUP(C563,Vlookup!$A$1:$B$30,2,0)</f>
        <v>2.9131157743633094</v>
      </c>
      <c r="I563" s="7">
        <f>VLOOKUP(D563,Vlookup!$A$1:$B$30,2,0)</f>
        <v>1.6373343116675814</v>
      </c>
      <c r="J563" s="7">
        <f>VLOOKUP(E563,Vlookup!$A$1:$B$30,2,0)</f>
        <v>1.3354555559520354</v>
      </c>
      <c r="K563" s="7">
        <f>VLOOKUP(F563,Vlookup!$A$1:$B$30,2,0)</f>
        <v>1.4032439022773779</v>
      </c>
      <c r="L563" s="7">
        <f t="shared" si="13"/>
        <v>11.208759883163538</v>
      </c>
      <c r="M563" s="7">
        <f t="shared" si="14"/>
        <v>8.9383572934985853</v>
      </c>
      <c r="N563" s="7">
        <f t="shared" si="15"/>
        <v>3.0683151600633356</v>
      </c>
      <c r="O563" s="7">
        <f t="shared" si="16"/>
        <v>1.8739698656521393</v>
      </c>
      <c r="P563" s="7">
        <f t="shared" si="17"/>
        <v>1.4032439022773779</v>
      </c>
      <c r="Q563">
        <v>1</v>
      </c>
      <c r="R563" s="7">
        <f t="shared" si="18"/>
        <v>27.492646104654973</v>
      </c>
      <c r="S563" s="7">
        <f>VLOOKUP($A563,Rotations!$A$1:$X$1441,18,0)</f>
        <v>0.11160494149538475</v>
      </c>
      <c r="T563" s="7">
        <f>VLOOKUP($A563,Rotations!$A$1:$X$1441,19,0)</f>
        <v>6.8162586406509781E-2</v>
      </c>
      <c r="U563" s="7">
        <f>VLOOKUP($A563,Rotations!$A$1:$X$1441,20,0)</f>
        <v>3.6373363123845794E-2</v>
      </c>
      <c r="V563" s="7">
        <f>VLOOKUP($A563,Rotations!$A$1:$X$1441,21,0)</f>
        <v>0.32511811556709957</v>
      </c>
      <c r="W563" s="7">
        <f>VLOOKUP($A563,Rotations!$A$1:$X$1441,22,0)</f>
        <v>0.40770029339830272</v>
      </c>
      <c r="X563" s="7">
        <f>VLOOKUP($A563,Rotations!$A$1:$X$1441,23,0)</f>
        <v>5.1040700008857451E-2</v>
      </c>
    </row>
    <row r="564" spans="1:24" ht="15.75" customHeight="1" x14ac:dyDescent="0.3">
      <c r="A564">
        <v>555</v>
      </c>
      <c r="B564" t="str">
        <f>Permutations!I556</f>
        <v>p41 - i5:i4</v>
      </c>
      <c r="C564" t="str">
        <f>Permutations!J556</f>
        <v>p91 - i4:i1</v>
      </c>
      <c r="D564" t="str">
        <f>Permutations!K556</f>
        <v>p8 - i1:i3</v>
      </c>
      <c r="E564" t="str">
        <f>Permutations!L556</f>
        <v>p21 - i3:i2</v>
      </c>
      <c r="F564" t="str">
        <f>Permutations!M556</f>
        <v>p12 - i2:i6</v>
      </c>
      <c r="G564" s="7">
        <f>VLOOKUP(B564,Vlookup!$A$1:$B$30,2,0)</f>
        <v>1.25400669441983</v>
      </c>
      <c r="H564" s="7">
        <f>VLOOKUP(C564,Vlookup!$A$1:$B$30,2,0)</f>
        <v>2.9131157743633094</v>
      </c>
      <c r="I564" s="7">
        <f>VLOOKUP(D564,Vlookup!$A$1:$B$30,2,0)</f>
        <v>1.1080774401297739</v>
      </c>
      <c r="J564" s="7">
        <f>VLOOKUP(E564,Vlookup!$A$1:$B$30,2,0)</f>
        <v>1.5059827029565431</v>
      </c>
      <c r="K564" s="7">
        <f>VLOOKUP(F564,Vlookup!$A$1:$B$30,2,0)</f>
        <v>1.3354555559520354</v>
      </c>
      <c r="L564" s="7">
        <f t="shared" si="13"/>
        <v>8.1409883984364519</v>
      </c>
      <c r="M564" s="7">
        <f t="shared" si="14"/>
        <v>6.4919816095582359</v>
      </c>
      <c r="N564" s="7">
        <f t="shared" si="15"/>
        <v>2.2285353938523516</v>
      </c>
      <c r="O564" s="7">
        <f t="shared" si="16"/>
        <v>2.0111729678309791</v>
      </c>
      <c r="P564" s="7">
        <f t="shared" si="17"/>
        <v>1.3354555559520354</v>
      </c>
      <c r="Q564">
        <v>1</v>
      </c>
      <c r="R564" s="7">
        <f t="shared" si="18"/>
        <v>21.208133925630055</v>
      </c>
      <c r="S564" s="7">
        <f>VLOOKUP($A564,Rotations!$A$1:$X$1441,18,0)</f>
        <v>0.10507927768030378</v>
      </c>
      <c r="T564" s="7">
        <f>VLOOKUP($A564,Rotations!$A$1:$X$1441,19,0)</f>
        <v>6.2969026913685028E-2</v>
      </c>
      <c r="U564" s="7">
        <f>VLOOKUP($A564,Rotations!$A$1:$X$1441,20,0)</f>
        <v>9.4830265354014676E-2</v>
      </c>
      <c r="V564" s="7">
        <f>VLOOKUP($A564,Rotations!$A$1:$X$1441,21,0)</f>
        <v>0.30610810136919536</v>
      </c>
      <c r="W564" s="7">
        <f>VLOOKUP($A564,Rotations!$A$1:$X$1441,22,0)</f>
        <v>0.38386160833311495</v>
      </c>
      <c r="X564" s="7">
        <f>VLOOKUP($A564,Rotations!$A$1:$X$1441,23,0)</f>
        <v>4.7151720349686156E-2</v>
      </c>
    </row>
    <row r="565" spans="1:24" ht="15.75" customHeight="1" x14ac:dyDescent="0.3">
      <c r="A565">
        <v>556</v>
      </c>
      <c r="B565" t="str">
        <f>Permutations!I557</f>
        <v>p41 - i5:i4</v>
      </c>
      <c r="C565" t="str">
        <f>Permutations!J557</f>
        <v>p91 - i4:i1</v>
      </c>
      <c r="D565" t="str">
        <f>Permutations!K557</f>
        <v>p8 - i1:i3</v>
      </c>
      <c r="E565" t="str">
        <f>Permutations!L557</f>
        <v>p13 - i3:i6</v>
      </c>
      <c r="F565" t="str">
        <f>Permutations!M557</f>
        <v>p121 - i6:i2</v>
      </c>
      <c r="G565" s="7">
        <f>VLOOKUP(B565,Vlookup!$A$1:$B$30,2,0)</f>
        <v>1.25400669441983</v>
      </c>
      <c r="H565" s="7">
        <f>VLOOKUP(C565,Vlookup!$A$1:$B$30,2,0)</f>
        <v>2.9131157743633094</v>
      </c>
      <c r="I565" s="7">
        <f>VLOOKUP(D565,Vlookup!$A$1:$B$30,2,0)</f>
        <v>1.1080774401297739</v>
      </c>
      <c r="J565" s="7">
        <f>VLOOKUP(E565,Vlookup!$A$1:$B$30,2,0)</f>
        <v>2.0145521929129111</v>
      </c>
      <c r="K565" s="7">
        <f>VLOOKUP(F565,Vlookup!$A$1:$B$30,2,0)</f>
        <v>1.2419340531937677</v>
      </c>
      <c r="L565" s="7">
        <f t="shared" si="13"/>
        <v>10.127558762323611</v>
      </c>
      <c r="M565" s="7">
        <f t="shared" si="14"/>
        <v>8.0761600455483649</v>
      </c>
      <c r="N565" s="7">
        <f t="shared" si="15"/>
        <v>2.7723443457421433</v>
      </c>
      <c r="O565" s="7">
        <f t="shared" si="16"/>
        <v>2.5019409703147248</v>
      </c>
      <c r="P565" s="7">
        <f t="shared" si="17"/>
        <v>1.2419340531937677</v>
      </c>
      <c r="Q565">
        <v>1</v>
      </c>
      <c r="R565" s="7">
        <f t="shared" si="18"/>
        <v>25.719938177122611</v>
      </c>
      <c r="S565" s="7">
        <f>VLOOKUP($A565,Rotations!$A$1:$X$1441,18,0)</f>
        <v>0.1077896971077516</v>
      </c>
      <c r="T565" s="7">
        <f>VLOOKUP($A565,Rotations!$A$1:$X$1441,19,0)</f>
        <v>3.8880342289838034E-2</v>
      </c>
      <c r="U565" s="7">
        <f>VLOOKUP($A565,Rotations!$A$1:$X$1441,20,0)</f>
        <v>9.7276321314806E-2</v>
      </c>
      <c r="V565" s="7">
        <f>VLOOKUP($A565,Rotations!$A$1:$X$1441,21,0)</f>
        <v>0.31400386695843435</v>
      </c>
      <c r="W565" s="7">
        <f>VLOOKUP($A565,Rotations!$A$1:$X$1441,22,0)</f>
        <v>0.39376295123959043</v>
      </c>
      <c r="X565" s="7">
        <f>VLOOKUP($A565,Rotations!$A$1:$X$1441,23,0)</f>
        <v>4.8286821089579608E-2</v>
      </c>
    </row>
    <row r="566" spans="1:24" ht="15.75" customHeight="1" x14ac:dyDescent="0.3">
      <c r="A566">
        <v>557</v>
      </c>
      <c r="B566" t="str">
        <f>Permutations!I558</f>
        <v>p41 - i5:i4</v>
      </c>
      <c r="C566" t="str">
        <f>Permutations!J558</f>
        <v>p91 - i4:i1</v>
      </c>
      <c r="D566" t="str">
        <f>Permutations!K558</f>
        <v>p11 - i1:i6</v>
      </c>
      <c r="E566" t="str">
        <f>Permutations!L558</f>
        <v>p121 - i6:i2</v>
      </c>
      <c r="F566" t="str">
        <f>Permutations!M558</f>
        <v>p2 - i2:i3</v>
      </c>
      <c r="G566" s="7">
        <f>VLOOKUP(B566,Vlookup!$A$1:$B$30,2,0)</f>
        <v>1.25400669441983</v>
      </c>
      <c r="H566" s="7">
        <f>VLOOKUP(C566,Vlookup!$A$1:$B$30,2,0)</f>
        <v>2.9131157743633094</v>
      </c>
      <c r="I566" s="7">
        <f>VLOOKUP(D566,Vlookup!$A$1:$B$30,2,0)</f>
        <v>1.1613557664474019</v>
      </c>
      <c r="J566" s="7">
        <f>VLOOKUP(E566,Vlookup!$A$1:$B$30,2,0)</f>
        <v>1.2419340531937677</v>
      </c>
      <c r="K566" s="7">
        <f>VLOOKUP(F566,Vlookup!$A$1:$B$30,2,0)</f>
        <v>1.3601242124324544</v>
      </c>
      <c r="L566" s="7">
        <f t="shared" si="13"/>
        <v>7.1663825520128439</v>
      </c>
      <c r="M566" s="7">
        <f t="shared" si="14"/>
        <v>5.7147881138931194</v>
      </c>
      <c r="N566" s="7">
        <f t="shared" si="15"/>
        <v>1.9617442479237348</v>
      </c>
      <c r="O566" s="7">
        <f t="shared" si="16"/>
        <v>1.6891845759932191</v>
      </c>
      <c r="P566" s="7">
        <f t="shared" si="17"/>
        <v>1.3601242124324544</v>
      </c>
      <c r="Q566">
        <v>1</v>
      </c>
      <c r="R566" s="7">
        <f t="shared" si="18"/>
        <v>18.892223702255368</v>
      </c>
      <c r="S566" s="7">
        <f>VLOOKUP($A566,Rotations!$A$1:$X$1441,18,0)</f>
        <v>0.10383871580398131</v>
      </c>
      <c r="T566" s="7">
        <f>VLOOKUP($A566,Rotations!$A$1:$X$1441,19,0)</f>
        <v>7.1993865511452829E-2</v>
      </c>
      <c r="U566" s="7">
        <f>VLOOKUP($A566,Rotations!$A$1:$X$1441,20,0)</f>
        <v>5.2931831411705085E-2</v>
      </c>
      <c r="V566" s="7">
        <f>VLOOKUP($A566,Rotations!$A$1:$X$1441,21,0)</f>
        <v>0.30249420099820667</v>
      </c>
      <c r="W566" s="7">
        <f>VLOOKUP($A566,Rotations!$A$1:$X$1441,22,0)</f>
        <v>0.37932975307492867</v>
      </c>
      <c r="X566" s="7">
        <f>VLOOKUP($A566,Rotations!$A$1:$X$1441,23,0)</f>
        <v>8.9411633199725615E-2</v>
      </c>
    </row>
    <row r="567" spans="1:24" ht="15.75" customHeight="1" x14ac:dyDescent="0.3">
      <c r="A567">
        <v>558</v>
      </c>
      <c r="B567" t="str">
        <f>Permutations!I559</f>
        <v>p41 - i5:i4</v>
      </c>
      <c r="C567" t="str">
        <f>Permutations!J559</f>
        <v>p91 - i4:i1</v>
      </c>
      <c r="D567" t="str">
        <f>Permutations!K559</f>
        <v>p11 - i1:i6</v>
      </c>
      <c r="E567" t="str">
        <f>Permutations!L559</f>
        <v>p131 - i6:i3</v>
      </c>
      <c r="F567" t="str">
        <f>Permutations!M559</f>
        <v>p21 - i3:i2</v>
      </c>
      <c r="G567" s="7">
        <f>VLOOKUP(B567,Vlookup!$A$1:$B$30,2,0)</f>
        <v>1.25400669441983</v>
      </c>
      <c r="H567" s="7">
        <f>VLOOKUP(C567,Vlookup!$A$1:$B$30,2,0)</f>
        <v>2.9131157743633094</v>
      </c>
      <c r="I567" s="7">
        <f>VLOOKUP(D567,Vlookup!$A$1:$B$30,2,0)</f>
        <v>1.1613557664474019</v>
      </c>
      <c r="J567" s="7">
        <f>VLOOKUP(E567,Vlookup!$A$1:$B$30,2,0)</f>
        <v>1.4032439022773779</v>
      </c>
      <c r="K567" s="7">
        <f>VLOOKUP(F567,Vlookup!$A$1:$B$30,2,0)</f>
        <v>1.5059827029565431</v>
      </c>
      <c r="L567" s="7">
        <f t="shared" si="13"/>
        <v>8.965531236171179</v>
      </c>
      <c r="M567" s="7">
        <f t="shared" si="14"/>
        <v>7.1495082730153285</v>
      </c>
      <c r="N567" s="7">
        <f t="shared" si="15"/>
        <v>2.4542479004556301</v>
      </c>
      <c r="O567" s="7">
        <f t="shared" si="16"/>
        <v>2.113261044858973</v>
      </c>
      <c r="P567" s="7">
        <f t="shared" si="17"/>
        <v>1.5059827029565431</v>
      </c>
      <c r="Q567">
        <v>1</v>
      </c>
      <c r="R567" s="7">
        <f t="shared" si="18"/>
        <v>23.188531157457657</v>
      </c>
      <c r="S567" s="7">
        <f>VLOOKUP($A567,Rotations!$A$1:$X$1441,18,0)</f>
        <v>0.10583886852472414</v>
      </c>
      <c r="T567" s="7">
        <f>VLOOKUP($A567,Rotations!$A$1:$X$1441,19,0)</f>
        <v>4.312476686037918E-2</v>
      </c>
      <c r="U567" s="7">
        <f>VLOOKUP($A567,Rotations!$A$1:$X$1441,20,0)</f>
        <v>6.4945152960764585E-2</v>
      </c>
      <c r="V567" s="7">
        <f>VLOOKUP($A567,Rotations!$A$1:$X$1441,21,0)</f>
        <v>0.3083208774401382</v>
      </c>
      <c r="W567" s="7">
        <f>VLOOKUP($A567,Rotations!$A$1:$X$1441,22,0)</f>
        <v>0.38663644433932925</v>
      </c>
      <c r="X567" s="7">
        <f>VLOOKUP($A567,Rotations!$A$1:$X$1441,23,0)</f>
        <v>9.1133889874664517E-2</v>
      </c>
    </row>
    <row r="568" spans="1:24" ht="15.75" customHeight="1" x14ac:dyDescent="0.3">
      <c r="A568">
        <v>559</v>
      </c>
      <c r="B568" t="str">
        <f>Permutations!I560</f>
        <v>p41 - i5:i4</v>
      </c>
      <c r="C568" t="str">
        <f>Permutations!J560</f>
        <v>p51 - i4:i2</v>
      </c>
      <c r="D568" t="str">
        <f>Permutations!K560</f>
        <v>p11 - i2:i1</v>
      </c>
      <c r="E568" t="str">
        <f>Permutations!L560</f>
        <v>p8 - i1:i3</v>
      </c>
      <c r="F568" t="str">
        <f>Permutations!M560</f>
        <v>p13 - i3:i6</v>
      </c>
      <c r="G568" s="7">
        <f>VLOOKUP(B568,Vlookup!$A$1:$B$30,2,0)</f>
        <v>1.25400669441983</v>
      </c>
      <c r="H568" s="7">
        <f>VLOOKUP(C568,Vlookup!$A$1:$B$30,2,0)</f>
        <v>1.4376356077157479</v>
      </c>
      <c r="I568" s="7">
        <f>VLOOKUP(D568,Vlookup!$A$1:$B$30,2,0)</f>
        <v>1.7440097060445605</v>
      </c>
      <c r="J568" s="7">
        <f>VLOOKUP(E568,Vlookup!$A$1:$B$30,2,0)</f>
        <v>1.1080774401297739</v>
      </c>
      <c r="K568" s="7">
        <f>VLOOKUP(F568,Vlookup!$A$1:$B$30,2,0)</f>
        <v>2.0145521929129111</v>
      </c>
      <c r="L568" s="7">
        <f t="shared" si="13"/>
        <v>7.0185307985960756</v>
      </c>
      <c r="M568" s="7">
        <f t="shared" si="14"/>
        <v>5.5968846337325333</v>
      </c>
      <c r="N568" s="7">
        <f t="shared" si="15"/>
        <v>3.8931177022148158</v>
      </c>
      <c r="O568" s="7">
        <f t="shared" si="16"/>
        <v>2.2322798369307613</v>
      </c>
      <c r="P568" s="7">
        <f t="shared" si="17"/>
        <v>2.0145521929129111</v>
      </c>
      <c r="Q568">
        <v>1</v>
      </c>
      <c r="R568" s="7">
        <f t="shared" si="18"/>
        <v>21.755365164387097</v>
      </c>
      <c r="S568" s="7">
        <f>VLOOKUP($A568,Rotations!$A$1:$X$1441,18,0)</f>
        <v>0.10260824491169372</v>
      </c>
      <c r="T568" s="7">
        <f>VLOOKUP($A568,Rotations!$A$1:$X$1441,19,0)</f>
        <v>0.17894977504619122</v>
      </c>
      <c r="U568" s="7">
        <f>VLOOKUP($A568,Rotations!$A$1:$X$1441,20,0)</f>
        <v>9.2600247235136032E-2</v>
      </c>
      <c r="V568" s="7">
        <f>VLOOKUP($A568,Rotations!$A$1:$X$1441,21,0)</f>
        <v>0.2572645685991275</v>
      </c>
      <c r="W568" s="7">
        <f>VLOOKUP($A568,Rotations!$A$1:$X$1441,22,0)</f>
        <v>0.3226114912603355</v>
      </c>
      <c r="X568" s="7">
        <f>VLOOKUP($A568,Rotations!$A$1:$X$1441,23,0)</f>
        <v>4.5965672947516002E-2</v>
      </c>
    </row>
    <row r="569" spans="1:24" ht="15.75" customHeight="1" x14ac:dyDescent="0.3">
      <c r="A569">
        <v>560</v>
      </c>
      <c r="B569" t="str">
        <f>Permutations!I561</f>
        <v>p41 - i5:i4</v>
      </c>
      <c r="C569" t="str">
        <f>Permutations!J561</f>
        <v>p51 - i4:i2</v>
      </c>
      <c r="D569" t="str">
        <f>Permutations!K561</f>
        <v>p11 - i2:i1</v>
      </c>
      <c r="E569" t="str">
        <f>Permutations!L561</f>
        <v>p11 - i1:i6</v>
      </c>
      <c r="F569" t="str">
        <f>Permutations!M561</f>
        <v>p131 - i6:i3</v>
      </c>
      <c r="G569" s="7">
        <f>VLOOKUP(B569,Vlookup!$A$1:$B$30,2,0)</f>
        <v>1.25400669441983</v>
      </c>
      <c r="H569" s="7">
        <f>VLOOKUP(C569,Vlookup!$A$1:$B$30,2,0)</f>
        <v>1.4376356077157479</v>
      </c>
      <c r="I569" s="7">
        <f>VLOOKUP(D569,Vlookup!$A$1:$B$30,2,0)</f>
        <v>1.7440097060445605</v>
      </c>
      <c r="J569" s="7">
        <f>VLOOKUP(E569,Vlookup!$A$1:$B$30,2,0)</f>
        <v>1.1613557664474019</v>
      </c>
      <c r="K569" s="7">
        <f>VLOOKUP(F569,Vlookup!$A$1:$B$30,2,0)</f>
        <v>1.4032439022773779</v>
      </c>
      <c r="L569" s="7">
        <f t="shared" si="13"/>
        <v>5.1238454048319113</v>
      </c>
      <c r="M569" s="7">
        <f t="shared" si="14"/>
        <v>4.0859793074728943</v>
      </c>
      <c r="N569" s="7">
        <f t="shared" si="15"/>
        <v>2.8421522710925942</v>
      </c>
      <c r="O569" s="7">
        <f t="shared" si="16"/>
        <v>1.6296653976419875</v>
      </c>
      <c r="P569" s="7">
        <f t="shared" si="17"/>
        <v>1.4032439022773779</v>
      </c>
      <c r="Q569">
        <v>1</v>
      </c>
      <c r="R569" s="7">
        <f t="shared" si="18"/>
        <v>16.084886283316763</v>
      </c>
      <c r="S569" s="7">
        <f>VLOOKUP($A569,Rotations!$A$1:$X$1441,18,0)</f>
        <v>0.10131656319710981</v>
      </c>
      <c r="T569" s="7">
        <f>VLOOKUP($A569,Rotations!$A$1:$X$1441,19,0)</f>
        <v>0.1766970695988366</v>
      </c>
      <c r="U569" s="7">
        <f>VLOOKUP($A569,Rotations!$A$1:$X$1441,20,0)</f>
        <v>6.2170162871291144E-2</v>
      </c>
      <c r="V569" s="7">
        <f>VLOOKUP($A569,Rotations!$A$1:$X$1441,21,0)</f>
        <v>0.25402599903431522</v>
      </c>
      <c r="W569" s="7">
        <f>VLOOKUP($A569,Rotations!$A$1:$X$1441,22,0)</f>
        <v>0.3185503033457166</v>
      </c>
      <c r="X569" s="7">
        <f>VLOOKUP($A569,Rotations!$A$1:$X$1441,23,0)</f>
        <v>8.7239901952730736E-2</v>
      </c>
    </row>
    <row r="570" spans="1:24" ht="15.75" customHeight="1" x14ac:dyDescent="0.3">
      <c r="A570">
        <v>561</v>
      </c>
      <c r="B570" t="str">
        <f>Permutations!I562</f>
        <v>p41 - i5:i4</v>
      </c>
      <c r="C570" t="str">
        <f>Permutations!J562</f>
        <v>p51 - i4:i2</v>
      </c>
      <c r="D570" t="str">
        <f>Permutations!K562</f>
        <v>p2 - i2:i3</v>
      </c>
      <c r="E570" t="str">
        <f>Permutations!L562</f>
        <v>p81 - i3:i1</v>
      </c>
      <c r="F570" t="str">
        <f>Permutations!M562</f>
        <v>p11 - i1:i6</v>
      </c>
      <c r="G570" s="7">
        <f>VLOOKUP(B570,Vlookup!$A$1:$B$30,2,0)</f>
        <v>1.25400669441983</v>
      </c>
      <c r="H570" s="7">
        <f>VLOOKUP(C570,Vlookup!$A$1:$B$30,2,0)</f>
        <v>1.4376356077157479</v>
      </c>
      <c r="I570" s="7">
        <f>VLOOKUP(D570,Vlookup!$A$1:$B$30,2,0)</f>
        <v>1.3601242124324544</v>
      </c>
      <c r="J570" s="7">
        <f>VLOOKUP(E570,Vlookup!$A$1:$B$30,2,0)</f>
        <v>1.7021844231989158</v>
      </c>
      <c r="K570" s="7">
        <f>VLOOKUP(F570,Vlookup!$A$1:$B$30,2,0)</f>
        <v>1.1613557664474019</v>
      </c>
      <c r="L570" s="7">
        <f t="shared" si="13"/>
        <v>4.8472915312800726</v>
      </c>
      <c r="M570" s="7">
        <f t="shared" si="14"/>
        <v>3.8654431055670617</v>
      </c>
      <c r="N570" s="7">
        <f t="shared" si="15"/>
        <v>2.6887502541126156</v>
      </c>
      <c r="O570" s="7">
        <f t="shared" si="16"/>
        <v>1.9768416954390056</v>
      </c>
      <c r="P570" s="7">
        <f t="shared" si="17"/>
        <v>1.1613557664474019</v>
      </c>
      <c r="Q570">
        <v>1</v>
      </c>
      <c r="R570" s="7">
        <f t="shared" si="18"/>
        <v>15.539682352846159</v>
      </c>
      <c r="S570" s="7">
        <f>VLOOKUP($A570,Rotations!$A$1:$X$1441,18,0)</f>
        <v>7.4734845930405691E-2</v>
      </c>
      <c r="T570" s="7">
        <f>VLOOKUP($A570,Rotations!$A$1:$X$1441,19,0)</f>
        <v>0.17302478860645176</v>
      </c>
      <c r="U570" s="7">
        <f>VLOOKUP($A570,Rotations!$A$1:$X$1441,20,0)</f>
        <v>0.12721249061290746</v>
      </c>
      <c r="V570" s="7">
        <f>VLOOKUP($A570,Rotations!$A$1:$X$1441,21,0)</f>
        <v>0.24874659711812511</v>
      </c>
      <c r="W570" s="7">
        <f>VLOOKUP($A570,Rotations!$A$1:$X$1441,22,0)</f>
        <v>0.31192989800028126</v>
      </c>
      <c r="X570" s="7">
        <f>VLOOKUP($A570,Rotations!$A$1:$X$1441,23,0)</f>
        <v>6.4351379731828667E-2</v>
      </c>
    </row>
    <row r="571" spans="1:24" ht="15.75" customHeight="1" x14ac:dyDescent="0.3">
      <c r="A571">
        <v>562</v>
      </c>
      <c r="B571" t="str">
        <f>Permutations!I563</f>
        <v>p41 - i5:i4</v>
      </c>
      <c r="C571" t="str">
        <f>Permutations!J563</f>
        <v>p51 - i4:i2</v>
      </c>
      <c r="D571" t="str">
        <f>Permutations!K563</f>
        <v>p2 - i2:i3</v>
      </c>
      <c r="E571" t="str">
        <f>Permutations!L563</f>
        <v>p13 - i3:i6</v>
      </c>
      <c r="F571" t="str">
        <f>Permutations!M563</f>
        <v>p111 - i6:i1</v>
      </c>
      <c r="G571" s="7">
        <f>VLOOKUP(B571,Vlookup!$A$1:$B$30,2,0)</f>
        <v>1.25400669441983</v>
      </c>
      <c r="H571" s="7">
        <f>VLOOKUP(C571,Vlookup!$A$1:$B$30,2,0)</f>
        <v>1.4376356077157479</v>
      </c>
      <c r="I571" s="7">
        <f>VLOOKUP(D571,Vlookup!$A$1:$B$30,2,0)</f>
        <v>1.3601242124324544</v>
      </c>
      <c r="J571" s="7">
        <f>VLOOKUP(E571,Vlookup!$A$1:$B$30,2,0)</f>
        <v>2.0145521929129111</v>
      </c>
      <c r="K571" s="7">
        <f>VLOOKUP(F571,Vlookup!$A$1:$B$30,2,0)</f>
        <v>1.6397534939100344</v>
      </c>
      <c r="L571" s="7">
        <f t="shared" si="13"/>
        <v>8.0999872679545568</v>
      </c>
      <c r="M571" s="7">
        <f t="shared" si="14"/>
        <v>6.4592855078034814</v>
      </c>
      <c r="N571" s="7">
        <f t="shared" si="15"/>
        <v>4.4929921554089827</v>
      </c>
      <c r="O571" s="7">
        <f t="shared" si="16"/>
        <v>3.3033689969930675</v>
      </c>
      <c r="P571" s="7">
        <f t="shared" si="17"/>
        <v>1.6397534939100344</v>
      </c>
      <c r="Q571">
        <v>1</v>
      </c>
      <c r="R571" s="7">
        <f t="shared" si="18"/>
        <v>24.995387422070127</v>
      </c>
      <c r="S571" s="7">
        <f>VLOOKUP($A571,Rotations!$A$1:$X$1441,18,0)</f>
        <v>4.0007381486595085E-2</v>
      </c>
      <c r="T571" s="7">
        <f>VLOOKUP($A571,Rotations!$A$1:$X$1441,19,0)</f>
        <v>0.17975285117772627</v>
      </c>
      <c r="U571" s="7">
        <f>VLOOKUP($A571,Rotations!$A$1:$X$1441,20,0)</f>
        <v>0.13215914365369261</v>
      </c>
      <c r="V571" s="7">
        <f>VLOOKUP($A571,Rotations!$A$1:$X$1441,21,0)</f>
        <v>0.25841909944152891</v>
      </c>
      <c r="W571" s="7">
        <f>VLOOKUP($A571,Rotations!$A$1:$X$1441,22,0)</f>
        <v>0.32405928066562101</v>
      </c>
      <c r="X571" s="7">
        <f>VLOOKUP($A571,Rotations!$A$1:$X$1441,23,0)</f>
        <v>6.560224357483592E-2</v>
      </c>
    </row>
    <row r="572" spans="1:24" ht="15.75" customHeight="1" x14ac:dyDescent="0.3">
      <c r="A572">
        <v>563</v>
      </c>
      <c r="B572" t="str">
        <f>Permutations!I564</f>
        <v>p41 - i5:i4</v>
      </c>
      <c r="C572" t="str">
        <f>Permutations!J564</f>
        <v>p51 - i4:i2</v>
      </c>
      <c r="D572" t="str">
        <f>Permutations!K564</f>
        <v>p12 - i2:i6</v>
      </c>
      <c r="E572" t="str">
        <f>Permutations!L564</f>
        <v>p111 - i6:i1</v>
      </c>
      <c r="F572" t="str">
        <f>Permutations!M564</f>
        <v>p8 - i1:i3</v>
      </c>
      <c r="G572" s="7">
        <f>VLOOKUP(B572,Vlookup!$A$1:$B$30,2,0)</f>
        <v>1.25400669441983</v>
      </c>
      <c r="H572" s="7">
        <f>VLOOKUP(C572,Vlookup!$A$1:$B$30,2,0)</f>
        <v>1.4376356077157479</v>
      </c>
      <c r="I572" s="7">
        <f>VLOOKUP(D572,Vlookup!$A$1:$B$30,2,0)</f>
        <v>1.3354555559520354</v>
      </c>
      <c r="J572" s="7">
        <f>VLOOKUP(E572,Vlookup!$A$1:$B$30,2,0)</f>
        <v>1.6397534939100344</v>
      </c>
      <c r="K572" s="7">
        <f>VLOOKUP(F572,Vlookup!$A$1:$B$30,2,0)</f>
        <v>1.1080774401297739</v>
      </c>
      <c r="L572" s="7">
        <f t="shared" si="13"/>
        <v>4.3744836036509902</v>
      </c>
      <c r="M572" s="7">
        <f t="shared" si="14"/>
        <v>3.4884053036693379</v>
      </c>
      <c r="N572" s="7">
        <f t="shared" si="15"/>
        <v>2.4264878283114091</v>
      </c>
      <c r="O572" s="7">
        <f t="shared" si="16"/>
        <v>1.8169738539756839</v>
      </c>
      <c r="P572" s="7">
        <f t="shared" si="17"/>
        <v>1.1080774401297739</v>
      </c>
      <c r="Q572">
        <v>1</v>
      </c>
      <c r="R572" s="7">
        <f t="shared" si="18"/>
        <v>14.214428029737196</v>
      </c>
      <c r="S572" s="7">
        <f>VLOOKUP($A572,Rotations!$A$1:$X$1441,18,0)</f>
        <v>7.7954416302339305E-2</v>
      </c>
      <c r="T572" s="7">
        <f>VLOOKUP($A572,Rotations!$A$1:$X$1441,19,0)</f>
        <v>0.17070597728132936</v>
      </c>
      <c r="U572" s="7">
        <f>VLOOKUP($A572,Rotations!$A$1:$X$1441,20,0)</f>
        <v>7.0351054429200879E-2</v>
      </c>
      <c r="V572" s="7">
        <f>VLOOKUP($A572,Rotations!$A$1:$X$1441,21,0)</f>
        <v>0.24541299138955461</v>
      </c>
      <c r="W572" s="7">
        <f>VLOOKUP($A572,Rotations!$A$1:$X$1441,22,0)</f>
        <v>0.30774953410009759</v>
      </c>
      <c r="X572" s="7">
        <f>VLOOKUP($A572,Rotations!$A$1:$X$1441,23,0)</f>
        <v>0.12782602649747821</v>
      </c>
    </row>
    <row r="573" spans="1:24" ht="15.75" customHeight="1" x14ac:dyDescent="0.3">
      <c r="A573">
        <v>564</v>
      </c>
      <c r="B573" t="str">
        <f>Permutations!I565</f>
        <v>p41 - i5:i4</v>
      </c>
      <c r="C573" t="str">
        <f>Permutations!J565</f>
        <v>p51 - i4:i2</v>
      </c>
      <c r="D573" t="str">
        <f>Permutations!K565</f>
        <v>p12 - i2:i6</v>
      </c>
      <c r="E573" t="str">
        <f>Permutations!L565</f>
        <v>p131 - i6:i3</v>
      </c>
      <c r="F573" t="str">
        <f>Permutations!M565</f>
        <v>p81 - i3:i1</v>
      </c>
      <c r="G573" s="7">
        <f>VLOOKUP(B573,Vlookup!$A$1:$B$30,2,0)</f>
        <v>1.25400669441983</v>
      </c>
      <c r="H573" s="7">
        <f>VLOOKUP(C573,Vlookup!$A$1:$B$30,2,0)</f>
        <v>1.4376356077157479</v>
      </c>
      <c r="I573" s="7">
        <f>VLOOKUP(D573,Vlookup!$A$1:$B$30,2,0)</f>
        <v>1.3354555559520354</v>
      </c>
      <c r="J573" s="7">
        <f>VLOOKUP(E573,Vlookup!$A$1:$B$30,2,0)</f>
        <v>1.4032439022773779</v>
      </c>
      <c r="K573" s="7">
        <f>VLOOKUP(F573,Vlookup!$A$1:$B$30,2,0)</f>
        <v>1.7021844231989158</v>
      </c>
      <c r="L573" s="7">
        <f t="shared" si="13"/>
        <v>5.7506626416031184</v>
      </c>
      <c r="M573" s="7">
        <f t="shared" si="14"/>
        <v>4.5858308948371906</v>
      </c>
      <c r="N573" s="7">
        <f t="shared" si="15"/>
        <v>3.1898423148572363</v>
      </c>
      <c r="O573" s="7">
        <f t="shared" si="16"/>
        <v>2.3885799124054143</v>
      </c>
      <c r="P573" s="7">
        <f t="shared" si="17"/>
        <v>1.7021844231989158</v>
      </c>
      <c r="Q573">
        <v>1</v>
      </c>
      <c r="R573" s="7">
        <f t="shared" si="18"/>
        <v>18.617100186901872</v>
      </c>
      <c r="S573" s="7">
        <f>VLOOKUP($A573,Rotations!$A$1:$X$1441,18,0)</f>
        <v>5.3714058041302998E-2</v>
      </c>
      <c r="T573" s="7">
        <f>VLOOKUP($A573,Rotations!$A$1:$X$1441,19,0)</f>
        <v>0.1713393752428459</v>
      </c>
      <c r="U573" s="7">
        <f>VLOOKUP($A573,Rotations!$A$1:$X$1441,20,0)</f>
        <v>9.143123290470842E-2</v>
      </c>
      <c r="V573" s="7">
        <f>VLOOKUP($A573,Rotations!$A$1:$X$1441,21,0)</f>
        <v>0.2463235868528853</v>
      </c>
      <c r="W573" s="7">
        <f>VLOOKUP($A573,Rotations!$A$1:$X$1441,22,0)</f>
        <v>0.3088914269070227</v>
      </c>
      <c r="X573" s="7">
        <f>VLOOKUP($A573,Rotations!$A$1:$X$1441,23,0)</f>
        <v>0.12830032005123485</v>
      </c>
    </row>
    <row r="574" spans="1:24" ht="15.75" customHeight="1" x14ac:dyDescent="0.3">
      <c r="A574">
        <v>565</v>
      </c>
      <c r="B574" t="str">
        <f>Permutations!I566</f>
        <v>p41 - i5:i4</v>
      </c>
      <c r="C574" t="str">
        <f>Permutations!J566</f>
        <v>p31 - i4:i3</v>
      </c>
      <c r="D574" t="str">
        <f>Permutations!K566</f>
        <v>p81 - i3:i1</v>
      </c>
      <c r="E574" t="str">
        <f>Permutations!L566</f>
        <v>p1 - i1:i2</v>
      </c>
      <c r="F574" t="str">
        <f>Permutations!M566</f>
        <v>p12 - i2:i6</v>
      </c>
      <c r="G574" s="7">
        <f>VLOOKUP(B574,Vlookup!$A$1:$B$30,2,0)</f>
        <v>1.25400669441983</v>
      </c>
      <c r="H574" s="7">
        <f>VLOOKUP(C574,Vlookup!$A$1:$B$30,2,0)</f>
        <v>2.2388599512381115</v>
      </c>
      <c r="I574" s="7">
        <f>VLOOKUP(D574,Vlookup!$A$1:$B$30,2,0)</f>
        <v>1.7021844231989158</v>
      </c>
      <c r="J574" s="7">
        <f>VLOOKUP(E574,Vlookup!$A$1:$B$30,2,0)</f>
        <v>1.6373343116675814</v>
      </c>
      <c r="K574" s="7">
        <f>VLOOKUP(F574,Vlookup!$A$1:$B$30,2,0)</f>
        <v>1.3354555559520354</v>
      </c>
      <c r="L574" s="7">
        <f t="shared" si="13"/>
        <v>10.449612761452832</v>
      </c>
      <c r="M574" s="7">
        <f t="shared" si="14"/>
        <v>8.3329800454433585</v>
      </c>
      <c r="N574" s="7">
        <f t="shared" si="15"/>
        <v>3.7219746777082405</v>
      </c>
      <c r="O574" s="7">
        <f t="shared" si="16"/>
        <v>2.186587203467373</v>
      </c>
      <c r="P574" s="7">
        <f t="shared" si="17"/>
        <v>1.3354555559520354</v>
      </c>
      <c r="Q574">
        <v>1</v>
      </c>
      <c r="R574" s="7">
        <f t="shared" si="18"/>
        <v>27.026610244023836</v>
      </c>
      <c r="S574" s="7">
        <f>VLOOKUP($A574,Rotations!$A$1:$X$1441,18,0)</f>
        <v>8.0904974161562657E-2</v>
      </c>
      <c r="T574" s="7">
        <f>VLOOKUP($A574,Rotations!$A$1:$X$1441,19,0)</f>
        <v>4.9412617560773579E-2</v>
      </c>
      <c r="U574" s="7">
        <f>VLOOKUP($A574,Rotations!$A$1:$X$1441,20,0)</f>
        <v>0.13771518677712272</v>
      </c>
      <c r="V574" s="7">
        <f>VLOOKUP($A574,Rotations!$A$1:$X$1441,21,0)</f>
        <v>0.30832501635257642</v>
      </c>
      <c r="W574" s="7">
        <f>VLOOKUP($A574,Rotations!$A$1:$X$1441,22,0)</f>
        <v>0.38664163456323442</v>
      </c>
      <c r="X574" s="7">
        <f>VLOOKUP($A574,Rotations!$A$1:$X$1441,23,0)</f>
        <v>3.7000570584730337E-2</v>
      </c>
    </row>
    <row r="575" spans="1:24" ht="15.75" customHeight="1" x14ac:dyDescent="0.3">
      <c r="A575">
        <v>566</v>
      </c>
      <c r="B575" t="str">
        <f>Permutations!I567</f>
        <v>p41 - i5:i4</v>
      </c>
      <c r="C575" t="str">
        <f>Permutations!J567</f>
        <v>p31 - i4:i3</v>
      </c>
      <c r="D575" t="str">
        <f>Permutations!K567</f>
        <v>p81 - i3:i1</v>
      </c>
      <c r="E575" t="str">
        <f>Permutations!L567</f>
        <v>p11 - i1:i6</v>
      </c>
      <c r="F575" t="str">
        <f>Permutations!M567</f>
        <v>p121 - i6:i2</v>
      </c>
      <c r="G575" s="7">
        <f>VLOOKUP(B575,Vlookup!$A$1:$B$30,2,0)</f>
        <v>1.25400669441983</v>
      </c>
      <c r="H575" s="7">
        <f>VLOOKUP(C575,Vlookup!$A$1:$B$30,2,0)</f>
        <v>2.2388599512381115</v>
      </c>
      <c r="I575" s="7">
        <f>VLOOKUP(D575,Vlookup!$A$1:$B$30,2,0)</f>
        <v>1.7021844231989158</v>
      </c>
      <c r="J575" s="7">
        <f>VLOOKUP(E575,Vlookup!$A$1:$B$30,2,0)</f>
        <v>1.1613557664474019</v>
      </c>
      <c r="K575" s="7">
        <f>VLOOKUP(F575,Vlookup!$A$1:$B$30,2,0)</f>
        <v>1.2419340531937677</v>
      </c>
      <c r="L575" s="7">
        <f t="shared" si="13"/>
        <v>6.8928243369495386</v>
      </c>
      <c r="M575" s="7">
        <f t="shared" si="14"/>
        <v>5.496640781601668</v>
      </c>
      <c r="N575" s="7">
        <f t="shared" si="15"/>
        <v>2.4551070193390037</v>
      </c>
      <c r="O575" s="7">
        <f t="shared" si="16"/>
        <v>1.4423272742239766</v>
      </c>
      <c r="P575" s="7">
        <f t="shared" si="17"/>
        <v>1.2419340531937677</v>
      </c>
      <c r="Q575">
        <v>1</v>
      </c>
      <c r="R575" s="7">
        <f t="shared" si="18"/>
        <v>18.528833465307954</v>
      </c>
      <c r="S575" s="7">
        <f>VLOOKUP($A575,Rotations!$A$1:$X$1441,18,0)</f>
        <v>7.7842314084396388E-2</v>
      </c>
      <c r="T575" s="7">
        <f>VLOOKUP($A575,Rotations!$A$1:$X$1441,19,0)</f>
        <v>5.3969938359709882E-2</v>
      </c>
      <c r="U575" s="7">
        <f>VLOOKUP($A575,Rotations!$A$1:$X$1441,20,0)</f>
        <v>0.13250197450021708</v>
      </c>
      <c r="V575" s="7">
        <f>VLOOKUP($A575,Rotations!$A$1:$X$1441,21,0)</f>
        <v>0.29665336416850957</v>
      </c>
      <c r="W575" s="7">
        <f>VLOOKUP($A575,Rotations!$A$1:$X$1441,22,0)</f>
        <v>0.37200530458947473</v>
      </c>
      <c r="X575" s="7">
        <f>VLOOKUP($A575,Rotations!$A$1:$X$1441,23,0)</f>
        <v>6.7027104297692305E-2</v>
      </c>
    </row>
    <row r="576" spans="1:24" ht="15.75" customHeight="1" x14ac:dyDescent="0.3">
      <c r="A576">
        <v>567</v>
      </c>
      <c r="B576" t="str">
        <f>Permutations!I568</f>
        <v>p41 - i5:i4</v>
      </c>
      <c r="C576" t="str">
        <f>Permutations!J568</f>
        <v>p31 - i4:i3</v>
      </c>
      <c r="D576" t="str">
        <f>Permutations!K568</f>
        <v>p21 - i3:i2</v>
      </c>
      <c r="E576" t="str">
        <f>Permutations!L568</f>
        <v>p11 - i2:i1</v>
      </c>
      <c r="F576" t="str">
        <f>Permutations!M568</f>
        <v>p11 - i1:i6</v>
      </c>
      <c r="G576" s="7">
        <f>VLOOKUP(B576,Vlookup!$A$1:$B$30,2,0)</f>
        <v>1.25400669441983</v>
      </c>
      <c r="H576" s="7">
        <f>VLOOKUP(C576,Vlookup!$A$1:$B$30,2,0)</f>
        <v>2.2388599512381115</v>
      </c>
      <c r="I576" s="7">
        <f>VLOOKUP(D576,Vlookup!$A$1:$B$30,2,0)</f>
        <v>1.5059827029565431</v>
      </c>
      <c r="J576" s="7">
        <f>VLOOKUP(E576,Vlookup!$A$1:$B$30,2,0)</f>
        <v>1.7440097060445605</v>
      </c>
      <c r="K576" s="7">
        <f>VLOOKUP(F576,Vlookup!$A$1:$B$30,2,0)</f>
        <v>1.1613557664474019</v>
      </c>
      <c r="L576" s="7">
        <f t="shared" si="13"/>
        <v>8.5636901384049313</v>
      </c>
      <c r="M576" s="7">
        <f t="shared" si="14"/>
        <v>6.829062537315199</v>
      </c>
      <c r="N576" s="7">
        <f t="shared" si="15"/>
        <v>3.0502410539518832</v>
      </c>
      <c r="O576" s="7">
        <f t="shared" si="16"/>
        <v>2.0254157288550885</v>
      </c>
      <c r="P576" s="7">
        <f t="shared" si="17"/>
        <v>1.1613557664474019</v>
      </c>
      <c r="Q576">
        <v>1</v>
      </c>
      <c r="R576" s="7">
        <f t="shared" si="18"/>
        <v>22.629765224974506</v>
      </c>
      <c r="S576" s="7">
        <f>VLOOKUP($A576,Rotations!$A$1:$X$1441,18,0)</f>
        <v>5.1319832746904263E-2</v>
      </c>
      <c r="T576" s="7">
        <f>VLOOKUP($A576,Rotations!$A$1:$X$1441,19,0)</f>
        <v>8.9502286423184502E-2</v>
      </c>
      <c r="U576" s="7">
        <f>VLOOKUP($A576,Rotations!$A$1:$X$1441,20,0)</f>
        <v>0.13478889522837811</v>
      </c>
      <c r="V576" s="7">
        <f>VLOOKUP($A576,Rotations!$A$1:$X$1441,21,0)</f>
        <v>0.30177345939844558</v>
      </c>
      <c r="W576" s="7">
        <f>VLOOKUP($A576,Rotations!$A$1:$X$1441,22,0)</f>
        <v>0.37842593828388155</v>
      </c>
      <c r="X576" s="7">
        <f>VLOOKUP($A576,Rotations!$A$1:$X$1441,23,0)</f>
        <v>4.4189587919205936E-2</v>
      </c>
    </row>
    <row r="577" spans="1:24" ht="15.75" customHeight="1" x14ac:dyDescent="0.3">
      <c r="A577">
        <v>568</v>
      </c>
      <c r="B577" t="str">
        <f>Permutations!I569</f>
        <v>p41 - i5:i4</v>
      </c>
      <c r="C577" t="str">
        <f>Permutations!J569</f>
        <v>p31 - i4:i3</v>
      </c>
      <c r="D577" t="str">
        <f>Permutations!K569</f>
        <v>p21 - i3:i2</v>
      </c>
      <c r="E577" t="str">
        <f>Permutations!L569</f>
        <v>p12 - i2:i6</v>
      </c>
      <c r="F577" t="str">
        <f>Permutations!M569</f>
        <v>p111 - i6:i1</v>
      </c>
      <c r="G577" s="7">
        <f>VLOOKUP(B577,Vlookup!$A$1:$B$30,2,0)</f>
        <v>1.25400669441983</v>
      </c>
      <c r="H577" s="7">
        <f>VLOOKUP(C577,Vlookup!$A$1:$B$30,2,0)</f>
        <v>2.2388599512381115</v>
      </c>
      <c r="I577" s="7">
        <f>VLOOKUP(D577,Vlookup!$A$1:$B$30,2,0)</f>
        <v>1.5059827029565431</v>
      </c>
      <c r="J577" s="7">
        <f>VLOOKUP(E577,Vlookup!$A$1:$B$30,2,0)</f>
        <v>1.3354555559520354</v>
      </c>
      <c r="K577" s="7">
        <f>VLOOKUP(F577,Vlookup!$A$1:$B$30,2,0)</f>
        <v>1.6397534939100344</v>
      </c>
      <c r="L577" s="7">
        <f t="shared" si="13"/>
        <v>9.2588014432980064</v>
      </c>
      <c r="M577" s="7">
        <f t="shared" si="14"/>
        <v>7.3833748133072117</v>
      </c>
      <c r="N577" s="7">
        <f t="shared" si="15"/>
        <v>3.2978279008582612</v>
      </c>
      <c r="O577" s="7">
        <f t="shared" si="16"/>
        <v>2.1898179138339176</v>
      </c>
      <c r="P577" s="7">
        <f t="shared" si="17"/>
        <v>1.6397534939100344</v>
      </c>
      <c r="Q577">
        <v>1</v>
      </c>
      <c r="R577" s="7">
        <f t="shared" si="18"/>
        <v>24.769575565207433</v>
      </c>
      <c r="S577" s="7">
        <f>VLOOKUP($A577,Rotations!$A$1:$X$1441,18,0)</f>
        <v>4.0372108814195805E-2</v>
      </c>
      <c r="T577" s="7">
        <f>VLOOKUP($A577,Rotations!$A$1:$X$1441,19,0)</f>
        <v>8.8407567100578177E-2</v>
      </c>
      <c r="U577" s="7">
        <f>VLOOKUP($A577,Rotations!$A$1:$X$1441,20,0)</f>
        <v>0.13314026686394065</v>
      </c>
      <c r="V577" s="7">
        <f>VLOOKUP($A577,Rotations!$A$1:$X$1441,21,0)</f>
        <v>0.2980824113788314</v>
      </c>
      <c r="W577" s="7">
        <f>VLOOKUP($A577,Rotations!$A$1:$X$1441,22,0)</f>
        <v>0.37379733935786025</v>
      </c>
      <c r="X577" s="7">
        <f>VLOOKUP($A577,Rotations!$A$1:$X$1441,23,0)</f>
        <v>6.6200306484593671E-2</v>
      </c>
    </row>
    <row r="578" spans="1:24" ht="15.75" customHeight="1" x14ac:dyDescent="0.3">
      <c r="A578">
        <v>569</v>
      </c>
      <c r="B578" t="str">
        <f>Permutations!I570</f>
        <v>p41 - i5:i4</v>
      </c>
      <c r="C578" t="str">
        <f>Permutations!J570</f>
        <v>p31 - i4:i3</v>
      </c>
      <c r="D578" t="str">
        <f>Permutations!K570</f>
        <v>p13 - i3:i6</v>
      </c>
      <c r="E578" t="str">
        <f>Permutations!L570</f>
        <v>p111 - i6:i1</v>
      </c>
      <c r="F578" t="str">
        <f>Permutations!M570</f>
        <v>p1 - i1:i2</v>
      </c>
      <c r="G578" s="7">
        <f>VLOOKUP(B578,Vlookup!$A$1:$B$30,2,0)</f>
        <v>1.25400669441983</v>
      </c>
      <c r="H578" s="7">
        <f>VLOOKUP(C578,Vlookup!$A$1:$B$30,2,0)</f>
        <v>2.2388599512381115</v>
      </c>
      <c r="I578" s="7">
        <f>VLOOKUP(D578,Vlookup!$A$1:$B$30,2,0)</f>
        <v>2.0145521929129111</v>
      </c>
      <c r="J578" s="7">
        <f>VLOOKUP(E578,Vlookup!$A$1:$B$30,2,0)</f>
        <v>1.6397534939100344</v>
      </c>
      <c r="K578" s="7">
        <f>VLOOKUP(F578,Vlookup!$A$1:$B$30,2,0)</f>
        <v>1.6373343116675814</v>
      </c>
      <c r="L578" s="7">
        <f t="shared" si="13"/>
        <v>15.185225099437821</v>
      </c>
      <c r="M578" s="7">
        <f t="shared" si="14"/>
        <v>12.109365258582857</v>
      </c>
      <c r="N578" s="7">
        <f t="shared" si="15"/>
        <v>5.4087194028756729</v>
      </c>
      <c r="O578" s="7">
        <f t="shared" si="16"/>
        <v>2.6848246582556978</v>
      </c>
      <c r="P578" s="7">
        <f t="shared" si="17"/>
        <v>1.6373343116675814</v>
      </c>
      <c r="Q578">
        <v>1</v>
      </c>
      <c r="R578" s="7">
        <f t="shared" si="18"/>
        <v>38.025468730819632</v>
      </c>
      <c r="S578" s="7">
        <f>VLOOKUP($A578,Rotations!$A$1:$X$1441,18,0)</f>
        <v>4.3058885697325341E-2</v>
      </c>
      <c r="T578" s="7">
        <f>VLOOKUP($A578,Rotations!$A$1:$X$1441,19,0)</f>
        <v>2.6298163661806494E-2</v>
      </c>
      <c r="U578" s="7">
        <f>VLOOKUP($A578,Rotations!$A$1:$X$1441,20,0)</f>
        <v>0.14223938805761274</v>
      </c>
      <c r="V578" s="7">
        <f>VLOOKUP($A578,Rotations!$A$1:$X$1441,21,0)</f>
        <v>0.31845406941080567</v>
      </c>
      <c r="W578" s="7">
        <f>VLOOKUP($A578,Rotations!$A$1:$X$1441,22,0)</f>
        <v>0.39934353490638763</v>
      </c>
      <c r="X578" s="7">
        <f>VLOOKUP($A578,Rotations!$A$1:$X$1441,23,0)</f>
        <v>7.060595826606203E-2</v>
      </c>
    </row>
    <row r="579" spans="1:24" ht="15.75" customHeight="1" x14ac:dyDescent="0.3">
      <c r="A579">
        <v>570</v>
      </c>
      <c r="B579" t="str">
        <f>Permutations!I571</f>
        <v>p41 - i5:i4</v>
      </c>
      <c r="C579" t="str">
        <f>Permutations!J571</f>
        <v>p31 - i4:i3</v>
      </c>
      <c r="D579" t="str">
        <f>Permutations!K571</f>
        <v>p13 - i3:i6</v>
      </c>
      <c r="E579" t="str">
        <f>Permutations!L571</f>
        <v>p121 - i6:i2</v>
      </c>
      <c r="F579" t="str">
        <f>Permutations!M571</f>
        <v>p11 - i2:i1</v>
      </c>
      <c r="G579" s="7">
        <f>VLOOKUP(B579,Vlookup!$A$1:$B$30,2,0)</f>
        <v>1.25400669441983</v>
      </c>
      <c r="H579" s="7">
        <f>VLOOKUP(C579,Vlookup!$A$1:$B$30,2,0)</f>
        <v>2.2388599512381115</v>
      </c>
      <c r="I579" s="7">
        <f>VLOOKUP(D579,Vlookup!$A$1:$B$30,2,0)</f>
        <v>2.0145521929129111</v>
      </c>
      <c r="J579" s="7">
        <f>VLOOKUP(E579,Vlookup!$A$1:$B$30,2,0)</f>
        <v>1.2419340531937677</v>
      </c>
      <c r="K579" s="7">
        <f>VLOOKUP(F579,Vlookup!$A$1:$B$30,2,0)</f>
        <v>1.7440097060445605</v>
      </c>
      <c r="L579" s="7">
        <f t="shared" si="13"/>
        <v>12.250469664897901</v>
      </c>
      <c r="M579" s="7">
        <f t="shared" si="14"/>
        <v>9.7690624136305892</v>
      </c>
      <c r="N579" s="7">
        <f t="shared" si="15"/>
        <v>4.3634093361794255</v>
      </c>
      <c r="O579" s="7">
        <f t="shared" si="16"/>
        <v>2.1659450430371923</v>
      </c>
      <c r="P579" s="7">
        <f t="shared" si="17"/>
        <v>1.7440097060445605</v>
      </c>
      <c r="Q579">
        <v>1</v>
      </c>
      <c r="R579" s="7">
        <f t="shared" si="18"/>
        <v>31.292896163789674</v>
      </c>
      <c r="S579" s="7">
        <f>VLOOKUP($A579,Rotations!$A$1:$X$1441,18,0)</f>
        <v>3.1956134541396078E-2</v>
      </c>
      <c r="T579" s="7">
        <f>VLOOKUP($A579,Rotations!$A$1:$X$1441,19,0)</f>
        <v>5.5731808807860599E-2</v>
      </c>
      <c r="U579" s="7">
        <f>VLOOKUP($A579,Rotations!$A$1:$X$1441,20,0)</f>
        <v>0.13943769580613347</v>
      </c>
      <c r="V579" s="7">
        <f>VLOOKUP($A579,Rotations!$A$1:$X$1441,21,0)</f>
        <v>0.31218147283327463</v>
      </c>
      <c r="W579" s="7">
        <f>VLOOKUP($A579,Rotations!$A$1:$X$1441,22,0)</f>
        <v>0.39147765680676866</v>
      </c>
      <c r="X579" s="7">
        <f>VLOOKUP($A579,Rotations!$A$1:$X$1441,23,0)</f>
        <v>6.9215231204566435E-2</v>
      </c>
    </row>
    <row r="580" spans="1:24" ht="15.75" customHeight="1" x14ac:dyDescent="0.3">
      <c r="A580">
        <v>571</v>
      </c>
      <c r="B580" t="str">
        <f>Permutations!I572</f>
        <v>p41 - i5:i4</v>
      </c>
      <c r="C580" t="str">
        <f>Permutations!J572</f>
        <v>p14 - i4:i6</v>
      </c>
      <c r="D580" t="str">
        <f>Permutations!K572</f>
        <v>p111 - i6:i1</v>
      </c>
      <c r="E580" t="str">
        <f>Permutations!L572</f>
        <v>p1 - i1:i2</v>
      </c>
      <c r="F580" t="str">
        <f>Permutations!M572</f>
        <v>p2 - i2:i3</v>
      </c>
      <c r="G580" s="7">
        <f>VLOOKUP(B580,Vlookup!$A$1:$B$30,2,0)</f>
        <v>1.25400669441983</v>
      </c>
      <c r="H580" s="7">
        <f>VLOOKUP(C580,Vlookup!$A$1:$B$30,2,0)</f>
        <v>1.478275916473532</v>
      </c>
      <c r="I580" s="7">
        <f>VLOOKUP(D580,Vlookup!$A$1:$B$30,2,0)</f>
        <v>1.6397534939100344</v>
      </c>
      <c r="J580" s="7">
        <f>VLOOKUP(E580,Vlookup!$A$1:$B$30,2,0)</f>
        <v>1.6373343116675814</v>
      </c>
      <c r="K580" s="7">
        <f>VLOOKUP(F580,Vlookup!$A$1:$B$30,2,0)</f>
        <v>1.3601242124324544</v>
      </c>
      <c r="L580" s="7">
        <f t="shared" si="13"/>
        <v>6.7693949991763036</v>
      </c>
      <c r="M580" s="7">
        <f t="shared" si="14"/>
        <v>5.3982128080330423</v>
      </c>
      <c r="N580" s="7">
        <f t="shared" si="15"/>
        <v>3.6516950238292645</v>
      </c>
      <c r="O580" s="7">
        <f t="shared" si="16"/>
        <v>2.2269780411455038</v>
      </c>
      <c r="P580" s="7">
        <f t="shared" si="17"/>
        <v>1.3601242124324544</v>
      </c>
      <c r="Q580">
        <v>1</v>
      </c>
      <c r="R580" s="7">
        <f t="shared" si="18"/>
        <v>20.406405084616566</v>
      </c>
      <c r="S580" s="7">
        <f>VLOOKUP($A580,Rotations!$A$1:$X$1441,18,0)</f>
        <v>0.10913132577302008</v>
      </c>
      <c r="T580" s="7">
        <f>VLOOKUP($A580,Rotations!$A$1:$X$1441,19,0)</f>
        <v>6.6651828521123904E-2</v>
      </c>
      <c r="U580" s="7">
        <f>VLOOKUP($A580,Rotations!$A$1:$X$1441,20,0)</f>
        <v>4.9004221755543469E-2</v>
      </c>
      <c r="V580" s="7">
        <f>VLOOKUP($A580,Rotations!$A$1:$X$1441,21,0)</f>
        <v>0.2645352175284662</v>
      </c>
      <c r="W580" s="7">
        <f>VLOOKUP($A580,Rotations!$A$1:$X$1441,22,0)</f>
        <v>0.3317289336905026</v>
      </c>
      <c r="X580" s="7">
        <f>VLOOKUP($A580,Rotations!$A$1:$X$1441,23,0)</f>
        <v>0.17894847273134387</v>
      </c>
    </row>
    <row r="581" spans="1:24" ht="15.75" customHeight="1" x14ac:dyDescent="0.3">
      <c r="A581">
        <v>572</v>
      </c>
      <c r="B581" t="str">
        <f>Permutations!I573</f>
        <v>p41 - i5:i4</v>
      </c>
      <c r="C581" t="str">
        <f>Permutations!J573</f>
        <v>p14 - i4:i6</v>
      </c>
      <c r="D581" t="str">
        <f>Permutations!K573</f>
        <v>p111 - i6:i1</v>
      </c>
      <c r="E581" t="str">
        <f>Permutations!L573</f>
        <v>p8 - i1:i3</v>
      </c>
      <c r="F581" t="str">
        <f>Permutations!M573</f>
        <v>p21 - i3:i2</v>
      </c>
      <c r="G581" s="7">
        <f>VLOOKUP(B581,Vlookup!$A$1:$B$30,2,0)</f>
        <v>1.25400669441983</v>
      </c>
      <c r="H581" s="7">
        <f>VLOOKUP(C581,Vlookup!$A$1:$B$30,2,0)</f>
        <v>1.478275916473532</v>
      </c>
      <c r="I581" s="7">
        <f>VLOOKUP(D581,Vlookup!$A$1:$B$30,2,0)</f>
        <v>1.6397534939100344</v>
      </c>
      <c r="J581" s="7">
        <f>VLOOKUP(E581,Vlookup!$A$1:$B$30,2,0)</f>
        <v>1.1080774401297739</v>
      </c>
      <c r="K581" s="7">
        <f>VLOOKUP(F581,Vlookup!$A$1:$B$30,2,0)</f>
        <v>1.5059827029565431</v>
      </c>
      <c r="L581" s="7">
        <f t="shared" si="13"/>
        <v>5.0725229221342767</v>
      </c>
      <c r="M581" s="7">
        <f t="shared" si="14"/>
        <v>4.0450525062636089</v>
      </c>
      <c r="N581" s="7">
        <f t="shared" si="15"/>
        <v>2.7363311958116676</v>
      </c>
      <c r="O581" s="7">
        <f t="shared" si="16"/>
        <v>1.668745458371804</v>
      </c>
      <c r="P581" s="7">
        <f t="shared" si="17"/>
        <v>1.5059827029565431</v>
      </c>
      <c r="Q581">
        <v>1</v>
      </c>
      <c r="R581" s="7">
        <f t="shared" si="18"/>
        <v>16.0286347855379</v>
      </c>
      <c r="S581" s="7">
        <f>VLOOKUP($A581,Rotations!$A$1:$X$1441,18,0)</f>
        <v>0.10411026769899687</v>
      </c>
      <c r="T581" s="7">
        <f>VLOOKUP($A581,Rotations!$A$1:$X$1441,19,0)</f>
        <v>6.2388345194705319E-2</v>
      </c>
      <c r="U581" s="7">
        <f>VLOOKUP($A581,Rotations!$A$1:$X$1441,20,0)</f>
        <v>9.3955768729308178E-2</v>
      </c>
      <c r="V581" s="7">
        <f>VLOOKUP($A581,Rotations!$A$1:$X$1441,21,0)</f>
        <v>0.25236413209148195</v>
      </c>
      <c r="W581" s="7">
        <f>VLOOKUP($A581,Rotations!$A$1:$X$1441,22,0)</f>
        <v>0.31646631107416862</v>
      </c>
      <c r="X581" s="7">
        <f>VLOOKUP($A581,Rotations!$A$1:$X$1441,23,0)</f>
        <v>0.17071517521133911</v>
      </c>
    </row>
    <row r="582" spans="1:24" ht="15.75" customHeight="1" x14ac:dyDescent="0.3">
      <c r="A582">
        <v>573</v>
      </c>
      <c r="B582" t="str">
        <f>Permutations!I574</f>
        <v>p41 - i5:i4</v>
      </c>
      <c r="C582" t="str">
        <f>Permutations!J574</f>
        <v>p14 - i4:i6</v>
      </c>
      <c r="D582" t="str">
        <f>Permutations!K574</f>
        <v>p121 - i6:i2</v>
      </c>
      <c r="E582" t="str">
        <f>Permutations!L574</f>
        <v>p11 - i2:i1</v>
      </c>
      <c r="F582" t="str">
        <f>Permutations!M574</f>
        <v>p8 - i1:i3</v>
      </c>
      <c r="G582" s="7">
        <f>VLOOKUP(B582,Vlookup!$A$1:$B$30,2,0)</f>
        <v>1.25400669441983</v>
      </c>
      <c r="H582" s="7">
        <f>VLOOKUP(C582,Vlookup!$A$1:$B$30,2,0)</f>
        <v>1.478275916473532</v>
      </c>
      <c r="I582" s="7">
        <f>VLOOKUP(D582,Vlookup!$A$1:$B$30,2,0)</f>
        <v>1.2419340531937677</v>
      </c>
      <c r="J582" s="7">
        <f>VLOOKUP(E582,Vlookup!$A$1:$B$30,2,0)</f>
        <v>1.7440097060445605</v>
      </c>
      <c r="K582" s="7">
        <f>VLOOKUP(F582,Vlookup!$A$1:$B$30,2,0)</f>
        <v>1.1080774401297739</v>
      </c>
      <c r="L582" s="7">
        <f t="shared" si="13"/>
        <v>4.4491075320548612</v>
      </c>
      <c r="M582" s="7">
        <f t="shared" si="14"/>
        <v>3.5479137008221904</v>
      </c>
      <c r="N582" s="7">
        <f t="shared" si="15"/>
        <v>2.4000348387504249</v>
      </c>
      <c r="O582" s="7">
        <f t="shared" si="16"/>
        <v>1.9324978106353361</v>
      </c>
      <c r="P582" s="7">
        <f t="shared" si="17"/>
        <v>1.1080774401297739</v>
      </c>
      <c r="Q582">
        <v>1</v>
      </c>
      <c r="R582" s="7">
        <f t="shared" si="18"/>
        <v>14.437631322392587</v>
      </c>
      <c r="S582" s="7">
        <f>VLOOKUP($A582,Rotations!$A$1:$X$1441,18,0)</f>
        <v>7.6749254457769644E-2</v>
      </c>
      <c r="T582" s="7">
        <f>VLOOKUP($A582,Rotations!$A$1:$X$1441,19,0)</f>
        <v>0.13385144470603402</v>
      </c>
      <c r="U582" s="7">
        <f>VLOOKUP($A582,Rotations!$A$1:$X$1441,20,0)</f>
        <v>6.9263439249138636E-2</v>
      </c>
      <c r="V582" s="7">
        <f>VLOOKUP($A582,Rotations!$A$1:$X$1441,21,0)</f>
        <v>0.2457407050780844</v>
      </c>
      <c r="W582" s="7">
        <f>VLOOKUP($A582,Rotations!$A$1:$X$1441,22,0)</f>
        <v>0.30816048925936701</v>
      </c>
      <c r="X582" s="7">
        <f>VLOOKUP($A582,Rotations!$A$1:$X$1441,23,0)</f>
        <v>0.16623466724960628</v>
      </c>
    </row>
    <row r="583" spans="1:24" ht="15.75" customHeight="1" x14ac:dyDescent="0.3">
      <c r="A583">
        <v>574</v>
      </c>
      <c r="B583" t="str">
        <f>Permutations!I575</f>
        <v>p41 - i5:i4</v>
      </c>
      <c r="C583" t="str">
        <f>Permutations!J575</f>
        <v>p14 - i4:i6</v>
      </c>
      <c r="D583" t="str">
        <f>Permutations!K575</f>
        <v>p121 - i6:i2</v>
      </c>
      <c r="E583" t="str">
        <f>Permutations!L575</f>
        <v>p2 - i2:i3</v>
      </c>
      <c r="F583" t="str">
        <f>Permutations!M575</f>
        <v>p81 - i3:i1</v>
      </c>
      <c r="G583" s="7">
        <f>VLOOKUP(B583,Vlookup!$A$1:$B$30,2,0)</f>
        <v>1.25400669441983</v>
      </c>
      <c r="H583" s="7">
        <f>VLOOKUP(C583,Vlookup!$A$1:$B$30,2,0)</f>
        <v>1.478275916473532</v>
      </c>
      <c r="I583" s="7">
        <f>VLOOKUP(D583,Vlookup!$A$1:$B$30,2,0)</f>
        <v>1.2419340531937677</v>
      </c>
      <c r="J583" s="7">
        <f>VLOOKUP(E583,Vlookup!$A$1:$B$30,2,0)</f>
        <v>1.3601242124324544</v>
      </c>
      <c r="K583" s="7">
        <f>VLOOKUP(F583,Vlookup!$A$1:$B$30,2,0)</f>
        <v>1.7021844231989158</v>
      </c>
      <c r="L583" s="7">
        <f t="shared" si="13"/>
        <v>5.3301456390013291</v>
      </c>
      <c r="M583" s="7">
        <f t="shared" si="14"/>
        <v>4.2504921725855205</v>
      </c>
      <c r="N583" s="7">
        <f t="shared" si="15"/>
        <v>2.8753036731635229</v>
      </c>
      <c r="O583" s="7">
        <f t="shared" si="16"/>
        <v>2.3151822480182171</v>
      </c>
      <c r="P583" s="7">
        <f t="shared" si="17"/>
        <v>1.7021844231989158</v>
      </c>
      <c r="Q583">
        <v>1</v>
      </c>
      <c r="R583" s="7">
        <f t="shared" si="18"/>
        <v>17.473308155967505</v>
      </c>
      <c r="S583" s="7">
        <f>VLOOKUP($A583,Rotations!$A$1:$X$1441,18,0)</f>
        <v>5.7230147323789907E-2</v>
      </c>
      <c r="T583" s="7">
        <f>VLOOKUP($A583,Rotations!$A$1:$X$1441,19,0)</f>
        <v>0.13249822113550566</v>
      </c>
      <c r="U583" s="7">
        <f>VLOOKUP($A583,Rotations!$A$1:$X$1441,20,0)</f>
        <v>9.74162653119343E-2</v>
      </c>
      <c r="V583" s="7">
        <f>VLOOKUP($A583,Rotations!$A$1:$X$1441,21,0)</f>
        <v>0.24325629323568515</v>
      </c>
      <c r="W583" s="7">
        <f>VLOOKUP($A583,Rotations!$A$1:$X$1441,22,0)</f>
        <v>0.30504502017730234</v>
      </c>
      <c r="X583" s="7">
        <f>VLOOKUP($A583,Rotations!$A$1:$X$1441,23,0)</f>
        <v>0.16455405281578267</v>
      </c>
    </row>
    <row r="584" spans="1:24" ht="15.75" customHeight="1" x14ac:dyDescent="0.3">
      <c r="A584">
        <v>575</v>
      </c>
      <c r="B584" t="str">
        <f>Permutations!I576</f>
        <v>p41 - i5:i4</v>
      </c>
      <c r="C584" t="str">
        <f>Permutations!J576</f>
        <v>p14 - i4:i6</v>
      </c>
      <c r="D584" t="str">
        <f>Permutations!K576</f>
        <v>p131 - i6:i3</v>
      </c>
      <c r="E584" t="str">
        <f>Permutations!L576</f>
        <v>p81 - i3:i1</v>
      </c>
      <c r="F584" t="str">
        <f>Permutations!M576</f>
        <v>p1 - i1:i2</v>
      </c>
      <c r="G584" s="7">
        <f>VLOOKUP(B584,Vlookup!$A$1:$B$30,2,0)</f>
        <v>1.25400669441983</v>
      </c>
      <c r="H584" s="7">
        <f>VLOOKUP(C584,Vlookup!$A$1:$B$30,2,0)</f>
        <v>1.478275916473532</v>
      </c>
      <c r="I584" s="7">
        <f>VLOOKUP(D584,Vlookup!$A$1:$B$30,2,0)</f>
        <v>1.4032439022773779</v>
      </c>
      <c r="J584" s="7">
        <f>VLOOKUP(E584,Vlookup!$A$1:$B$30,2,0)</f>
        <v>1.7021844231989158</v>
      </c>
      <c r="K584" s="7">
        <f>VLOOKUP(F584,Vlookup!$A$1:$B$30,2,0)</f>
        <v>1.6373343116675814</v>
      </c>
      <c r="L584" s="7">
        <f t="shared" si="13"/>
        <v>7.249907993309999</v>
      </c>
      <c r="M584" s="7">
        <f t="shared" si="14"/>
        <v>5.7813949682814023</v>
      </c>
      <c r="N584" s="7">
        <f t="shared" si="15"/>
        <v>3.9109038467413311</v>
      </c>
      <c r="O584" s="7">
        <f t="shared" si="16"/>
        <v>2.7870449608896757</v>
      </c>
      <c r="P584" s="7">
        <f t="shared" si="17"/>
        <v>1.6373343116675814</v>
      </c>
      <c r="Q584">
        <v>1</v>
      </c>
      <c r="R584" s="7">
        <f t="shared" si="18"/>
        <v>22.366586080889988</v>
      </c>
      <c r="S584" s="7">
        <f>VLOOKUP($A584,Rotations!$A$1:$X$1441,18,0)</f>
        <v>7.3204480368442099E-2</v>
      </c>
      <c r="T584" s="7">
        <f>VLOOKUP($A584,Rotations!$A$1:$X$1441,19,0)</f>
        <v>4.4709550057547676E-2</v>
      </c>
      <c r="U584" s="7">
        <f>VLOOKUP($A584,Rotations!$A$1:$X$1441,20,0)</f>
        <v>0.12460752619153295</v>
      </c>
      <c r="V584" s="7">
        <f>VLOOKUP($A584,Rotations!$A$1:$X$1441,21,0)</f>
        <v>0.25848356773683162</v>
      </c>
      <c r="W584" s="7">
        <f>VLOOKUP($A584,Rotations!$A$1:$X$1441,22,0)</f>
        <v>0.3241401243395084</v>
      </c>
      <c r="X584" s="7">
        <f>VLOOKUP($A584,Rotations!$A$1:$X$1441,23,0)</f>
        <v>0.17485475130613731</v>
      </c>
    </row>
    <row r="585" spans="1:24" ht="15.75" customHeight="1" x14ac:dyDescent="0.3">
      <c r="A585">
        <v>576</v>
      </c>
      <c r="B585" t="str">
        <f>Permutations!I577</f>
        <v>p41 - i5:i4</v>
      </c>
      <c r="C585" t="str">
        <f>Permutations!J577</f>
        <v>p14 - i4:i6</v>
      </c>
      <c r="D585" t="str">
        <f>Permutations!K577</f>
        <v>p131 - i6:i3</v>
      </c>
      <c r="E585" t="str">
        <f>Permutations!L577</f>
        <v>p21 - i3:i2</v>
      </c>
      <c r="F585" t="str">
        <f>Permutations!M577</f>
        <v>p11 - i2:i1</v>
      </c>
      <c r="G585" s="7">
        <f>VLOOKUP(B585,Vlookup!$A$1:$B$30,2,0)</f>
        <v>1.25400669441983</v>
      </c>
      <c r="H585" s="7">
        <f>VLOOKUP(C585,Vlookup!$A$1:$B$30,2,0)</f>
        <v>1.478275916473532</v>
      </c>
      <c r="I585" s="7">
        <f>VLOOKUP(D585,Vlookup!$A$1:$B$30,2,0)</f>
        <v>1.4032439022773779</v>
      </c>
      <c r="J585" s="7">
        <f>VLOOKUP(E585,Vlookup!$A$1:$B$30,2,0)</f>
        <v>1.5059827029565431</v>
      </c>
      <c r="K585" s="7">
        <f>VLOOKUP(F585,Vlookup!$A$1:$B$30,2,0)</f>
        <v>1.7440097060445605</v>
      </c>
      <c r="L585" s="7">
        <f t="shared" si="13"/>
        <v>6.8321501399482454</v>
      </c>
      <c r="M585" s="7">
        <f t="shared" si="14"/>
        <v>5.4482565127845355</v>
      </c>
      <c r="N585" s="7">
        <f t="shared" si="15"/>
        <v>3.6855477736399185</v>
      </c>
      <c r="O585" s="7">
        <f t="shared" si="16"/>
        <v>2.6264484510914334</v>
      </c>
      <c r="P585" s="7">
        <f t="shared" si="17"/>
        <v>1.7440097060445605</v>
      </c>
      <c r="Q585">
        <v>1</v>
      </c>
      <c r="R585" s="7">
        <f t="shared" si="18"/>
        <v>21.336412583508693</v>
      </c>
      <c r="S585" s="7">
        <f>VLOOKUP($A585,Rotations!$A$1:$X$1441,18,0)</f>
        <v>4.6868235045891382E-2</v>
      </c>
      <c r="T585" s="7">
        <f>VLOOKUP($A585,Rotations!$A$1:$X$1441,19,0)</f>
        <v>8.1738656825212391E-2</v>
      </c>
      <c r="U585" s="7">
        <f>VLOOKUP($A585,Rotations!$A$1:$X$1441,20,0)</f>
        <v>0.12309700334167066</v>
      </c>
      <c r="V585" s="7">
        <f>VLOOKUP($A585,Rotations!$A$1:$X$1441,21,0)</f>
        <v>0.25535016683149414</v>
      </c>
      <c r="W585" s="7">
        <f>VLOOKUP($A585,Rotations!$A$1:$X$1441,22,0)</f>
        <v>0.32021081862791406</v>
      </c>
      <c r="X585" s="7">
        <f>VLOOKUP($A585,Rotations!$A$1:$X$1441,23,0)</f>
        <v>0.17273511932781738</v>
      </c>
    </row>
    <row r="586" spans="1:24" ht="15.75" customHeight="1" x14ac:dyDescent="0.3">
      <c r="A586">
        <v>577</v>
      </c>
      <c r="B586" t="str">
        <f>Permutations!I578</f>
        <v>p15 - i5:i6</v>
      </c>
      <c r="C586" t="str">
        <f>Permutations!J578</f>
        <v>p111 - i6:i1</v>
      </c>
      <c r="D586" t="str">
        <f>Permutations!K578</f>
        <v>p1 - i1:i2</v>
      </c>
      <c r="E586" t="str">
        <f>Permutations!L578</f>
        <v>p2 - i2:i3</v>
      </c>
      <c r="F586" t="str">
        <f>Permutations!M578</f>
        <v>p3 - i3:i4</v>
      </c>
      <c r="G586" s="7">
        <f>VLOOKUP(B586,Vlookup!$A$1:$B$30,2,0)</f>
        <v>1.3219359277692486</v>
      </c>
      <c r="H586" s="7">
        <f>VLOOKUP(C586,Vlookup!$A$1:$B$30,2,0)</f>
        <v>1.6397534939100344</v>
      </c>
      <c r="I586" s="7">
        <f>VLOOKUP(D586,Vlookup!$A$1:$B$30,2,0)</f>
        <v>1.6373343116675814</v>
      </c>
      <c r="J586" s="7">
        <f>VLOOKUP(E586,Vlookup!$A$1:$B$30,2,0)</f>
        <v>1.3601242124324544</v>
      </c>
      <c r="K586" s="7">
        <f>VLOOKUP(F586,Vlookup!$A$1:$B$30,2,0)</f>
        <v>1.4338636587362954</v>
      </c>
      <c r="L586" s="7">
        <f t="shared" si="13"/>
        <v>6.9216998607171112</v>
      </c>
      <c r="M586" s="7">
        <f t="shared" si="14"/>
        <v>5.2360327874569528</v>
      </c>
      <c r="N586" s="7">
        <f t="shared" si="15"/>
        <v>3.1931828820022803</v>
      </c>
      <c r="O586" s="7">
        <f t="shared" si="16"/>
        <v>1.9502326795742213</v>
      </c>
      <c r="P586" s="7">
        <f t="shared" si="17"/>
        <v>1.4338636587362954</v>
      </c>
      <c r="Q586">
        <v>1</v>
      </c>
      <c r="R586" s="7">
        <f t="shared" si="18"/>
        <v>19.735011868486861</v>
      </c>
      <c r="S586" s="7">
        <f>VLOOKUP($A586,Rotations!$A$1:$X$1441,18,0)</f>
        <v>0.16180293699752968</v>
      </c>
      <c r="T586" s="7">
        <f>VLOOKUP($A586,Rotations!$A$1:$X$1441,19,0)</f>
        <v>9.8820952962707848E-2</v>
      </c>
      <c r="U586" s="7">
        <f>VLOOKUP($A586,Rotations!$A$1:$X$1441,20,0)</f>
        <v>7.2655829562783728E-2</v>
      </c>
      <c r="V586" s="7">
        <f>VLOOKUP($A586,Rotations!$A$1:$X$1441,21,0)</f>
        <v>5.0671365523565444E-2</v>
      </c>
      <c r="W586" s="7">
        <f>VLOOKUP($A586,Rotations!$A$1:$X$1441,22,0)</f>
        <v>0.35073198368680875</v>
      </c>
      <c r="X586" s="7">
        <f>VLOOKUP($A586,Rotations!$A$1:$X$1441,23,0)</f>
        <v>0.26531693126660449</v>
      </c>
    </row>
    <row r="587" spans="1:24" ht="15.75" customHeight="1" x14ac:dyDescent="0.3">
      <c r="A587">
        <v>578</v>
      </c>
      <c r="B587" t="str">
        <f>Permutations!I579</f>
        <v>p15 - i5:i6</v>
      </c>
      <c r="C587" t="str">
        <f>Permutations!J579</f>
        <v>p111 - i6:i1</v>
      </c>
      <c r="D587" t="str">
        <f>Permutations!K579</f>
        <v>p1 - i1:i2</v>
      </c>
      <c r="E587" t="str">
        <f>Permutations!L579</f>
        <v>p5 - i2:i4</v>
      </c>
      <c r="F587" t="str">
        <f>Permutations!M579</f>
        <v>p31 - i4:i3</v>
      </c>
      <c r="G587" s="7">
        <f>VLOOKUP(B587,Vlookup!$A$1:$B$30,2,0)</f>
        <v>1.3219359277692486</v>
      </c>
      <c r="H587" s="7">
        <f>VLOOKUP(C587,Vlookup!$A$1:$B$30,2,0)</f>
        <v>1.6397534939100344</v>
      </c>
      <c r="I587" s="7">
        <f>VLOOKUP(D587,Vlookup!$A$1:$B$30,2,0)</f>
        <v>1.6373343116675814</v>
      </c>
      <c r="J587" s="7">
        <f>VLOOKUP(E587,Vlookup!$A$1:$B$30,2,0)</f>
        <v>0.9108240498099236</v>
      </c>
      <c r="K587" s="7">
        <f>VLOOKUP(F587,Vlookup!$A$1:$B$30,2,0)</f>
        <v>2.2388599512381115</v>
      </c>
      <c r="L587" s="7">
        <f t="shared" si="13"/>
        <v>7.237486240345496</v>
      </c>
      <c r="M587" s="7">
        <f t="shared" si="14"/>
        <v>5.4749145463945972</v>
      </c>
      <c r="N587" s="7">
        <f t="shared" si="15"/>
        <v>3.3388643882926097</v>
      </c>
      <c r="O587" s="7">
        <f t="shared" si="16"/>
        <v>2.039207487743945</v>
      </c>
      <c r="P587" s="7">
        <f t="shared" si="17"/>
        <v>2.2388599512381115</v>
      </c>
      <c r="Q587">
        <v>1</v>
      </c>
      <c r="R587" s="7">
        <f t="shared" si="18"/>
        <v>21.32933261401476</v>
      </c>
      <c r="S587" s="7">
        <f>VLOOKUP($A587,Rotations!$A$1:$X$1441,18,0)</f>
        <v>0.15653862447148292</v>
      </c>
      <c r="T587" s="7">
        <f>VLOOKUP($A587,Rotations!$A$1:$X$1441,19,0)</f>
        <v>9.5605780295444073E-2</v>
      </c>
      <c r="U587" s="7">
        <f>VLOOKUP($A587,Rotations!$A$1:$X$1441,20,0)</f>
        <v>4.6883792291885162E-2</v>
      </c>
      <c r="V587" s="7">
        <f>VLOOKUP($A587,Rotations!$A$1:$X$1441,21,0)</f>
        <v>0.10496624492446777</v>
      </c>
      <c r="W587" s="7">
        <f>VLOOKUP($A587,Rotations!$A$1:$X$1441,22,0)</f>
        <v>0.33932080160773509</v>
      </c>
      <c r="X587" s="7">
        <f>VLOOKUP($A587,Rotations!$A$1:$X$1441,23,0)</f>
        <v>0.25668475640898497</v>
      </c>
    </row>
    <row r="588" spans="1:24" ht="15.75" customHeight="1" x14ac:dyDescent="0.3">
      <c r="A588">
        <v>579</v>
      </c>
      <c r="B588" t="str">
        <f>Permutations!I580</f>
        <v>p15 - i5:i6</v>
      </c>
      <c r="C588" t="str">
        <f>Permutations!J580</f>
        <v>p111 - i6:i1</v>
      </c>
      <c r="D588" t="str">
        <f>Permutations!K580</f>
        <v>p8 - i1:i3</v>
      </c>
      <c r="E588" t="str">
        <f>Permutations!L580</f>
        <v>p21 - i3:i2</v>
      </c>
      <c r="F588" t="str">
        <f>Permutations!M580</f>
        <v>p5 - i2:i4</v>
      </c>
      <c r="G588" s="7">
        <f>VLOOKUP(B588,Vlookup!$A$1:$B$30,2,0)</f>
        <v>1.3219359277692486</v>
      </c>
      <c r="H588" s="7">
        <f>VLOOKUP(C588,Vlookup!$A$1:$B$30,2,0)</f>
        <v>1.6397534939100344</v>
      </c>
      <c r="I588" s="7">
        <f>VLOOKUP(D588,Vlookup!$A$1:$B$30,2,0)</f>
        <v>1.1080774401297739</v>
      </c>
      <c r="J588" s="7">
        <f>VLOOKUP(E588,Vlookup!$A$1:$B$30,2,0)</f>
        <v>1.5059827029565431</v>
      </c>
      <c r="K588" s="7">
        <f>VLOOKUP(F588,Vlookup!$A$1:$B$30,2,0)</f>
        <v>0.9108240498099236</v>
      </c>
      <c r="L588" s="7">
        <f t="shared" si="13"/>
        <v>3.2946824092955227</v>
      </c>
      <c r="M588" s="7">
        <f t="shared" si="14"/>
        <v>2.492316261390414</v>
      </c>
      <c r="N588" s="7">
        <f t="shared" si="15"/>
        <v>1.5199334964961237</v>
      </c>
      <c r="O588" s="7">
        <f t="shared" si="16"/>
        <v>1.3716852644505737</v>
      </c>
      <c r="P588" s="7">
        <f t="shared" si="17"/>
        <v>0.9108240498099236</v>
      </c>
      <c r="Q588">
        <v>1</v>
      </c>
      <c r="R588" s="7">
        <f t="shared" si="18"/>
        <v>10.589441481442558</v>
      </c>
      <c r="S588" s="7">
        <f>VLOOKUP($A588,Rotations!$A$1:$X$1441,18,0)</f>
        <v>0.14353292372971016</v>
      </c>
      <c r="T588" s="7">
        <f>VLOOKUP($A588,Rotations!$A$1:$X$1441,19,0)</f>
        <v>8.6012473028544062E-2</v>
      </c>
      <c r="U588" s="7">
        <f>VLOOKUP($A588,Rotations!$A$1:$X$1441,20,0)</f>
        <v>0.12953329661950352</v>
      </c>
      <c r="V588" s="7">
        <f>VLOOKUP($A588,Rotations!$A$1:$X$1441,21,0)</f>
        <v>9.4433686776818931E-2</v>
      </c>
      <c r="W588" s="7">
        <f>VLOOKUP($A588,Rotations!$A$1:$X$1441,22,0)</f>
        <v>0.31112900666850857</v>
      </c>
      <c r="X588" s="7">
        <f>VLOOKUP($A588,Rotations!$A$1:$X$1441,23,0)</f>
        <v>0.23535861317691475</v>
      </c>
    </row>
    <row r="589" spans="1:24" ht="15.75" customHeight="1" x14ac:dyDescent="0.3">
      <c r="A589">
        <v>580</v>
      </c>
      <c r="B589" t="str">
        <f>Permutations!I581</f>
        <v>p15 - i5:i6</v>
      </c>
      <c r="C589" t="str">
        <f>Permutations!J581</f>
        <v>p111 - i6:i1</v>
      </c>
      <c r="D589" t="str">
        <f>Permutations!K581</f>
        <v>p8 - i1:i3</v>
      </c>
      <c r="E589" t="str">
        <f>Permutations!L581</f>
        <v>p3 - i3:i4</v>
      </c>
      <c r="F589" t="str">
        <f>Permutations!M581</f>
        <v>p51 - i4:i2</v>
      </c>
      <c r="G589" s="7">
        <f>VLOOKUP(B589,Vlookup!$A$1:$B$30,2,0)</f>
        <v>1.3219359277692486</v>
      </c>
      <c r="H589" s="7">
        <f>VLOOKUP(C589,Vlookup!$A$1:$B$30,2,0)</f>
        <v>1.6397534939100344</v>
      </c>
      <c r="I589" s="7">
        <f>VLOOKUP(D589,Vlookup!$A$1:$B$30,2,0)</f>
        <v>1.1080774401297739</v>
      </c>
      <c r="J589" s="7">
        <f>VLOOKUP(E589,Vlookup!$A$1:$B$30,2,0)</f>
        <v>1.4338636587362954</v>
      </c>
      <c r="K589" s="7">
        <f>VLOOKUP(F589,Vlookup!$A$1:$B$30,2,0)</f>
        <v>1.4376356077157479</v>
      </c>
      <c r="L589" s="7">
        <f t="shared" si="13"/>
        <v>4.9512603427730699</v>
      </c>
      <c r="M589" s="7">
        <f t="shared" si="14"/>
        <v>3.7454616663065234</v>
      </c>
      <c r="N589" s="7">
        <f t="shared" si="15"/>
        <v>2.2841614182967063</v>
      </c>
      <c r="O589" s="7">
        <f t="shared" si="16"/>
        <v>2.0613734524088798</v>
      </c>
      <c r="P589" s="7">
        <f t="shared" si="17"/>
        <v>1.4376356077157479</v>
      </c>
      <c r="Q589">
        <v>1</v>
      </c>
      <c r="R589" s="7">
        <f t="shared" si="18"/>
        <v>15.479892487500928</v>
      </c>
      <c r="S589" s="7">
        <f>VLOOKUP($A589,Rotations!$A$1:$X$1441,18,0)</f>
        <v>0.1475566719950431</v>
      </c>
      <c r="T589" s="7">
        <f>VLOOKUP($A589,Rotations!$A$1:$X$1441,19,0)</f>
        <v>6.4599931866932483E-2</v>
      </c>
      <c r="U589" s="7">
        <f>VLOOKUP($A589,Rotations!$A$1:$X$1441,20,0)</f>
        <v>0.13316458457791702</v>
      </c>
      <c r="V589" s="7">
        <f>VLOOKUP($A589,Rotations!$A$1:$X$1441,21,0)</f>
        <v>9.2871162307913396E-2</v>
      </c>
      <c r="W589" s="7">
        <f>VLOOKUP($A589,Rotations!$A$1:$X$1441,22,0)</f>
        <v>0.3198510807985851</v>
      </c>
      <c r="X589" s="7">
        <f>VLOOKUP($A589,Rotations!$A$1:$X$1441,23,0)</f>
        <v>0.24195656845360883</v>
      </c>
    </row>
    <row r="590" spans="1:24" ht="15.75" customHeight="1" x14ac:dyDescent="0.3">
      <c r="A590">
        <v>581</v>
      </c>
      <c r="B590" t="str">
        <f>Permutations!I582</f>
        <v>p15 - i5:i6</v>
      </c>
      <c r="C590" t="str">
        <f>Permutations!J582</f>
        <v>p111 - i6:i1</v>
      </c>
      <c r="D590" t="str">
        <f>Permutations!K582</f>
        <v>p9 - i1:i4</v>
      </c>
      <c r="E590" t="str">
        <f>Permutations!L582</f>
        <v>p51 - i4:i2</v>
      </c>
      <c r="F590" t="str">
        <f>Permutations!M582</f>
        <v>p2 - i2:i3</v>
      </c>
      <c r="G590" s="7">
        <f>VLOOKUP(B590,Vlookup!$A$1:$B$30,2,0)</f>
        <v>1.3219359277692486</v>
      </c>
      <c r="H590" s="7">
        <f>VLOOKUP(C590,Vlookup!$A$1:$B$30,2,0)</f>
        <v>1.6397534939100344</v>
      </c>
      <c r="I590" s="7">
        <f>VLOOKUP(D590,Vlookup!$A$1:$B$30,2,0)</f>
        <v>1.2538815092968505</v>
      </c>
      <c r="J590" s="7">
        <f>VLOOKUP(E590,Vlookup!$A$1:$B$30,2,0)</f>
        <v>1.4376356077157479</v>
      </c>
      <c r="K590" s="7">
        <f>VLOOKUP(F590,Vlookup!$A$1:$B$30,2,0)</f>
        <v>1.3601242124324544</v>
      </c>
      <c r="L590" s="7">
        <f t="shared" si="13"/>
        <v>5.3146278839184724</v>
      </c>
      <c r="M590" s="7">
        <f t="shared" si="14"/>
        <v>4.0203369711623198</v>
      </c>
      <c r="N590" s="7">
        <f t="shared" si="15"/>
        <v>2.4517935080447506</v>
      </c>
      <c r="O590" s="7">
        <f t="shared" si="16"/>
        <v>1.9553629987092347</v>
      </c>
      <c r="P590" s="7">
        <f t="shared" si="17"/>
        <v>1.3601242124324544</v>
      </c>
      <c r="Q590">
        <v>1</v>
      </c>
      <c r="R590" s="7">
        <f t="shared" si="18"/>
        <v>16.102245574267233</v>
      </c>
      <c r="S590" s="7">
        <f>VLOOKUP($A590,Rotations!$A$1:$X$1441,18,0)</f>
        <v>0.15226407377384224</v>
      </c>
      <c r="T590" s="7">
        <f>VLOOKUP($A590,Rotations!$A$1:$X$1441,19,0)</f>
        <v>8.4467983434934654E-2</v>
      </c>
      <c r="U590" s="7">
        <f>VLOOKUP($A590,Rotations!$A$1:$X$1441,20,0)</f>
        <v>6.2103139303631393E-2</v>
      </c>
      <c r="V590" s="7">
        <f>VLOOKUP($A590,Rotations!$A$1:$X$1441,21,0)</f>
        <v>0.121434180698006</v>
      </c>
      <c r="W590" s="7">
        <f>VLOOKUP($A590,Rotations!$A$1:$X$1441,22,0)</f>
        <v>0.33005507582195259</v>
      </c>
      <c r="X590" s="7">
        <f>VLOOKUP($A590,Rotations!$A$1:$X$1441,23,0)</f>
        <v>0.24967554696763306</v>
      </c>
    </row>
    <row r="591" spans="1:24" ht="15.75" customHeight="1" x14ac:dyDescent="0.3">
      <c r="A591">
        <v>582</v>
      </c>
      <c r="B591" t="str">
        <f>Permutations!I583</f>
        <v>p15 - i5:i6</v>
      </c>
      <c r="C591" t="str">
        <f>Permutations!J583</f>
        <v>p111 - i6:i1</v>
      </c>
      <c r="D591" t="str">
        <f>Permutations!K583</f>
        <v>p9 - i1:i4</v>
      </c>
      <c r="E591" t="str">
        <f>Permutations!L583</f>
        <v>p31 - i4:i3</v>
      </c>
      <c r="F591" t="str">
        <f>Permutations!M583</f>
        <v>p21 - i3:i2</v>
      </c>
      <c r="G591" s="7">
        <f>VLOOKUP(B591,Vlookup!$A$1:$B$30,2,0)</f>
        <v>1.3219359277692486</v>
      </c>
      <c r="H591" s="7">
        <f>VLOOKUP(C591,Vlookup!$A$1:$B$30,2,0)</f>
        <v>1.6397534939100344</v>
      </c>
      <c r="I591" s="7">
        <f>VLOOKUP(D591,Vlookup!$A$1:$B$30,2,0)</f>
        <v>1.2538815092968505</v>
      </c>
      <c r="J591" s="7">
        <f>VLOOKUP(E591,Vlookup!$A$1:$B$30,2,0)</f>
        <v>2.2388599512381115</v>
      </c>
      <c r="K591" s="7">
        <f>VLOOKUP(F591,Vlookup!$A$1:$B$30,2,0)</f>
        <v>1.5059827029565431</v>
      </c>
      <c r="L591" s="7">
        <f t="shared" si="13"/>
        <v>9.1641540379333595</v>
      </c>
      <c r="M591" s="7">
        <f t="shared" si="14"/>
        <v>6.9323738355441806</v>
      </c>
      <c r="N591" s="7">
        <f t="shared" si="15"/>
        <v>4.2276926753263115</v>
      </c>
      <c r="O591" s="7">
        <f t="shared" si="16"/>
        <v>3.3716843609067255</v>
      </c>
      <c r="P591" s="7">
        <f t="shared" si="17"/>
        <v>1.5059827029565431</v>
      </c>
      <c r="Q591">
        <v>1</v>
      </c>
      <c r="R591" s="7">
        <f t="shared" si="18"/>
        <v>26.201887612667122</v>
      </c>
      <c r="S591" s="7">
        <f>VLOOKUP($A591,Rotations!$A$1:$X$1441,18,0)</f>
        <v>0.16135069113427014</v>
      </c>
      <c r="T591" s="7">
        <f>VLOOKUP($A591,Rotations!$A$1:$X$1441,19,0)</f>
        <v>3.8165189271194222E-2</v>
      </c>
      <c r="U591" s="7">
        <f>VLOOKUP($A591,Rotations!$A$1:$X$1441,20,0)</f>
        <v>5.7476114897481133E-2</v>
      </c>
      <c r="V591" s="7">
        <f>VLOOKUP($A591,Rotations!$A$1:$X$1441,21,0)</f>
        <v>0.12868097179673071</v>
      </c>
      <c r="W591" s="7">
        <f>VLOOKUP($A591,Rotations!$A$1:$X$1441,22,0)</f>
        <v>0.34975167336810548</v>
      </c>
      <c r="X591" s="7">
        <f>VLOOKUP($A591,Rotations!$A$1:$X$1441,23,0)</f>
        <v>0.26457535953221828</v>
      </c>
    </row>
    <row r="592" spans="1:24" ht="15.75" customHeight="1" x14ac:dyDescent="0.3">
      <c r="A592">
        <v>583</v>
      </c>
      <c r="B592" t="str">
        <f>Permutations!I584</f>
        <v>p15 - i5:i6</v>
      </c>
      <c r="C592" t="str">
        <f>Permutations!J584</f>
        <v>p121 - i6:i2</v>
      </c>
      <c r="D592" t="str">
        <f>Permutations!K584</f>
        <v>p11 - i2:i1</v>
      </c>
      <c r="E592" t="str">
        <f>Permutations!L584</f>
        <v>p8 - i1:i3</v>
      </c>
      <c r="F592" t="str">
        <f>Permutations!M584</f>
        <v>p3 - i3:i4</v>
      </c>
      <c r="G592" s="7">
        <f>VLOOKUP(B592,Vlookup!$A$1:$B$30,2,0)</f>
        <v>1.3219359277692486</v>
      </c>
      <c r="H592" s="7">
        <f>VLOOKUP(C592,Vlookup!$A$1:$B$30,2,0)</f>
        <v>1.2419340531937677</v>
      </c>
      <c r="I592" s="7">
        <f>VLOOKUP(D592,Vlookup!$A$1:$B$30,2,0)</f>
        <v>1.7440097060445605</v>
      </c>
      <c r="J592" s="7">
        <f>VLOOKUP(E592,Vlookup!$A$1:$B$30,2,0)</f>
        <v>1.1080774401297739</v>
      </c>
      <c r="K592" s="7">
        <f>VLOOKUP(F592,Vlookup!$A$1:$B$30,2,0)</f>
        <v>1.4338636587362954</v>
      </c>
      <c r="L592" s="7">
        <f t="shared" si="13"/>
        <v>4.5492081624261473</v>
      </c>
      <c r="M592" s="7">
        <f t="shared" si="14"/>
        <v>3.4413227349852589</v>
      </c>
      <c r="N592" s="7">
        <f t="shared" si="15"/>
        <v>2.7709383812574635</v>
      </c>
      <c r="O592" s="7">
        <f t="shared" si="16"/>
        <v>1.5888319724676261</v>
      </c>
      <c r="P592" s="7">
        <f t="shared" si="17"/>
        <v>1.4338636587362954</v>
      </c>
      <c r="Q592">
        <v>1</v>
      </c>
      <c r="R592" s="7">
        <f t="shared" si="18"/>
        <v>14.784164909872789</v>
      </c>
      <c r="S592" s="7">
        <f>VLOOKUP($A592,Rotations!$A$1:$X$1441,18,0)</f>
        <v>0.10746849633736244</v>
      </c>
      <c r="T592" s="7">
        <f>VLOOKUP($A592,Rotations!$A$1:$X$1441,19,0)</f>
        <v>0.18742610070637436</v>
      </c>
      <c r="U592" s="7">
        <f>VLOOKUP($A592,Rotations!$A$1:$X$1441,20,0)</f>
        <v>9.6986449182447129E-2</v>
      </c>
      <c r="V592" s="7">
        <f>VLOOKUP($A592,Rotations!$A$1:$X$1441,21,0)</f>
        <v>6.7639938143019843E-2</v>
      </c>
      <c r="W592" s="7">
        <f>VLOOKUP($A592,Rotations!$A$1:$X$1441,22,0)</f>
        <v>0.30770815870622559</v>
      </c>
      <c r="X592" s="7">
        <f>VLOOKUP($A592,Rotations!$A$1:$X$1441,23,0)</f>
        <v>0.23277085692457078</v>
      </c>
    </row>
    <row r="593" spans="1:24" ht="15.75" customHeight="1" x14ac:dyDescent="0.3">
      <c r="A593">
        <v>584</v>
      </c>
      <c r="B593" t="str">
        <f>Permutations!I585</f>
        <v>p15 - i5:i6</v>
      </c>
      <c r="C593" t="str">
        <f>Permutations!J585</f>
        <v>p121 - i6:i2</v>
      </c>
      <c r="D593" t="str">
        <f>Permutations!K585</f>
        <v>p11 - i2:i1</v>
      </c>
      <c r="E593" t="str">
        <f>Permutations!L585</f>
        <v>p9 - i1:i4</v>
      </c>
      <c r="F593" t="str">
        <f>Permutations!M585</f>
        <v>p31 - i4:i3</v>
      </c>
      <c r="G593" s="7">
        <f>VLOOKUP(B593,Vlookup!$A$1:$B$30,2,0)</f>
        <v>1.3219359277692486</v>
      </c>
      <c r="H593" s="7">
        <f>VLOOKUP(C593,Vlookup!$A$1:$B$30,2,0)</f>
        <v>1.2419340531937677</v>
      </c>
      <c r="I593" s="7">
        <f>VLOOKUP(D593,Vlookup!$A$1:$B$30,2,0)</f>
        <v>1.7440097060445605</v>
      </c>
      <c r="J593" s="7">
        <f>VLOOKUP(E593,Vlookup!$A$1:$B$30,2,0)</f>
        <v>1.2538815092968505</v>
      </c>
      <c r="K593" s="7">
        <f>VLOOKUP(F593,Vlookup!$A$1:$B$30,2,0)</f>
        <v>2.2388599512381115</v>
      </c>
      <c r="L593" s="7">
        <f t="shared" si="13"/>
        <v>8.0378753099700599</v>
      </c>
      <c r="M593" s="7">
        <f t="shared" si="14"/>
        <v>6.08038191649264</v>
      </c>
      <c r="N593" s="7">
        <f t="shared" si="15"/>
        <v>4.8958975727062803</v>
      </c>
      <c r="O593" s="7">
        <f t="shared" si="16"/>
        <v>2.8072650947627165</v>
      </c>
      <c r="P593" s="7">
        <f t="shared" si="17"/>
        <v>2.2388599512381115</v>
      </c>
      <c r="Q593">
        <v>1</v>
      </c>
      <c r="R593" s="7">
        <f t="shared" si="18"/>
        <v>25.060279845169806</v>
      </c>
      <c r="S593" s="7">
        <f>VLOOKUP($A593,Rotations!$A$1:$X$1441,18,0)</f>
        <v>0.11202050065310014</v>
      </c>
      <c r="T593" s="7">
        <f>VLOOKUP($A593,Rotations!$A$1:$X$1441,19,0)</f>
        <v>0.19536484041497768</v>
      </c>
      <c r="U593" s="7">
        <f>VLOOKUP($A593,Rotations!$A$1:$X$1441,20,0)</f>
        <v>3.9903784242566749E-2</v>
      </c>
      <c r="V593" s="7">
        <f>VLOOKUP($A593,Rotations!$A$1:$X$1441,21,0)</f>
        <v>8.9338984443529113E-2</v>
      </c>
      <c r="W593" s="7">
        <f>VLOOKUP($A593,Rotations!$A$1:$X$1441,22,0)</f>
        <v>0.32074164213769962</v>
      </c>
      <c r="X593" s="7">
        <f>VLOOKUP($A593,Rotations!$A$1:$X$1441,23,0)</f>
        <v>0.24263024810812683</v>
      </c>
    </row>
    <row r="594" spans="1:24" ht="15.75" customHeight="1" x14ac:dyDescent="0.3">
      <c r="A594">
        <v>585</v>
      </c>
      <c r="B594" t="str">
        <f>Permutations!I586</f>
        <v>p15 - i5:i6</v>
      </c>
      <c r="C594" t="str">
        <f>Permutations!J586</f>
        <v>p121 - i6:i2</v>
      </c>
      <c r="D594" t="str">
        <f>Permutations!K586</f>
        <v>p2 - i2:i3</v>
      </c>
      <c r="E594" t="str">
        <f>Permutations!L586</f>
        <v>p81 - i3:i1</v>
      </c>
      <c r="F594" t="str">
        <f>Permutations!M586</f>
        <v>p9 - i1:i4</v>
      </c>
      <c r="G594" s="7">
        <f>VLOOKUP(B594,Vlookup!$A$1:$B$30,2,0)</f>
        <v>1.3219359277692486</v>
      </c>
      <c r="H594" s="7">
        <f>VLOOKUP(C594,Vlookup!$A$1:$B$30,2,0)</f>
        <v>1.2419340531937677</v>
      </c>
      <c r="I594" s="7">
        <f>VLOOKUP(D594,Vlookup!$A$1:$B$30,2,0)</f>
        <v>1.3601242124324544</v>
      </c>
      <c r="J594" s="7">
        <f>VLOOKUP(E594,Vlookup!$A$1:$B$30,2,0)</f>
        <v>1.7021844231989158</v>
      </c>
      <c r="K594" s="7">
        <f>VLOOKUP(F594,Vlookup!$A$1:$B$30,2,0)</f>
        <v>1.2538815092968505</v>
      </c>
      <c r="L594" s="7">
        <f t="shared" si="13"/>
        <v>4.7659625256378062</v>
      </c>
      <c r="M594" s="7">
        <f t="shared" si="14"/>
        <v>3.6052901093930561</v>
      </c>
      <c r="N594" s="7">
        <f t="shared" si="15"/>
        <v>2.9029642114423573</v>
      </c>
      <c r="O594" s="7">
        <f t="shared" si="16"/>
        <v>2.1343375736622456</v>
      </c>
      <c r="P594" s="7">
        <f t="shared" si="17"/>
        <v>1.2538815092968505</v>
      </c>
      <c r="Q594">
        <v>1</v>
      </c>
      <c r="R594" s="7">
        <f t="shared" si="18"/>
        <v>15.662435929432315</v>
      </c>
      <c r="S594" s="7">
        <f>VLOOKUP($A594,Rotations!$A$1:$X$1441,18,0)</f>
        <v>8.0056609006814786E-2</v>
      </c>
      <c r="T594" s="7">
        <f>VLOOKUP($A594,Rotations!$A$1:$X$1441,19,0)</f>
        <v>0.18534564000911288</v>
      </c>
      <c r="U594" s="7">
        <f>VLOOKUP($A594,Rotations!$A$1:$X$1441,20,0)</f>
        <v>0.13627111282552615</v>
      </c>
      <c r="V594" s="7">
        <f>VLOOKUP($A594,Rotations!$A$1:$X$1441,21,0)</f>
        <v>6.3847028936337688E-2</v>
      </c>
      <c r="W594" s="7">
        <f>VLOOKUP($A594,Rotations!$A$1:$X$1441,22,0)</f>
        <v>0.30429254728389804</v>
      </c>
      <c r="X594" s="7">
        <f>VLOOKUP($A594,Rotations!$A$1:$X$1441,23,0)</f>
        <v>0.23018706193831051</v>
      </c>
    </row>
    <row r="595" spans="1:24" ht="15.75" customHeight="1" x14ac:dyDescent="0.3">
      <c r="A595">
        <v>586</v>
      </c>
      <c r="B595" t="str">
        <f>Permutations!I587</f>
        <v>p15 - i5:i6</v>
      </c>
      <c r="C595" t="str">
        <f>Permutations!J587</f>
        <v>p121 - i6:i2</v>
      </c>
      <c r="D595" t="str">
        <f>Permutations!K587</f>
        <v>p2 - i2:i3</v>
      </c>
      <c r="E595" t="str">
        <f>Permutations!L587</f>
        <v>p3 - i3:i4</v>
      </c>
      <c r="F595" t="str">
        <f>Permutations!M587</f>
        <v>p91 - i4:i1</v>
      </c>
      <c r="G595" s="7">
        <f>VLOOKUP(B595,Vlookup!$A$1:$B$30,2,0)</f>
        <v>1.3219359277692486</v>
      </c>
      <c r="H595" s="7">
        <f>VLOOKUP(C595,Vlookup!$A$1:$B$30,2,0)</f>
        <v>1.2419340531937677</v>
      </c>
      <c r="I595" s="7">
        <f>VLOOKUP(D595,Vlookup!$A$1:$B$30,2,0)</f>
        <v>1.3601242124324544</v>
      </c>
      <c r="J595" s="7">
        <f>VLOOKUP(E595,Vlookup!$A$1:$B$30,2,0)</f>
        <v>1.4338636587362954</v>
      </c>
      <c r="K595" s="7">
        <f>VLOOKUP(F595,Vlookup!$A$1:$B$30,2,0)</f>
        <v>2.9131157743633094</v>
      </c>
      <c r="L595" s="7">
        <f t="shared" si="13"/>
        <v>9.3272392289014441</v>
      </c>
      <c r="M595" s="7">
        <f t="shared" si="14"/>
        <v>7.0557422889935753</v>
      </c>
      <c r="N595" s="7">
        <f t="shared" si="15"/>
        <v>5.6812535825464892</v>
      </c>
      <c r="O595" s="7">
        <f t="shared" si="16"/>
        <v>4.1770108425509909</v>
      </c>
      <c r="P595" s="7">
        <f t="shared" si="17"/>
        <v>2.9131157743633094</v>
      </c>
      <c r="Q595">
        <v>1</v>
      </c>
      <c r="R595" s="7">
        <f t="shared" si="18"/>
        <v>30.154361717355808</v>
      </c>
      <c r="S595" s="7">
        <f>VLOOKUP($A595,Rotations!$A$1:$X$1441,18,0)</f>
        <v>3.3162698297952514E-2</v>
      </c>
      <c r="T595" s="7">
        <f>VLOOKUP($A595,Rotations!$A$1:$X$1441,19,0)</f>
        <v>0.18840569851215108</v>
      </c>
      <c r="U595" s="7">
        <f>VLOOKUP($A595,Rotations!$A$1:$X$1441,20,0)</f>
        <v>0.13852095035879494</v>
      </c>
      <c r="V595" s="7">
        <f>VLOOKUP($A595,Rotations!$A$1:$X$1441,21,0)</f>
        <v>9.6606779532216747E-2</v>
      </c>
      <c r="W595" s="7">
        <f>VLOOKUP($A595,Rotations!$A$1:$X$1441,22,0)</f>
        <v>0.30931642050088587</v>
      </c>
      <c r="X595" s="7">
        <f>VLOOKUP($A595,Rotations!$A$1:$X$1441,23,0)</f>
        <v>0.23398745279799885</v>
      </c>
    </row>
    <row r="596" spans="1:24" ht="15.75" customHeight="1" x14ac:dyDescent="0.3">
      <c r="A596">
        <v>587</v>
      </c>
      <c r="B596" t="str">
        <f>Permutations!I588</f>
        <v>p15 - i5:i6</v>
      </c>
      <c r="C596" t="str">
        <f>Permutations!J588</f>
        <v>p121 - i6:i2</v>
      </c>
      <c r="D596" t="str">
        <f>Permutations!K588</f>
        <v>p5 - i2:i4</v>
      </c>
      <c r="E596" t="str">
        <f>Permutations!L588</f>
        <v>p91 - i4:i1</v>
      </c>
      <c r="F596" t="str">
        <f>Permutations!M588</f>
        <v>p8 - i1:i3</v>
      </c>
      <c r="G596" s="7">
        <f>VLOOKUP(B596,Vlookup!$A$1:$B$30,2,0)</f>
        <v>1.3219359277692486</v>
      </c>
      <c r="H596" s="7">
        <f>VLOOKUP(C596,Vlookup!$A$1:$B$30,2,0)</f>
        <v>1.2419340531937677</v>
      </c>
      <c r="I596" s="7">
        <f>VLOOKUP(D596,Vlookup!$A$1:$B$30,2,0)</f>
        <v>0.9108240498099236</v>
      </c>
      <c r="J596" s="7">
        <f>VLOOKUP(E596,Vlookup!$A$1:$B$30,2,0)</f>
        <v>2.9131157743633094</v>
      </c>
      <c r="K596" s="7">
        <f>VLOOKUP(F596,Vlookup!$A$1:$B$30,2,0)</f>
        <v>1.1080774401297739</v>
      </c>
      <c r="L596" s="7">
        <f t="shared" si="13"/>
        <v>4.8269332005701511</v>
      </c>
      <c r="M596" s="7">
        <f t="shared" si="14"/>
        <v>3.6514123711846942</v>
      </c>
      <c r="N596" s="7">
        <f t="shared" si="15"/>
        <v>2.9401016598221883</v>
      </c>
      <c r="O596" s="7">
        <f t="shared" si="16"/>
        <v>3.2279578700581602</v>
      </c>
      <c r="P596" s="7">
        <f t="shared" si="17"/>
        <v>1.1080774401297739</v>
      </c>
      <c r="Q596">
        <v>1</v>
      </c>
      <c r="R596" s="7">
        <f t="shared" si="18"/>
        <v>16.754482541764968</v>
      </c>
      <c r="S596" s="7">
        <f>VLOOKUP($A596,Rotations!$A$1:$X$1441,18,0)</f>
        <v>6.6136178026841394E-2</v>
      </c>
      <c r="T596" s="7">
        <f>VLOOKUP($A596,Rotations!$A$1:$X$1441,19,0)</f>
        <v>0.17548149592165613</v>
      </c>
      <c r="U596" s="7">
        <f>VLOOKUP($A596,Rotations!$A$1:$X$1441,20,0)</f>
        <v>5.9685519830722088E-2</v>
      </c>
      <c r="V596" s="7">
        <f>VLOOKUP($A596,Rotations!$A$1:$X$1441,21,0)</f>
        <v>0.19266234346609173</v>
      </c>
      <c r="W596" s="7">
        <f>VLOOKUP($A596,Rotations!$A$1:$X$1441,22,0)</f>
        <v>0.28809801726420059</v>
      </c>
      <c r="X596" s="7">
        <f>VLOOKUP($A596,Rotations!$A$1:$X$1441,23,0)</f>
        <v>0.21793644549048802</v>
      </c>
    </row>
    <row r="597" spans="1:24" ht="15.75" customHeight="1" x14ac:dyDescent="0.3">
      <c r="A597">
        <v>588</v>
      </c>
      <c r="B597" t="str">
        <f>Permutations!I589</f>
        <v>p15 - i5:i6</v>
      </c>
      <c r="C597" t="str">
        <f>Permutations!J589</f>
        <v>p121 - i6:i2</v>
      </c>
      <c r="D597" t="str">
        <f>Permutations!K589</f>
        <v>p5 - i2:i4</v>
      </c>
      <c r="E597" t="str">
        <f>Permutations!L589</f>
        <v>p31 - i4:i3</v>
      </c>
      <c r="F597" t="str">
        <f>Permutations!M589</f>
        <v>p81 - i3:i1</v>
      </c>
      <c r="G597" s="7">
        <f>VLOOKUP(B597,Vlookup!$A$1:$B$30,2,0)</f>
        <v>1.3219359277692486</v>
      </c>
      <c r="H597" s="7">
        <f>VLOOKUP(C597,Vlookup!$A$1:$B$30,2,0)</f>
        <v>1.2419340531937677</v>
      </c>
      <c r="I597" s="7">
        <f>VLOOKUP(D597,Vlookup!$A$1:$B$30,2,0)</f>
        <v>0.9108240498099236</v>
      </c>
      <c r="J597" s="7">
        <f>VLOOKUP(E597,Vlookup!$A$1:$B$30,2,0)</f>
        <v>2.2388599512381115</v>
      </c>
      <c r="K597" s="7">
        <f>VLOOKUP(F597,Vlookup!$A$1:$B$30,2,0)</f>
        <v>1.7021844231989158</v>
      </c>
      <c r="L597" s="7">
        <f t="shared" si="13"/>
        <v>5.6987154281887351</v>
      </c>
      <c r="M597" s="7">
        <f t="shared" si="14"/>
        <v>4.3108862604296192</v>
      </c>
      <c r="N597" s="7">
        <f t="shared" si="15"/>
        <v>3.4711072213083374</v>
      </c>
      <c r="O597" s="7">
        <f t="shared" si="16"/>
        <v>3.8109525347213977</v>
      </c>
      <c r="P597" s="7">
        <f t="shared" si="17"/>
        <v>1.7021844231989158</v>
      </c>
      <c r="Q597">
        <v>1</v>
      </c>
      <c r="R597" s="7">
        <f t="shared" si="18"/>
        <v>19.993845867847003</v>
      </c>
      <c r="S597" s="7">
        <f>VLOOKUP($A597,Rotations!$A$1:$X$1441,18,0)</f>
        <v>5.0015390066007491E-2</v>
      </c>
      <c r="T597" s="7">
        <f>VLOOKUP($A597,Rotations!$A$1:$X$1441,19,0)</f>
        <v>0.17360878163467189</v>
      </c>
      <c r="U597" s="7">
        <f>VLOOKUP($A597,Rotations!$A$1:$X$1441,20,0)</f>
        <v>8.5135417890575757E-2</v>
      </c>
      <c r="V597" s="7">
        <f>VLOOKUP($A597,Rotations!$A$1:$X$1441,21,0)</f>
        <v>0.19060627754713066</v>
      </c>
      <c r="W597" s="7">
        <f>VLOOKUP($A597,Rotations!$A$1:$X$1441,22,0)</f>
        <v>0.28502347501603448</v>
      </c>
      <c r="X597" s="7">
        <f>VLOOKUP($A597,Rotations!$A$1:$X$1441,23,0)</f>
        <v>0.21561065784557978</v>
      </c>
    </row>
    <row r="598" spans="1:24" ht="15.75" customHeight="1" x14ac:dyDescent="0.3">
      <c r="A598">
        <v>589</v>
      </c>
      <c r="B598" t="str">
        <f>Permutations!I590</f>
        <v>p15 - i5:i6</v>
      </c>
      <c r="C598" t="str">
        <f>Permutations!J590</f>
        <v>p131 - i6:i3</v>
      </c>
      <c r="D598" t="str">
        <f>Permutations!K590</f>
        <v>p81 - i3:i1</v>
      </c>
      <c r="E598" t="str">
        <f>Permutations!L590</f>
        <v>p1 - i1:i2</v>
      </c>
      <c r="F598" t="str">
        <f>Permutations!M590</f>
        <v>p5 - i2:i4</v>
      </c>
      <c r="G598" s="7">
        <f>VLOOKUP(B598,Vlookup!$A$1:$B$30,2,0)</f>
        <v>1.3219359277692486</v>
      </c>
      <c r="H598" s="7">
        <f>VLOOKUP(C598,Vlookup!$A$1:$B$30,2,0)</f>
        <v>1.4032439022773779</v>
      </c>
      <c r="I598" s="7">
        <f>VLOOKUP(D598,Vlookup!$A$1:$B$30,2,0)</f>
        <v>1.7021844231989158</v>
      </c>
      <c r="J598" s="7">
        <f>VLOOKUP(E598,Vlookup!$A$1:$B$30,2,0)</f>
        <v>1.6373343116675814</v>
      </c>
      <c r="K598" s="7">
        <f>VLOOKUP(F598,Vlookup!$A$1:$B$30,2,0)</f>
        <v>0.9108240498099236</v>
      </c>
      <c r="L598" s="7">
        <f t="shared" si="13"/>
        <v>4.7089278257059703</v>
      </c>
      <c r="M598" s="7">
        <f t="shared" si="14"/>
        <v>3.5621452801061477</v>
      </c>
      <c r="N598" s="7">
        <f t="shared" si="15"/>
        <v>2.5385075782798747</v>
      </c>
      <c r="O598" s="7">
        <f t="shared" si="16"/>
        <v>1.4913234686458101</v>
      </c>
      <c r="P598" s="7">
        <f t="shared" si="17"/>
        <v>0.9108240498099236</v>
      </c>
      <c r="Q598">
        <v>1</v>
      </c>
      <c r="R598" s="7">
        <f t="shared" si="18"/>
        <v>14.211728202547725</v>
      </c>
      <c r="S598" s="7">
        <f>VLOOKUP($A598,Rotations!$A$1:$X$1441,18,0)</f>
        <v>0.10493610962658727</v>
      </c>
      <c r="T598" s="7">
        <f>VLOOKUP($A598,Rotations!$A$1:$X$1441,19,0)</f>
        <v>6.4089605206961456E-2</v>
      </c>
      <c r="U598" s="7">
        <f>VLOOKUP($A598,Rotations!$A$1:$X$1441,20,0)</f>
        <v>0.17862061123747064</v>
      </c>
      <c r="V598" s="7">
        <f>VLOOKUP($A598,Rotations!$A$1:$X$1441,21,0)</f>
        <v>7.0364419143671128E-2</v>
      </c>
      <c r="W598" s="7">
        <f>VLOOKUP($A598,Rotations!$A$1:$X$1441,22,0)</f>
        <v>0.33134097124527084</v>
      </c>
      <c r="X598" s="7">
        <f>VLOOKUP($A598,Rotations!$A$1:$X$1441,23,0)</f>
        <v>0.25064828354003876</v>
      </c>
    </row>
    <row r="599" spans="1:24" ht="15.75" customHeight="1" x14ac:dyDescent="0.3">
      <c r="A599">
        <v>590</v>
      </c>
      <c r="B599" t="str">
        <f>Permutations!I591</f>
        <v>p15 - i5:i6</v>
      </c>
      <c r="C599" t="str">
        <f>Permutations!J591</f>
        <v>p131 - i6:i3</v>
      </c>
      <c r="D599" t="str">
        <f>Permutations!K591</f>
        <v>p81 - i3:i1</v>
      </c>
      <c r="E599" t="str">
        <f>Permutations!L591</f>
        <v>p9 - i1:i4</v>
      </c>
      <c r="F599" t="str">
        <f>Permutations!M591</f>
        <v>p51 - i4:i2</v>
      </c>
      <c r="G599" s="7">
        <f>VLOOKUP(B599,Vlookup!$A$1:$B$30,2,0)</f>
        <v>1.3219359277692486</v>
      </c>
      <c r="H599" s="7">
        <f>VLOOKUP(C599,Vlookup!$A$1:$B$30,2,0)</f>
        <v>1.4032439022773779</v>
      </c>
      <c r="I599" s="7">
        <f>VLOOKUP(D599,Vlookup!$A$1:$B$30,2,0)</f>
        <v>1.7021844231989158</v>
      </c>
      <c r="J599" s="7">
        <f>VLOOKUP(E599,Vlookup!$A$1:$B$30,2,0)</f>
        <v>1.2538815092968505</v>
      </c>
      <c r="K599" s="7">
        <f>VLOOKUP(F599,Vlookup!$A$1:$B$30,2,0)</f>
        <v>1.4376356077157479</v>
      </c>
      <c r="L599" s="7">
        <f t="shared" si="13"/>
        <v>5.6918769227940054</v>
      </c>
      <c r="M599" s="7">
        <f t="shared" si="14"/>
        <v>4.3057131614532791</v>
      </c>
      <c r="N599" s="7">
        <f t="shared" si="15"/>
        <v>3.0683996947824776</v>
      </c>
      <c r="O599" s="7">
        <f t="shared" si="16"/>
        <v>1.802624705621517</v>
      </c>
      <c r="P599" s="7">
        <f t="shared" si="17"/>
        <v>1.4376356077157479</v>
      </c>
      <c r="Q599">
        <v>1</v>
      </c>
      <c r="R599" s="7">
        <f t="shared" si="18"/>
        <v>17.306250092367026</v>
      </c>
      <c r="S599" s="7">
        <f>VLOOKUP($A599,Rotations!$A$1:$X$1441,18,0)</f>
        <v>0.10416032912968073</v>
      </c>
      <c r="T599" s="7">
        <f>VLOOKUP($A599,Rotations!$A$1:$X$1441,19,0)</f>
        <v>5.7782592685462986E-2</v>
      </c>
      <c r="U599" s="7">
        <f>VLOOKUP($A599,Rotations!$A$1:$X$1441,20,0)</f>
        <v>0.17730008975981484</v>
      </c>
      <c r="V599" s="7">
        <f>VLOOKUP($A599,Rotations!$A$1:$X$1441,21,0)</f>
        <v>8.3070312750757103E-2</v>
      </c>
      <c r="W599" s="7">
        <f>VLOOKUP($A599,Rotations!$A$1:$X$1441,22,0)</f>
        <v>0.32889140584559245</v>
      </c>
      <c r="X599" s="7">
        <f>VLOOKUP($A599,Rotations!$A$1:$X$1441,23,0)</f>
        <v>0.24879526982869193</v>
      </c>
    </row>
    <row r="600" spans="1:24" ht="15.75" customHeight="1" x14ac:dyDescent="0.3">
      <c r="A600">
        <v>591</v>
      </c>
      <c r="B600" t="str">
        <f>Permutations!I592</f>
        <v>p15 - i5:i6</v>
      </c>
      <c r="C600" t="str">
        <f>Permutations!J592</f>
        <v>p131 - i6:i3</v>
      </c>
      <c r="D600" t="str">
        <f>Permutations!K592</f>
        <v>p21 - i3:i2</v>
      </c>
      <c r="E600" t="str">
        <f>Permutations!L592</f>
        <v>p11 - i2:i1</v>
      </c>
      <c r="F600" t="str">
        <f>Permutations!M592</f>
        <v>p9 - i1:i4</v>
      </c>
      <c r="G600" s="7">
        <f>VLOOKUP(B600,Vlookup!$A$1:$B$30,2,0)</f>
        <v>1.3219359277692486</v>
      </c>
      <c r="H600" s="7">
        <f>VLOOKUP(C600,Vlookup!$A$1:$B$30,2,0)</f>
        <v>1.4032439022773779</v>
      </c>
      <c r="I600" s="7">
        <f>VLOOKUP(D600,Vlookup!$A$1:$B$30,2,0)</f>
        <v>1.5059827029565431</v>
      </c>
      <c r="J600" s="7">
        <f>VLOOKUP(E600,Vlookup!$A$1:$B$30,2,0)</f>
        <v>1.7440097060445605</v>
      </c>
      <c r="K600" s="7">
        <f>VLOOKUP(F600,Vlookup!$A$1:$B$30,2,0)</f>
        <v>1.2538815092968505</v>
      </c>
      <c r="L600" s="7">
        <f t="shared" si="13"/>
        <v>6.1089834578376152</v>
      </c>
      <c r="M600" s="7">
        <f t="shared" si="14"/>
        <v>4.6212402049972683</v>
      </c>
      <c r="N600" s="7">
        <f t="shared" si="15"/>
        <v>3.2932551479449019</v>
      </c>
      <c r="O600" s="7">
        <f t="shared" si="16"/>
        <v>2.1867815224435101</v>
      </c>
      <c r="P600" s="7">
        <f t="shared" si="17"/>
        <v>1.2538815092968505</v>
      </c>
      <c r="Q600">
        <v>1</v>
      </c>
      <c r="R600" s="7">
        <f t="shared" si="18"/>
        <v>18.464141842520146</v>
      </c>
      <c r="S600" s="7">
        <f>VLOOKUP($A600,Rotations!$A$1:$X$1441,18,0)</f>
        <v>6.7909005465358246E-2</v>
      </c>
      <c r="T600" s="7">
        <f>VLOOKUP($A600,Rotations!$A$1:$X$1441,19,0)</f>
        <v>0.1184339646594179</v>
      </c>
      <c r="U600" s="7">
        <f>VLOOKUP($A600,Rotations!$A$1:$X$1441,20,0)</f>
        <v>0.17835950221964986</v>
      </c>
      <c r="V600" s="7">
        <f>VLOOKUP($A600,Rotations!$A$1:$X$1441,21,0)</f>
        <v>5.4159029351537484E-2</v>
      </c>
      <c r="W600" s="7">
        <f>VLOOKUP($A600,Rotations!$A$1:$X$1441,22,0)</f>
        <v>0.33085661440108438</v>
      </c>
      <c r="X600" s="7">
        <f>VLOOKUP($A600,Rotations!$A$1:$X$1441,23,0)</f>
        <v>0.25028188390295214</v>
      </c>
    </row>
    <row r="601" spans="1:24" ht="15.75" customHeight="1" x14ac:dyDescent="0.3">
      <c r="A601">
        <v>592</v>
      </c>
      <c r="B601" t="str">
        <f>Permutations!I593</f>
        <v>p15 - i5:i6</v>
      </c>
      <c r="C601" t="str">
        <f>Permutations!J593</f>
        <v>p131 - i6:i3</v>
      </c>
      <c r="D601" t="str">
        <f>Permutations!K593</f>
        <v>p21 - i3:i2</v>
      </c>
      <c r="E601" t="str">
        <f>Permutations!L593</f>
        <v>p5 - i2:i4</v>
      </c>
      <c r="F601" t="str">
        <f>Permutations!M593</f>
        <v>p91 - i4:i1</v>
      </c>
      <c r="G601" s="7">
        <f>VLOOKUP(B601,Vlookup!$A$1:$B$30,2,0)</f>
        <v>1.3219359277692486</v>
      </c>
      <c r="H601" s="7">
        <f>VLOOKUP(C601,Vlookup!$A$1:$B$30,2,0)</f>
        <v>1.4032439022773779</v>
      </c>
      <c r="I601" s="7">
        <f>VLOOKUP(D601,Vlookup!$A$1:$B$30,2,0)</f>
        <v>1.5059827029565431</v>
      </c>
      <c r="J601" s="7">
        <f>VLOOKUP(E601,Vlookup!$A$1:$B$30,2,0)</f>
        <v>0.9108240498099236</v>
      </c>
      <c r="K601" s="7">
        <f>VLOOKUP(F601,Vlookup!$A$1:$B$30,2,0)</f>
        <v>2.9131157743633094</v>
      </c>
      <c r="L601" s="7">
        <f t="shared" si="13"/>
        <v>7.4123477808064679</v>
      </c>
      <c r="M601" s="7">
        <f t="shared" si="14"/>
        <v>5.6071914115495138</v>
      </c>
      <c r="N601" s="7">
        <f t="shared" si="15"/>
        <v>3.9958779813326739</v>
      </c>
      <c r="O601" s="7">
        <f t="shared" si="16"/>
        <v>2.653335907170761</v>
      </c>
      <c r="P601" s="7">
        <f t="shared" si="17"/>
        <v>2.9131157743633094</v>
      </c>
      <c r="Q601">
        <v>1</v>
      </c>
      <c r="R601" s="7">
        <f t="shared" si="18"/>
        <v>23.581868855222723</v>
      </c>
      <c r="S601" s="7">
        <f>VLOOKUP($A601,Rotations!$A$1:$X$1441,18,0)</f>
        <v>4.2405460149886637E-2</v>
      </c>
      <c r="T601" s="7">
        <f>VLOOKUP($A601,Rotations!$A$1:$X$1441,19,0)</f>
        <v>0.11251593007579301</v>
      </c>
      <c r="U601" s="7">
        <f>VLOOKUP($A601,Rotations!$A$1:$X$1441,20,0)</f>
        <v>0.16944704450121217</v>
      </c>
      <c r="V601" s="7">
        <f>VLOOKUP($A601,Rotations!$A$1:$X$1441,21,0)</f>
        <v>0.12353201488176947</v>
      </c>
      <c r="W601" s="7">
        <f>VLOOKUP($A601,Rotations!$A$1:$X$1441,22,0)</f>
        <v>0.31432401843608931</v>
      </c>
      <c r="X601" s="7">
        <f>VLOOKUP($A601,Rotations!$A$1:$X$1441,23,0)</f>
        <v>0.2377755319552495</v>
      </c>
    </row>
    <row r="602" spans="1:24" ht="15.75" customHeight="1" x14ac:dyDescent="0.3">
      <c r="A602">
        <v>593</v>
      </c>
      <c r="B602" t="str">
        <f>Permutations!I594</f>
        <v>p15 - i5:i6</v>
      </c>
      <c r="C602" t="str">
        <f>Permutations!J594</f>
        <v>p131 - i6:i3</v>
      </c>
      <c r="D602" t="str">
        <f>Permutations!K594</f>
        <v>p3 - i3:i4</v>
      </c>
      <c r="E602" t="str">
        <f>Permutations!L594</f>
        <v>p91 - i4:i1</v>
      </c>
      <c r="F602" t="str">
        <f>Permutations!M594</f>
        <v>p1 - i1:i2</v>
      </c>
      <c r="G602" s="7">
        <f>VLOOKUP(B602,Vlookup!$A$1:$B$30,2,0)</f>
        <v>1.3219359277692486</v>
      </c>
      <c r="H602" s="7">
        <f>VLOOKUP(C602,Vlookup!$A$1:$B$30,2,0)</f>
        <v>1.4032439022773779</v>
      </c>
      <c r="I602" s="7">
        <f>VLOOKUP(D602,Vlookup!$A$1:$B$30,2,0)</f>
        <v>1.4338636587362954</v>
      </c>
      <c r="J602" s="7">
        <f>VLOOKUP(E602,Vlookup!$A$1:$B$30,2,0)</f>
        <v>2.9131157743633094</v>
      </c>
      <c r="K602" s="7">
        <f>VLOOKUP(F602,Vlookup!$A$1:$B$30,2,0)</f>
        <v>1.6373343116675814</v>
      </c>
      <c r="L602" s="7">
        <f t="shared" si="13"/>
        <v>12.686637630749043</v>
      </c>
      <c r="M602" s="7">
        <f t="shared" si="14"/>
        <v>9.597014018794086</v>
      </c>
      <c r="N602" s="7">
        <f t="shared" si="15"/>
        <v>6.8391631727162503</v>
      </c>
      <c r="O602" s="7">
        <f t="shared" si="16"/>
        <v>4.7697444112251226</v>
      </c>
      <c r="P602" s="7">
        <f t="shared" si="17"/>
        <v>1.6373343116675814</v>
      </c>
      <c r="Q602">
        <v>1</v>
      </c>
      <c r="R602" s="7">
        <f t="shared" si="18"/>
        <v>36.529893545152085</v>
      </c>
      <c r="S602" s="7">
        <f>VLOOKUP($A602,Rotations!$A$1:$X$1441,18,0)</f>
        <v>4.4821765211108137E-2</v>
      </c>
      <c r="T602" s="7">
        <f>VLOOKUP($A602,Rotations!$A$1:$X$1441,19,0)</f>
        <v>2.7374840245947305E-2</v>
      </c>
      <c r="U602" s="7">
        <f>VLOOKUP($A602,Rotations!$A$1:$X$1441,20,0)</f>
        <v>0.18722099926907348</v>
      </c>
      <c r="V602" s="7">
        <f>VLOOKUP($A602,Rotations!$A$1:$X$1441,21,0)</f>
        <v>0.13057099127128771</v>
      </c>
      <c r="W602" s="7">
        <f>VLOOKUP($A602,Rotations!$A$1:$X$1441,22,0)</f>
        <v>0.34729467839997846</v>
      </c>
      <c r="X602" s="7">
        <f>VLOOKUP($A602,Rotations!$A$1:$X$1441,23,0)</f>
        <v>0.26271672560260484</v>
      </c>
    </row>
    <row r="603" spans="1:24" ht="15.75" customHeight="1" x14ac:dyDescent="0.3">
      <c r="A603">
        <v>594</v>
      </c>
      <c r="B603" t="str">
        <f>Permutations!I595</f>
        <v>p15 - i5:i6</v>
      </c>
      <c r="C603" t="str">
        <f>Permutations!J595</f>
        <v>p131 - i6:i3</v>
      </c>
      <c r="D603" t="str">
        <f>Permutations!K595</f>
        <v>p3 - i3:i4</v>
      </c>
      <c r="E603" t="str">
        <f>Permutations!L595</f>
        <v>p51 - i4:i2</v>
      </c>
      <c r="F603" t="str">
        <f>Permutations!M595</f>
        <v>p11 - i2:i1</v>
      </c>
      <c r="G603" s="7">
        <f>VLOOKUP(B603,Vlookup!$A$1:$B$30,2,0)</f>
        <v>1.3219359277692486</v>
      </c>
      <c r="H603" s="7">
        <f>VLOOKUP(C603,Vlookup!$A$1:$B$30,2,0)</f>
        <v>1.4032439022773779</v>
      </c>
      <c r="I603" s="7">
        <f>VLOOKUP(D603,Vlookup!$A$1:$B$30,2,0)</f>
        <v>1.4338636587362954</v>
      </c>
      <c r="J603" s="7">
        <f>VLOOKUP(E603,Vlookup!$A$1:$B$30,2,0)</f>
        <v>1.4376356077157479</v>
      </c>
      <c r="K603" s="7">
        <f>VLOOKUP(F603,Vlookup!$A$1:$B$30,2,0)</f>
        <v>1.7440097060445605</v>
      </c>
      <c r="L603" s="7">
        <f t="shared" si="13"/>
        <v>6.6688223125000912</v>
      </c>
      <c r="M603" s="7">
        <f t="shared" si="14"/>
        <v>5.0447394404006038</v>
      </c>
      <c r="N603" s="7">
        <f t="shared" si="15"/>
        <v>3.5950553087836714</v>
      </c>
      <c r="O603" s="7">
        <f t="shared" si="16"/>
        <v>2.5072504536115345</v>
      </c>
      <c r="P603" s="7">
        <f t="shared" si="17"/>
        <v>1.7440097060445605</v>
      </c>
      <c r="Q603">
        <v>1</v>
      </c>
      <c r="R603" s="7">
        <f t="shared" si="18"/>
        <v>20.559877221340461</v>
      </c>
      <c r="S603" s="7">
        <f>VLOOKUP($A603,Rotations!$A$1:$X$1441,18,0)</f>
        <v>4.863842275098966E-2</v>
      </c>
      <c r="T603" s="7">
        <f>VLOOKUP($A603,Rotations!$A$1:$X$1441,19,0)</f>
        <v>8.4825881364424552E-2</v>
      </c>
      <c r="U603" s="7">
        <f>VLOOKUP($A603,Rotations!$A$1:$X$1441,20,0)</f>
        <v>0.1748578199218099</v>
      </c>
      <c r="V603" s="7">
        <f>VLOOKUP($A603,Rotations!$A$1:$X$1441,21,0)</f>
        <v>0.12194870750536842</v>
      </c>
      <c r="W603" s="7">
        <f>VLOOKUP($A603,Rotations!$A$1:$X$1441,22,0)</f>
        <v>0.32436099888661191</v>
      </c>
      <c r="X603" s="7">
        <f>VLOOKUP($A603,Rotations!$A$1:$X$1441,23,0)</f>
        <v>0.2453681695707956</v>
      </c>
    </row>
    <row r="604" spans="1:24" ht="15.75" customHeight="1" x14ac:dyDescent="0.3">
      <c r="A604">
        <v>595</v>
      </c>
      <c r="B604" t="str">
        <f>Permutations!I596</f>
        <v>p15 - i5:i6</v>
      </c>
      <c r="C604" t="str">
        <f>Permutations!J596</f>
        <v>p141 - i6:i4</v>
      </c>
      <c r="D604" t="str">
        <f>Permutations!K596</f>
        <v>p91 - i4:i1</v>
      </c>
      <c r="E604" t="str">
        <f>Permutations!L596</f>
        <v>p1 - i1:i2</v>
      </c>
      <c r="F604" t="str">
        <f>Permutations!M596</f>
        <v>p2 - i2:i3</v>
      </c>
      <c r="G604" s="7">
        <f>VLOOKUP(B604,Vlookup!$A$1:$B$30,2,0)</f>
        <v>1.3219359277692486</v>
      </c>
      <c r="H604" s="7">
        <f>VLOOKUP(C604,Vlookup!$A$1:$B$30,2,0)</f>
        <v>0.88688155974910687</v>
      </c>
      <c r="I604" s="7">
        <f>VLOOKUP(D604,Vlookup!$A$1:$B$30,2,0)</f>
        <v>2.9131157743633094</v>
      </c>
      <c r="J604" s="7">
        <f>VLOOKUP(E604,Vlookup!$A$1:$B$30,2,0)</f>
        <v>1.6373343116675814</v>
      </c>
      <c r="K604" s="7">
        <f>VLOOKUP(F604,Vlookup!$A$1:$B$30,2,0)</f>
        <v>1.3601242124324544</v>
      </c>
      <c r="L604" s="7">
        <f t="shared" si="13"/>
        <v>7.6058842311299575</v>
      </c>
      <c r="M604" s="7">
        <f t="shared" si="14"/>
        <v>5.7535952169518509</v>
      </c>
      <c r="N604" s="7">
        <f t="shared" si="15"/>
        <v>6.4874448608216708</v>
      </c>
      <c r="O604" s="7">
        <f t="shared" si="16"/>
        <v>2.2269780411455038</v>
      </c>
      <c r="P604" s="7">
        <f t="shared" si="17"/>
        <v>1.3601242124324544</v>
      </c>
      <c r="Q604">
        <v>1</v>
      </c>
      <c r="R604" s="7">
        <f t="shared" si="18"/>
        <v>24.434026562481435</v>
      </c>
      <c r="S604" s="7">
        <f>VLOOKUP($A604,Rotations!$A$1:$X$1441,18,0)</f>
        <v>9.1142490798673328E-2</v>
      </c>
      <c r="T604" s="7">
        <f>VLOOKUP($A604,Rotations!$A$1:$X$1441,19,0)</f>
        <v>5.5665168774144319E-2</v>
      </c>
      <c r="U604" s="7">
        <f>VLOOKUP($A604,Rotations!$A$1:$X$1441,20,0)</f>
        <v>4.092653322786776E-2</v>
      </c>
      <c r="V604" s="7">
        <f>VLOOKUP($A604,Rotations!$A$1:$X$1441,21,0)</f>
        <v>0.26550862766037808</v>
      </c>
      <c r="W604" s="7">
        <f>VLOOKUP($A604,Rotations!$A$1:$X$1441,22,0)</f>
        <v>0.31128247371265566</v>
      </c>
      <c r="X604" s="7">
        <f>VLOOKUP($A604,Rotations!$A$1:$X$1441,23,0)</f>
        <v>0.23547470582628097</v>
      </c>
    </row>
    <row r="605" spans="1:24" ht="15.75" customHeight="1" x14ac:dyDescent="0.3">
      <c r="A605">
        <v>596</v>
      </c>
      <c r="B605" t="str">
        <f>Permutations!I597</f>
        <v>p15 - i5:i6</v>
      </c>
      <c r="C605" t="str">
        <f>Permutations!J597</f>
        <v>p141 - i6:i4</v>
      </c>
      <c r="D605" t="str">
        <f>Permutations!K597</f>
        <v>p91 - i4:i1</v>
      </c>
      <c r="E605" t="str">
        <f>Permutations!L597</f>
        <v>p8 - i1:i3</v>
      </c>
      <c r="F605" t="str">
        <f>Permutations!M597</f>
        <v>p21 - i3:i2</v>
      </c>
      <c r="G605" s="7">
        <f>VLOOKUP(B605,Vlookup!$A$1:$B$30,2,0)</f>
        <v>1.3219359277692486</v>
      </c>
      <c r="H605" s="7">
        <f>VLOOKUP(C605,Vlookup!$A$1:$B$30,2,0)</f>
        <v>0.88688155974910687</v>
      </c>
      <c r="I605" s="7">
        <f>VLOOKUP(D605,Vlookup!$A$1:$B$30,2,0)</f>
        <v>2.9131157743633094</v>
      </c>
      <c r="J605" s="7">
        <f>VLOOKUP(E605,Vlookup!$A$1:$B$30,2,0)</f>
        <v>1.1080774401297739</v>
      </c>
      <c r="K605" s="7">
        <f>VLOOKUP(F605,Vlookup!$A$1:$B$30,2,0)</f>
        <v>1.5059827029565431</v>
      </c>
      <c r="L605" s="7">
        <f t="shared" si="13"/>
        <v>5.6993309018310887</v>
      </c>
      <c r="M605" s="7">
        <f t="shared" si="14"/>
        <v>4.311351845507855</v>
      </c>
      <c r="N605" s="7">
        <f t="shared" si="15"/>
        <v>4.8612487181800335</v>
      </c>
      <c r="O605" s="7">
        <f t="shared" si="16"/>
        <v>1.668745458371804</v>
      </c>
      <c r="P605" s="7">
        <f t="shared" si="17"/>
        <v>1.5059827029565431</v>
      </c>
      <c r="Q605">
        <v>1</v>
      </c>
      <c r="R605" s="7">
        <f t="shared" si="18"/>
        <v>19.046659626847322</v>
      </c>
      <c r="S605" s="7">
        <f>VLOOKUP($A605,Rotations!$A$1:$X$1441,18,0)</f>
        <v>8.7613549623137846E-2</v>
      </c>
      <c r="T605" s="7">
        <f>VLOOKUP($A605,Rotations!$A$1:$X$1441,19,0)</f>
        <v>5.2502644536706299E-2</v>
      </c>
      <c r="U605" s="7">
        <f>VLOOKUP($A605,Rotations!$A$1:$X$1441,20,0)</f>
        <v>7.9068074531755531E-2</v>
      </c>
      <c r="V605" s="7">
        <f>VLOOKUP($A605,Rotations!$A$1:$X$1441,21,0)</f>
        <v>0.25522841345512542</v>
      </c>
      <c r="W605" s="7">
        <f>VLOOKUP($A605,Rotations!$A$1:$X$1441,22,0)</f>
        <v>0.29922994443590339</v>
      </c>
      <c r="X605" s="7">
        <f>VLOOKUP($A605,Rotations!$A$1:$X$1441,23,0)</f>
        <v>0.22635737341737161</v>
      </c>
    </row>
    <row r="606" spans="1:24" ht="15.75" customHeight="1" x14ac:dyDescent="0.3">
      <c r="A606">
        <v>597</v>
      </c>
      <c r="B606" t="str">
        <f>Permutations!I598</f>
        <v>p15 - i5:i6</v>
      </c>
      <c r="C606" t="str">
        <f>Permutations!J598</f>
        <v>p141 - i6:i4</v>
      </c>
      <c r="D606" t="str">
        <f>Permutations!K598</f>
        <v>p51 - i4:i2</v>
      </c>
      <c r="E606" t="str">
        <f>Permutations!L598</f>
        <v>p11 - i2:i1</v>
      </c>
      <c r="F606" t="str">
        <f>Permutations!M598</f>
        <v>p8 - i1:i3</v>
      </c>
      <c r="G606" s="7">
        <f>VLOOKUP(B606,Vlookup!$A$1:$B$30,2,0)</f>
        <v>1.3219359277692486</v>
      </c>
      <c r="H606" s="7">
        <f>VLOOKUP(C606,Vlookup!$A$1:$B$30,2,0)</f>
        <v>0.88688155974910687</v>
      </c>
      <c r="I606" s="7">
        <f>VLOOKUP(D606,Vlookup!$A$1:$B$30,2,0)</f>
        <v>1.4376356077157479</v>
      </c>
      <c r="J606" s="7">
        <f>VLOOKUP(E606,Vlookup!$A$1:$B$30,2,0)</f>
        <v>1.7440097060445605</v>
      </c>
      <c r="K606" s="7">
        <f>VLOOKUP(F606,Vlookup!$A$1:$B$30,2,0)</f>
        <v>1.1080774401297739</v>
      </c>
      <c r="L606" s="7">
        <f t="shared" si="13"/>
        <v>3.2571957737592978</v>
      </c>
      <c r="M606" s="7">
        <f t="shared" si="14"/>
        <v>2.4639588843430387</v>
      </c>
      <c r="N606" s="7">
        <f t="shared" si="15"/>
        <v>2.7782276644020838</v>
      </c>
      <c r="O606" s="7">
        <f t="shared" si="16"/>
        <v>1.9324978106353361</v>
      </c>
      <c r="P606" s="7">
        <f t="shared" si="17"/>
        <v>1.1080774401297739</v>
      </c>
      <c r="Q606">
        <v>1</v>
      </c>
      <c r="R606" s="7">
        <f t="shared" si="18"/>
        <v>12.539957573269531</v>
      </c>
      <c r="S606" s="7">
        <f>VLOOKUP($A606,Rotations!$A$1:$X$1441,18,0)</f>
        <v>8.8363731189312622E-2</v>
      </c>
      <c r="T606" s="7">
        <f>VLOOKUP($A606,Rotations!$A$1:$X$1441,19,0)</f>
        <v>0.15410720485647367</v>
      </c>
      <c r="U606" s="7">
        <f>VLOOKUP($A606,Rotations!$A$1:$X$1441,20,0)</f>
        <v>7.9745086389416783E-2</v>
      </c>
      <c r="V606" s="7">
        <f>VLOOKUP($A606,Rotations!$A$1:$X$1441,21,0)</f>
        <v>0.22155000510721179</v>
      </c>
      <c r="W606" s="7">
        <f>VLOOKUP($A606,Rotations!$A$1:$X$1441,22,0)</f>
        <v>0.25974535836567847</v>
      </c>
      <c r="X606" s="7">
        <f>VLOOKUP($A606,Rotations!$A$1:$X$1441,23,0)</f>
        <v>0.19648861409190663</v>
      </c>
    </row>
    <row r="607" spans="1:24" ht="15.75" customHeight="1" x14ac:dyDescent="0.3">
      <c r="A607">
        <v>598</v>
      </c>
      <c r="B607" t="str">
        <f>Permutations!I599</f>
        <v>p15 - i5:i6</v>
      </c>
      <c r="C607" t="str">
        <f>Permutations!J599</f>
        <v>p141 - i6:i4</v>
      </c>
      <c r="D607" t="str">
        <f>Permutations!K599</f>
        <v>p51 - i4:i2</v>
      </c>
      <c r="E607" t="str">
        <f>Permutations!L599</f>
        <v>p2 - i2:i3</v>
      </c>
      <c r="F607" t="str">
        <f>Permutations!M599</f>
        <v>p81 - i3:i1</v>
      </c>
      <c r="G607" s="7">
        <f>VLOOKUP(B607,Vlookup!$A$1:$B$30,2,0)</f>
        <v>1.3219359277692486</v>
      </c>
      <c r="H607" s="7">
        <f>VLOOKUP(C607,Vlookup!$A$1:$B$30,2,0)</f>
        <v>0.88688155974910687</v>
      </c>
      <c r="I607" s="7">
        <f>VLOOKUP(D607,Vlookup!$A$1:$B$30,2,0)</f>
        <v>1.4376356077157479</v>
      </c>
      <c r="J607" s="7">
        <f>VLOOKUP(E607,Vlookup!$A$1:$B$30,2,0)</f>
        <v>1.3601242124324544</v>
      </c>
      <c r="K607" s="7">
        <f>VLOOKUP(F607,Vlookup!$A$1:$B$30,2,0)</f>
        <v>1.7021844231989158</v>
      </c>
      <c r="L607" s="7">
        <f t="shared" si="13"/>
        <v>3.9022045935711955</v>
      </c>
      <c r="M607" s="7">
        <f t="shared" si="14"/>
        <v>2.9518863294351334</v>
      </c>
      <c r="N607" s="7">
        <f t="shared" si="15"/>
        <v>3.3283884381023809</v>
      </c>
      <c r="O607" s="7">
        <f t="shared" si="16"/>
        <v>2.3151822480182171</v>
      </c>
      <c r="P607" s="7">
        <f t="shared" si="17"/>
        <v>1.7021844231989158</v>
      </c>
      <c r="Q607">
        <v>1</v>
      </c>
      <c r="R607" s="7">
        <f t="shared" si="18"/>
        <v>15.199846032325844</v>
      </c>
      <c r="S607" s="7">
        <f>VLOOKUP($A607,Rotations!$A$1:$X$1441,18,0)</f>
        <v>6.5790140102293018E-2</v>
      </c>
      <c r="T607" s="7">
        <f>VLOOKUP($A607,Rotations!$A$1:$X$1441,19,0)</f>
        <v>0.15231616445946022</v>
      </c>
      <c r="U607" s="7">
        <f>VLOOKUP($A607,Rotations!$A$1:$X$1441,20,0)</f>
        <v>0.11198695168219751</v>
      </c>
      <c r="V607" s="7">
        <f>VLOOKUP($A607,Rotations!$A$1:$X$1441,21,0)</f>
        <v>0.2189751416576079</v>
      </c>
      <c r="W607" s="7">
        <f>VLOOKUP($A607,Rotations!$A$1:$X$1441,22,0)</f>
        <v>0.25672658691886036</v>
      </c>
      <c r="X607" s="7">
        <f>VLOOKUP($A607,Rotations!$A$1:$X$1441,23,0)</f>
        <v>0.19420501517958091</v>
      </c>
    </row>
    <row r="608" spans="1:24" ht="15.75" customHeight="1" x14ac:dyDescent="0.3">
      <c r="A608">
        <v>599</v>
      </c>
      <c r="B608" t="str">
        <f>Permutations!I600</f>
        <v>p15 - i5:i6</v>
      </c>
      <c r="C608" t="str">
        <f>Permutations!J600</f>
        <v>p141 - i6:i4</v>
      </c>
      <c r="D608" t="str">
        <f>Permutations!K600</f>
        <v>p31 - i4:i3</v>
      </c>
      <c r="E608" t="str">
        <f>Permutations!L600</f>
        <v>p81 - i3:i1</v>
      </c>
      <c r="F608" t="str">
        <f>Permutations!M600</f>
        <v>p1 - i1:i2</v>
      </c>
      <c r="G608" s="7">
        <f>VLOOKUP(B608,Vlookup!$A$1:$B$30,2,0)</f>
        <v>1.3219359277692486</v>
      </c>
      <c r="H608" s="7">
        <f>VLOOKUP(C608,Vlookup!$A$1:$B$30,2,0)</f>
        <v>0.88688155974910687</v>
      </c>
      <c r="I608" s="7">
        <f>VLOOKUP(D608,Vlookup!$A$1:$B$30,2,0)</f>
        <v>2.2388599512381115</v>
      </c>
      <c r="J608" s="7">
        <f>VLOOKUP(E608,Vlookup!$A$1:$B$30,2,0)</f>
        <v>1.7021844231989158</v>
      </c>
      <c r="K608" s="7">
        <f>VLOOKUP(F608,Vlookup!$A$1:$B$30,2,0)</f>
        <v>1.6373343116675814</v>
      </c>
      <c r="L608" s="7">
        <f t="shared" si="13"/>
        <v>7.3155491702893016</v>
      </c>
      <c r="M608" s="7">
        <f t="shared" si="14"/>
        <v>5.5339665233504958</v>
      </c>
      <c r="N608" s="7">
        <f t="shared" si="15"/>
        <v>6.2398033452358845</v>
      </c>
      <c r="O608" s="7">
        <f t="shared" si="16"/>
        <v>2.7870449608896757</v>
      </c>
      <c r="P608" s="7">
        <f t="shared" si="17"/>
        <v>1.6373343116675814</v>
      </c>
      <c r="Q608">
        <v>1</v>
      </c>
      <c r="R608" s="7">
        <f t="shared" si="18"/>
        <v>24.51369831143294</v>
      </c>
      <c r="S608" s="7">
        <f>VLOOKUP($A608,Rotations!$A$1:$X$1441,18,0)</f>
        <v>6.6792627161603974E-2</v>
      </c>
      <c r="T608" s="7">
        <f>VLOOKUP($A608,Rotations!$A$1:$X$1441,19,0)</f>
        <v>4.0793518272745084E-2</v>
      </c>
      <c r="U608" s="7">
        <f>VLOOKUP($A608,Rotations!$A$1:$X$1441,20,0)</f>
        <v>0.1136933695390151</v>
      </c>
      <c r="V608" s="7">
        <f>VLOOKUP($A608,Rotations!$A$1:$X$1441,21,0)</f>
        <v>0.25454353178221595</v>
      </c>
      <c r="W608" s="7">
        <f>VLOOKUP($A608,Rotations!$A$1:$X$1441,22,0)</f>
        <v>0.29842698875336177</v>
      </c>
      <c r="X608" s="7">
        <f>VLOOKUP($A608,Rotations!$A$1:$X$1441,23,0)</f>
        <v>0.22574996449105805</v>
      </c>
    </row>
    <row r="609" spans="1:24" ht="15.75" customHeight="1" x14ac:dyDescent="0.3">
      <c r="A609">
        <v>600</v>
      </c>
      <c r="B609" t="str">
        <f>Permutations!I601</f>
        <v>p15 - i5:i6</v>
      </c>
      <c r="C609" t="str">
        <f>Permutations!J601</f>
        <v>p141 - i6:i4</v>
      </c>
      <c r="D609" t="str">
        <f>Permutations!K601</f>
        <v>p31 - i4:i3</v>
      </c>
      <c r="E609" t="str">
        <f>Permutations!L601</f>
        <v>p21 - i3:i2</v>
      </c>
      <c r="F609" t="str">
        <f>Permutations!M601</f>
        <v>p11 - i2:i1</v>
      </c>
      <c r="G609" s="7">
        <f>VLOOKUP(B609,Vlookup!$A$1:$B$30,2,0)</f>
        <v>1.3219359277692486</v>
      </c>
      <c r="H609" s="7">
        <f>VLOOKUP(C609,Vlookup!$A$1:$B$30,2,0)</f>
        <v>0.88688155974910687</v>
      </c>
      <c r="I609" s="7">
        <f>VLOOKUP(D609,Vlookup!$A$1:$B$30,2,0)</f>
        <v>2.2388599512381115</v>
      </c>
      <c r="J609" s="7">
        <f>VLOOKUP(E609,Vlookup!$A$1:$B$30,2,0)</f>
        <v>1.5059827029565431</v>
      </c>
      <c r="K609" s="7">
        <f>VLOOKUP(F609,Vlookup!$A$1:$B$30,2,0)</f>
        <v>1.7440097060445605</v>
      </c>
      <c r="L609" s="7">
        <f t="shared" si="13"/>
        <v>6.8940089079352793</v>
      </c>
      <c r="M609" s="7">
        <f t="shared" si="14"/>
        <v>5.2150855144461037</v>
      </c>
      <c r="N609" s="7">
        <f t="shared" si="15"/>
        <v>5.8802502511399801</v>
      </c>
      <c r="O609" s="7">
        <f t="shared" si="16"/>
        <v>2.6264484510914334</v>
      </c>
      <c r="P609" s="7">
        <f t="shared" si="17"/>
        <v>1.7440097060445605</v>
      </c>
      <c r="Q609">
        <v>1</v>
      </c>
      <c r="R609" s="7">
        <f t="shared" si="18"/>
        <v>23.359802830657358</v>
      </c>
      <c r="S609" s="7">
        <f>VLOOKUP($A609,Rotations!$A$1:$X$1441,18,0)</f>
        <v>4.280858050255467E-2</v>
      </c>
      <c r="T609" s="7">
        <f>VLOOKUP($A609,Rotations!$A$1:$X$1441,19,0)</f>
        <v>7.4658579898445279E-2</v>
      </c>
      <c r="U609" s="7">
        <f>VLOOKUP($A609,Rotations!$A$1:$X$1441,20,0)</f>
        <v>0.11243452995435765</v>
      </c>
      <c r="V609" s="7">
        <f>VLOOKUP($A609,Rotations!$A$1:$X$1441,21,0)</f>
        <v>0.25172516625109315</v>
      </c>
      <c r="W609" s="7">
        <f>VLOOKUP($A609,Rotations!$A$1:$X$1441,22,0)</f>
        <v>0.2951227353206764</v>
      </c>
      <c r="X609" s="7">
        <f>VLOOKUP($A609,Rotations!$A$1:$X$1441,23,0)</f>
        <v>0.22325040807287277</v>
      </c>
    </row>
    <row r="610" spans="1:24" ht="15.75" customHeight="1" x14ac:dyDescent="0.3">
      <c r="A610">
        <v>601</v>
      </c>
      <c r="B610" t="str">
        <f>Permutations!I602</f>
        <v>p111 - i6:i1</v>
      </c>
      <c r="C610" t="str">
        <f>Permutations!J602</f>
        <v>p1 - i1:i2</v>
      </c>
      <c r="D610" t="str">
        <f>Permutations!K602</f>
        <v>p2 - i2:i3</v>
      </c>
      <c r="E610" t="str">
        <f>Permutations!L602</f>
        <v>p3 - i3:i4</v>
      </c>
      <c r="F610" t="str">
        <f>Permutations!M602</f>
        <v>p4 - i4:i5</v>
      </c>
      <c r="G610" s="7">
        <f>VLOOKUP(B610,Vlookup!$A$1:$B$30,2,0)</f>
        <v>1.6397534939100344</v>
      </c>
      <c r="H610" s="7">
        <f>VLOOKUP(C610,Vlookup!$A$1:$B$30,2,0)</f>
        <v>1.6373343116675814</v>
      </c>
      <c r="I610" s="7">
        <f>VLOOKUP(D610,Vlookup!$A$1:$B$30,2,0)</f>
        <v>1.3601242124324544</v>
      </c>
      <c r="J610" s="7">
        <f>VLOOKUP(E610,Vlookup!$A$1:$B$30,2,0)</f>
        <v>1.4338636587362954</v>
      </c>
      <c r="K610" s="7">
        <f>VLOOKUP(F610,Vlookup!$A$1:$B$30,2,0)</f>
        <v>1.89462595295753</v>
      </c>
      <c r="L610" s="7">
        <f t="shared" si="13"/>
        <v>9.9203236096525007</v>
      </c>
      <c r="M610" s="7">
        <f t="shared" si="14"/>
        <v>6.0498871607812426</v>
      </c>
      <c r="N610" s="7">
        <f t="shared" si="15"/>
        <v>3.6949614490272262</v>
      </c>
      <c r="O610" s="7">
        <f t="shared" si="16"/>
        <v>2.7166353008444242</v>
      </c>
      <c r="P610" s="7">
        <f t="shared" si="17"/>
        <v>1.89462595295753</v>
      </c>
      <c r="Q610">
        <v>1</v>
      </c>
      <c r="R610" s="7">
        <f t="shared" si="18"/>
        <v>25.276433473262923</v>
      </c>
      <c r="S610" s="7">
        <f>VLOOKUP($A610,Rotations!$A$1:$X$1441,18,0)</f>
        <v>0.23934892425312823</v>
      </c>
      <c r="T610" s="7">
        <f>VLOOKUP($A610,Rotations!$A$1:$X$1441,19,0)</f>
        <v>0.14618207323179941</v>
      </c>
      <c r="U610" s="7">
        <f>VLOOKUP($A610,Rotations!$A$1:$X$1441,20,0)</f>
        <v>0.10747700239110257</v>
      </c>
      <c r="V610" s="7">
        <f>VLOOKUP($A610,Rotations!$A$1:$X$1441,21,0)</f>
        <v>7.4956221769247641E-2</v>
      </c>
      <c r="W610" s="7">
        <f>VLOOKUP($A610,Rotations!$A$1:$X$1441,22,0)</f>
        <v>3.9562543547046969E-2</v>
      </c>
      <c r="X610" s="7">
        <f>VLOOKUP($A610,Rotations!$A$1:$X$1441,23,0)</f>
        <v>0.39247323480767521</v>
      </c>
    </row>
    <row r="611" spans="1:24" ht="15.75" customHeight="1" x14ac:dyDescent="0.3">
      <c r="A611">
        <v>602</v>
      </c>
      <c r="B611" t="str">
        <f>Permutations!I603</f>
        <v>p111 - i6:i1</v>
      </c>
      <c r="C611" t="str">
        <f>Permutations!J603</f>
        <v>p1 - i1:i2</v>
      </c>
      <c r="D611" t="str">
        <f>Permutations!K603</f>
        <v>p2 - i2:i3</v>
      </c>
      <c r="E611" t="str">
        <f>Permutations!L603</f>
        <v>p6 - i3:i5</v>
      </c>
      <c r="F611" t="str">
        <f>Permutations!M603</f>
        <v>p41 - i5:i4</v>
      </c>
      <c r="G611" s="7">
        <f>VLOOKUP(B611,Vlookup!$A$1:$B$30,2,0)</f>
        <v>1.6397534939100344</v>
      </c>
      <c r="H611" s="7">
        <f>VLOOKUP(C611,Vlookup!$A$1:$B$30,2,0)</f>
        <v>1.6373343116675814</v>
      </c>
      <c r="I611" s="7">
        <f>VLOOKUP(D611,Vlookup!$A$1:$B$30,2,0)</f>
        <v>1.3601242124324544</v>
      </c>
      <c r="J611" s="7">
        <f>VLOOKUP(E611,Vlookup!$A$1:$B$30,2,0)</f>
        <v>2.2414716085286912</v>
      </c>
      <c r="K611" s="7">
        <f>VLOOKUP(F611,Vlookup!$A$1:$B$30,2,0)</f>
        <v>1.25400669441983</v>
      </c>
      <c r="L611" s="7">
        <f t="shared" si="13"/>
        <v>10.264258876493347</v>
      </c>
      <c r="M611" s="7">
        <f t="shared" si="14"/>
        <v>6.2596353138531553</v>
      </c>
      <c r="N611" s="7">
        <f t="shared" si="15"/>
        <v>3.8230648861672507</v>
      </c>
      <c r="O611" s="7">
        <f t="shared" si="16"/>
        <v>2.8108204024469634</v>
      </c>
      <c r="P611" s="7">
        <f t="shared" si="17"/>
        <v>1.25400669441983</v>
      </c>
      <c r="Q611">
        <v>1</v>
      </c>
      <c r="R611" s="7">
        <f t="shared" si="18"/>
        <v>25.411786173380548</v>
      </c>
      <c r="S611" s="7">
        <f>VLOOKUP($A611,Rotations!$A$1:$X$1441,18,0)</f>
        <v>0.24632803342294263</v>
      </c>
      <c r="T611" s="7">
        <f>VLOOKUP($A611,Rotations!$A$1:$X$1441,19,0)</f>
        <v>0.15044455592704467</v>
      </c>
      <c r="U611" s="7">
        <f>VLOOKUP($A611,Rotations!$A$1:$X$1441,20,0)</f>
        <v>0.11061089461674145</v>
      </c>
      <c r="V611" s="7">
        <f>VLOOKUP($A611,Rotations!$A$1:$X$1441,21,0)</f>
        <v>3.9351818607993951E-2</v>
      </c>
      <c r="W611" s="7">
        <f>VLOOKUP($A611,Rotations!$A$1:$X$1441,22,0)</f>
        <v>4.9347443972019248E-2</v>
      </c>
      <c r="X611" s="7">
        <f>VLOOKUP($A611,Rotations!$A$1:$X$1441,23,0)</f>
        <v>0.40391725345325796</v>
      </c>
    </row>
    <row r="612" spans="1:24" ht="15.75" customHeight="1" x14ac:dyDescent="0.3">
      <c r="A612">
        <v>603</v>
      </c>
      <c r="B612" t="str">
        <f>Permutations!I604</f>
        <v>p111 - i6:i1</v>
      </c>
      <c r="C612" t="str">
        <f>Permutations!J604</f>
        <v>p1 - i1:i2</v>
      </c>
      <c r="D612" t="str">
        <f>Permutations!K604</f>
        <v>p5 - i2:i4</v>
      </c>
      <c r="E612" t="str">
        <f>Permutations!L604</f>
        <v>p31 - i4:i3</v>
      </c>
      <c r="F612" t="str">
        <f>Permutations!M604</f>
        <v>p6 - i3:i5</v>
      </c>
      <c r="G612" s="7">
        <f>VLOOKUP(B612,Vlookup!$A$1:$B$30,2,0)</f>
        <v>1.6397534939100344</v>
      </c>
      <c r="H612" s="7">
        <f>VLOOKUP(C612,Vlookup!$A$1:$B$30,2,0)</f>
        <v>1.6373343116675814</v>
      </c>
      <c r="I612" s="7">
        <f>VLOOKUP(D612,Vlookup!$A$1:$B$30,2,0)</f>
        <v>0.9108240498099236</v>
      </c>
      <c r="J612" s="7">
        <f>VLOOKUP(E612,Vlookup!$A$1:$B$30,2,0)</f>
        <v>2.2388599512381115</v>
      </c>
      <c r="K612" s="7">
        <f>VLOOKUP(F612,Vlookup!$A$1:$B$30,2,0)</f>
        <v>2.2414716085286912</v>
      </c>
      <c r="L612" s="7">
        <f t="shared" si="13"/>
        <v>12.271865514864228</v>
      </c>
      <c r="M612" s="7">
        <f t="shared" si="14"/>
        <v>7.4839697310854003</v>
      </c>
      <c r="N612" s="7">
        <f t="shared" si="15"/>
        <v>4.5708256876771713</v>
      </c>
      <c r="O612" s="7">
        <f t="shared" si="16"/>
        <v>5.0183410161721573</v>
      </c>
      <c r="P612" s="7">
        <f t="shared" si="17"/>
        <v>2.2414716085286912</v>
      </c>
      <c r="Q612">
        <v>1</v>
      </c>
      <c r="R612" s="7">
        <f t="shared" si="18"/>
        <v>32.586473558327647</v>
      </c>
      <c r="S612" s="7">
        <f>VLOOKUP($A612,Rotations!$A$1:$X$1441,18,0)</f>
        <v>0.2296649165700482</v>
      </c>
      <c r="T612" s="7">
        <f>VLOOKUP($A612,Rotations!$A$1:$X$1441,19,0)</f>
        <v>0.14026757695936914</v>
      </c>
      <c r="U612" s="7">
        <f>VLOOKUP($A612,Rotations!$A$1:$X$1441,20,0)</f>
        <v>6.8785338325014031E-2</v>
      </c>
      <c r="V612" s="7">
        <f>VLOOKUP($A612,Rotations!$A$1:$X$1441,21,0)</f>
        <v>0.15400073920823795</v>
      </c>
      <c r="W612" s="7">
        <f>VLOOKUP($A612,Rotations!$A$1:$X$1441,22,0)</f>
        <v>3.0687579563037581E-2</v>
      </c>
      <c r="X612" s="7">
        <f>VLOOKUP($A612,Rotations!$A$1:$X$1441,23,0)</f>
        <v>0.37659384937429313</v>
      </c>
    </row>
    <row r="613" spans="1:24" ht="15.75" customHeight="1" x14ac:dyDescent="0.3">
      <c r="A613">
        <v>604</v>
      </c>
      <c r="B613" t="str">
        <f>Permutations!I605</f>
        <v>p111 - i6:i1</v>
      </c>
      <c r="C613" t="str">
        <f>Permutations!J605</f>
        <v>p1 - i1:i2</v>
      </c>
      <c r="D613" t="str">
        <f>Permutations!K605</f>
        <v>p5 - i2:i4</v>
      </c>
      <c r="E613" t="str">
        <f>Permutations!L605</f>
        <v>p4 - i4:i5</v>
      </c>
      <c r="F613" t="str">
        <f>Permutations!M605</f>
        <v>p61 - i5:i3</v>
      </c>
      <c r="G613" s="7">
        <f>VLOOKUP(B613,Vlookup!$A$1:$B$30,2,0)</f>
        <v>1.6397534939100344</v>
      </c>
      <c r="H613" s="7">
        <f>VLOOKUP(C613,Vlookup!$A$1:$B$30,2,0)</f>
        <v>1.6373343116675814</v>
      </c>
      <c r="I613" s="7">
        <f>VLOOKUP(D613,Vlookup!$A$1:$B$30,2,0)</f>
        <v>0.9108240498099236</v>
      </c>
      <c r="J613" s="7">
        <f>VLOOKUP(E613,Vlookup!$A$1:$B$30,2,0)</f>
        <v>1.89462595295753</v>
      </c>
      <c r="K613" s="7">
        <f>VLOOKUP(F613,Vlookup!$A$1:$B$30,2,0)</f>
        <v>1.9746367445127702</v>
      </c>
      <c r="L613" s="7">
        <f t="shared" si="13"/>
        <v>9.1487363781793434</v>
      </c>
      <c r="M613" s="7">
        <f t="shared" si="14"/>
        <v>5.5793364137703074</v>
      </c>
      <c r="N613" s="7">
        <f t="shared" si="15"/>
        <v>3.4075731351943035</v>
      </c>
      <c r="O613" s="7">
        <f t="shared" si="16"/>
        <v>3.741198023817462</v>
      </c>
      <c r="P613" s="7">
        <f t="shared" si="17"/>
        <v>1.9746367445127702</v>
      </c>
      <c r="Q613">
        <v>1</v>
      </c>
      <c r="R613" s="7">
        <f t="shared" si="18"/>
        <v>24.851480695474187</v>
      </c>
      <c r="S613" s="7">
        <f>VLOOKUP($A613,Rotations!$A$1:$X$1441,18,0)</f>
        <v>0.22450720269502433</v>
      </c>
      <c r="T613" s="7">
        <f>VLOOKUP($A613,Rotations!$A$1:$X$1441,19,0)</f>
        <v>0.13711750929250954</v>
      </c>
      <c r="U613" s="7">
        <f>VLOOKUP($A613,Rotations!$A$1:$X$1441,20,0)</f>
        <v>4.0239051034979753E-2</v>
      </c>
      <c r="V613" s="7">
        <f>VLOOKUP($A613,Rotations!$A$1:$X$1441,21,0)</f>
        <v>0.15054225821235626</v>
      </c>
      <c r="W613" s="7">
        <f>VLOOKUP($A613,Rotations!$A$1:$X$1441,22,0)</f>
        <v>7.9457508737995633E-2</v>
      </c>
      <c r="X613" s="7">
        <f>VLOOKUP($A613,Rotations!$A$1:$X$1441,23,0)</f>
        <v>0.36813647002713445</v>
      </c>
    </row>
    <row r="614" spans="1:24" ht="15.75" customHeight="1" x14ac:dyDescent="0.3">
      <c r="A614">
        <v>605</v>
      </c>
      <c r="B614" t="str">
        <f>Permutations!I606</f>
        <v>p111 - i6:i1</v>
      </c>
      <c r="C614" t="str">
        <f>Permutations!J606</f>
        <v>p1 - i1:i2</v>
      </c>
      <c r="D614" t="str">
        <f>Permutations!K606</f>
        <v>p7 - i2:i5</v>
      </c>
      <c r="E614" t="str">
        <f>Permutations!L606</f>
        <v>p61 - i5:i3</v>
      </c>
      <c r="F614" t="str">
        <f>Permutations!M606</f>
        <v>p3 - i3:i4</v>
      </c>
      <c r="G614" s="7">
        <f>VLOOKUP(B614,Vlookup!$A$1:$B$30,2,0)</f>
        <v>1.6397534939100344</v>
      </c>
      <c r="H614" s="7">
        <f>VLOOKUP(C614,Vlookup!$A$1:$B$30,2,0)</f>
        <v>1.6373343116675814</v>
      </c>
      <c r="I614" s="7">
        <f>VLOOKUP(D614,Vlookup!$A$1:$B$30,2,0)</f>
        <v>1.7991741228251155</v>
      </c>
      <c r="J614" s="7">
        <f>VLOOKUP(E614,Vlookup!$A$1:$B$30,2,0)</f>
        <v>1.9746367445127702</v>
      </c>
      <c r="K614" s="7">
        <f>VLOOKUP(F614,Vlookup!$A$1:$B$30,2,0)</f>
        <v>1.4338636587362954</v>
      </c>
      <c r="L614" s="7">
        <f t="shared" si="13"/>
        <v>13.676790543480397</v>
      </c>
      <c r="M614" s="7">
        <f t="shared" si="14"/>
        <v>8.3407601168561847</v>
      </c>
      <c r="N614" s="7">
        <f t="shared" si="15"/>
        <v>5.0941094054038007</v>
      </c>
      <c r="O614" s="7">
        <f t="shared" si="16"/>
        <v>2.8313598671622078</v>
      </c>
      <c r="P614" s="7">
        <f t="shared" si="17"/>
        <v>1.4338636587362954</v>
      </c>
      <c r="Q614">
        <v>1</v>
      </c>
      <c r="R614" s="7">
        <f t="shared" si="18"/>
        <v>32.376883591638887</v>
      </c>
      <c r="S614" s="7">
        <f>VLOOKUP($A614,Rotations!$A$1:$X$1441,18,0)</f>
        <v>0.25761466798522048</v>
      </c>
      <c r="T614" s="7">
        <f>VLOOKUP($A614,Rotations!$A$1:$X$1441,19,0)</f>
        <v>0.15733785467602324</v>
      </c>
      <c r="U614" s="7">
        <f>VLOOKUP($A614,Rotations!$A$1:$X$1441,20,0)</f>
        <v>4.4286648363728899E-2</v>
      </c>
      <c r="V614" s="7">
        <f>VLOOKUP($A614,Rotations!$A$1:$X$1441,21,0)</f>
        <v>3.0886233913453093E-2</v>
      </c>
      <c r="W614" s="7">
        <f>VLOOKUP($A614,Rotations!$A$1:$X$1441,22,0)</f>
        <v>8.745004315033543E-2</v>
      </c>
      <c r="X614" s="7">
        <f>VLOOKUP($A614,Rotations!$A$1:$X$1441,23,0)</f>
        <v>0.42242455191123884</v>
      </c>
    </row>
    <row r="615" spans="1:24" ht="15.75" customHeight="1" x14ac:dyDescent="0.3">
      <c r="A615">
        <v>606</v>
      </c>
      <c r="B615" t="str">
        <f>Permutations!I607</f>
        <v>p111 - i6:i1</v>
      </c>
      <c r="C615" t="str">
        <f>Permutations!J607</f>
        <v>p1 - i1:i2</v>
      </c>
      <c r="D615" t="str">
        <f>Permutations!K607</f>
        <v>p7 - i2:i5</v>
      </c>
      <c r="E615" t="str">
        <f>Permutations!L607</f>
        <v>p41 - i5:i4</v>
      </c>
      <c r="F615" t="str">
        <f>Permutations!M607</f>
        <v>p31 - i4:i3</v>
      </c>
      <c r="G615" s="7">
        <f>VLOOKUP(B615,Vlookup!$A$1:$B$30,2,0)</f>
        <v>1.6397534939100344</v>
      </c>
      <c r="H615" s="7">
        <f>VLOOKUP(C615,Vlookup!$A$1:$B$30,2,0)</f>
        <v>1.6373343116675814</v>
      </c>
      <c r="I615" s="7">
        <f>VLOOKUP(D615,Vlookup!$A$1:$B$30,2,0)</f>
        <v>1.7991741228251155</v>
      </c>
      <c r="J615" s="7">
        <f>VLOOKUP(E615,Vlookup!$A$1:$B$30,2,0)</f>
        <v>1.25400669441983</v>
      </c>
      <c r="K615" s="7">
        <f>VLOOKUP(F615,Vlookup!$A$1:$B$30,2,0)</f>
        <v>2.2388599512381115</v>
      </c>
      <c r="L615" s="7">
        <f t="shared" si="13"/>
        <v>13.561755383800099</v>
      </c>
      <c r="M615" s="7">
        <f t="shared" si="14"/>
        <v>8.2706061820681001</v>
      </c>
      <c r="N615" s="7">
        <f t="shared" si="15"/>
        <v>5.0512629724620552</v>
      </c>
      <c r="O615" s="7">
        <f t="shared" si="16"/>
        <v>2.8075453667210462</v>
      </c>
      <c r="P615" s="7">
        <f t="shared" si="17"/>
        <v>2.2388599512381115</v>
      </c>
      <c r="Q615">
        <v>1</v>
      </c>
      <c r="R615" s="7">
        <f t="shared" si="18"/>
        <v>32.930029856289408</v>
      </c>
      <c r="S615" s="7">
        <f>VLOOKUP($A615,Rotations!$A$1:$X$1441,18,0)</f>
        <v>0.25115695971616225</v>
      </c>
      <c r="T615" s="7">
        <f>VLOOKUP($A615,Rotations!$A$1:$X$1441,19,0)</f>
        <v>0.15339381696604501</v>
      </c>
      <c r="U615" s="7">
        <f>VLOOKUP($A615,Rotations!$A$1:$X$1441,20,0)</f>
        <v>3.0367418564881954E-2</v>
      </c>
      <c r="V615" s="7">
        <f>VLOOKUP($A615,Rotations!$A$1:$X$1441,21,0)</f>
        <v>6.7988397247398941E-2</v>
      </c>
      <c r="W615" s="7">
        <f>VLOOKUP($A615,Rotations!$A$1:$X$1441,22,0)</f>
        <v>8.5257905291113004E-2</v>
      </c>
      <c r="X615" s="7">
        <f>VLOOKUP($A615,Rotations!$A$1:$X$1441,23,0)</f>
        <v>0.41183550221439891</v>
      </c>
    </row>
    <row r="616" spans="1:24" ht="15.75" customHeight="1" x14ac:dyDescent="0.3">
      <c r="A616">
        <v>607</v>
      </c>
      <c r="B616" t="str">
        <f>Permutations!I608</f>
        <v>p111 - i6:i1</v>
      </c>
      <c r="C616" t="str">
        <f>Permutations!J608</f>
        <v>p8 - i1:i3</v>
      </c>
      <c r="D616" t="str">
        <f>Permutations!K608</f>
        <v>p21 - i3:i2</v>
      </c>
      <c r="E616" t="str">
        <f>Permutations!L608</f>
        <v>p5 - i2:i4</v>
      </c>
      <c r="F616" t="str">
        <f>Permutations!M608</f>
        <v>p4 - i4:i5</v>
      </c>
      <c r="G616" s="7">
        <f>VLOOKUP(B616,Vlookup!$A$1:$B$30,2,0)</f>
        <v>1.6397534939100344</v>
      </c>
      <c r="H616" s="7">
        <f>VLOOKUP(C616,Vlookup!$A$1:$B$30,2,0)</f>
        <v>1.1080774401297739</v>
      </c>
      <c r="I616" s="7">
        <f>VLOOKUP(D616,Vlookup!$A$1:$B$30,2,0)</f>
        <v>1.5059827029565431</v>
      </c>
      <c r="J616" s="7">
        <f>VLOOKUP(E616,Vlookup!$A$1:$B$30,2,0)</f>
        <v>0.9108240498099236</v>
      </c>
      <c r="K616" s="7">
        <f>VLOOKUP(F616,Vlookup!$A$1:$B$30,2,0)</f>
        <v>1.89462595295753</v>
      </c>
      <c r="L616" s="7">
        <f t="shared" si="13"/>
        <v>4.7220070718083615</v>
      </c>
      <c r="M616" s="7">
        <f t="shared" si="14"/>
        <v>2.879705449231039</v>
      </c>
      <c r="N616" s="7">
        <f t="shared" si="15"/>
        <v>2.5988305013174697</v>
      </c>
      <c r="O616" s="7">
        <f t="shared" si="16"/>
        <v>1.7256708833477632</v>
      </c>
      <c r="P616" s="7">
        <f t="shared" si="17"/>
        <v>1.89462595295753</v>
      </c>
      <c r="Q616">
        <v>1</v>
      </c>
      <c r="R616" s="7">
        <f t="shared" si="18"/>
        <v>14.820839858662165</v>
      </c>
      <c r="S616" s="7">
        <f>VLOOKUP($A616,Rotations!$A$1:$X$1441,18,0)</f>
        <v>0.19430109742046575</v>
      </c>
      <c r="T616" s="7">
        <f>VLOOKUP($A616,Rotations!$A$1:$X$1441,19,0)</f>
        <v>0.11643543144683399</v>
      </c>
      <c r="U616" s="7">
        <f>VLOOKUP($A616,Rotations!$A$1:$X$1441,20,0)</f>
        <v>0.17534974577021431</v>
      </c>
      <c r="V616" s="7">
        <f>VLOOKUP($A616,Rotations!$A$1:$X$1441,21,0)</f>
        <v>0.12783526244298496</v>
      </c>
      <c r="W616" s="7">
        <f>VLOOKUP($A616,Rotations!$A$1:$X$1441,22,0)</f>
        <v>6.7472559553738209E-2</v>
      </c>
      <c r="X616" s="7">
        <f>VLOOKUP($A616,Rotations!$A$1:$X$1441,23,0)</f>
        <v>0.31860590336576267</v>
      </c>
    </row>
    <row r="617" spans="1:24" ht="15.75" customHeight="1" x14ac:dyDescent="0.3">
      <c r="A617">
        <v>608</v>
      </c>
      <c r="B617" t="str">
        <f>Permutations!I609</f>
        <v>p111 - i6:i1</v>
      </c>
      <c r="C617" t="str">
        <f>Permutations!J609</f>
        <v>p8 - i1:i3</v>
      </c>
      <c r="D617" t="str">
        <f>Permutations!K609</f>
        <v>p21 - i3:i2</v>
      </c>
      <c r="E617" t="str">
        <f>Permutations!L609</f>
        <v>p7 - i2:i5</v>
      </c>
      <c r="F617" t="str">
        <f>Permutations!M609</f>
        <v>p41 - i5:i4</v>
      </c>
      <c r="G617" s="7">
        <f>VLOOKUP(B617,Vlookup!$A$1:$B$30,2,0)</f>
        <v>1.6397534939100344</v>
      </c>
      <c r="H617" s="7">
        <f>VLOOKUP(C617,Vlookup!$A$1:$B$30,2,0)</f>
        <v>1.1080774401297739</v>
      </c>
      <c r="I617" s="7">
        <f>VLOOKUP(D617,Vlookup!$A$1:$B$30,2,0)</f>
        <v>1.5059827029565431</v>
      </c>
      <c r="J617" s="7">
        <f>VLOOKUP(E617,Vlookup!$A$1:$B$30,2,0)</f>
        <v>1.7991741228251155</v>
      </c>
      <c r="K617" s="7">
        <f>VLOOKUP(F617,Vlookup!$A$1:$B$30,2,0)</f>
        <v>1.25400669441983</v>
      </c>
      <c r="L617" s="7">
        <f t="shared" si="13"/>
        <v>6.1736458513863859</v>
      </c>
      <c r="M617" s="7">
        <f t="shared" si="14"/>
        <v>3.7649841115234759</v>
      </c>
      <c r="N617" s="7">
        <f t="shared" si="15"/>
        <v>3.397762624859987</v>
      </c>
      <c r="O617" s="7">
        <f t="shared" si="16"/>
        <v>2.2561763944496205</v>
      </c>
      <c r="P617" s="7">
        <f t="shared" si="17"/>
        <v>1.25400669441983</v>
      </c>
      <c r="Q617">
        <v>1</v>
      </c>
      <c r="R617" s="7">
        <f t="shared" si="18"/>
        <v>17.846575676639297</v>
      </c>
      <c r="S617" s="7">
        <f>VLOOKUP($A617,Rotations!$A$1:$X$1441,18,0)</f>
        <v>0.21096395071754534</v>
      </c>
      <c r="T617" s="7">
        <f>VLOOKUP($A617,Rotations!$A$1:$X$1441,19,0)</f>
        <v>0.12642068906265849</v>
      </c>
      <c r="U617" s="7">
        <f>VLOOKUP($A617,Rotations!$A$1:$X$1441,20,0)</f>
        <v>0.19038737102421111</v>
      </c>
      <c r="V617" s="7">
        <f>VLOOKUP($A617,Rotations!$A$1:$X$1441,21,0)</f>
        <v>5.603315829988461E-2</v>
      </c>
      <c r="W617" s="7">
        <f>VLOOKUP($A617,Rotations!$A$1:$X$1441,22,0)</f>
        <v>7.0265955617541356E-2</v>
      </c>
      <c r="X617" s="7">
        <f>VLOOKUP($A617,Rotations!$A$1:$X$1441,23,0)</f>
        <v>0.34592887527815924</v>
      </c>
    </row>
    <row r="618" spans="1:24" ht="15.75" customHeight="1" x14ac:dyDescent="0.3">
      <c r="A618">
        <v>609</v>
      </c>
      <c r="B618" t="str">
        <f>Permutations!I610</f>
        <v>p111 - i6:i1</v>
      </c>
      <c r="C618" t="str">
        <f>Permutations!J610</f>
        <v>p8 - i1:i3</v>
      </c>
      <c r="D618" t="str">
        <f>Permutations!K610</f>
        <v>p3 - i3:i4</v>
      </c>
      <c r="E618" t="str">
        <f>Permutations!L610</f>
        <v>p51 - i4:i2</v>
      </c>
      <c r="F618" t="str">
        <f>Permutations!M610</f>
        <v>p7 - i2:i5</v>
      </c>
      <c r="G618" s="7">
        <f>VLOOKUP(B618,Vlookup!$A$1:$B$30,2,0)</f>
        <v>1.6397534939100344</v>
      </c>
      <c r="H618" s="7">
        <f>VLOOKUP(C618,Vlookup!$A$1:$B$30,2,0)</f>
        <v>1.1080774401297739</v>
      </c>
      <c r="I618" s="7">
        <f>VLOOKUP(D618,Vlookup!$A$1:$B$30,2,0)</f>
        <v>1.4338636587362954</v>
      </c>
      <c r="J618" s="7">
        <f>VLOOKUP(E618,Vlookup!$A$1:$B$30,2,0)</f>
        <v>1.4376356077157479</v>
      </c>
      <c r="K618" s="7">
        <f>VLOOKUP(F618,Vlookup!$A$1:$B$30,2,0)</f>
        <v>1.7991741228251155</v>
      </c>
      <c r="L618" s="7">
        <f t="shared" si="13"/>
        <v>6.7387377080521347</v>
      </c>
      <c r="M618" s="7">
        <f t="shared" si="14"/>
        <v>4.1096041161549479</v>
      </c>
      <c r="N618" s="7">
        <f t="shared" si="15"/>
        <v>3.708769773052726</v>
      </c>
      <c r="O618" s="7">
        <f t="shared" si="16"/>
        <v>2.5865567834541325</v>
      </c>
      <c r="P618" s="7">
        <f t="shared" si="17"/>
        <v>1.7991741228251155</v>
      </c>
      <c r="Q618">
        <v>1</v>
      </c>
      <c r="R618" s="7">
        <f t="shared" si="18"/>
        <v>19.942842503539055</v>
      </c>
      <c r="S618" s="7">
        <f>VLOOKUP($A618,Rotations!$A$1:$X$1441,18,0)</f>
        <v>0.20606912557353135</v>
      </c>
      <c r="T618" s="7">
        <f>VLOOKUP($A618,Rotations!$A$1:$X$1441,19,0)</f>
        <v>9.0216533701544005E-2</v>
      </c>
      <c r="U618" s="7">
        <f>VLOOKUP($A618,Rotations!$A$1:$X$1441,20,0)</f>
        <v>0.18596996754071382</v>
      </c>
      <c r="V618" s="7">
        <f>VLOOKUP($A618,Rotations!$A$1:$X$1441,21,0)</f>
        <v>0.12969850125402749</v>
      </c>
      <c r="W618" s="7">
        <f>VLOOKUP($A618,Rotations!$A$1:$X$1441,22,0)</f>
        <v>5.0143303283999768E-2</v>
      </c>
      <c r="X618" s="7">
        <f>VLOOKUP($A618,Rotations!$A$1:$X$1441,23,0)</f>
        <v>0.33790256864618368</v>
      </c>
    </row>
    <row r="619" spans="1:24" ht="15.75" customHeight="1" x14ac:dyDescent="0.3">
      <c r="A619">
        <v>610</v>
      </c>
      <c r="B619" t="str">
        <f>Permutations!I611</f>
        <v>p111 - i6:i1</v>
      </c>
      <c r="C619" t="str">
        <f>Permutations!J611</f>
        <v>p8 - i1:i3</v>
      </c>
      <c r="D619" t="str">
        <f>Permutations!K611</f>
        <v>p3 - i3:i4</v>
      </c>
      <c r="E619" t="str">
        <f>Permutations!L611</f>
        <v>p4 - i4:i5</v>
      </c>
      <c r="F619" t="str">
        <f>Permutations!M611</f>
        <v>p71 - i5:i2</v>
      </c>
      <c r="G619" s="7">
        <f>VLOOKUP(B619,Vlookup!$A$1:$B$30,2,0)</f>
        <v>1.6397534939100344</v>
      </c>
      <c r="H619" s="7">
        <f>VLOOKUP(C619,Vlookup!$A$1:$B$30,2,0)</f>
        <v>1.1080774401297739</v>
      </c>
      <c r="I619" s="7">
        <f>VLOOKUP(D619,Vlookup!$A$1:$B$30,2,0)</f>
        <v>1.4338636587362954</v>
      </c>
      <c r="J619" s="7">
        <f>VLOOKUP(E619,Vlookup!$A$1:$B$30,2,0)</f>
        <v>1.89462595295753</v>
      </c>
      <c r="K619" s="7">
        <f>VLOOKUP(F619,Vlookup!$A$1:$B$30,2,0)</f>
        <v>1.8243208303594776</v>
      </c>
      <c r="L619" s="7">
        <f t="shared" si="13"/>
        <v>9.0049485262574382</v>
      </c>
      <c r="M619" s="7">
        <f t="shared" si="14"/>
        <v>5.4916477139407744</v>
      </c>
      <c r="N619" s="7">
        <f t="shared" si="15"/>
        <v>4.9560143678203694</v>
      </c>
      <c r="O619" s="7">
        <f t="shared" si="16"/>
        <v>3.4564055917200975</v>
      </c>
      <c r="P619" s="7">
        <f t="shared" si="17"/>
        <v>1.8243208303594776</v>
      </c>
      <c r="Q619">
        <v>1</v>
      </c>
      <c r="R619" s="7">
        <f t="shared" si="18"/>
        <v>25.733337030098159</v>
      </c>
      <c r="S619" s="7">
        <f>VLOOKUP($A619,Rotations!$A$1:$X$1441,18,0)</f>
        <v>0.21340596858921357</v>
      </c>
      <c r="T619" s="7">
        <f>VLOOKUP($A619,Rotations!$A$1:$X$1441,19,0)</f>
        <v>3.8860098044430948E-2</v>
      </c>
      <c r="U619" s="7">
        <f>VLOOKUP($A619,Rotations!$A$1:$X$1441,20,0)</f>
        <v>0.19259120424310802</v>
      </c>
      <c r="V619" s="7">
        <f>VLOOKUP($A619,Rotations!$A$1:$X$1441,21,0)</f>
        <v>0.13431626017556236</v>
      </c>
      <c r="W619" s="7">
        <f>VLOOKUP($A619,Rotations!$A$1:$X$1441,22,0)</f>
        <v>7.0893286332266978E-2</v>
      </c>
      <c r="X619" s="7">
        <f>VLOOKUP($A619,Rotations!$A$1:$X$1441,23,0)</f>
        <v>0.34993318261541806</v>
      </c>
    </row>
    <row r="620" spans="1:24" ht="15.75" customHeight="1" x14ac:dyDescent="0.3">
      <c r="A620">
        <v>611</v>
      </c>
      <c r="B620" t="str">
        <f>Permutations!I612</f>
        <v>p111 - i6:i1</v>
      </c>
      <c r="C620" t="str">
        <f>Permutations!J612</f>
        <v>p8 - i1:i3</v>
      </c>
      <c r="D620" t="str">
        <f>Permutations!K612</f>
        <v>p6 - i3:i5</v>
      </c>
      <c r="E620" t="str">
        <f>Permutations!L612</f>
        <v>p71 - i5:i2</v>
      </c>
      <c r="F620" t="str">
        <f>Permutations!M612</f>
        <v>p5 - i2:i4</v>
      </c>
      <c r="G620" s="7">
        <f>VLOOKUP(B620,Vlookup!$A$1:$B$30,2,0)</f>
        <v>1.6397534939100344</v>
      </c>
      <c r="H620" s="7">
        <f>VLOOKUP(C620,Vlookup!$A$1:$B$30,2,0)</f>
        <v>1.1080774401297739</v>
      </c>
      <c r="I620" s="7">
        <f>VLOOKUP(D620,Vlookup!$A$1:$B$30,2,0)</f>
        <v>2.2414716085286912</v>
      </c>
      <c r="J620" s="7">
        <f>VLOOKUP(E620,Vlookup!$A$1:$B$30,2,0)</f>
        <v>1.8243208303594776</v>
      </c>
      <c r="K620" s="7">
        <f>VLOOKUP(F620,Vlookup!$A$1:$B$30,2,0)</f>
        <v>0.9108240498099236</v>
      </c>
      <c r="L620" s="7">
        <f t="shared" si="13"/>
        <v>6.767334234951309</v>
      </c>
      <c r="M620" s="7">
        <f t="shared" si="14"/>
        <v>4.1270436441116676</v>
      </c>
      <c r="N620" s="7">
        <f t="shared" si="15"/>
        <v>3.7245083192275117</v>
      </c>
      <c r="O620" s="7">
        <f t="shared" si="16"/>
        <v>1.6616352868606219</v>
      </c>
      <c r="P620" s="7">
        <f t="shared" si="17"/>
        <v>0.9108240498099236</v>
      </c>
      <c r="Q620">
        <v>1</v>
      </c>
      <c r="R620" s="7">
        <f t="shared" si="18"/>
        <v>18.191345534961034</v>
      </c>
      <c r="S620" s="7">
        <f>VLOOKUP($A620,Rotations!$A$1:$X$1441,18,0)</f>
        <v>0.22686852031808805</v>
      </c>
      <c r="T620" s="7">
        <f>VLOOKUP($A620,Rotations!$A$1:$X$1441,19,0)</f>
        <v>5.0069086316867358E-2</v>
      </c>
      <c r="U620" s="7">
        <f>VLOOKUP($A620,Rotations!$A$1:$X$1441,20,0)</f>
        <v>0.20474067253956371</v>
      </c>
      <c r="V620" s="7">
        <f>VLOOKUP($A620,Rotations!$A$1:$X$1441,21,0)</f>
        <v>5.4971194850768471E-2</v>
      </c>
      <c r="W620" s="7">
        <f>VLOOKUP($A620,Rotations!$A$1:$X$1441,22,0)</f>
        <v>9.1342077124927812E-2</v>
      </c>
      <c r="X620" s="7">
        <f>VLOOKUP($A620,Rotations!$A$1:$X$1441,23,0)</f>
        <v>0.37200844884978457</v>
      </c>
    </row>
    <row r="621" spans="1:24" ht="15.75" customHeight="1" x14ac:dyDescent="0.3">
      <c r="A621">
        <v>612</v>
      </c>
      <c r="B621" t="str">
        <f>Permutations!I613</f>
        <v>p111 - i6:i1</v>
      </c>
      <c r="C621" t="str">
        <f>Permutations!J613</f>
        <v>p8 - i1:i3</v>
      </c>
      <c r="D621" t="str">
        <f>Permutations!K613</f>
        <v>p6 - i3:i5</v>
      </c>
      <c r="E621" t="str">
        <f>Permutations!L613</f>
        <v>p41 - i5:i4</v>
      </c>
      <c r="F621" t="str">
        <f>Permutations!M613</f>
        <v>p51 - i4:i2</v>
      </c>
      <c r="G621" s="7">
        <f>VLOOKUP(B621,Vlookup!$A$1:$B$30,2,0)</f>
        <v>1.6397534939100344</v>
      </c>
      <c r="H621" s="7">
        <f>VLOOKUP(C621,Vlookup!$A$1:$B$30,2,0)</f>
        <v>1.1080774401297739</v>
      </c>
      <c r="I621" s="7">
        <f>VLOOKUP(D621,Vlookup!$A$1:$B$30,2,0)</f>
        <v>2.2414716085286912</v>
      </c>
      <c r="J621" s="7">
        <f>VLOOKUP(E621,Vlookup!$A$1:$B$30,2,0)</f>
        <v>1.25400669441983</v>
      </c>
      <c r="K621" s="7">
        <f>VLOOKUP(F621,Vlookup!$A$1:$B$30,2,0)</f>
        <v>1.4376356077157479</v>
      </c>
      <c r="L621" s="7">
        <f t="shared" si="13"/>
        <v>7.3422741444718964</v>
      </c>
      <c r="M621" s="7">
        <f t="shared" si="14"/>
        <v>4.4776694617457737</v>
      </c>
      <c r="N621" s="7">
        <f t="shared" si="15"/>
        <v>4.0409354974516631</v>
      </c>
      <c r="O621" s="7">
        <f t="shared" si="16"/>
        <v>1.8028046762118686</v>
      </c>
      <c r="P621" s="7">
        <f t="shared" si="17"/>
        <v>1.4376356077157479</v>
      </c>
      <c r="Q621">
        <v>1</v>
      </c>
      <c r="R621" s="7">
        <f t="shared" si="18"/>
        <v>20.101319387596948</v>
      </c>
      <c r="S621" s="7">
        <f>VLOOKUP($A621,Rotations!$A$1:$X$1441,18,0)</f>
        <v>0.2227550030625659</v>
      </c>
      <c r="T621" s="7">
        <f>VLOOKUP($A621,Rotations!$A$1:$X$1441,19,0)</f>
        <v>4.9747978265398181E-2</v>
      </c>
      <c r="U621" s="7">
        <f>VLOOKUP($A621,Rotations!$A$1:$X$1441,20,0)</f>
        <v>0.20102837129910131</v>
      </c>
      <c r="V621" s="7">
        <f>VLOOKUP($A621,Rotations!$A$1:$X$1441,21,0)</f>
        <v>7.1519464966205523E-2</v>
      </c>
      <c r="W621" s="7">
        <f>VLOOKUP($A621,Rotations!$A$1:$X$1441,22,0)</f>
        <v>8.9685887848946239E-2</v>
      </c>
      <c r="X621" s="7">
        <f>VLOOKUP($A621,Rotations!$A$1:$X$1441,23,0)</f>
        <v>0.36526329455778289</v>
      </c>
    </row>
    <row r="622" spans="1:24" ht="15.75" customHeight="1" x14ac:dyDescent="0.3">
      <c r="A622">
        <v>613</v>
      </c>
      <c r="B622" t="str">
        <f>Permutations!I614</f>
        <v>p111 - i6:i1</v>
      </c>
      <c r="C622" t="str">
        <f>Permutations!J614</f>
        <v>p9 - i1:i4</v>
      </c>
      <c r="D622" t="str">
        <f>Permutations!K614</f>
        <v>p51 - i4:i2</v>
      </c>
      <c r="E622" t="str">
        <f>Permutations!L614</f>
        <v>p2 - i2:i3</v>
      </c>
      <c r="F622" t="str">
        <f>Permutations!M614</f>
        <v>p6 - i3:i5</v>
      </c>
      <c r="G622" s="7">
        <f>VLOOKUP(B622,Vlookup!$A$1:$B$30,2,0)</f>
        <v>1.6397534939100344</v>
      </c>
      <c r="H622" s="7">
        <f>VLOOKUP(C622,Vlookup!$A$1:$B$30,2,0)</f>
        <v>1.2538815092968505</v>
      </c>
      <c r="I622" s="7">
        <f>VLOOKUP(D622,Vlookup!$A$1:$B$30,2,0)</f>
        <v>1.4376356077157479</v>
      </c>
      <c r="J622" s="7">
        <f>VLOOKUP(E622,Vlookup!$A$1:$B$30,2,0)</f>
        <v>1.3601242124324544</v>
      </c>
      <c r="K622" s="7">
        <f>VLOOKUP(F622,Vlookup!$A$1:$B$30,2,0)</f>
        <v>2.2414716085286912</v>
      </c>
      <c r="L622" s="7">
        <f t="shared" si="13"/>
        <v>9.0114711775785707</v>
      </c>
      <c r="M622" s="7">
        <f t="shared" si="14"/>
        <v>5.4956255382572694</v>
      </c>
      <c r="N622" s="7">
        <f t="shared" si="15"/>
        <v>4.3828906459742738</v>
      </c>
      <c r="O622" s="7">
        <f t="shared" si="16"/>
        <v>3.0486798062397931</v>
      </c>
      <c r="P622" s="7">
        <f t="shared" si="17"/>
        <v>2.2414716085286912</v>
      </c>
      <c r="Q622">
        <v>1</v>
      </c>
      <c r="R622" s="7">
        <f t="shared" si="18"/>
        <v>25.180138776578598</v>
      </c>
      <c r="S622" s="7">
        <f>VLOOKUP($A622,Rotations!$A$1:$X$1441,18,0)</f>
        <v>0.21825239276953654</v>
      </c>
      <c r="T622" s="7">
        <f>VLOOKUP($A622,Rotations!$A$1:$X$1441,19,0)</f>
        <v>0.12107478172739597</v>
      </c>
      <c r="U622" s="7">
        <f>VLOOKUP($A622,Rotations!$A$1:$X$1441,20,0)</f>
        <v>8.9017444598581977E-2</v>
      </c>
      <c r="V622" s="7">
        <f>VLOOKUP($A622,Rotations!$A$1:$X$1441,21,0)</f>
        <v>0.17406141740771644</v>
      </c>
      <c r="W622" s="7">
        <f>VLOOKUP($A622,Rotations!$A$1:$X$1441,22,0)</f>
        <v>3.9713839898696424E-2</v>
      </c>
      <c r="X622" s="7">
        <f>VLOOKUP($A622,Rotations!$A$1:$X$1441,23,0)</f>
        <v>0.35788012359807264</v>
      </c>
    </row>
    <row r="623" spans="1:24" ht="15.75" customHeight="1" x14ac:dyDescent="0.3">
      <c r="A623">
        <v>614</v>
      </c>
      <c r="B623" t="str">
        <f>Permutations!I615</f>
        <v>p111 - i6:i1</v>
      </c>
      <c r="C623" t="str">
        <f>Permutations!J615</f>
        <v>p9 - i1:i4</v>
      </c>
      <c r="D623" t="str">
        <f>Permutations!K615</f>
        <v>p51 - i4:i2</v>
      </c>
      <c r="E623" t="str">
        <f>Permutations!L615</f>
        <v>p7 - i2:i5</v>
      </c>
      <c r="F623" t="str">
        <f>Permutations!M615</f>
        <v>p61 - i5:i3</v>
      </c>
      <c r="G623" s="7">
        <f>VLOOKUP(B623,Vlookup!$A$1:$B$30,2,0)</f>
        <v>1.6397534939100344</v>
      </c>
      <c r="H623" s="7">
        <f>VLOOKUP(C623,Vlookup!$A$1:$B$30,2,0)</f>
        <v>1.2538815092968505</v>
      </c>
      <c r="I623" s="7">
        <f>VLOOKUP(D623,Vlookup!$A$1:$B$30,2,0)</f>
        <v>1.4376356077157479</v>
      </c>
      <c r="J623" s="7">
        <f>VLOOKUP(E623,Vlookup!$A$1:$B$30,2,0)</f>
        <v>1.7991741228251155</v>
      </c>
      <c r="K623" s="7">
        <f>VLOOKUP(F623,Vlookup!$A$1:$B$30,2,0)</f>
        <v>1.9746367445127702</v>
      </c>
      <c r="L623" s="7">
        <f t="shared" si="13"/>
        <v>10.501329709110323</v>
      </c>
      <c r="M623" s="7">
        <f t="shared" si="14"/>
        <v>6.4042124307780144</v>
      </c>
      <c r="N623" s="7">
        <f t="shared" si="15"/>
        <v>5.1075100663772908</v>
      </c>
      <c r="O623" s="7">
        <f t="shared" si="16"/>
        <v>3.5527153327070047</v>
      </c>
      <c r="P623" s="7">
        <f t="shared" si="17"/>
        <v>1.9746367445127702</v>
      </c>
      <c r="Q623">
        <v>1</v>
      </c>
      <c r="R623" s="7">
        <f t="shared" si="18"/>
        <v>28.540404283485405</v>
      </c>
      <c r="S623" s="7">
        <f>VLOOKUP($A623,Rotations!$A$1:$X$1441,18,0)</f>
        <v>0.22439109015998565</v>
      </c>
      <c r="T623" s="7">
        <f>VLOOKUP($A623,Rotations!$A$1:$X$1441,19,0)</f>
        <v>0.12448020348340842</v>
      </c>
      <c r="U623" s="7">
        <f>VLOOKUP($A623,Rotations!$A$1:$X$1441,20,0)</f>
        <v>3.5038046065053084E-2</v>
      </c>
      <c r="V623" s="7">
        <f>VLOOKUP($A623,Rotations!$A$1:$X$1441,21,0)</f>
        <v>0.17895717298344985</v>
      </c>
      <c r="W623" s="7">
        <f>VLOOKUP($A623,Rotations!$A$1:$X$1441,22,0)</f>
        <v>6.91874132159849E-2</v>
      </c>
      <c r="X623" s="7">
        <f>VLOOKUP($A623,Rotations!$A$1:$X$1441,23,0)</f>
        <v>0.36794607409211799</v>
      </c>
    </row>
    <row r="624" spans="1:24" ht="15.75" customHeight="1" x14ac:dyDescent="0.3">
      <c r="A624">
        <v>615</v>
      </c>
      <c r="B624" t="str">
        <f>Permutations!I616</f>
        <v>p111 - i6:i1</v>
      </c>
      <c r="C624" t="str">
        <f>Permutations!J616</f>
        <v>p9 - i1:i4</v>
      </c>
      <c r="D624" t="str">
        <f>Permutations!K616</f>
        <v>p31 - i4:i3</v>
      </c>
      <c r="E624" t="str">
        <f>Permutations!L616</f>
        <v>p21 - i3:i2</v>
      </c>
      <c r="F624" t="str">
        <f>Permutations!M616</f>
        <v>p7 - i2:i5</v>
      </c>
      <c r="G624" s="7">
        <f>VLOOKUP(B624,Vlookup!$A$1:$B$30,2,0)</f>
        <v>1.6397534939100344</v>
      </c>
      <c r="H624" s="7">
        <f>VLOOKUP(C624,Vlookup!$A$1:$B$30,2,0)</f>
        <v>1.2538815092968505</v>
      </c>
      <c r="I624" s="7">
        <f>VLOOKUP(D624,Vlookup!$A$1:$B$30,2,0)</f>
        <v>2.2388599512381115</v>
      </c>
      <c r="J624" s="7">
        <f>VLOOKUP(E624,Vlookup!$A$1:$B$30,2,0)</f>
        <v>1.5059827029565431</v>
      </c>
      <c r="K624" s="7">
        <f>VLOOKUP(F624,Vlookup!$A$1:$B$30,2,0)</f>
        <v>1.7991741228251155</v>
      </c>
      <c r="L624" s="7">
        <f t="shared" si="13"/>
        <v>12.472547614660982</v>
      </c>
      <c r="M624" s="7">
        <f t="shared" si="14"/>
        <v>7.6063552607043823</v>
      </c>
      <c r="N624" s="7">
        <f t="shared" si="15"/>
        <v>6.0662472524775177</v>
      </c>
      <c r="O624" s="7">
        <f t="shared" si="16"/>
        <v>2.709525108581635</v>
      </c>
      <c r="P624" s="7">
        <f t="shared" si="17"/>
        <v>1.7991741228251155</v>
      </c>
      <c r="Q624">
        <v>1</v>
      </c>
      <c r="R624" s="7">
        <f t="shared" si="18"/>
        <v>31.65384935924963</v>
      </c>
      <c r="S624" s="7">
        <f>VLOOKUP($A624,Rotations!$A$1:$X$1441,18,0)</f>
        <v>0.24029795474090468</v>
      </c>
      <c r="T624" s="7">
        <f>VLOOKUP($A624,Rotations!$A$1:$X$1441,19,0)</f>
        <v>5.6839030931300473E-2</v>
      </c>
      <c r="U624" s="7">
        <f>VLOOKUP($A624,Rotations!$A$1:$X$1441,20,0)</f>
        <v>8.5598597435350449E-2</v>
      </c>
      <c r="V624" s="7">
        <f>VLOOKUP($A624,Rotations!$A$1:$X$1441,21,0)</f>
        <v>0.19164327168015943</v>
      </c>
      <c r="W624" s="7">
        <f>VLOOKUP($A624,Rotations!$A$1:$X$1441,22,0)</f>
        <v>3.1591734346451239E-2</v>
      </c>
      <c r="X624" s="7">
        <f>VLOOKUP($A624,Rotations!$A$1:$X$1441,23,0)</f>
        <v>0.39402941086583376</v>
      </c>
    </row>
    <row r="625" spans="1:24" ht="15.75" customHeight="1" x14ac:dyDescent="0.3">
      <c r="A625">
        <v>616</v>
      </c>
      <c r="B625" t="str">
        <f>Permutations!I617</f>
        <v>p111 - i6:i1</v>
      </c>
      <c r="C625" t="str">
        <f>Permutations!J617</f>
        <v>p9 - i1:i4</v>
      </c>
      <c r="D625" t="str">
        <f>Permutations!K617</f>
        <v>p31 - i4:i3</v>
      </c>
      <c r="E625" t="str">
        <f>Permutations!L617</f>
        <v>p6 - i3:i5</v>
      </c>
      <c r="F625" t="str">
        <f>Permutations!M617</f>
        <v>p71 - i5:i2</v>
      </c>
      <c r="G625" s="7">
        <f>VLOOKUP(B625,Vlookup!$A$1:$B$30,2,0)</f>
        <v>1.6397534939100344</v>
      </c>
      <c r="H625" s="7">
        <f>VLOOKUP(C625,Vlookup!$A$1:$B$30,2,0)</f>
        <v>1.2538815092968505</v>
      </c>
      <c r="I625" s="7">
        <f>VLOOKUP(D625,Vlookup!$A$1:$B$30,2,0)</f>
        <v>2.2388599512381115</v>
      </c>
      <c r="J625" s="7">
        <f>VLOOKUP(E625,Vlookup!$A$1:$B$30,2,0)</f>
        <v>2.2414716085286912</v>
      </c>
      <c r="K625" s="7">
        <f>VLOOKUP(F625,Vlookup!$A$1:$B$30,2,0)</f>
        <v>1.8243208303594776</v>
      </c>
      <c r="L625" s="7">
        <f t="shared" si="13"/>
        <v>18.823329732875322</v>
      </c>
      <c r="M625" s="7">
        <f t="shared" si="14"/>
        <v>11.479365528284747</v>
      </c>
      <c r="N625" s="7">
        <f t="shared" si="15"/>
        <v>9.155064049650214</v>
      </c>
      <c r="O625" s="7">
        <f t="shared" si="16"/>
        <v>4.0891633460982559</v>
      </c>
      <c r="P625" s="7">
        <f t="shared" si="17"/>
        <v>1.8243208303594776</v>
      </c>
      <c r="Q625">
        <v>1</v>
      </c>
      <c r="R625" s="7">
        <f t="shared" si="18"/>
        <v>46.371243487268011</v>
      </c>
      <c r="S625" s="7">
        <f>VLOOKUP($A625,Rotations!$A$1:$X$1441,18,0)</f>
        <v>0.24755354105258351</v>
      </c>
      <c r="T625" s="7">
        <f>VLOOKUP($A625,Rotations!$A$1:$X$1441,19,0)</f>
        <v>2.1565089154328296E-2</v>
      </c>
      <c r="U625" s="7">
        <f>VLOOKUP($A625,Rotations!$A$1:$X$1441,20,0)</f>
        <v>8.8183172125220297E-2</v>
      </c>
      <c r="V625" s="7">
        <f>VLOOKUP($A625,Rotations!$A$1:$X$1441,21,0)</f>
        <v>0.19742977244429272</v>
      </c>
      <c r="W625" s="7">
        <f>VLOOKUP($A625,Rotations!$A$1:$X$1441,22,0)</f>
        <v>3.9341641352800362E-2</v>
      </c>
      <c r="X625" s="7">
        <f>VLOOKUP($A625,Rotations!$A$1:$X$1441,23,0)</f>
        <v>0.40592678387077497</v>
      </c>
    </row>
    <row r="626" spans="1:24" ht="15.75" customHeight="1" x14ac:dyDescent="0.3">
      <c r="A626">
        <v>617</v>
      </c>
      <c r="B626" t="str">
        <f>Permutations!I618</f>
        <v>p111 - i6:i1</v>
      </c>
      <c r="C626" t="str">
        <f>Permutations!J618</f>
        <v>p9 - i1:i4</v>
      </c>
      <c r="D626" t="str">
        <f>Permutations!K618</f>
        <v>p4 - i4:i5</v>
      </c>
      <c r="E626" t="str">
        <f>Permutations!L618</f>
        <v>p71 - i5:i2</v>
      </c>
      <c r="F626" t="str">
        <f>Permutations!M618</f>
        <v>p2 - i2:i3</v>
      </c>
      <c r="G626" s="7">
        <f>VLOOKUP(B626,Vlookup!$A$1:$B$30,2,0)</f>
        <v>1.6397534939100344</v>
      </c>
      <c r="H626" s="7">
        <f>VLOOKUP(C626,Vlookup!$A$1:$B$30,2,0)</f>
        <v>1.2538815092968505</v>
      </c>
      <c r="I626" s="7">
        <f>VLOOKUP(D626,Vlookup!$A$1:$B$30,2,0)</f>
        <v>1.89462595295753</v>
      </c>
      <c r="J626" s="7">
        <f>VLOOKUP(E626,Vlookup!$A$1:$B$30,2,0)</f>
        <v>1.8243208303594776</v>
      </c>
      <c r="K626" s="7">
        <f>VLOOKUP(F626,Vlookup!$A$1:$B$30,2,0)</f>
        <v>1.3601242124324544</v>
      </c>
      <c r="L626" s="7">
        <f t="shared" si="13"/>
        <v>9.665811776743368</v>
      </c>
      <c r="M626" s="7">
        <f t="shared" si="14"/>
        <v>5.8946736888451392</v>
      </c>
      <c r="N626" s="7">
        <f t="shared" si="15"/>
        <v>4.701140933285429</v>
      </c>
      <c r="O626" s="7">
        <f t="shared" si="16"/>
        <v>2.4813029326168055</v>
      </c>
      <c r="P626" s="7">
        <f t="shared" si="17"/>
        <v>1.3601242124324544</v>
      </c>
      <c r="Q626">
        <v>1</v>
      </c>
      <c r="R626" s="7">
        <f t="shared" si="18"/>
        <v>25.103053543923195</v>
      </c>
      <c r="S626" s="7">
        <f>VLOOKUP($A626,Rotations!$A$1:$X$1441,18,0)</f>
        <v>0.23481899038820672</v>
      </c>
      <c r="T626" s="7">
        <f>VLOOKUP($A626,Rotations!$A$1:$X$1441,19,0)</f>
        <v>5.4181624161882311E-2</v>
      </c>
      <c r="U626" s="7">
        <f>VLOOKUP($A626,Rotations!$A$1:$X$1441,20,0)</f>
        <v>3.9835791221585246E-2</v>
      </c>
      <c r="V626" s="7">
        <f>VLOOKUP($A626,Rotations!$A$1:$X$1441,21,0)</f>
        <v>0.18727366872160675</v>
      </c>
      <c r="W626" s="7">
        <f>VLOOKUP($A626,Rotations!$A$1:$X$1441,22,0)</f>
        <v>9.8844665581230257E-2</v>
      </c>
      <c r="X626" s="7">
        <f>VLOOKUP($A626,Rotations!$A$1:$X$1441,23,0)</f>
        <v>0.38504525992548871</v>
      </c>
    </row>
    <row r="627" spans="1:24" ht="15.75" customHeight="1" x14ac:dyDescent="0.3">
      <c r="A627">
        <v>618</v>
      </c>
      <c r="B627" t="str">
        <f>Permutations!I619</f>
        <v>p111 - i6:i1</v>
      </c>
      <c r="C627" t="str">
        <f>Permutations!J619</f>
        <v>p9 - i1:i4</v>
      </c>
      <c r="D627" t="str">
        <f>Permutations!K619</f>
        <v>p4 - i4:i5</v>
      </c>
      <c r="E627" t="str">
        <f>Permutations!L619</f>
        <v>p61 - i5:i3</v>
      </c>
      <c r="F627" t="str">
        <f>Permutations!M619</f>
        <v>p21 - i3:i2</v>
      </c>
      <c r="G627" s="7">
        <f>VLOOKUP(B627,Vlookup!$A$1:$B$30,2,0)</f>
        <v>1.6397534939100344</v>
      </c>
      <c r="H627" s="7">
        <f>VLOOKUP(C627,Vlookup!$A$1:$B$30,2,0)</f>
        <v>1.2538815092968505</v>
      </c>
      <c r="I627" s="7">
        <f>VLOOKUP(D627,Vlookup!$A$1:$B$30,2,0)</f>
        <v>1.89462595295753</v>
      </c>
      <c r="J627" s="7">
        <f>VLOOKUP(E627,Vlookup!$A$1:$B$30,2,0)</f>
        <v>1.9746367445127702</v>
      </c>
      <c r="K627" s="7">
        <f>VLOOKUP(F627,Vlookup!$A$1:$B$30,2,0)</f>
        <v>1.5059827029565431</v>
      </c>
      <c r="L627" s="7">
        <f t="shared" si="13"/>
        <v>11.584191891752427</v>
      </c>
      <c r="M627" s="7">
        <f t="shared" si="14"/>
        <v>7.0645935104121191</v>
      </c>
      <c r="N627" s="7">
        <f t="shared" si="15"/>
        <v>5.634179512204299</v>
      </c>
      <c r="O627" s="7">
        <f t="shared" si="16"/>
        <v>2.9737687818586505</v>
      </c>
      <c r="P627" s="7">
        <f t="shared" si="17"/>
        <v>1.5059827029565431</v>
      </c>
      <c r="Q627">
        <v>1</v>
      </c>
      <c r="R627" s="7">
        <f t="shared" si="18"/>
        <v>29.762716399184036</v>
      </c>
      <c r="S627" s="7">
        <f>VLOOKUP($A627,Rotations!$A$1:$X$1441,18,0)</f>
        <v>0.23736386879679436</v>
      </c>
      <c r="T627" s="7">
        <f>VLOOKUP($A627,Rotations!$A$1:$X$1441,19,0)</f>
        <v>3.3599083718965105E-2</v>
      </c>
      <c r="U627" s="7">
        <f>VLOOKUP($A627,Rotations!$A$1:$X$1441,20,0)</f>
        <v>5.0599638915950249E-2</v>
      </c>
      <c r="V627" s="7">
        <f>VLOOKUP($A627,Rotations!$A$1:$X$1441,21,0)</f>
        <v>0.1893032691182302</v>
      </c>
      <c r="W627" s="7">
        <f>VLOOKUP($A627,Rotations!$A$1:$X$1441,22,0)</f>
        <v>9.9915906262513662E-2</v>
      </c>
      <c r="X627" s="7">
        <f>VLOOKUP($A627,Rotations!$A$1:$X$1441,23,0)</f>
        <v>0.3892182331875465</v>
      </c>
    </row>
    <row r="628" spans="1:24" ht="15.75" customHeight="1" x14ac:dyDescent="0.3">
      <c r="A628">
        <v>619</v>
      </c>
      <c r="B628" t="str">
        <f>Permutations!I620</f>
        <v>p111 - i6:i1</v>
      </c>
      <c r="C628" t="str">
        <f>Permutations!J620</f>
        <v>p10 - i1:i5</v>
      </c>
      <c r="D628" t="str">
        <f>Permutations!K620</f>
        <v>p71 - i5:i2</v>
      </c>
      <c r="E628" t="str">
        <f>Permutations!L620</f>
        <v>p2 - i2:i3</v>
      </c>
      <c r="F628" t="str">
        <f>Permutations!M620</f>
        <v>p3 - i3:i4</v>
      </c>
      <c r="G628" s="7">
        <f>VLOOKUP(B628,Vlookup!$A$1:$B$30,2,0)</f>
        <v>1.6397534939100344</v>
      </c>
      <c r="H628" s="7">
        <f>VLOOKUP(C628,Vlookup!$A$1:$B$30,2,0)</f>
        <v>1.0847108741813811</v>
      </c>
      <c r="I628" s="7">
        <f>VLOOKUP(D628,Vlookup!$A$1:$B$30,2,0)</f>
        <v>1.8243208303594776</v>
      </c>
      <c r="J628" s="7">
        <f>VLOOKUP(E628,Vlookup!$A$1:$B$30,2,0)</f>
        <v>1.3601242124324544</v>
      </c>
      <c r="K628" s="7">
        <f>VLOOKUP(F628,Vlookup!$A$1:$B$30,2,0)</f>
        <v>1.4338636587362954</v>
      </c>
      <c r="L628" s="7">
        <f t="shared" si="13"/>
        <v>6.3282001318118288</v>
      </c>
      <c r="M628" s="7">
        <f t="shared" si="14"/>
        <v>3.8592386936905214</v>
      </c>
      <c r="N628" s="7">
        <f t="shared" si="15"/>
        <v>3.5578501013950321</v>
      </c>
      <c r="O628" s="7">
        <f t="shared" si="16"/>
        <v>1.9502326795742213</v>
      </c>
      <c r="P628" s="7">
        <f t="shared" si="17"/>
        <v>1.4338636587362954</v>
      </c>
      <c r="Q628">
        <v>1</v>
      </c>
      <c r="R628" s="7">
        <f t="shared" si="18"/>
        <v>18.129385265207901</v>
      </c>
      <c r="S628" s="7">
        <f>VLOOKUP($A628,Rotations!$A$1:$X$1441,18,0)</f>
        <v>0.21287201067411732</v>
      </c>
      <c r="T628" s="7">
        <f>VLOOKUP($A628,Rotations!$A$1:$X$1441,19,0)</f>
        <v>0.10757301756485435</v>
      </c>
      <c r="U628" s="7">
        <f>VLOOKUP($A628,Rotations!$A$1:$X$1441,20,0)</f>
        <v>7.9090583478747228E-2</v>
      </c>
      <c r="V628" s="7">
        <f>VLOOKUP($A628,Rotations!$A$1:$X$1441,21,0)</f>
        <v>5.5159068295553282E-2</v>
      </c>
      <c r="W628" s="7">
        <f>VLOOKUP($A628,Rotations!$A$1:$X$1441,22,0)</f>
        <v>0.19624769672818976</v>
      </c>
      <c r="X628" s="7">
        <f>VLOOKUP($A628,Rotations!$A$1:$X$1441,23,0)</f>
        <v>0.34905762325853795</v>
      </c>
    </row>
    <row r="629" spans="1:24" ht="15.75" customHeight="1" x14ac:dyDescent="0.3">
      <c r="A629">
        <v>620</v>
      </c>
      <c r="B629" t="str">
        <f>Permutations!I621</f>
        <v>p111 - i6:i1</v>
      </c>
      <c r="C629" t="str">
        <f>Permutations!J621</f>
        <v>p10 - i1:i5</v>
      </c>
      <c r="D629" t="str">
        <f>Permutations!K621</f>
        <v>p71 - i5:i2</v>
      </c>
      <c r="E629" t="str">
        <f>Permutations!L621</f>
        <v>p5 - i2:i4</v>
      </c>
      <c r="F629" t="str">
        <f>Permutations!M621</f>
        <v>p31 - i4:i3</v>
      </c>
      <c r="G629" s="7">
        <f>VLOOKUP(B629,Vlookup!$A$1:$B$30,2,0)</f>
        <v>1.6397534939100344</v>
      </c>
      <c r="H629" s="7">
        <f>VLOOKUP(C629,Vlookup!$A$1:$B$30,2,0)</f>
        <v>1.0847108741813811</v>
      </c>
      <c r="I629" s="7">
        <f>VLOOKUP(D629,Vlookup!$A$1:$B$30,2,0)</f>
        <v>1.8243208303594776</v>
      </c>
      <c r="J629" s="7">
        <f>VLOOKUP(E629,Vlookup!$A$1:$B$30,2,0)</f>
        <v>0.9108240498099236</v>
      </c>
      <c r="K629" s="7">
        <f>VLOOKUP(F629,Vlookup!$A$1:$B$30,2,0)</f>
        <v>2.2388599512381115</v>
      </c>
      <c r="L629" s="7">
        <f t="shared" si="13"/>
        <v>6.6169094733610132</v>
      </c>
      <c r="M629" s="7">
        <f t="shared" si="14"/>
        <v>4.0353074397681707</v>
      </c>
      <c r="N629" s="7">
        <f t="shared" si="15"/>
        <v>3.7201686973162973</v>
      </c>
      <c r="O629" s="7">
        <f t="shared" si="16"/>
        <v>2.039207487743945</v>
      </c>
      <c r="P629" s="7">
        <f t="shared" si="17"/>
        <v>2.2388599512381115</v>
      </c>
      <c r="Q629">
        <v>1</v>
      </c>
      <c r="R629" s="7">
        <f t="shared" si="18"/>
        <v>19.650453049427536</v>
      </c>
      <c r="S629" s="7">
        <f>VLOOKUP($A629,Rotations!$A$1:$X$1441,18,0)</f>
        <v>0.20535442259870587</v>
      </c>
      <c r="T629" s="7">
        <f>VLOOKUP($A629,Rotations!$A$1:$X$1441,19,0)</f>
        <v>0.10377406987078865</v>
      </c>
      <c r="U629" s="7">
        <f>VLOOKUP($A629,Rotations!$A$1:$X$1441,20,0)</f>
        <v>5.0889411937967116E-2</v>
      </c>
      <c r="V629" s="7">
        <f>VLOOKUP($A629,Rotations!$A$1:$X$1441,21,0)</f>
        <v>0.11393426632997324</v>
      </c>
      <c r="W629" s="7">
        <f>VLOOKUP($A629,Rotations!$A$1:$X$1441,22,0)</f>
        <v>0.18931719731645955</v>
      </c>
      <c r="X629" s="7">
        <f>VLOOKUP($A629,Rotations!$A$1:$X$1441,23,0)</f>
        <v>0.33673063194610564</v>
      </c>
    </row>
    <row r="630" spans="1:24" ht="15.75" customHeight="1" x14ac:dyDescent="0.3">
      <c r="A630">
        <v>621</v>
      </c>
      <c r="B630" t="str">
        <f>Permutations!I622</f>
        <v>p111 - i6:i1</v>
      </c>
      <c r="C630" t="str">
        <f>Permutations!J622</f>
        <v>p10 - i1:i5</v>
      </c>
      <c r="D630" t="str">
        <f>Permutations!K622</f>
        <v>p61 - i5:i3</v>
      </c>
      <c r="E630" t="str">
        <f>Permutations!L622</f>
        <v>p21 - i3:i2</v>
      </c>
      <c r="F630" t="str">
        <f>Permutations!M622</f>
        <v>p5 - i2:i4</v>
      </c>
      <c r="G630" s="7">
        <f>VLOOKUP(B630,Vlookup!$A$1:$B$30,2,0)</f>
        <v>1.6397534939100344</v>
      </c>
      <c r="H630" s="7">
        <f>VLOOKUP(C630,Vlookup!$A$1:$B$30,2,0)</f>
        <v>1.0847108741813811</v>
      </c>
      <c r="I630" s="7">
        <f>VLOOKUP(D630,Vlookup!$A$1:$B$30,2,0)</f>
        <v>1.9746367445127702</v>
      </c>
      <c r="J630" s="7">
        <f>VLOOKUP(E630,Vlookup!$A$1:$B$30,2,0)</f>
        <v>1.5059827029565431</v>
      </c>
      <c r="K630" s="7">
        <f>VLOOKUP(F630,Vlookup!$A$1:$B$30,2,0)</f>
        <v>0.9108240498099236</v>
      </c>
      <c r="L630" s="7">
        <f t="shared" si="13"/>
        <v>4.8176389156760324</v>
      </c>
      <c r="M630" s="7">
        <f t="shared" si="14"/>
        <v>2.9380263152775772</v>
      </c>
      <c r="N630" s="7">
        <f t="shared" si="15"/>
        <v>2.7085801250908195</v>
      </c>
      <c r="O630" s="7">
        <f t="shared" si="16"/>
        <v>1.3716852644505737</v>
      </c>
      <c r="P630" s="7">
        <f t="shared" si="17"/>
        <v>0.9108240498099236</v>
      </c>
      <c r="Q630">
        <v>1</v>
      </c>
      <c r="R630" s="7">
        <f t="shared" si="18"/>
        <v>13.746754670304925</v>
      </c>
      <c r="S630" s="7">
        <f>VLOOKUP($A630,Rotations!$A$1:$X$1441,18,0)</f>
        <v>0.2137250853559029</v>
      </c>
      <c r="T630" s="7">
        <f>VLOOKUP($A630,Rotations!$A$1:$X$1441,19,0)</f>
        <v>6.625738740922188E-2</v>
      </c>
      <c r="U630" s="7">
        <f>VLOOKUP($A630,Rotations!$A$1:$X$1441,20,0)</f>
        <v>9.9782479381378783E-2</v>
      </c>
      <c r="V630" s="7">
        <f>VLOOKUP($A630,Rotations!$A$1:$X$1441,21,0)</f>
        <v>7.2744442159875855E-2</v>
      </c>
      <c r="W630" s="7">
        <f>VLOOKUP($A630,Rotations!$A$1:$X$1441,22,0)</f>
        <v>0.19703415024505844</v>
      </c>
      <c r="X630" s="7">
        <f>VLOOKUP($A630,Rotations!$A$1:$X$1441,23,0)</f>
        <v>0.35045645544856219</v>
      </c>
    </row>
    <row r="631" spans="1:24" ht="15.75" customHeight="1" x14ac:dyDescent="0.3">
      <c r="A631">
        <v>622</v>
      </c>
      <c r="B631" t="str">
        <f>Permutations!I623</f>
        <v>p111 - i6:i1</v>
      </c>
      <c r="C631" t="str">
        <f>Permutations!J623</f>
        <v>p10 - i1:i5</v>
      </c>
      <c r="D631" t="str">
        <f>Permutations!K623</f>
        <v>p61 - i5:i3</v>
      </c>
      <c r="E631" t="str">
        <f>Permutations!L623</f>
        <v>p3 - i3:i4</v>
      </c>
      <c r="F631" t="str">
        <f>Permutations!M623</f>
        <v>p51 - i4:i2</v>
      </c>
      <c r="G631" s="7">
        <f>VLOOKUP(B631,Vlookup!$A$1:$B$30,2,0)</f>
        <v>1.6397534939100344</v>
      </c>
      <c r="H631" s="7">
        <f>VLOOKUP(C631,Vlookup!$A$1:$B$30,2,0)</f>
        <v>1.0847108741813811</v>
      </c>
      <c r="I631" s="7">
        <f>VLOOKUP(D631,Vlookup!$A$1:$B$30,2,0)</f>
        <v>1.9746367445127702</v>
      </c>
      <c r="J631" s="7">
        <f>VLOOKUP(E631,Vlookup!$A$1:$B$30,2,0)</f>
        <v>1.4338636587362954</v>
      </c>
      <c r="K631" s="7">
        <f>VLOOKUP(F631,Vlookup!$A$1:$B$30,2,0)</f>
        <v>1.4376356077157479</v>
      </c>
      <c r="L631" s="7">
        <f t="shared" si="13"/>
        <v>7.2399647509841119</v>
      </c>
      <c r="M631" s="7">
        <f t="shared" si="14"/>
        <v>4.4152763070016272</v>
      </c>
      <c r="N631" s="7">
        <f t="shared" si="15"/>
        <v>4.0704637632897196</v>
      </c>
      <c r="O631" s="7">
        <f t="shared" si="16"/>
        <v>2.0613734524088798</v>
      </c>
      <c r="P631" s="7">
        <f t="shared" si="17"/>
        <v>1.4376356077157479</v>
      </c>
      <c r="Q631">
        <v>1</v>
      </c>
      <c r="R631" s="7">
        <f t="shared" si="18"/>
        <v>20.224713881400085</v>
      </c>
      <c r="S631" s="7">
        <f>VLOOKUP($A631,Rotations!$A$1:$X$1441,18,0)</f>
        <v>0.21831094041148302</v>
      </c>
      <c r="T631" s="7">
        <f>VLOOKUP($A631,Rotations!$A$1:$X$1441,19,0)</f>
        <v>4.9444457205382902E-2</v>
      </c>
      <c r="U631" s="7">
        <f>VLOOKUP($A631,Rotations!$A$1:$X$1441,20,0)</f>
        <v>0.10192349145194327</v>
      </c>
      <c r="V631" s="7">
        <f>VLOOKUP($A631,Rotations!$A$1:$X$1441,21,0)</f>
        <v>7.1083112282635932E-2</v>
      </c>
      <c r="W631" s="7">
        <f>VLOOKUP($A631,Rotations!$A$1:$X$1441,22,0)</f>
        <v>0.20126187135004037</v>
      </c>
      <c r="X631" s="7">
        <f>VLOOKUP($A631,Rotations!$A$1:$X$1441,23,0)</f>
        <v>0.35797612729851458</v>
      </c>
    </row>
    <row r="632" spans="1:24" ht="15.75" customHeight="1" x14ac:dyDescent="0.3">
      <c r="A632">
        <v>623</v>
      </c>
      <c r="B632" t="str">
        <f>Permutations!I624</f>
        <v>p111 - i6:i1</v>
      </c>
      <c r="C632" t="str">
        <f>Permutations!J624</f>
        <v>p10 - i1:i5</v>
      </c>
      <c r="D632" t="str">
        <f>Permutations!K624</f>
        <v>p41 - i5:i4</v>
      </c>
      <c r="E632" t="str">
        <f>Permutations!L624</f>
        <v>p51 - i4:i2</v>
      </c>
      <c r="F632" t="str">
        <f>Permutations!M624</f>
        <v>p2 - i2:i3</v>
      </c>
      <c r="G632" s="7">
        <f>VLOOKUP(B632,Vlookup!$A$1:$B$30,2,0)</f>
        <v>1.6397534939100344</v>
      </c>
      <c r="H632" s="7">
        <f>VLOOKUP(C632,Vlookup!$A$1:$B$30,2,0)</f>
        <v>1.0847108741813811</v>
      </c>
      <c r="I632" s="7">
        <f>VLOOKUP(D632,Vlookup!$A$1:$B$30,2,0)</f>
        <v>1.25400669441983</v>
      </c>
      <c r="J632" s="7">
        <f>VLOOKUP(E632,Vlookup!$A$1:$B$30,2,0)</f>
        <v>1.4376356077157479</v>
      </c>
      <c r="K632" s="7">
        <f>VLOOKUP(F632,Vlookup!$A$1:$B$30,2,0)</f>
        <v>1.3601242124324544</v>
      </c>
      <c r="L632" s="7">
        <f t="shared" si="13"/>
        <v>4.3613386147006956</v>
      </c>
      <c r="M632" s="7">
        <f t="shared" si="14"/>
        <v>2.6597525975084046</v>
      </c>
      <c r="N632" s="7">
        <f t="shared" si="15"/>
        <v>2.4520382904022138</v>
      </c>
      <c r="O632" s="7">
        <f t="shared" si="16"/>
        <v>1.9553629987092347</v>
      </c>
      <c r="P632" s="7">
        <f t="shared" si="17"/>
        <v>1.3601242124324544</v>
      </c>
      <c r="Q632">
        <v>1</v>
      </c>
      <c r="R632" s="7">
        <f t="shared" si="18"/>
        <v>13.788616713753004</v>
      </c>
      <c r="S632" s="7">
        <f>VLOOKUP($A632,Rotations!$A$1:$X$1441,18,0)</f>
        <v>0.19289480973501291</v>
      </c>
      <c r="T632" s="7">
        <f>VLOOKUP($A632,Rotations!$A$1:$X$1441,19,0)</f>
        <v>9.8641092189896251E-2</v>
      </c>
      <c r="U632" s="7">
        <f>VLOOKUP($A632,Rotations!$A$1:$X$1441,20,0)</f>
        <v>7.2523591072234439E-2</v>
      </c>
      <c r="V632" s="7">
        <f>VLOOKUP($A632,Rotations!$A$1:$X$1441,21,0)</f>
        <v>0.14180994651616663</v>
      </c>
      <c r="W632" s="7">
        <f>VLOOKUP($A632,Rotations!$A$1:$X$1441,22,0)</f>
        <v>0.17783062226659099</v>
      </c>
      <c r="X632" s="7">
        <f>VLOOKUP($A632,Rotations!$A$1:$X$1441,23,0)</f>
        <v>0.31629993822009872</v>
      </c>
    </row>
    <row r="633" spans="1:24" ht="15.75" customHeight="1" x14ac:dyDescent="0.3">
      <c r="A633">
        <v>624</v>
      </c>
      <c r="B633" t="str">
        <f>Permutations!I625</f>
        <v>p111 - i6:i1</v>
      </c>
      <c r="C633" t="str">
        <f>Permutations!J625</f>
        <v>p10 - i1:i5</v>
      </c>
      <c r="D633" t="str">
        <f>Permutations!K625</f>
        <v>p41 - i5:i4</v>
      </c>
      <c r="E633" t="str">
        <f>Permutations!L625</f>
        <v>p31 - i4:i3</v>
      </c>
      <c r="F633" t="str">
        <f>Permutations!M625</f>
        <v>p21 - i3:i2</v>
      </c>
      <c r="G633" s="7">
        <f>VLOOKUP(B633,Vlookup!$A$1:$B$30,2,0)</f>
        <v>1.6397534939100344</v>
      </c>
      <c r="H633" s="7">
        <f>VLOOKUP(C633,Vlookup!$A$1:$B$30,2,0)</f>
        <v>1.0847108741813811</v>
      </c>
      <c r="I633" s="7">
        <f>VLOOKUP(D633,Vlookup!$A$1:$B$30,2,0)</f>
        <v>1.25400669441983</v>
      </c>
      <c r="J633" s="7">
        <f>VLOOKUP(E633,Vlookup!$A$1:$B$30,2,0)</f>
        <v>2.2388599512381115</v>
      </c>
      <c r="K633" s="7">
        <f>VLOOKUP(F633,Vlookup!$A$1:$B$30,2,0)</f>
        <v>1.5059827029565431</v>
      </c>
      <c r="L633" s="7">
        <f t="shared" si="13"/>
        <v>7.5203720278597768</v>
      </c>
      <c r="M633" s="7">
        <f t="shared" si="14"/>
        <v>4.5862820575105196</v>
      </c>
      <c r="N633" s="7">
        <f t="shared" si="15"/>
        <v>4.2281147600476805</v>
      </c>
      <c r="O633" s="7">
        <f t="shared" si="16"/>
        <v>3.3716843609067255</v>
      </c>
      <c r="P633" s="7">
        <f t="shared" si="17"/>
        <v>1.5059827029565431</v>
      </c>
      <c r="Q633">
        <v>1</v>
      </c>
      <c r="R633" s="7">
        <f t="shared" si="18"/>
        <v>22.212435909281247</v>
      </c>
      <c r="S633" s="7">
        <f>VLOOKUP($A633,Rotations!$A$1:$X$1441,18,0)</f>
        <v>0.20647362028377028</v>
      </c>
      <c r="T633" s="7">
        <f>VLOOKUP($A633,Rotations!$A$1:$X$1441,19,0)</f>
        <v>4.5019826014766798E-2</v>
      </c>
      <c r="U633" s="7">
        <f>VLOOKUP($A633,Rotations!$A$1:$X$1441,20,0)</f>
        <v>6.7799079268351797E-2</v>
      </c>
      <c r="V633" s="7">
        <f>VLOOKUP($A633,Rotations!$A$1:$X$1441,21,0)</f>
        <v>0.15179264330473097</v>
      </c>
      <c r="W633" s="7">
        <f>VLOOKUP($A633,Rotations!$A$1:$X$1441,22,0)</f>
        <v>0.19034899086781404</v>
      </c>
      <c r="X633" s="7">
        <f>VLOOKUP($A633,Rotations!$A$1:$X$1441,23,0)</f>
        <v>0.33856584026056608</v>
      </c>
    </row>
    <row r="634" spans="1:24" ht="15.75" customHeight="1" x14ac:dyDescent="0.3">
      <c r="A634">
        <v>625</v>
      </c>
      <c r="B634" t="str">
        <f>Permutations!I626</f>
        <v>p121 - i6:i2</v>
      </c>
      <c r="C634" t="str">
        <f>Permutations!J626</f>
        <v>p11 - i2:i1</v>
      </c>
      <c r="D634" t="str">
        <f>Permutations!K626</f>
        <v>p8 - i1:i3</v>
      </c>
      <c r="E634" t="str">
        <f>Permutations!L626</f>
        <v>p3 - i3:i4</v>
      </c>
      <c r="F634" t="str">
        <f>Permutations!M626</f>
        <v>p4 - i4:i5</v>
      </c>
      <c r="G634" s="7">
        <f>VLOOKUP(B634,Vlookup!$A$1:$B$30,2,0)</f>
        <v>1.2419340531937677</v>
      </c>
      <c r="H634" s="7">
        <f>VLOOKUP(C634,Vlookup!$A$1:$B$30,2,0)</f>
        <v>1.7440097060445605</v>
      </c>
      <c r="I634" s="7">
        <f>VLOOKUP(D634,Vlookup!$A$1:$B$30,2,0)</f>
        <v>1.1080774401297739</v>
      </c>
      <c r="J634" s="7">
        <f>VLOOKUP(E634,Vlookup!$A$1:$B$30,2,0)</f>
        <v>1.4338636587362954</v>
      </c>
      <c r="K634" s="7">
        <f>VLOOKUP(F634,Vlookup!$A$1:$B$30,2,0)</f>
        <v>1.89462595295753</v>
      </c>
      <c r="L634" s="7">
        <f t="shared" si="13"/>
        <v>6.5200193662058599</v>
      </c>
      <c r="M634" s="7">
        <f t="shared" si="14"/>
        <v>5.2498917711765172</v>
      </c>
      <c r="N634" s="7">
        <f t="shared" si="15"/>
        <v>3.0102422899258681</v>
      </c>
      <c r="O634" s="7">
        <f t="shared" si="16"/>
        <v>2.7166353008444242</v>
      </c>
      <c r="P634" s="7">
        <f t="shared" si="17"/>
        <v>1.89462595295753</v>
      </c>
      <c r="Q634">
        <v>1</v>
      </c>
      <c r="R634" s="7">
        <f t="shared" si="18"/>
        <v>20.391414681110199</v>
      </c>
      <c r="S634" s="7">
        <f>VLOOKUP($A634,Rotations!$A$1:$X$1441,18,0)</f>
        <v>0.14762302356169715</v>
      </c>
      <c r="T634" s="7">
        <f>VLOOKUP($A634,Rotations!$A$1:$X$1441,19,0)</f>
        <v>0.25745598592724467</v>
      </c>
      <c r="U634" s="7">
        <f>VLOOKUP($A634,Rotations!$A$1:$X$1441,20,0)</f>
        <v>0.13322446447823003</v>
      </c>
      <c r="V634" s="7">
        <f>VLOOKUP($A634,Rotations!$A$1:$X$1441,21,0)</f>
        <v>9.2912923531128844E-2</v>
      </c>
      <c r="W634" s="7">
        <f>VLOOKUP($A634,Rotations!$A$1:$X$1441,22,0)</f>
        <v>4.9040246380078797E-2</v>
      </c>
      <c r="X634" s="7">
        <f>VLOOKUP($A634,Rotations!$A$1:$X$1441,23,0)</f>
        <v>0.31974335612162058</v>
      </c>
    </row>
    <row r="635" spans="1:24" ht="15.75" customHeight="1" x14ac:dyDescent="0.3">
      <c r="A635">
        <v>626</v>
      </c>
      <c r="B635" t="str">
        <f>Permutations!I627</f>
        <v>p121 - i6:i2</v>
      </c>
      <c r="C635" t="str">
        <f>Permutations!J627</f>
        <v>p11 - i2:i1</v>
      </c>
      <c r="D635" t="str">
        <f>Permutations!K627</f>
        <v>p8 - i1:i3</v>
      </c>
      <c r="E635" t="str">
        <f>Permutations!L627</f>
        <v>p6 - i3:i5</v>
      </c>
      <c r="F635" t="str">
        <f>Permutations!M627</f>
        <v>p41 - i5:i4</v>
      </c>
      <c r="G635" s="7">
        <f>VLOOKUP(B635,Vlookup!$A$1:$B$30,2,0)</f>
        <v>1.2419340531937677</v>
      </c>
      <c r="H635" s="7">
        <f>VLOOKUP(C635,Vlookup!$A$1:$B$30,2,0)</f>
        <v>1.7440097060445605</v>
      </c>
      <c r="I635" s="7">
        <f>VLOOKUP(D635,Vlookup!$A$1:$B$30,2,0)</f>
        <v>1.1080774401297739</v>
      </c>
      <c r="J635" s="7">
        <f>VLOOKUP(E635,Vlookup!$A$1:$B$30,2,0)</f>
        <v>2.2414716085286912</v>
      </c>
      <c r="K635" s="7">
        <f>VLOOKUP(F635,Vlookup!$A$1:$B$30,2,0)</f>
        <v>1.25400669441983</v>
      </c>
      <c r="L635" s="7">
        <f t="shared" si="13"/>
        <v>6.7460668913432027</v>
      </c>
      <c r="M635" s="7">
        <f t="shared" si="14"/>
        <v>5.4319042738178913</v>
      </c>
      <c r="N635" s="7">
        <f t="shared" si="15"/>
        <v>3.114606676207972</v>
      </c>
      <c r="O635" s="7">
        <f t="shared" si="16"/>
        <v>2.8108204024469634</v>
      </c>
      <c r="P635" s="7">
        <f t="shared" si="17"/>
        <v>1.25400669441983</v>
      </c>
      <c r="Q635">
        <v>1</v>
      </c>
      <c r="R635" s="7">
        <f t="shared" si="18"/>
        <v>20.357404938235856</v>
      </c>
      <c r="S635" s="7">
        <f>VLOOKUP($A635,Rotations!$A$1:$X$1441,18,0)</f>
        <v>0.15299625299283748</v>
      </c>
      <c r="T635" s="7">
        <f>VLOOKUP($A635,Rotations!$A$1:$X$1441,19,0)</f>
        <v>0.26682695020795771</v>
      </c>
      <c r="U635" s="7">
        <f>VLOOKUP($A635,Rotations!$A$1:$X$1441,20,0)</f>
        <v>0.13807361060876677</v>
      </c>
      <c r="V635" s="7">
        <f>VLOOKUP($A635,Rotations!$A$1:$X$1441,21,0)</f>
        <v>4.9122174610859735E-2</v>
      </c>
      <c r="W635" s="7">
        <f>VLOOKUP($A635,Rotations!$A$1:$X$1441,22,0)</f>
        <v>6.1599535806477923E-2</v>
      </c>
      <c r="X635" s="7">
        <f>VLOOKUP($A635,Rotations!$A$1:$X$1441,23,0)</f>
        <v>0.33138147577310056</v>
      </c>
    </row>
    <row r="636" spans="1:24" ht="15.75" customHeight="1" x14ac:dyDescent="0.3">
      <c r="A636">
        <v>627</v>
      </c>
      <c r="B636" t="str">
        <f>Permutations!I628</f>
        <v>p121 - i6:i2</v>
      </c>
      <c r="C636" t="str">
        <f>Permutations!J628</f>
        <v>p11 - i2:i1</v>
      </c>
      <c r="D636" t="str">
        <f>Permutations!K628</f>
        <v>p9 - i1:i4</v>
      </c>
      <c r="E636" t="str">
        <f>Permutations!L628</f>
        <v>p31 - i4:i3</v>
      </c>
      <c r="F636" t="str">
        <f>Permutations!M628</f>
        <v>p6 - i3:i5</v>
      </c>
      <c r="G636" s="7">
        <f>VLOOKUP(B636,Vlookup!$A$1:$B$30,2,0)</f>
        <v>1.2419340531937677</v>
      </c>
      <c r="H636" s="7">
        <f>VLOOKUP(C636,Vlookup!$A$1:$B$30,2,0)</f>
        <v>1.7440097060445605</v>
      </c>
      <c r="I636" s="7">
        <f>VLOOKUP(D636,Vlookup!$A$1:$B$30,2,0)</f>
        <v>1.2538815092968505</v>
      </c>
      <c r="J636" s="7">
        <f>VLOOKUP(E636,Vlookup!$A$1:$B$30,2,0)</f>
        <v>2.2388599512381115</v>
      </c>
      <c r="K636" s="7">
        <f>VLOOKUP(F636,Vlookup!$A$1:$B$30,2,0)</f>
        <v>2.2414716085286912</v>
      </c>
      <c r="L636" s="7">
        <f t="shared" si="13"/>
        <v>13.629003434829524</v>
      </c>
      <c r="M636" s="7">
        <f t="shared" si="14"/>
        <v>10.974015407485661</v>
      </c>
      <c r="N636" s="7">
        <f t="shared" si="15"/>
        <v>6.292405007524235</v>
      </c>
      <c r="O636" s="7">
        <f t="shared" si="16"/>
        <v>5.0183410161721573</v>
      </c>
      <c r="P636" s="7">
        <f t="shared" si="17"/>
        <v>2.2414716085286912</v>
      </c>
      <c r="Q636">
        <v>1</v>
      </c>
      <c r="R636" s="7">
        <f t="shared" si="18"/>
        <v>39.155236474540267</v>
      </c>
      <c r="S636" s="7">
        <f>VLOOKUP($A636,Rotations!$A$1:$X$1441,18,0)</f>
        <v>0.16070404814476646</v>
      </c>
      <c r="T636" s="7">
        <f>VLOOKUP($A636,Rotations!$A$1:$X$1441,19,0)</f>
        <v>0.28026941976512504</v>
      </c>
      <c r="U636" s="7">
        <f>VLOOKUP($A636,Rotations!$A$1:$X$1441,20,0)</f>
        <v>5.7245768646708418E-2</v>
      </c>
      <c r="V636" s="7">
        <f>VLOOKUP($A636,Rotations!$A$1:$X$1441,21,0)</f>
        <v>0.12816525880095783</v>
      </c>
      <c r="W636" s="7">
        <f>VLOOKUP($A636,Rotations!$A$1:$X$1441,22,0)</f>
        <v>2.5539368167275034E-2</v>
      </c>
      <c r="X636" s="7">
        <f>VLOOKUP($A636,Rotations!$A$1:$X$1441,23,0)</f>
        <v>0.34807613647516722</v>
      </c>
    </row>
    <row r="637" spans="1:24" ht="15.75" customHeight="1" x14ac:dyDescent="0.3">
      <c r="A637">
        <v>628</v>
      </c>
      <c r="B637" t="str">
        <f>Permutations!I629</f>
        <v>p121 - i6:i2</v>
      </c>
      <c r="C637" t="str">
        <f>Permutations!J629</f>
        <v>p11 - i2:i1</v>
      </c>
      <c r="D637" t="str">
        <f>Permutations!K629</f>
        <v>p9 - i1:i4</v>
      </c>
      <c r="E637" t="str">
        <f>Permutations!L629</f>
        <v>p4 - i4:i5</v>
      </c>
      <c r="F637" t="str">
        <f>Permutations!M629</f>
        <v>p61 - i5:i3</v>
      </c>
      <c r="G637" s="7">
        <f>VLOOKUP(B637,Vlookup!$A$1:$B$30,2,0)</f>
        <v>1.2419340531937677</v>
      </c>
      <c r="H637" s="7">
        <f>VLOOKUP(C637,Vlookup!$A$1:$B$30,2,0)</f>
        <v>1.7440097060445605</v>
      </c>
      <c r="I637" s="7">
        <f>VLOOKUP(D637,Vlookup!$A$1:$B$30,2,0)</f>
        <v>1.2538815092968505</v>
      </c>
      <c r="J637" s="7">
        <f>VLOOKUP(E637,Vlookup!$A$1:$B$30,2,0)</f>
        <v>1.89462595295753</v>
      </c>
      <c r="K637" s="7">
        <f>VLOOKUP(F637,Vlookup!$A$1:$B$30,2,0)</f>
        <v>1.9746367445127702</v>
      </c>
      <c r="L637" s="7">
        <f t="shared" si="13"/>
        <v>10.160489403304515</v>
      </c>
      <c r="M637" s="7">
        <f t="shared" si="14"/>
        <v>8.1811827102862011</v>
      </c>
      <c r="N637" s="7">
        <f t="shared" si="15"/>
        <v>4.6910190246826335</v>
      </c>
      <c r="O637" s="7">
        <f t="shared" si="16"/>
        <v>3.741198023817462</v>
      </c>
      <c r="P637" s="7">
        <f t="shared" si="17"/>
        <v>1.9746367445127702</v>
      </c>
      <c r="Q637">
        <v>1</v>
      </c>
      <c r="R637" s="7">
        <f t="shared" si="18"/>
        <v>29.748525906603582</v>
      </c>
      <c r="S637" s="7">
        <f>VLOOKUP($A637,Rotations!$A$1:$X$1441,18,0)</f>
        <v>0.15768912514893119</v>
      </c>
      <c r="T637" s="7">
        <f>VLOOKUP($A637,Rotations!$A$1:$X$1441,19,0)</f>
        <v>0.2750113647974114</v>
      </c>
      <c r="U637" s="7">
        <f>VLOOKUP($A637,Rotations!$A$1:$X$1441,20,0)</f>
        <v>3.3615110985315069E-2</v>
      </c>
      <c r="V637" s="7">
        <f>VLOOKUP($A637,Rotations!$A$1:$X$1441,21,0)</f>
        <v>0.1257607867886654</v>
      </c>
      <c r="W637" s="7">
        <f>VLOOKUP($A637,Rotations!$A$1:$X$1441,22,0)</f>
        <v>6.6377633322478008E-2</v>
      </c>
      <c r="X637" s="7">
        <f>VLOOKUP($A637,Rotations!$A$1:$X$1441,23,0)</f>
        <v>0.34154597895719896</v>
      </c>
    </row>
    <row r="638" spans="1:24" ht="15.75" customHeight="1" x14ac:dyDescent="0.3">
      <c r="A638">
        <v>629</v>
      </c>
      <c r="B638" t="str">
        <f>Permutations!I630</f>
        <v>p121 - i6:i2</v>
      </c>
      <c r="C638" t="str">
        <f>Permutations!J630</f>
        <v>p11 - i2:i1</v>
      </c>
      <c r="D638" t="str">
        <f>Permutations!K630</f>
        <v>p10 - i1:i5</v>
      </c>
      <c r="E638" t="str">
        <f>Permutations!L630</f>
        <v>p61 - i5:i3</v>
      </c>
      <c r="F638" t="str">
        <f>Permutations!M630</f>
        <v>p3 - i3:i4</v>
      </c>
      <c r="G638" s="7">
        <f>VLOOKUP(B638,Vlookup!$A$1:$B$30,2,0)</f>
        <v>1.2419340531937677</v>
      </c>
      <c r="H638" s="7">
        <f>VLOOKUP(C638,Vlookup!$A$1:$B$30,2,0)</f>
        <v>1.7440097060445605</v>
      </c>
      <c r="I638" s="7">
        <f>VLOOKUP(D638,Vlookup!$A$1:$B$30,2,0)</f>
        <v>1.0847108741813811</v>
      </c>
      <c r="J638" s="7">
        <f>VLOOKUP(E638,Vlookup!$A$1:$B$30,2,0)</f>
        <v>1.9746367445127702</v>
      </c>
      <c r="K638" s="7">
        <f>VLOOKUP(F638,Vlookup!$A$1:$B$30,2,0)</f>
        <v>1.4338636587362954</v>
      </c>
      <c r="L638" s="7">
        <f t="shared" si="13"/>
        <v>6.6520652239441445</v>
      </c>
      <c r="M638" s="7">
        <f t="shared" si="14"/>
        <v>5.356214532355918</v>
      </c>
      <c r="N638" s="7">
        <f t="shared" si="15"/>
        <v>3.0712068366315979</v>
      </c>
      <c r="O638" s="7">
        <f t="shared" si="16"/>
        <v>2.8313598671622078</v>
      </c>
      <c r="P638" s="7">
        <f t="shared" si="17"/>
        <v>1.4338636587362954</v>
      </c>
      <c r="Q638">
        <v>1</v>
      </c>
      <c r="R638" s="7">
        <f t="shared" si="18"/>
        <v>20.344710118830164</v>
      </c>
      <c r="S638" s="7">
        <f>VLOOKUP($A638,Rotations!$A$1:$X$1441,18,0)</f>
        <v>0.15095849578063167</v>
      </c>
      <c r="T638" s="7">
        <f>VLOOKUP($A638,Rotations!$A$1:$X$1441,19,0)</f>
        <v>0.26327308185130849</v>
      </c>
      <c r="U638" s="7">
        <f>VLOOKUP($A638,Rotations!$A$1:$X$1441,20,0)</f>
        <v>7.0478451172876364E-2</v>
      </c>
      <c r="V638" s="7">
        <f>VLOOKUP($A638,Rotations!$A$1:$X$1441,21,0)</f>
        <v>4.9152826172462603E-2</v>
      </c>
      <c r="W638" s="7">
        <f>VLOOKUP($A638,Rotations!$A$1:$X$1441,22,0)</f>
        <v>0.1391693393823108</v>
      </c>
      <c r="X638" s="7">
        <f>VLOOKUP($A638,Rotations!$A$1:$X$1441,23,0)</f>
        <v>0.32696780564041</v>
      </c>
    </row>
    <row r="639" spans="1:24" ht="15.75" customHeight="1" x14ac:dyDescent="0.3">
      <c r="A639">
        <v>630</v>
      </c>
      <c r="B639" t="str">
        <f>Permutations!I631</f>
        <v>p121 - i6:i2</v>
      </c>
      <c r="C639" t="str">
        <f>Permutations!J631</f>
        <v>p11 - i2:i1</v>
      </c>
      <c r="D639" t="str">
        <f>Permutations!K631</f>
        <v>p10 - i1:i5</v>
      </c>
      <c r="E639" t="str">
        <f>Permutations!L631</f>
        <v>p41 - i5:i4</v>
      </c>
      <c r="F639" t="str">
        <f>Permutations!M631</f>
        <v>p31 - i4:i3</v>
      </c>
      <c r="G639" s="7">
        <f>VLOOKUP(B639,Vlookup!$A$1:$B$30,2,0)</f>
        <v>1.2419340531937677</v>
      </c>
      <c r="H639" s="7">
        <f>VLOOKUP(C639,Vlookup!$A$1:$B$30,2,0)</f>
        <v>1.7440097060445605</v>
      </c>
      <c r="I639" s="7">
        <f>VLOOKUP(D639,Vlookup!$A$1:$B$30,2,0)</f>
        <v>1.0847108741813811</v>
      </c>
      <c r="J639" s="7">
        <f>VLOOKUP(E639,Vlookup!$A$1:$B$30,2,0)</f>
        <v>1.25400669441983</v>
      </c>
      <c r="K639" s="7">
        <f>VLOOKUP(F639,Vlookup!$A$1:$B$30,2,0)</f>
        <v>2.2388599512381115</v>
      </c>
      <c r="L639" s="7">
        <f t="shared" si="13"/>
        <v>6.5961148617003547</v>
      </c>
      <c r="M639" s="7">
        <f t="shared" si="14"/>
        <v>5.3111635394308845</v>
      </c>
      <c r="N639" s="7">
        <f t="shared" si="15"/>
        <v>3.045374989039872</v>
      </c>
      <c r="O639" s="7">
        <f t="shared" si="16"/>
        <v>2.8075453667210462</v>
      </c>
      <c r="P639" s="7">
        <f t="shared" si="17"/>
        <v>2.2388599512381115</v>
      </c>
      <c r="Q639">
        <v>1</v>
      </c>
      <c r="R639" s="7">
        <f t="shared" si="18"/>
        <v>20.999058708130271</v>
      </c>
      <c r="S639" s="7">
        <f>VLOOKUP($A639,Rotations!$A$1:$X$1441,18,0)</f>
        <v>0.14502435710895864</v>
      </c>
      <c r="T639" s="7">
        <f>VLOOKUP($A639,Rotations!$A$1:$X$1441,19,0)</f>
        <v>0.25292388641089636</v>
      </c>
      <c r="U639" s="7">
        <f>VLOOKUP($A639,Rotations!$A$1:$X$1441,20,0)</f>
        <v>4.7621182163409395E-2</v>
      </c>
      <c r="V639" s="7">
        <f>VLOOKUP($A639,Rotations!$A$1:$X$1441,21,0)</f>
        <v>0.10661715757627199</v>
      </c>
      <c r="W639" s="7">
        <f>VLOOKUP($A639,Rotations!$A$1:$X$1441,22,0)</f>
        <v>0.13369862934065899</v>
      </c>
      <c r="X639" s="7">
        <f>VLOOKUP($A639,Rotations!$A$1:$X$1441,23,0)</f>
        <v>0.31411478739980458</v>
      </c>
    </row>
    <row r="640" spans="1:24" ht="15.75" customHeight="1" x14ac:dyDescent="0.3">
      <c r="A640">
        <v>631</v>
      </c>
      <c r="B640" t="str">
        <f>Permutations!I632</f>
        <v>p121 - i6:i2</v>
      </c>
      <c r="C640" t="str">
        <f>Permutations!J632</f>
        <v>p2 - i2:i3</v>
      </c>
      <c r="D640" t="str">
        <f>Permutations!K632</f>
        <v>p81 - i3:i1</v>
      </c>
      <c r="E640" t="str">
        <f>Permutations!L632</f>
        <v>p9 - i1:i4</v>
      </c>
      <c r="F640" t="str">
        <f>Permutations!M632</f>
        <v>p4 - i4:i5</v>
      </c>
      <c r="G640" s="7">
        <f>VLOOKUP(B640,Vlookup!$A$1:$B$30,2,0)</f>
        <v>1.2419340531937677</v>
      </c>
      <c r="H640" s="7">
        <f>VLOOKUP(C640,Vlookup!$A$1:$B$30,2,0)</f>
        <v>1.3601242124324544</v>
      </c>
      <c r="I640" s="7">
        <f>VLOOKUP(D640,Vlookup!$A$1:$B$30,2,0)</f>
        <v>1.7021844231989158</v>
      </c>
      <c r="J640" s="7">
        <f>VLOOKUP(E640,Vlookup!$A$1:$B$30,2,0)</f>
        <v>1.2538815092968505</v>
      </c>
      <c r="K640" s="7">
        <f>VLOOKUP(F640,Vlookup!$A$1:$B$30,2,0)</f>
        <v>1.89462595295753</v>
      </c>
      <c r="L640" s="7">
        <f t="shared" si="13"/>
        <v>6.8306762091971764</v>
      </c>
      <c r="M640" s="7">
        <f t="shared" si="14"/>
        <v>5.5000313355055805</v>
      </c>
      <c r="N640" s="7">
        <f t="shared" si="15"/>
        <v>4.0437713594328946</v>
      </c>
      <c r="O640" s="7">
        <f t="shared" si="16"/>
        <v>2.3756364494473714</v>
      </c>
      <c r="P640" s="7">
        <f t="shared" si="17"/>
        <v>1.89462595295753</v>
      </c>
      <c r="Q640">
        <v>1</v>
      </c>
      <c r="R640" s="7">
        <f t="shared" si="18"/>
        <v>21.644741306540553</v>
      </c>
      <c r="S640" s="7">
        <f>VLOOKUP($A640,Rotations!$A$1:$X$1441,18,0)</f>
        <v>0.10975582548216954</v>
      </c>
      <c r="T640" s="7">
        <f>VLOOKUP($A640,Rotations!$A$1:$X$1441,19,0)</f>
        <v>0.2541047387729044</v>
      </c>
      <c r="U640" s="7">
        <f>VLOOKUP($A640,Rotations!$A$1:$X$1441,20,0)</f>
        <v>0.18682465649108765</v>
      </c>
      <c r="V640" s="7">
        <f>VLOOKUP($A640,Rotations!$A$1:$X$1441,21,0)</f>
        <v>8.753285272044424E-2</v>
      </c>
      <c r="W640" s="7">
        <f>VLOOKUP($A640,Rotations!$A$1:$X$1441,22,0)</f>
        <v>4.6200598373417501E-2</v>
      </c>
      <c r="X640" s="7">
        <f>VLOOKUP($A640,Rotations!$A$1:$X$1441,23,0)</f>
        <v>0.31558132815997669</v>
      </c>
    </row>
    <row r="641" spans="1:24" ht="15.75" customHeight="1" x14ac:dyDescent="0.3">
      <c r="A641">
        <v>632</v>
      </c>
      <c r="B641" t="str">
        <f>Permutations!I633</f>
        <v>p121 - i6:i2</v>
      </c>
      <c r="C641" t="str">
        <f>Permutations!J633</f>
        <v>p2 - i2:i3</v>
      </c>
      <c r="D641" t="str">
        <f>Permutations!K633</f>
        <v>p81 - i3:i1</v>
      </c>
      <c r="E641" t="str">
        <f>Permutations!L633</f>
        <v>p10 - i1:i5</v>
      </c>
      <c r="F641" t="str">
        <f>Permutations!M633</f>
        <v>p41 - i5:i4</v>
      </c>
      <c r="G641" s="7">
        <f>VLOOKUP(B641,Vlookup!$A$1:$B$30,2,0)</f>
        <v>1.2419340531937677</v>
      </c>
      <c r="H641" s="7">
        <f>VLOOKUP(C641,Vlookup!$A$1:$B$30,2,0)</f>
        <v>1.3601242124324544</v>
      </c>
      <c r="I641" s="7">
        <f>VLOOKUP(D641,Vlookup!$A$1:$B$30,2,0)</f>
        <v>1.7021844231989158</v>
      </c>
      <c r="J641" s="7">
        <f>VLOOKUP(E641,Vlookup!$A$1:$B$30,2,0)</f>
        <v>1.0847108741813811</v>
      </c>
      <c r="K641" s="7">
        <f>VLOOKUP(F641,Vlookup!$A$1:$B$30,2,0)</f>
        <v>1.25400669441983</v>
      </c>
      <c r="L641" s="7">
        <f t="shared" si="13"/>
        <v>3.9110878227574282</v>
      </c>
      <c r="M641" s="7">
        <f t="shared" si="14"/>
        <v>3.1491912253308811</v>
      </c>
      <c r="N641" s="7">
        <f t="shared" si="15"/>
        <v>2.3153703143765436</v>
      </c>
      <c r="O641" s="7">
        <f t="shared" si="16"/>
        <v>1.3602346977334379</v>
      </c>
      <c r="P641" s="7">
        <f t="shared" si="17"/>
        <v>1.25400669441983</v>
      </c>
      <c r="Q641">
        <v>1</v>
      </c>
      <c r="R641" s="7">
        <f t="shared" si="18"/>
        <v>12.989890754618122</v>
      </c>
      <c r="S641" s="7">
        <f>VLOOKUP($A641,Rotations!$A$1:$X$1441,18,0)</f>
        <v>0.10471486815621231</v>
      </c>
      <c r="T641" s="7">
        <f>VLOOKUP($A641,Rotations!$A$1:$X$1441,19,0)</f>
        <v>0.24243400385883088</v>
      </c>
      <c r="U641" s="7">
        <f>VLOOKUP($A641,Rotations!$A$1:$X$1441,20,0)</f>
        <v>0.17824401745283278</v>
      </c>
      <c r="V641" s="7">
        <f>VLOOKUP($A641,Rotations!$A$1:$X$1441,21,0)</f>
        <v>7.6982941495830778E-2</v>
      </c>
      <c r="W641" s="7">
        <f>VLOOKUP($A641,Rotations!$A$1:$X$1441,22,0)</f>
        <v>9.6537123991901924E-2</v>
      </c>
      <c r="X641" s="7">
        <f>VLOOKUP($A641,Rotations!$A$1:$X$1441,23,0)</f>
        <v>0.30108704504439127</v>
      </c>
    </row>
    <row r="642" spans="1:24" ht="15.75" customHeight="1" x14ac:dyDescent="0.3">
      <c r="A642">
        <v>633</v>
      </c>
      <c r="B642" t="str">
        <f>Permutations!I634</f>
        <v>p121 - i6:i2</v>
      </c>
      <c r="C642" t="str">
        <f>Permutations!J634</f>
        <v>p2 - i2:i3</v>
      </c>
      <c r="D642" t="str">
        <f>Permutations!K634</f>
        <v>p3 - i3:i4</v>
      </c>
      <c r="E642" t="str">
        <f>Permutations!L634</f>
        <v>p91 - i4:i1</v>
      </c>
      <c r="F642" t="str">
        <f>Permutations!M634</f>
        <v>p10 - i1:i5</v>
      </c>
      <c r="G642" s="7">
        <f>VLOOKUP(B642,Vlookup!$A$1:$B$30,2,0)</f>
        <v>1.2419340531937677</v>
      </c>
      <c r="H642" s="7">
        <f>VLOOKUP(C642,Vlookup!$A$1:$B$30,2,0)</f>
        <v>1.3601242124324544</v>
      </c>
      <c r="I642" s="7">
        <f>VLOOKUP(D642,Vlookup!$A$1:$B$30,2,0)</f>
        <v>1.4338636587362954</v>
      </c>
      <c r="J642" s="7">
        <f>VLOOKUP(E642,Vlookup!$A$1:$B$30,2,0)</f>
        <v>2.9131157743633094</v>
      </c>
      <c r="K642" s="7">
        <f>VLOOKUP(F642,Vlookup!$A$1:$B$30,2,0)</f>
        <v>1.0847108741813811</v>
      </c>
      <c r="L642" s="7">
        <f t="shared" si="13"/>
        <v>7.6534403862927602</v>
      </c>
      <c r="M642" s="7">
        <f t="shared" si="14"/>
        <v>6.1625175399701053</v>
      </c>
      <c r="N642" s="7">
        <f t="shared" si="15"/>
        <v>4.5308490824885927</v>
      </c>
      <c r="O642" s="7">
        <f t="shared" si="16"/>
        <v>3.1598883582011963</v>
      </c>
      <c r="P642" s="7">
        <f t="shared" si="17"/>
        <v>1.0847108741813811</v>
      </c>
      <c r="Q642">
        <v>1</v>
      </c>
      <c r="R642" s="7">
        <f t="shared" si="18"/>
        <v>23.591406241134038</v>
      </c>
      <c r="S642" s="7">
        <f>VLOOKUP($A642,Rotations!$A$1:$X$1441,18,0)</f>
        <v>4.5979068101929269E-2</v>
      </c>
      <c r="T642" s="7">
        <f>VLOOKUP($A642,Rotations!$A$1:$X$1441,19,0)</f>
        <v>0.26121874537623463</v>
      </c>
      <c r="U642" s="7">
        <f>VLOOKUP($A642,Rotations!$A$1:$X$1441,20,0)</f>
        <v>0.19205506599214897</v>
      </c>
      <c r="V642" s="7">
        <f>VLOOKUP($A642,Rotations!$A$1:$X$1441,21,0)</f>
        <v>0.13394234857825502</v>
      </c>
      <c r="W642" s="7">
        <f>VLOOKUP($A642,Rotations!$A$1:$X$1441,22,0)</f>
        <v>4.238831673613408E-2</v>
      </c>
      <c r="X642" s="7">
        <f>VLOOKUP($A642,Rotations!$A$1:$X$1441,23,0)</f>
        <v>0.32441645521529788</v>
      </c>
    </row>
    <row r="643" spans="1:24" ht="15.75" customHeight="1" x14ac:dyDescent="0.3">
      <c r="A643">
        <v>634</v>
      </c>
      <c r="B643" t="str">
        <f>Permutations!I635</f>
        <v>p121 - i6:i2</v>
      </c>
      <c r="C643" t="str">
        <f>Permutations!J635</f>
        <v>p2 - i2:i3</v>
      </c>
      <c r="D643" t="str">
        <f>Permutations!K635</f>
        <v>p3 - i3:i4</v>
      </c>
      <c r="E643" t="str">
        <f>Permutations!L635</f>
        <v>p4 - i4:i5</v>
      </c>
      <c r="F643" t="str">
        <f>Permutations!M635</f>
        <v>p101 - i5:i1</v>
      </c>
      <c r="G643" s="7">
        <f>VLOOKUP(B643,Vlookup!$A$1:$B$30,2,0)</f>
        <v>1.2419340531937677</v>
      </c>
      <c r="H643" s="7">
        <f>VLOOKUP(C643,Vlookup!$A$1:$B$30,2,0)</f>
        <v>1.3601242124324544</v>
      </c>
      <c r="I643" s="7">
        <f>VLOOKUP(D643,Vlookup!$A$1:$B$30,2,0)</f>
        <v>1.4338636587362954</v>
      </c>
      <c r="J643" s="7">
        <f>VLOOKUP(E643,Vlookup!$A$1:$B$30,2,0)</f>
        <v>1.89462595295753</v>
      </c>
      <c r="K643" s="7">
        <f>VLOOKUP(F643,Vlookup!$A$1:$B$30,2,0)</f>
        <v>1.530542412441888</v>
      </c>
      <c r="L643" s="7">
        <f t="shared" si="13"/>
        <v>7.0235037022543851</v>
      </c>
      <c r="M643" s="7">
        <f t="shared" si="14"/>
        <v>5.6552952100739056</v>
      </c>
      <c r="N643" s="7">
        <f t="shared" si="15"/>
        <v>4.1579255470792189</v>
      </c>
      <c r="O643" s="7">
        <f t="shared" si="16"/>
        <v>2.899805376714629</v>
      </c>
      <c r="P643" s="7">
        <f t="shared" si="17"/>
        <v>1.530542412441888</v>
      </c>
      <c r="Q643">
        <v>1</v>
      </c>
      <c r="R643" s="7">
        <f t="shared" si="18"/>
        <v>22.267072248564027</v>
      </c>
      <c r="S643" s="7">
        <f>VLOOKUP($A643,Rotations!$A$1:$X$1441,18,0)</f>
        <v>4.4909361627660259E-2</v>
      </c>
      <c r="T643" s="7">
        <f>VLOOKUP($A643,Rotations!$A$1:$X$1441,19,0)</f>
        <v>0.25397569770038392</v>
      </c>
      <c r="U643" s="7">
        <f>VLOOKUP($A643,Rotations!$A$1:$X$1441,20,0)</f>
        <v>0.18672978201466778</v>
      </c>
      <c r="V643" s="7">
        <f>VLOOKUP($A643,Rotations!$A$1:$X$1441,21,0)</f>
        <v>0.13022840831271087</v>
      </c>
      <c r="W643" s="7">
        <f>VLOOKUP($A643,Rotations!$A$1:$X$1441,22,0)</f>
        <v>6.8735682686824298E-2</v>
      </c>
      <c r="X643" s="7">
        <f>VLOOKUP($A643,Rotations!$A$1:$X$1441,23,0)</f>
        <v>0.31542106765775285</v>
      </c>
    </row>
    <row r="644" spans="1:24" ht="15.75" customHeight="1" x14ac:dyDescent="0.3">
      <c r="A644">
        <v>635</v>
      </c>
      <c r="B644" t="str">
        <f>Permutations!I636</f>
        <v>p121 - i6:i2</v>
      </c>
      <c r="C644" t="str">
        <f>Permutations!J636</f>
        <v>p2 - i2:i3</v>
      </c>
      <c r="D644" t="str">
        <f>Permutations!K636</f>
        <v>p6 - i3:i5</v>
      </c>
      <c r="E644" t="str">
        <f>Permutations!L636</f>
        <v>p101 - i5:i1</v>
      </c>
      <c r="F644" t="str">
        <f>Permutations!M636</f>
        <v>p9 - i1:i4</v>
      </c>
      <c r="G644" s="7">
        <f>VLOOKUP(B644,Vlookup!$A$1:$B$30,2,0)</f>
        <v>1.2419340531937677</v>
      </c>
      <c r="H644" s="7">
        <f>VLOOKUP(C644,Vlookup!$A$1:$B$30,2,0)</f>
        <v>1.3601242124324544</v>
      </c>
      <c r="I644" s="7">
        <f>VLOOKUP(D644,Vlookup!$A$1:$B$30,2,0)</f>
        <v>2.2414716085286912</v>
      </c>
      <c r="J644" s="7">
        <f>VLOOKUP(E644,Vlookup!$A$1:$B$30,2,0)</f>
        <v>1.530542412441888</v>
      </c>
      <c r="K644" s="7">
        <f>VLOOKUP(F644,Vlookup!$A$1:$B$30,2,0)</f>
        <v>1.2538815092968505</v>
      </c>
      <c r="L644" s="7">
        <f t="shared" si="13"/>
        <v>7.2662814583233999</v>
      </c>
      <c r="M644" s="7">
        <f t="shared" si="14"/>
        <v>5.8507788232695388</v>
      </c>
      <c r="N644" s="7">
        <f t="shared" si="15"/>
        <v>4.3016503711862981</v>
      </c>
      <c r="O644" s="7">
        <f t="shared" si="16"/>
        <v>1.9191188301554771</v>
      </c>
      <c r="P644" s="7">
        <f t="shared" si="17"/>
        <v>1.2538815092968505</v>
      </c>
      <c r="Q644">
        <v>1</v>
      </c>
      <c r="R644" s="7">
        <f t="shared" si="18"/>
        <v>21.591710992231562</v>
      </c>
      <c r="S644" s="7">
        <f>VLOOKUP($A644,Rotations!$A$1:$X$1441,18,0)</f>
        <v>5.8072355162033337E-2</v>
      </c>
      <c r="T644" s="7">
        <f>VLOOKUP($A644,Rotations!$A$1:$X$1441,19,0)</f>
        <v>0.27097337609671501</v>
      </c>
      <c r="U644" s="7">
        <f>VLOOKUP($A644,Rotations!$A$1:$X$1441,20,0)</f>
        <v>0.19922693355491744</v>
      </c>
      <c r="V644" s="7">
        <f>VLOOKUP($A644,Rotations!$A$1:$X$1441,21,0)</f>
        <v>4.6314069337061246E-2</v>
      </c>
      <c r="W644" s="7">
        <f>VLOOKUP($A644,Rotations!$A$1:$X$1441,22,0)</f>
        <v>8.8882202565880628E-2</v>
      </c>
      <c r="X644" s="7">
        <f>VLOOKUP($A644,Rotations!$A$1:$X$1441,23,0)</f>
        <v>0.33653106328339244</v>
      </c>
    </row>
    <row r="645" spans="1:24" ht="15.75" customHeight="1" x14ac:dyDescent="0.3">
      <c r="A645">
        <v>636</v>
      </c>
      <c r="B645" t="str">
        <f>Permutations!I637</f>
        <v>p121 - i6:i2</v>
      </c>
      <c r="C645" t="str">
        <f>Permutations!J637</f>
        <v>p2 - i2:i3</v>
      </c>
      <c r="D645" t="str">
        <f>Permutations!K637</f>
        <v>p6 - i3:i5</v>
      </c>
      <c r="E645" t="str">
        <f>Permutations!L637</f>
        <v>p41 - i5:i4</v>
      </c>
      <c r="F645" t="str">
        <f>Permutations!M637</f>
        <v>p91 - i4:i1</v>
      </c>
      <c r="G645" s="7">
        <f>VLOOKUP(B645,Vlookup!$A$1:$B$30,2,0)</f>
        <v>1.2419340531937677</v>
      </c>
      <c r="H645" s="7">
        <f>VLOOKUP(C645,Vlookup!$A$1:$B$30,2,0)</f>
        <v>1.3601242124324544</v>
      </c>
      <c r="I645" s="7">
        <f>VLOOKUP(D645,Vlookup!$A$1:$B$30,2,0)</f>
        <v>2.2414716085286912</v>
      </c>
      <c r="J645" s="7">
        <f>VLOOKUP(E645,Vlookup!$A$1:$B$30,2,0)</f>
        <v>1.25400669441983</v>
      </c>
      <c r="K645" s="7">
        <f>VLOOKUP(F645,Vlookup!$A$1:$B$30,2,0)</f>
        <v>2.9131157743633094</v>
      </c>
      <c r="L645" s="7">
        <f t="shared" si="13"/>
        <v>13.831457586274176</v>
      </c>
      <c r="M645" s="7">
        <f t="shared" si="14"/>
        <v>11.137030626308288</v>
      </c>
      <c r="N645" s="7">
        <f t="shared" si="15"/>
        <v>8.188245253270475</v>
      </c>
      <c r="O645" s="7">
        <f t="shared" si="16"/>
        <v>3.653066682671597</v>
      </c>
      <c r="P645" s="7">
        <f t="shared" si="17"/>
        <v>2.9131157743633094</v>
      </c>
      <c r="Q645">
        <v>1</v>
      </c>
      <c r="R645" s="7">
        <f t="shared" si="18"/>
        <v>40.72291592288785</v>
      </c>
      <c r="S645" s="7">
        <f>VLOOKUP($A645,Rotations!$A$1:$X$1441,18,0)</f>
        <v>2.4556198330531666E-2</v>
      </c>
      <c r="T645" s="7">
        <f>VLOOKUP($A645,Rotations!$A$1:$X$1441,19,0)</f>
        <v>0.2734831328728316</v>
      </c>
      <c r="U645" s="7">
        <f>VLOOKUP($A645,Rotations!$A$1:$X$1441,20,0)</f>
        <v>0.20107217441834427</v>
      </c>
      <c r="V645" s="7">
        <f>VLOOKUP($A645,Rotations!$A$1:$X$1441,21,0)</f>
        <v>7.153504871506576E-2</v>
      </c>
      <c r="W645" s="7">
        <f>VLOOKUP($A645,Rotations!$A$1:$X$1441,22,0)</f>
        <v>8.9705429974341125E-2</v>
      </c>
      <c r="X645" s="7">
        <f>VLOOKUP($A645,Rotations!$A$1:$X$1441,23,0)</f>
        <v>0.33964801568888547</v>
      </c>
    </row>
    <row r="646" spans="1:24" ht="15.75" customHeight="1" x14ac:dyDescent="0.3">
      <c r="A646">
        <v>637</v>
      </c>
      <c r="B646" t="str">
        <f>Permutations!I638</f>
        <v>p121 - i6:i2</v>
      </c>
      <c r="C646" t="str">
        <f>Permutations!J638</f>
        <v>p5 - i2:i4</v>
      </c>
      <c r="D646" t="str">
        <f>Permutations!K638</f>
        <v>p91 - i4:i1</v>
      </c>
      <c r="E646" t="str">
        <f>Permutations!L638</f>
        <v>p8 - i1:i3</v>
      </c>
      <c r="F646" t="str">
        <f>Permutations!M638</f>
        <v>p6 - i3:i5</v>
      </c>
      <c r="G646" s="7">
        <f>VLOOKUP(B646,Vlookup!$A$1:$B$30,2,0)</f>
        <v>1.2419340531937677</v>
      </c>
      <c r="H646" s="7">
        <f>VLOOKUP(C646,Vlookup!$A$1:$B$30,2,0)</f>
        <v>0.9108240498099236</v>
      </c>
      <c r="I646" s="7">
        <f>VLOOKUP(D646,Vlookup!$A$1:$B$30,2,0)</f>
        <v>2.9131157743633094</v>
      </c>
      <c r="J646" s="7">
        <f>VLOOKUP(E646,Vlookup!$A$1:$B$30,2,0)</f>
        <v>1.1080774401297739</v>
      </c>
      <c r="K646" s="7">
        <f>VLOOKUP(F646,Vlookup!$A$1:$B$30,2,0)</f>
        <v>2.2414716085286912</v>
      </c>
      <c r="L646" s="7">
        <f t="shared" si="13"/>
        <v>8.1845371610409181</v>
      </c>
      <c r="M646" s="7">
        <f t="shared" si="14"/>
        <v>6.5901543966795151</v>
      </c>
      <c r="N646" s="7">
        <f t="shared" si="15"/>
        <v>7.2353759192621121</v>
      </c>
      <c r="O646" s="7">
        <f t="shared" si="16"/>
        <v>2.4837241221020387</v>
      </c>
      <c r="P646" s="7">
        <f t="shared" si="17"/>
        <v>2.2414716085286912</v>
      </c>
      <c r="Q646">
        <v>1</v>
      </c>
      <c r="R646" s="7">
        <f t="shared" si="18"/>
        <v>27.735263207613276</v>
      </c>
      <c r="S646" s="7">
        <f>VLOOKUP($A646,Rotations!$A$1:$X$1441,18,0)</f>
        <v>8.9551128594310983E-2</v>
      </c>
      <c r="T646" s="7">
        <f>VLOOKUP($A646,Rotations!$A$1:$X$1441,19,0)</f>
        <v>0.23760922502695164</v>
      </c>
      <c r="U646" s="7">
        <f>VLOOKUP($A646,Rotations!$A$1:$X$1441,20,0)</f>
        <v>8.0816669802268606E-2</v>
      </c>
      <c r="V646" s="7">
        <f>VLOOKUP($A646,Rotations!$A$1:$X$1441,21,0)</f>
        <v>0.26087280532012458</v>
      </c>
      <c r="W646" s="7">
        <f>VLOOKUP($A646,Rotations!$A$1:$X$1441,22,0)</f>
        <v>3.6055183342392147E-2</v>
      </c>
      <c r="X646" s="7">
        <f>VLOOKUP($A646,Rotations!$A$1:$X$1441,23,0)</f>
        <v>0.29509498791395206</v>
      </c>
    </row>
    <row r="647" spans="1:24" ht="15.75" customHeight="1" x14ac:dyDescent="0.3">
      <c r="A647">
        <v>638</v>
      </c>
      <c r="B647" t="str">
        <f>Permutations!I639</f>
        <v>p121 - i6:i2</v>
      </c>
      <c r="C647" t="str">
        <f>Permutations!J639</f>
        <v>p5 - i2:i4</v>
      </c>
      <c r="D647" t="str">
        <f>Permutations!K639</f>
        <v>p91 - i4:i1</v>
      </c>
      <c r="E647" t="str">
        <f>Permutations!L639</f>
        <v>p10 - i1:i5</v>
      </c>
      <c r="F647" t="str">
        <f>Permutations!M639</f>
        <v>p61 - i5:i3</v>
      </c>
      <c r="G647" s="7">
        <f>VLOOKUP(B647,Vlookup!$A$1:$B$30,2,0)</f>
        <v>1.2419340531937677</v>
      </c>
      <c r="H647" s="7">
        <f>VLOOKUP(C647,Vlookup!$A$1:$B$30,2,0)</f>
        <v>0.9108240498099236</v>
      </c>
      <c r="I647" s="7">
        <f>VLOOKUP(D647,Vlookup!$A$1:$B$30,2,0)</f>
        <v>2.9131157743633094</v>
      </c>
      <c r="J647" s="7">
        <f>VLOOKUP(E647,Vlookup!$A$1:$B$30,2,0)</f>
        <v>1.0847108741813811</v>
      </c>
      <c r="K647" s="7">
        <f>VLOOKUP(F647,Vlookup!$A$1:$B$30,2,0)</f>
        <v>1.9746367445127702</v>
      </c>
      <c r="L647" s="7">
        <f t="shared" si="13"/>
        <v>7.0581677811573167</v>
      </c>
      <c r="M647" s="7">
        <f t="shared" si="14"/>
        <v>5.6832065784865753</v>
      </c>
      <c r="N647" s="7">
        <f t="shared" si="15"/>
        <v>6.2396316606622122</v>
      </c>
      <c r="O647" s="7">
        <f t="shared" si="16"/>
        <v>2.1419099493311236</v>
      </c>
      <c r="P647" s="7">
        <f t="shared" si="17"/>
        <v>1.9746367445127702</v>
      </c>
      <c r="Q647">
        <v>1</v>
      </c>
      <c r="R647" s="7">
        <f t="shared" si="18"/>
        <v>24.097552714149998</v>
      </c>
      <c r="S647" s="7">
        <f>VLOOKUP($A647,Rotations!$A$1:$X$1441,18,0)</f>
        <v>8.8884957519914529E-2</v>
      </c>
      <c r="T647" s="7">
        <f>VLOOKUP($A647,Rotations!$A$1:$X$1441,19,0)</f>
        <v>0.23584164939493696</v>
      </c>
      <c r="U647" s="7">
        <f>VLOOKUP($A647,Rotations!$A$1:$X$1441,20,0)</f>
        <v>4.1497989935417944E-2</v>
      </c>
      <c r="V647" s="7">
        <f>VLOOKUP($A647,Rotations!$A$1:$X$1441,21,0)</f>
        <v>0.25893217185487566</v>
      </c>
      <c r="W647" s="7">
        <f>VLOOKUP($A647,Rotations!$A$1:$X$1441,22,0)</f>
        <v>8.1943455749897393E-2</v>
      </c>
      <c r="X647" s="7">
        <f>VLOOKUP($A647,Rotations!$A$1:$X$1441,23,0)</f>
        <v>0.29289977554495755</v>
      </c>
    </row>
    <row r="648" spans="1:24" ht="15.75" customHeight="1" x14ac:dyDescent="0.3">
      <c r="A648">
        <v>639</v>
      </c>
      <c r="B648" t="str">
        <f>Permutations!I640</f>
        <v>p121 - i6:i2</v>
      </c>
      <c r="C648" t="str">
        <f>Permutations!J640</f>
        <v>p5 - i2:i4</v>
      </c>
      <c r="D648" t="str">
        <f>Permutations!K640</f>
        <v>p31 - i4:i3</v>
      </c>
      <c r="E648" t="str">
        <f>Permutations!L640</f>
        <v>p81 - i3:i1</v>
      </c>
      <c r="F648" t="str">
        <f>Permutations!M640</f>
        <v>p10 - i1:i5</v>
      </c>
      <c r="G648" s="7">
        <f>VLOOKUP(B648,Vlookup!$A$1:$B$30,2,0)</f>
        <v>1.2419340531937677</v>
      </c>
      <c r="H648" s="7">
        <f>VLOOKUP(C648,Vlookup!$A$1:$B$30,2,0)</f>
        <v>0.9108240498099236</v>
      </c>
      <c r="I648" s="7">
        <f>VLOOKUP(D648,Vlookup!$A$1:$B$30,2,0)</f>
        <v>2.2388599512381115</v>
      </c>
      <c r="J648" s="7">
        <f>VLOOKUP(E648,Vlookup!$A$1:$B$30,2,0)</f>
        <v>1.7021844231989158</v>
      </c>
      <c r="K648" s="7">
        <f>VLOOKUP(F648,Vlookup!$A$1:$B$30,2,0)</f>
        <v>1.0847108741813811</v>
      </c>
      <c r="L648" s="7">
        <f t="shared" si="13"/>
        <v>4.6760652040471173</v>
      </c>
      <c r="M648" s="7">
        <f t="shared" si="14"/>
        <v>3.7651477484026712</v>
      </c>
      <c r="N648" s="7">
        <f t="shared" si="15"/>
        <v>4.1337816554013971</v>
      </c>
      <c r="O648" s="7">
        <f t="shared" si="16"/>
        <v>1.8463779537060261</v>
      </c>
      <c r="P648" s="7">
        <f t="shared" si="17"/>
        <v>1.0847108741813811</v>
      </c>
      <c r="Q648">
        <v>1</v>
      </c>
      <c r="R648" s="7">
        <f t="shared" si="18"/>
        <v>16.506083435738592</v>
      </c>
      <c r="S648" s="7">
        <f>VLOOKUP($A648,Rotations!$A$1:$X$1441,18,0)</f>
        <v>6.5715824011454468E-2</v>
      </c>
      <c r="T648" s="7">
        <f>VLOOKUP($A648,Rotations!$A$1:$X$1441,19,0)</f>
        <v>0.22810667128038745</v>
      </c>
      <c r="U648" s="7">
        <f>VLOOKUP($A648,Rotations!$A$1:$X$1441,20,0)</f>
        <v>0.1118604519899791</v>
      </c>
      <c r="V648" s="7">
        <f>VLOOKUP($A648,Rotations!$A$1:$X$1441,21,0)</f>
        <v>0.25043988608775769</v>
      </c>
      <c r="W648" s="7">
        <f>VLOOKUP($A648,Rotations!$A$1:$X$1441,22,0)</f>
        <v>6.0583723806631379E-2</v>
      </c>
      <c r="X648" s="7">
        <f>VLOOKUP($A648,Rotations!$A$1:$X$1441,23,0)</f>
        <v>0.28329344282378993</v>
      </c>
    </row>
    <row r="649" spans="1:24" ht="15.75" customHeight="1" x14ac:dyDescent="0.3">
      <c r="A649">
        <v>640</v>
      </c>
      <c r="B649" t="str">
        <f>Permutations!I641</f>
        <v>p121 - i6:i2</v>
      </c>
      <c r="C649" t="str">
        <f>Permutations!J641</f>
        <v>p5 - i2:i4</v>
      </c>
      <c r="D649" t="str">
        <f>Permutations!K641</f>
        <v>p31 - i4:i3</v>
      </c>
      <c r="E649" t="str">
        <f>Permutations!L641</f>
        <v>p6 - i3:i5</v>
      </c>
      <c r="F649" t="str">
        <f>Permutations!M641</f>
        <v>p101 - i5:i1</v>
      </c>
      <c r="G649" s="7">
        <f>VLOOKUP(B649,Vlookup!$A$1:$B$30,2,0)</f>
        <v>1.2419340531937677</v>
      </c>
      <c r="H649" s="7">
        <f>VLOOKUP(C649,Vlookup!$A$1:$B$30,2,0)</f>
        <v>0.9108240498099236</v>
      </c>
      <c r="I649" s="7">
        <f>VLOOKUP(D649,Vlookup!$A$1:$B$30,2,0)</f>
        <v>2.2388599512381115</v>
      </c>
      <c r="J649" s="7">
        <f>VLOOKUP(E649,Vlookup!$A$1:$B$30,2,0)</f>
        <v>2.2414716085286912</v>
      </c>
      <c r="K649" s="7">
        <f>VLOOKUP(F649,Vlookup!$A$1:$B$30,2,0)</f>
        <v>1.530542412441888</v>
      </c>
      <c r="L649" s="7">
        <f t="shared" si="13"/>
        <v>8.6883751245122944</v>
      </c>
      <c r="M649" s="7">
        <f t="shared" si="14"/>
        <v>6.99584257486877</v>
      </c>
      <c r="N649" s="7">
        <f t="shared" si="15"/>
        <v>7.6807837653482096</v>
      </c>
      <c r="O649" s="7">
        <f t="shared" si="16"/>
        <v>3.4306673631375024</v>
      </c>
      <c r="P649" s="7">
        <f t="shared" si="17"/>
        <v>1.530542412441888</v>
      </c>
      <c r="Q649">
        <v>1</v>
      </c>
      <c r="R649" s="7">
        <f t="shared" si="18"/>
        <v>29.326211240308666</v>
      </c>
      <c r="S649" s="7">
        <f>VLOOKUP($A649,Rotations!$A$1:$X$1441,18,0)</f>
        <v>3.409918832697717E-2</v>
      </c>
      <c r="T649" s="7">
        <f>VLOOKUP($A649,Rotations!$A$1:$X$1441,19,0)</f>
        <v>0.23855255346633508</v>
      </c>
      <c r="U649" s="7">
        <f>VLOOKUP($A649,Rotations!$A$1:$X$1441,20,0)</f>
        <v>0.11698297250283987</v>
      </c>
      <c r="V649" s="7">
        <f>VLOOKUP($A649,Rotations!$A$1:$X$1441,21,0)</f>
        <v>0.26190849211339745</v>
      </c>
      <c r="W649" s="7">
        <f>VLOOKUP($A649,Rotations!$A$1:$X$1441,22,0)</f>
        <v>5.219025396428191E-2</v>
      </c>
      <c r="X649" s="7">
        <f>VLOOKUP($A649,Rotations!$A$1:$X$1441,23,0)</f>
        <v>0.29626653962616845</v>
      </c>
    </row>
    <row r="650" spans="1:24" ht="15.75" customHeight="1" x14ac:dyDescent="0.3">
      <c r="A650">
        <v>641</v>
      </c>
      <c r="B650" t="str">
        <f>Permutations!I642</f>
        <v>p121 - i6:i2</v>
      </c>
      <c r="C650" t="str">
        <f>Permutations!J642</f>
        <v>p5 - i2:i4</v>
      </c>
      <c r="D650" t="str">
        <f>Permutations!K642</f>
        <v>p4 - i4:i5</v>
      </c>
      <c r="E650" t="str">
        <f>Permutations!L642</f>
        <v>p101 - i5:i1</v>
      </c>
      <c r="F650" t="str">
        <f>Permutations!M642</f>
        <v>p8 - i1:i3</v>
      </c>
      <c r="G650" s="7">
        <f>VLOOKUP(B650,Vlookup!$A$1:$B$30,2,0)</f>
        <v>1.2419340531937677</v>
      </c>
      <c r="H650" s="7">
        <f>VLOOKUP(C650,Vlookup!$A$1:$B$30,2,0)</f>
        <v>0.9108240498099236</v>
      </c>
      <c r="I650" s="7">
        <f>VLOOKUP(D650,Vlookup!$A$1:$B$30,2,0)</f>
        <v>1.89462595295753</v>
      </c>
      <c r="J650" s="7">
        <f>VLOOKUP(E650,Vlookup!$A$1:$B$30,2,0)</f>
        <v>1.530542412441888</v>
      </c>
      <c r="K650" s="7">
        <f>VLOOKUP(F650,Vlookup!$A$1:$B$30,2,0)</f>
        <v>1.1080774401297739</v>
      </c>
      <c r="L650" s="7">
        <f t="shared" si="13"/>
        <v>3.6347286021881113</v>
      </c>
      <c r="M650" s="7">
        <f t="shared" si="14"/>
        <v>2.9266679602197989</v>
      </c>
      <c r="N650" s="7">
        <f t="shared" si="15"/>
        <v>3.2132089187045008</v>
      </c>
      <c r="O650" s="7">
        <f t="shared" si="16"/>
        <v>1.695959518388656</v>
      </c>
      <c r="P650" s="7">
        <f t="shared" si="17"/>
        <v>1.1080774401297739</v>
      </c>
      <c r="Q650">
        <v>1</v>
      </c>
      <c r="R650" s="7">
        <f t="shared" si="18"/>
        <v>13.578642439630842</v>
      </c>
      <c r="S650" s="7">
        <f>VLOOKUP($A650,Rotations!$A$1:$X$1441,18,0)</f>
        <v>8.1604434688973132E-2</v>
      </c>
      <c r="T650" s="7">
        <f>VLOOKUP($A650,Rotations!$A$1:$X$1441,19,0)</f>
        <v>0.21553465106923939</v>
      </c>
      <c r="U650" s="7">
        <f>VLOOKUP($A650,Rotations!$A$1:$X$1441,20,0)</f>
        <v>7.3645064626002968E-2</v>
      </c>
      <c r="V650" s="7">
        <f>VLOOKUP($A650,Rotations!$A$1:$X$1441,21,0)</f>
        <v>0.23663697847484208</v>
      </c>
      <c r="W650" s="7">
        <f>VLOOKUP($A650,Rotations!$A$1:$X$1441,22,0)</f>
        <v>0.12489904833481744</v>
      </c>
      <c r="X650" s="7">
        <f>VLOOKUP($A650,Rotations!$A$1:$X$1441,23,0)</f>
        <v>0.2676798228061249</v>
      </c>
    </row>
    <row r="651" spans="1:24" ht="15.75" customHeight="1" x14ac:dyDescent="0.3">
      <c r="A651">
        <v>642</v>
      </c>
      <c r="B651" t="str">
        <f>Permutations!I643</f>
        <v>p121 - i6:i2</v>
      </c>
      <c r="C651" t="str">
        <f>Permutations!J643</f>
        <v>p5 - i2:i4</v>
      </c>
      <c r="D651" t="str">
        <f>Permutations!K643</f>
        <v>p4 - i4:i5</v>
      </c>
      <c r="E651" t="str">
        <f>Permutations!L643</f>
        <v>p61 - i5:i3</v>
      </c>
      <c r="F651" t="str">
        <f>Permutations!M643</f>
        <v>p81 - i3:i1</v>
      </c>
      <c r="G651" s="7">
        <f>VLOOKUP(B651,Vlookup!$A$1:$B$30,2,0)</f>
        <v>1.2419340531937677</v>
      </c>
      <c r="H651" s="7">
        <f>VLOOKUP(C651,Vlookup!$A$1:$B$30,2,0)</f>
        <v>0.9108240498099236</v>
      </c>
      <c r="I651" s="7">
        <f>VLOOKUP(D651,Vlookup!$A$1:$B$30,2,0)</f>
        <v>1.89462595295753</v>
      </c>
      <c r="J651" s="7">
        <f>VLOOKUP(E651,Vlookup!$A$1:$B$30,2,0)</f>
        <v>1.9746367445127702</v>
      </c>
      <c r="K651" s="7">
        <f>VLOOKUP(F651,Vlookup!$A$1:$B$30,2,0)</f>
        <v>1.7021844231989158</v>
      </c>
      <c r="L651" s="7">
        <f t="shared" si="13"/>
        <v>7.2036123338140303</v>
      </c>
      <c r="M651" s="7">
        <f t="shared" si="14"/>
        <v>5.800317911638837</v>
      </c>
      <c r="N651" s="7">
        <f t="shared" si="15"/>
        <v>6.3682090002446508</v>
      </c>
      <c r="O651" s="7">
        <f t="shared" si="16"/>
        <v>3.3611959079858544</v>
      </c>
      <c r="P651" s="7">
        <f t="shared" si="17"/>
        <v>1.7021844231989158</v>
      </c>
      <c r="Q651">
        <v>1</v>
      </c>
      <c r="R651" s="7">
        <f t="shared" si="18"/>
        <v>25.435519576882289</v>
      </c>
      <c r="S651" s="7">
        <f>VLOOKUP($A651,Rotations!$A$1:$X$1441,18,0)</f>
        <v>3.9315100168383237E-2</v>
      </c>
      <c r="T651" s="7">
        <f>VLOOKUP($A651,Rotations!$A$1:$X$1441,19,0)</f>
        <v>0.22804007970454834</v>
      </c>
      <c r="U651" s="7">
        <f>VLOOKUP($A651,Rotations!$A$1:$X$1441,20,0)</f>
        <v>6.6921551103127017E-2</v>
      </c>
      <c r="V651" s="7">
        <f>VLOOKUP($A651,Rotations!$A$1:$X$1441,21,0)</f>
        <v>0.2503667747378181</v>
      </c>
      <c r="W651" s="7">
        <f>VLOOKUP($A651,Rotations!$A$1:$X$1441,22,0)</f>
        <v>0.13214575380802371</v>
      </c>
      <c r="X651" s="7">
        <f>VLOOKUP($A651,Rotations!$A$1:$X$1441,23,0)</f>
        <v>0.28321074047809952</v>
      </c>
    </row>
    <row r="652" spans="1:24" ht="15.75" customHeight="1" x14ac:dyDescent="0.3">
      <c r="A652">
        <v>643</v>
      </c>
      <c r="B652" t="str">
        <f>Permutations!I644</f>
        <v>p121 - i6:i2</v>
      </c>
      <c r="C652" t="str">
        <f>Permutations!J644</f>
        <v>p7 - i2:i5</v>
      </c>
      <c r="D652" t="str">
        <f>Permutations!K644</f>
        <v>p101 - i5:i1</v>
      </c>
      <c r="E652" t="str">
        <f>Permutations!L644</f>
        <v>p8 - i1:i3</v>
      </c>
      <c r="F652" t="str">
        <f>Permutations!M644</f>
        <v>p3 - i3:i4</v>
      </c>
      <c r="G652" s="7">
        <f>VLOOKUP(B652,Vlookup!$A$1:$B$30,2,0)</f>
        <v>1.2419340531937677</v>
      </c>
      <c r="H652" s="7">
        <f>VLOOKUP(C652,Vlookup!$A$1:$B$30,2,0)</f>
        <v>1.7991741228251155</v>
      </c>
      <c r="I652" s="7">
        <f>VLOOKUP(D652,Vlookup!$A$1:$B$30,2,0)</f>
        <v>1.530542412441888</v>
      </c>
      <c r="J652" s="7">
        <f>VLOOKUP(E652,Vlookup!$A$1:$B$30,2,0)</f>
        <v>1.1080774401297739</v>
      </c>
      <c r="K652" s="7">
        <f>VLOOKUP(F652,Vlookup!$A$1:$B$30,2,0)</f>
        <v>1.4338636587362954</v>
      </c>
      <c r="L652" s="7">
        <f t="shared" si="13"/>
        <v>5.4336926674475867</v>
      </c>
      <c r="M652" s="7">
        <f t="shared" si="14"/>
        <v>4.3751861489539303</v>
      </c>
      <c r="N652" s="7">
        <f t="shared" si="15"/>
        <v>2.4317747201054036</v>
      </c>
      <c r="O652" s="7">
        <f t="shared" si="16"/>
        <v>1.5888319724676261</v>
      </c>
      <c r="P652" s="7">
        <f t="shared" si="17"/>
        <v>1.4338636587362954</v>
      </c>
      <c r="Q652">
        <v>1</v>
      </c>
      <c r="R652" s="7">
        <f t="shared" si="18"/>
        <v>16.263349167710842</v>
      </c>
      <c r="S652" s="7">
        <f>VLOOKUP($A652,Rotations!$A$1:$X$1441,18,0)</f>
        <v>9.7694020836869427E-2</v>
      </c>
      <c r="T652" s="7">
        <f>VLOOKUP($A652,Rotations!$A$1:$X$1441,19,0)</f>
        <v>0.2690212270446975</v>
      </c>
      <c r="U652" s="7">
        <f>VLOOKUP($A652,Rotations!$A$1:$X$1441,20,0)</f>
        <v>8.8165336914925244E-2</v>
      </c>
      <c r="V652" s="7">
        <f>VLOOKUP($A652,Rotations!$A$1:$X$1441,21,0)</f>
        <v>6.1487949971915631E-2</v>
      </c>
      <c r="W652" s="7">
        <f>VLOOKUP($A652,Rotations!$A$1:$X$1441,22,0)</f>
        <v>0.14952484233281019</v>
      </c>
      <c r="X652" s="7">
        <f>VLOOKUP($A652,Rotations!$A$1:$X$1441,23,0)</f>
        <v>0.33410662289878201</v>
      </c>
    </row>
    <row r="653" spans="1:24" ht="15.75" customHeight="1" x14ac:dyDescent="0.3">
      <c r="A653">
        <v>644</v>
      </c>
      <c r="B653" t="str">
        <f>Permutations!I645</f>
        <v>p121 - i6:i2</v>
      </c>
      <c r="C653" t="str">
        <f>Permutations!J645</f>
        <v>p7 - i2:i5</v>
      </c>
      <c r="D653" t="str">
        <f>Permutations!K645</f>
        <v>p101 - i5:i1</v>
      </c>
      <c r="E653" t="str">
        <f>Permutations!L645</f>
        <v>p9 - i1:i4</v>
      </c>
      <c r="F653" t="str">
        <f>Permutations!M645</f>
        <v>p31 - i4:i3</v>
      </c>
      <c r="G653" s="7">
        <f>VLOOKUP(B653,Vlookup!$A$1:$B$30,2,0)</f>
        <v>1.2419340531937677</v>
      </c>
      <c r="H653" s="7">
        <f>VLOOKUP(C653,Vlookup!$A$1:$B$30,2,0)</f>
        <v>1.7991741228251155</v>
      </c>
      <c r="I653" s="7">
        <f>VLOOKUP(D653,Vlookup!$A$1:$B$30,2,0)</f>
        <v>1.530542412441888</v>
      </c>
      <c r="J653" s="7">
        <f>VLOOKUP(E653,Vlookup!$A$1:$B$30,2,0)</f>
        <v>1.2538815092968505</v>
      </c>
      <c r="K653" s="7">
        <f>VLOOKUP(F653,Vlookup!$A$1:$B$30,2,0)</f>
        <v>2.2388599512381115</v>
      </c>
      <c r="L653" s="7">
        <f t="shared" si="13"/>
        <v>9.6006475356251304</v>
      </c>
      <c r="M653" s="7">
        <f t="shared" si="14"/>
        <v>7.7304004274107996</v>
      </c>
      <c r="N653" s="7">
        <f t="shared" si="15"/>
        <v>4.2966382905020328</v>
      </c>
      <c r="O653" s="7">
        <f t="shared" si="16"/>
        <v>2.8072650947627165</v>
      </c>
      <c r="P653" s="7">
        <f t="shared" si="17"/>
        <v>2.2388599512381115</v>
      </c>
      <c r="Q653">
        <v>1</v>
      </c>
      <c r="R653" s="7">
        <f t="shared" si="18"/>
        <v>27.673811299538787</v>
      </c>
      <c r="S653" s="7">
        <f>VLOOKUP($A653,Rotations!$A$1:$X$1441,18,0)</f>
        <v>0.10144121690999253</v>
      </c>
      <c r="T653" s="7">
        <f>VLOOKUP($A653,Rotations!$A$1:$X$1441,19,0)</f>
        <v>0.27933992697058085</v>
      </c>
      <c r="U653" s="7">
        <f>VLOOKUP($A653,Rotations!$A$1:$X$1441,20,0)</f>
        <v>3.6135246756440302E-2</v>
      </c>
      <c r="V653" s="7">
        <f>VLOOKUP($A653,Rotations!$A$1:$X$1441,21,0)</f>
        <v>8.0901756791101065E-2</v>
      </c>
      <c r="W653" s="7">
        <f>VLOOKUP($A653,Rotations!$A$1:$X$1441,22,0)</f>
        <v>0.15526008485046081</v>
      </c>
      <c r="X653" s="7">
        <f>VLOOKUP($A653,Rotations!$A$1:$X$1441,23,0)</f>
        <v>0.34692176772142458</v>
      </c>
    </row>
    <row r="654" spans="1:24" ht="15.75" customHeight="1" x14ac:dyDescent="0.3">
      <c r="A654">
        <v>645</v>
      </c>
      <c r="B654" t="str">
        <f>Permutations!I646</f>
        <v>p121 - i6:i2</v>
      </c>
      <c r="C654" t="str">
        <f>Permutations!J646</f>
        <v>p7 - i2:i5</v>
      </c>
      <c r="D654" t="str">
        <f>Permutations!K646</f>
        <v>p61 - i5:i3</v>
      </c>
      <c r="E654" t="str">
        <f>Permutations!L646</f>
        <v>p81 - i3:i1</v>
      </c>
      <c r="F654" t="str">
        <f>Permutations!M646</f>
        <v>p9 - i1:i4</v>
      </c>
      <c r="G654" s="7">
        <f>VLOOKUP(B654,Vlookup!$A$1:$B$30,2,0)</f>
        <v>1.2419340531937677</v>
      </c>
      <c r="H654" s="7">
        <f>VLOOKUP(C654,Vlookup!$A$1:$B$30,2,0)</f>
        <v>1.7991741228251155</v>
      </c>
      <c r="I654" s="7">
        <f>VLOOKUP(D654,Vlookup!$A$1:$B$30,2,0)</f>
        <v>1.9746367445127702</v>
      </c>
      <c r="J654" s="7">
        <f>VLOOKUP(E654,Vlookup!$A$1:$B$30,2,0)</f>
        <v>1.7021844231989158</v>
      </c>
      <c r="K654" s="7">
        <f>VLOOKUP(F654,Vlookup!$A$1:$B$30,2,0)</f>
        <v>1.2538815092968505</v>
      </c>
      <c r="L654" s="7">
        <f t="shared" si="13"/>
        <v>9.4172056738779055</v>
      </c>
      <c r="M654" s="7">
        <f t="shared" si="14"/>
        <v>7.5826938231225256</v>
      </c>
      <c r="N654" s="7">
        <f t="shared" si="15"/>
        <v>4.2145413981477011</v>
      </c>
      <c r="O654" s="7">
        <f t="shared" si="16"/>
        <v>2.1343375736622456</v>
      </c>
      <c r="P654" s="7">
        <f t="shared" si="17"/>
        <v>1.2538815092968505</v>
      </c>
      <c r="Q654">
        <v>1</v>
      </c>
      <c r="R654" s="7">
        <f t="shared" si="18"/>
        <v>25.60265997810723</v>
      </c>
      <c r="S654" s="7">
        <f>VLOOKUP($A654,Rotations!$A$1:$X$1441,18,0)</f>
        <v>4.8974657725761366E-2</v>
      </c>
      <c r="T654" s="7">
        <f>VLOOKUP($A654,Rotations!$A$1:$X$1441,19,0)</f>
        <v>0.29616820399155663</v>
      </c>
      <c r="U654" s="7">
        <f>VLOOKUP($A654,Rotations!$A$1:$X$1441,20,0)</f>
        <v>8.3363899512289438E-2</v>
      </c>
      <c r="V654" s="7">
        <f>VLOOKUP($A654,Rotations!$A$1:$X$1441,21,0)</f>
        <v>3.9058441617202955E-2</v>
      </c>
      <c r="W654" s="7">
        <f>VLOOKUP($A654,Rotations!$A$1:$X$1441,22,0)</f>
        <v>0.16461341914283692</v>
      </c>
      <c r="X654" s="7">
        <f>VLOOKUP($A654,Rotations!$A$1:$X$1441,23,0)</f>
        <v>0.36782137801035258</v>
      </c>
    </row>
    <row r="655" spans="1:24" ht="15.75" customHeight="1" x14ac:dyDescent="0.3">
      <c r="A655">
        <v>646</v>
      </c>
      <c r="B655" t="str">
        <f>Permutations!I647</f>
        <v>p121 - i6:i2</v>
      </c>
      <c r="C655" t="str">
        <f>Permutations!J647</f>
        <v>p7 - i2:i5</v>
      </c>
      <c r="D655" t="str">
        <f>Permutations!K647</f>
        <v>p61 - i5:i3</v>
      </c>
      <c r="E655" t="str">
        <f>Permutations!L647</f>
        <v>p3 - i3:i4</v>
      </c>
      <c r="F655" t="str">
        <f>Permutations!M647</f>
        <v>p91 - i4:i1</v>
      </c>
      <c r="G655" s="7">
        <f>VLOOKUP(B655,Vlookup!$A$1:$B$30,2,0)</f>
        <v>1.2419340531937677</v>
      </c>
      <c r="H655" s="7">
        <f>VLOOKUP(C655,Vlookup!$A$1:$B$30,2,0)</f>
        <v>1.7991741228251155</v>
      </c>
      <c r="I655" s="7">
        <f>VLOOKUP(D655,Vlookup!$A$1:$B$30,2,0)</f>
        <v>1.9746367445127702</v>
      </c>
      <c r="J655" s="7">
        <f>VLOOKUP(E655,Vlookup!$A$1:$B$30,2,0)</f>
        <v>1.4338636587362954</v>
      </c>
      <c r="K655" s="7">
        <f>VLOOKUP(F655,Vlookup!$A$1:$B$30,2,0)</f>
        <v>2.9131157743633094</v>
      </c>
      <c r="L655" s="7">
        <f t="shared" si="13"/>
        <v>18.429966604966644</v>
      </c>
      <c r="M655" s="7">
        <f t="shared" si="14"/>
        <v>14.839730465214311</v>
      </c>
      <c r="N655" s="7">
        <f t="shared" si="15"/>
        <v>8.2480790919294318</v>
      </c>
      <c r="O655" s="7">
        <f t="shared" si="16"/>
        <v>4.1770108425509909</v>
      </c>
      <c r="P655" s="7">
        <f t="shared" si="17"/>
        <v>2.9131157743633094</v>
      </c>
      <c r="Q655">
        <v>1</v>
      </c>
      <c r="R655" s="7">
        <f t="shared" si="18"/>
        <v>49.607902779024691</v>
      </c>
      <c r="S655" s="7">
        <f>VLOOKUP($A655,Rotations!$A$1:$X$1441,18,0)</f>
        <v>2.0158078531447653E-2</v>
      </c>
      <c r="T655" s="7">
        <f>VLOOKUP($A655,Rotations!$A$1:$X$1441,19,0)</f>
        <v>0.29914045210330631</v>
      </c>
      <c r="U655" s="7">
        <f>VLOOKUP($A655,Rotations!$A$1:$X$1441,20,0)</f>
        <v>8.4200512590851206E-2</v>
      </c>
      <c r="V655" s="7">
        <f>VLOOKUP($A655,Rotations!$A$1:$X$1441,21,0)</f>
        <v>5.872281655081453E-2</v>
      </c>
      <c r="W655" s="7">
        <f>VLOOKUP($A655,Rotations!$A$1:$X$1441,22,0)</f>
        <v>0.16626542606870492</v>
      </c>
      <c r="X655" s="7">
        <f>VLOOKUP($A655,Rotations!$A$1:$X$1441,23,0)</f>
        <v>0.3715127141548753</v>
      </c>
    </row>
    <row r="656" spans="1:24" ht="15.75" customHeight="1" x14ac:dyDescent="0.3">
      <c r="A656">
        <v>647</v>
      </c>
      <c r="B656" t="str">
        <f>Permutations!I648</f>
        <v>p121 - i6:i2</v>
      </c>
      <c r="C656" t="str">
        <f>Permutations!J648</f>
        <v>p7 - i2:i5</v>
      </c>
      <c r="D656" t="str">
        <f>Permutations!K648</f>
        <v>p41 - i5:i4</v>
      </c>
      <c r="E656" t="str">
        <f>Permutations!L648</f>
        <v>p91 - i4:i1</v>
      </c>
      <c r="F656" t="str">
        <f>Permutations!M648</f>
        <v>p8 - i1:i3</v>
      </c>
      <c r="G656" s="7">
        <f>VLOOKUP(B656,Vlookup!$A$1:$B$30,2,0)</f>
        <v>1.2419340531937677</v>
      </c>
      <c r="H656" s="7">
        <f>VLOOKUP(C656,Vlookup!$A$1:$B$30,2,0)</f>
        <v>1.7991741228251155</v>
      </c>
      <c r="I656" s="7">
        <f>VLOOKUP(D656,Vlookup!$A$1:$B$30,2,0)</f>
        <v>1.25400669441983</v>
      </c>
      <c r="J656" s="7">
        <f>VLOOKUP(E656,Vlookup!$A$1:$B$30,2,0)</f>
        <v>2.9131157743633094</v>
      </c>
      <c r="K656" s="7">
        <f>VLOOKUP(F656,Vlookup!$A$1:$B$30,2,0)</f>
        <v>1.1080774401297739</v>
      </c>
      <c r="L656" s="7">
        <f t="shared" si="13"/>
        <v>9.044809916896055</v>
      </c>
      <c r="M656" s="7">
        <f t="shared" si="14"/>
        <v>7.2828423487030953</v>
      </c>
      <c r="N656" s="7">
        <f t="shared" si="15"/>
        <v>4.0478807783581088</v>
      </c>
      <c r="O656" s="7">
        <f t="shared" si="16"/>
        <v>3.2279578700581602</v>
      </c>
      <c r="P656" s="7">
        <f t="shared" si="17"/>
        <v>1.1080774401297739</v>
      </c>
      <c r="Q656">
        <v>1</v>
      </c>
      <c r="R656" s="7">
        <f t="shared" si="18"/>
        <v>25.711568354145189</v>
      </c>
      <c r="S656" s="7">
        <f>VLOOKUP($A656,Rotations!$A$1:$X$1441,18,0)</f>
        <v>4.309645467236272E-2</v>
      </c>
      <c r="T656" s="7">
        <f>VLOOKUP($A656,Rotations!$A$1:$X$1441,19,0)</f>
        <v>0.28325157953769725</v>
      </c>
      <c r="U656" s="7">
        <f>VLOOKUP($A656,Rotations!$A$1:$X$1441,20,0)</f>
        <v>3.8892998911082804E-2</v>
      </c>
      <c r="V656" s="7">
        <f>VLOOKUP($A656,Rotations!$A$1:$X$1441,21,0)</f>
        <v>0.12554496192519321</v>
      </c>
      <c r="W656" s="7">
        <f>VLOOKUP($A656,Rotations!$A$1:$X$1441,22,0)</f>
        <v>0.15743422270487495</v>
      </c>
      <c r="X656" s="7">
        <f>VLOOKUP($A656,Rotations!$A$1:$X$1441,23,0)</f>
        <v>0.35177978224878925</v>
      </c>
    </row>
    <row r="657" spans="1:24" ht="15.75" customHeight="1" x14ac:dyDescent="0.3">
      <c r="A657">
        <v>648</v>
      </c>
      <c r="B657" t="str">
        <f>Permutations!I649</f>
        <v>p121 - i6:i2</v>
      </c>
      <c r="C657" t="str">
        <f>Permutations!J649</f>
        <v>p7 - i2:i5</v>
      </c>
      <c r="D657" t="str">
        <f>Permutations!K649</f>
        <v>p41 - i5:i4</v>
      </c>
      <c r="E657" t="str">
        <f>Permutations!L649</f>
        <v>p31 - i4:i3</v>
      </c>
      <c r="F657" t="str">
        <f>Permutations!M649</f>
        <v>p81 - i3:i1</v>
      </c>
      <c r="G657" s="7">
        <f>VLOOKUP(B657,Vlookup!$A$1:$B$30,2,0)</f>
        <v>1.2419340531937677</v>
      </c>
      <c r="H657" s="7">
        <f>VLOOKUP(C657,Vlookup!$A$1:$B$30,2,0)</f>
        <v>1.7991741228251155</v>
      </c>
      <c r="I657" s="7">
        <f>VLOOKUP(D657,Vlookup!$A$1:$B$30,2,0)</f>
        <v>1.25400669441983</v>
      </c>
      <c r="J657" s="7">
        <f>VLOOKUP(E657,Vlookup!$A$1:$B$30,2,0)</f>
        <v>2.2388599512381115</v>
      </c>
      <c r="K657" s="7">
        <f>VLOOKUP(F657,Vlookup!$A$1:$B$30,2,0)</f>
        <v>1.7021844231989158</v>
      </c>
      <c r="L657" s="7">
        <f t="shared" si="13"/>
        <v>10.67837396472811</v>
      </c>
      <c r="M657" s="7">
        <f t="shared" si="14"/>
        <v>8.5981811492063649</v>
      </c>
      <c r="N657" s="7">
        <f t="shared" si="15"/>
        <v>4.778959990656853</v>
      </c>
      <c r="O657" s="7">
        <f t="shared" si="16"/>
        <v>3.8109525347213977</v>
      </c>
      <c r="P657" s="7">
        <f t="shared" si="17"/>
        <v>1.7021844231989158</v>
      </c>
      <c r="Q657">
        <v>1</v>
      </c>
      <c r="R657" s="7">
        <f t="shared" si="18"/>
        <v>30.568652062511642</v>
      </c>
      <c r="S657" s="7">
        <f>VLOOKUP($A657,Rotations!$A$1:$X$1441,18,0)</f>
        <v>3.2713251403923241E-2</v>
      </c>
      <c r="T657" s="7">
        <f>VLOOKUP($A657,Rotations!$A$1:$X$1441,19,0)</f>
        <v>0.28127446155046143</v>
      </c>
      <c r="U657" s="7">
        <f>VLOOKUP($A657,Rotations!$A$1:$X$1441,20,0)</f>
        <v>5.56839869719482E-2</v>
      </c>
      <c r="V657" s="7">
        <f>VLOOKUP($A657,Rotations!$A$1:$X$1441,21,0)</f>
        <v>0.12466864835675959</v>
      </c>
      <c r="W657" s="7">
        <f>VLOOKUP($A657,Rotations!$A$1:$X$1441,22,0)</f>
        <v>0.15633531962364827</v>
      </c>
      <c r="X657" s="7">
        <f>VLOOKUP($A657,Rotations!$A$1:$X$1441,23,0)</f>
        <v>0.34932433209325919</v>
      </c>
    </row>
    <row r="658" spans="1:24" ht="15.75" customHeight="1" x14ac:dyDescent="0.3">
      <c r="A658">
        <v>649</v>
      </c>
      <c r="B658" t="str">
        <f>Permutations!I650</f>
        <v>p131 - i6:i3</v>
      </c>
      <c r="C658" t="str">
        <f>Permutations!J650</f>
        <v>p81 - i3:i1</v>
      </c>
      <c r="D658" t="str">
        <f>Permutations!K650</f>
        <v>p1 - i1:i2</v>
      </c>
      <c r="E658" t="str">
        <f>Permutations!L650</f>
        <v>p5 - i2:i4</v>
      </c>
      <c r="F658" t="str">
        <f>Permutations!M650</f>
        <v>p4 - i4:i5</v>
      </c>
      <c r="G658" s="7">
        <f>VLOOKUP(B658,Vlookup!$A$1:$B$30,2,0)</f>
        <v>1.4032439022773779</v>
      </c>
      <c r="H658" s="7">
        <f>VLOOKUP(C658,Vlookup!$A$1:$B$30,2,0)</f>
        <v>1.7021844231989158</v>
      </c>
      <c r="I658" s="7">
        <f>VLOOKUP(D658,Vlookup!$A$1:$B$30,2,0)</f>
        <v>1.6373343116675814</v>
      </c>
      <c r="J658" s="7">
        <f>VLOOKUP(E658,Vlookup!$A$1:$B$30,2,0)</f>
        <v>0.9108240498099236</v>
      </c>
      <c r="K658" s="7">
        <f>VLOOKUP(F658,Vlookup!$A$1:$B$30,2,0)</f>
        <v>1.89462595295753</v>
      </c>
      <c r="L658" s="7">
        <f t="shared" si="13"/>
        <v>6.7489328958942778</v>
      </c>
      <c r="M658" s="7">
        <f t="shared" si="14"/>
        <v>4.809522339588419</v>
      </c>
      <c r="N658" s="7">
        <f t="shared" si="15"/>
        <v>2.8255001479509971</v>
      </c>
      <c r="O658" s="7">
        <f t="shared" si="16"/>
        <v>1.7256708833477632</v>
      </c>
      <c r="P658" s="7">
        <f t="shared" si="17"/>
        <v>1.89462595295753</v>
      </c>
      <c r="Q658">
        <v>1</v>
      </c>
      <c r="R658" s="7">
        <f t="shared" si="18"/>
        <v>19.004252219738987</v>
      </c>
      <c r="S658" s="7">
        <f>VLOOKUP($A658,Rotations!$A$1:$X$1441,18,0)</f>
        <v>0.14867725997744119</v>
      </c>
      <c r="T658" s="7">
        <f>VLOOKUP($A658,Rotations!$A$1:$X$1441,19,0)</f>
        <v>9.0804461201339726E-2</v>
      </c>
      <c r="U658" s="7">
        <f>VLOOKUP($A658,Rotations!$A$1:$X$1441,20,0)</f>
        <v>0.25307611601749597</v>
      </c>
      <c r="V658" s="7">
        <f>VLOOKUP($A658,Rotations!$A$1:$X$1441,21,0)</f>
        <v>9.9694843609245243E-2</v>
      </c>
      <c r="W658" s="7">
        <f>VLOOKUP($A658,Rotations!$A$1:$X$1441,22,0)</f>
        <v>5.2619802580884417E-2</v>
      </c>
      <c r="X658" s="7">
        <f>VLOOKUP($A658,Rotations!$A$1:$X$1441,23,0)</f>
        <v>0.35512751661359349</v>
      </c>
    </row>
    <row r="659" spans="1:24" ht="15.75" customHeight="1" x14ac:dyDescent="0.3">
      <c r="A659">
        <v>650</v>
      </c>
      <c r="B659" t="str">
        <f>Permutations!I651</f>
        <v>p131 - i6:i3</v>
      </c>
      <c r="C659" t="str">
        <f>Permutations!J651</f>
        <v>p81 - i3:i1</v>
      </c>
      <c r="D659" t="str">
        <f>Permutations!K651</f>
        <v>p1 - i1:i2</v>
      </c>
      <c r="E659" t="str">
        <f>Permutations!L651</f>
        <v>p7 - i2:i5</v>
      </c>
      <c r="F659" t="str">
        <f>Permutations!M651</f>
        <v>p41 - i5:i4</v>
      </c>
      <c r="G659" s="7">
        <f>VLOOKUP(B659,Vlookup!$A$1:$B$30,2,0)</f>
        <v>1.4032439022773779</v>
      </c>
      <c r="H659" s="7">
        <f>VLOOKUP(C659,Vlookup!$A$1:$B$30,2,0)</f>
        <v>1.7021844231989158</v>
      </c>
      <c r="I659" s="7">
        <f>VLOOKUP(D659,Vlookup!$A$1:$B$30,2,0)</f>
        <v>1.6373343116675814</v>
      </c>
      <c r="J659" s="7">
        <f>VLOOKUP(E659,Vlookup!$A$1:$B$30,2,0)</f>
        <v>1.7991741228251155</v>
      </c>
      <c r="K659" s="7">
        <f>VLOOKUP(F659,Vlookup!$A$1:$B$30,2,0)</f>
        <v>1.25400669441983</v>
      </c>
      <c r="L659" s="7">
        <f t="shared" si="13"/>
        <v>8.8236889399800074</v>
      </c>
      <c r="M659" s="7">
        <f t="shared" si="14"/>
        <v>6.2880650510290517</v>
      </c>
      <c r="N659" s="7">
        <f t="shared" si="15"/>
        <v>3.6941150238068143</v>
      </c>
      <c r="O659" s="7">
        <f t="shared" si="16"/>
        <v>2.2561763944496205</v>
      </c>
      <c r="P659" s="7">
        <f t="shared" si="17"/>
        <v>1.25400669441983</v>
      </c>
      <c r="Q659">
        <v>1</v>
      </c>
      <c r="R659" s="7">
        <f t="shared" si="18"/>
        <v>23.316052103685326</v>
      </c>
      <c r="S659" s="7">
        <f>VLOOKUP($A659,Rotations!$A$1:$X$1441,18,0)</f>
        <v>0.15843655724302161</v>
      </c>
      <c r="T659" s="7">
        <f>VLOOKUP($A659,Rotations!$A$1:$X$1441,19,0)</f>
        <v>9.6764940497495719E-2</v>
      </c>
      <c r="U659" s="7">
        <f>VLOOKUP($A659,Rotations!$A$1:$X$1441,20,0)</f>
        <v>0.26968823980433476</v>
      </c>
      <c r="V659" s="7">
        <f>VLOOKUP($A659,Rotations!$A$1:$X$1441,21,0)</f>
        <v>4.2888907416789503E-2</v>
      </c>
      <c r="W659" s="7">
        <f>VLOOKUP($A659,Rotations!$A$1:$X$1441,22,0)</f>
        <v>5.378297701700633E-2</v>
      </c>
      <c r="X659" s="7">
        <f>VLOOKUP($A659,Rotations!$A$1:$X$1441,23,0)</f>
        <v>0.378438378021352</v>
      </c>
    </row>
    <row r="660" spans="1:24" ht="15.75" customHeight="1" x14ac:dyDescent="0.3">
      <c r="A660">
        <v>651</v>
      </c>
      <c r="B660" t="str">
        <f>Permutations!I652</f>
        <v>p131 - i6:i3</v>
      </c>
      <c r="C660" t="str">
        <f>Permutations!J652</f>
        <v>p81 - i3:i1</v>
      </c>
      <c r="D660" t="str">
        <f>Permutations!K652</f>
        <v>p9 - i1:i4</v>
      </c>
      <c r="E660" t="str">
        <f>Permutations!L652</f>
        <v>p51 - i4:i2</v>
      </c>
      <c r="F660" t="str">
        <f>Permutations!M652</f>
        <v>p7 - i2:i5</v>
      </c>
      <c r="G660" s="7">
        <f>VLOOKUP(B660,Vlookup!$A$1:$B$30,2,0)</f>
        <v>1.4032439022773779</v>
      </c>
      <c r="H660" s="7">
        <f>VLOOKUP(C660,Vlookup!$A$1:$B$30,2,0)</f>
        <v>1.7021844231989158</v>
      </c>
      <c r="I660" s="7">
        <f>VLOOKUP(D660,Vlookup!$A$1:$B$30,2,0)</f>
        <v>1.2538815092968505</v>
      </c>
      <c r="J660" s="7">
        <f>VLOOKUP(E660,Vlookup!$A$1:$B$30,2,0)</f>
        <v>1.4376356077157479</v>
      </c>
      <c r="K660" s="7">
        <f>VLOOKUP(F660,Vlookup!$A$1:$B$30,2,0)</f>
        <v>1.7991741228251155</v>
      </c>
      <c r="L660" s="7">
        <f t="shared" si="13"/>
        <v>7.7467277003942581</v>
      </c>
      <c r="M660" s="7">
        <f t="shared" si="14"/>
        <v>5.5205853293371163</v>
      </c>
      <c r="N660" s="7">
        <f t="shared" si="15"/>
        <v>3.2432357235194749</v>
      </c>
      <c r="O660" s="7">
        <f t="shared" si="16"/>
        <v>2.5865567834541325</v>
      </c>
      <c r="P660" s="7">
        <f t="shared" si="17"/>
        <v>1.7991741228251155</v>
      </c>
      <c r="Q660">
        <v>1</v>
      </c>
      <c r="R660" s="7">
        <f t="shared" si="18"/>
        <v>21.896279659530094</v>
      </c>
      <c r="S660" s="7">
        <f>VLOOKUP($A660,Rotations!$A$1:$X$1441,18,0)</f>
        <v>0.14811811750439965</v>
      </c>
      <c r="T660" s="7">
        <f>VLOOKUP($A660,Rotations!$A$1:$X$1441,19,0)</f>
        <v>8.2168028121710909E-2</v>
      </c>
      <c r="U660" s="7">
        <f>VLOOKUP($A660,Rotations!$A$1:$X$1441,20,0)</f>
        <v>0.25212435240953579</v>
      </c>
      <c r="V660" s="7">
        <f>VLOOKUP($A660,Rotations!$A$1:$X$1441,21,0)</f>
        <v>0.11812768304356053</v>
      </c>
      <c r="W660" s="7">
        <f>VLOOKUP($A660,Rotations!$A$1:$X$1441,22,0)</f>
        <v>4.5669858786479368E-2</v>
      </c>
      <c r="X660" s="7">
        <f>VLOOKUP($A660,Rotations!$A$1:$X$1441,23,0)</f>
        <v>0.35379196013431385</v>
      </c>
    </row>
    <row r="661" spans="1:24" ht="15.75" customHeight="1" x14ac:dyDescent="0.3">
      <c r="A661">
        <v>652</v>
      </c>
      <c r="B661" t="str">
        <f>Permutations!I653</f>
        <v>p131 - i6:i3</v>
      </c>
      <c r="C661" t="str">
        <f>Permutations!J653</f>
        <v>p81 - i3:i1</v>
      </c>
      <c r="D661" t="str">
        <f>Permutations!K653</f>
        <v>p9 - i1:i4</v>
      </c>
      <c r="E661" t="str">
        <f>Permutations!L653</f>
        <v>p4 - i4:i5</v>
      </c>
      <c r="F661" t="str">
        <f>Permutations!M653</f>
        <v>p71 - i5:i2</v>
      </c>
      <c r="G661" s="7">
        <f>VLOOKUP(B661,Vlookup!$A$1:$B$30,2,0)</f>
        <v>1.4032439022773779</v>
      </c>
      <c r="H661" s="7">
        <f>VLOOKUP(C661,Vlookup!$A$1:$B$30,2,0)</f>
        <v>1.7021844231989158</v>
      </c>
      <c r="I661" s="7">
        <f>VLOOKUP(D661,Vlookup!$A$1:$B$30,2,0)</f>
        <v>1.2538815092968505</v>
      </c>
      <c r="J661" s="7">
        <f>VLOOKUP(E661,Vlookup!$A$1:$B$30,2,0)</f>
        <v>1.89462595295753</v>
      </c>
      <c r="K661" s="7">
        <f>VLOOKUP(F661,Vlookup!$A$1:$B$30,2,0)</f>
        <v>1.8243208303594776</v>
      </c>
      <c r="L661" s="7">
        <f t="shared" si="13"/>
        <v>10.351921563236967</v>
      </c>
      <c r="M661" s="7">
        <f t="shared" si="14"/>
        <v>7.3771363242244918</v>
      </c>
      <c r="N661" s="7">
        <f t="shared" si="15"/>
        <v>4.33392306008807</v>
      </c>
      <c r="O661" s="7">
        <f t="shared" si="16"/>
        <v>3.4564055917200975</v>
      </c>
      <c r="P661" s="7">
        <f t="shared" si="17"/>
        <v>1.8243208303594776</v>
      </c>
      <c r="Q661">
        <v>1</v>
      </c>
      <c r="R661" s="7">
        <f t="shared" si="18"/>
        <v>28.343707369629104</v>
      </c>
      <c r="S661" s="7">
        <f>VLOOKUP($A661,Rotations!$A$1:$X$1441,18,0)</f>
        <v>0.1529060049756216</v>
      </c>
      <c r="T661" s="7">
        <f>VLOOKUP($A661,Rotations!$A$1:$X$1441,19,0)</f>
        <v>3.5281199701896498E-2</v>
      </c>
      <c r="U661" s="7">
        <f>VLOOKUP($A661,Rotations!$A$1:$X$1441,20,0)</f>
        <v>0.26027421988307897</v>
      </c>
      <c r="V661" s="7">
        <f>VLOOKUP($A661,Rotations!$A$1:$X$1441,21,0)</f>
        <v>0.1219461359322285</v>
      </c>
      <c r="W661" s="7">
        <f>VLOOKUP($A661,Rotations!$A$1:$X$1441,22,0)</f>
        <v>6.436422753624238E-2</v>
      </c>
      <c r="X661" s="7">
        <f>VLOOKUP($A661,Rotations!$A$1:$X$1441,23,0)</f>
        <v>0.36522821197093203</v>
      </c>
    </row>
    <row r="662" spans="1:24" ht="15.75" customHeight="1" x14ac:dyDescent="0.3">
      <c r="A662">
        <v>653</v>
      </c>
      <c r="B662" t="str">
        <f>Permutations!I654</f>
        <v>p131 - i6:i3</v>
      </c>
      <c r="C662" t="str">
        <f>Permutations!J654</f>
        <v>p81 - i3:i1</v>
      </c>
      <c r="D662" t="str">
        <f>Permutations!K654</f>
        <v>p10 - i1:i5</v>
      </c>
      <c r="E662" t="str">
        <f>Permutations!L654</f>
        <v>p71 - i5:i2</v>
      </c>
      <c r="F662" t="str">
        <f>Permutations!M654</f>
        <v>p5 - i2:i4</v>
      </c>
      <c r="G662" s="7">
        <f>VLOOKUP(B662,Vlookup!$A$1:$B$30,2,0)</f>
        <v>1.4032439022773779</v>
      </c>
      <c r="H662" s="7">
        <f>VLOOKUP(C662,Vlookup!$A$1:$B$30,2,0)</f>
        <v>1.7021844231989158</v>
      </c>
      <c r="I662" s="7">
        <f>VLOOKUP(D662,Vlookup!$A$1:$B$30,2,0)</f>
        <v>1.0847108741813811</v>
      </c>
      <c r="J662" s="7">
        <f>VLOOKUP(E662,Vlookup!$A$1:$B$30,2,0)</f>
        <v>1.8243208303594776</v>
      </c>
      <c r="K662" s="7">
        <f>VLOOKUP(F662,Vlookup!$A$1:$B$30,2,0)</f>
        <v>0.9108240498099236</v>
      </c>
      <c r="L662" s="7">
        <f t="shared" si="13"/>
        <v>4.3051617791814554</v>
      </c>
      <c r="M662" s="7">
        <f t="shared" si="14"/>
        <v>3.0680067607594408</v>
      </c>
      <c r="N662" s="7">
        <f t="shared" si="15"/>
        <v>1.8023938645812152</v>
      </c>
      <c r="O662" s="7">
        <f t="shared" si="16"/>
        <v>1.6616352868606219</v>
      </c>
      <c r="P662" s="7">
        <f t="shared" si="17"/>
        <v>0.9108240498099236</v>
      </c>
      <c r="Q662">
        <v>1</v>
      </c>
      <c r="R662" s="7">
        <f t="shared" si="18"/>
        <v>12.748021741192657</v>
      </c>
      <c r="S662" s="7">
        <f>VLOOKUP($A662,Rotations!$A$1:$X$1441,18,0)</f>
        <v>0.14138616180400318</v>
      </c>
      <c r="T662" s="7">
        <f>VLOOKUP($A662,Rotations!$A$1:$X$1441,19,0)</f>
        <v>7.1448266115422418E-2</v>
      </c>
      <c r="U662" s="7">
        <f>VLOOKUP($A662,Rotations!$A$1:$X$1441,20,0)</f>
        <v>0.24066532227865572</v>
      </c>
      <c r="V662" s="7">
        <f>VLOOKUP($A662,Rotations!$A$1:$X$1441,21,0)</f>
        <v>7.8443543657342699E-2</v>
      </c>
      <c r="W662" s="7">
        <f>VLOOKUP($A662,Rotations!$A$1:$X$1441,22,0)</f>
        <v>0.13034456016743234</v>
      </c>
      <c r="X662" s="7">
        <f>VLOOKUP($A662,Rotations!$A$1:$X$1441,23,0)</f>
        <v>0.33771214597714361</v>
      </c>
    </row>
    <row r="663" spans="1:24" ht="15.75" customHeight="1" x14ac:dyDescent="0.3">
      <c r="A663">
        <v>654</v>
      </c>
      <c r="B663" t="str">
        <f>Permutations!I655</f>
        <v>p131 - i6:i3</v>
      </c>
      <c r="C663" t="str">
        <f>Permutations!J655</f>
        <v>p81 - i3:i1</v>
      </c>
      <c r="D663" t="str">
        <f>Permutations!K655</f>
        <v>p10 - i1:i5</v>
      </c>
      <c r="E663" t="str">
        <f>Permutations!L655</f>
        <v>p41 - i5:i4</v>
      </c>
      <c r="F663" t="str">
        <f>Permutations!M655</f>
        <v>p51 - i4:i2</v>
      </c>
      <c r="G663" s="7">
        <f>VLOOKUP(B663,Vlookup!$A$1:$B$30,2,0)</f>
        <v>1.4032439022773779</v>
      </c>
      <c r="H663" s="7">
        <f>VLOOKUP(C663,Vlookup!$A$1:$B$30,2,0)</f>
        <v>1.7021844231989158</v>
      </c>
      <c r="I663" s="7">
        <f>VLOOKUP(D663,Vlookup!$A$1:$B$30,2,0)</f>
        <v>1.0847108741813811</v>
      </c>
      <c r="J663" s="7">
        <f>VLOOKUP(E663,Vlookup!$A$1:$B$30,2,0)</f>
        <v>1.25400669441983</v>
      </c>
      <c r="K663" s="7">
        <f>VLOOKUP(F663,Vlookup!$A$1:$B$30,2,0)</f>
        <v>1.4376356077157479</v>
      </c>
      <c r="L663" s="7">
        <f t="shared" si="13"/>
        <v>4.6709201764851294</v>
      </c>
      <c r="M663" s="7">
        <f t="shared" si="14"/>
        <v>3.3286588089957245</v>
      </c>
      <c r="N663" s="7">
        <f t="shared" si="15"/>
        <v>1.9555218363120577</v>
      </c>
      <c r="O663" s="7">
        <f t="shared" si="16"/>
        <v>1.8028046762118686</v>
      </c>
      <c r="P663" s="7">
        <f t="shared" si="17"/>
        <v>1.4376356077157479</v>
      </c>
      <c r="Q663">
        <v>1</v>
      </c>
      <c r="R663" s="7">
        <f t="shared" si="18"/>
        <v>14.195541105720528</v>
      </c>
      <c r="S663" s="7">
        <f>VLOOKUP($A663,Rotations!$A$1:$X$1441,18,0)</f>
        <v>0.13775606169207741</v>
      </c>
      <c r="T663" s="7">
        <f>VLOOKUP($A663,Rotations!$A$1:$X$1441,19,0)</f>
        <v>7.0444655300742245E-2</v>
      </c>
      <c r="U663" s="7">
        <f>VLOOKUP($A663,Rotations!$A$1:$X$1441,20,0)</f>
        <v>0.23448622241348302</v>
      </c>
      <c r="V663" s="7">
        <f>VLOOKUP($A663,Rotations!$A$1:$X$1441,21,0)</f>
        <v>0.10127374483360896</v>
      </c>
      <c r="W663" s="7">
        <f>VLOOKUP($A663,Rotations!$A$1:$X$1441,22,0)</f>
        <v>0.1269979539903113</v>
      </c>
      <c r="X663" s="7">
        <f>VLOOKUP($A663,Rotations!$A$1:$X$1441,23,0)</f>
        <v>0.32904136176977705</v>
      </c>
    </row>
    <row r="664" spans="1:24" ht="15.75" customHeight="1" x14ac:dyDescent="0.3">
      <c r="A664">
        <v>655</v>
      </c>
      <c r="B664" t="str">
        <f>Permutations!I656</f>
        <v>p131 - i6:i3</v>
      </c>
      <c r="C664" t="str">
        <f>Permutations!J656</f>
        <v>p21 - i3:i2</v>
      </c>
      <c r="D664" t="str">
        <f>Permutations!K656</f>
        <v>p11 - i2:i1</v>
      </c>
      <c r="E664" t="str">
        <f>Permutations!L656</f>
        <v>p9 - i1:i4</v>
      </c>
      <c r="F664" t="str">
        <f>Permutations!M656</f>
        <v>p4 - i4:i5</v>
      </c>
      <c r="G664" s="7">
        <f>VLOOKUP(B664,Vlookup!$A$1:$B$30,2,0)</f>
        <v>1.4032439022773779</v>
      </c>
      <c r="H664" s="7">
        <f>VLOOKUP(C664,Vlookup!$A$1:$B$30,2,0)</f>
        <v>1.5059827029565431</v>
      </c>
      <c r="I664" s="7">
        <f>VLOOKUP(D664,Vlookup!$A$1:$B$30,2,0)</f>
        <v>1.7440097060445605</v>
      </c>
      <c r="J664" s="7">
        <f>VLOOKUP(E664,Vlookup!$A$1:$B$30,2,0)</f>
        <v>1.2538815092968505</v>
      </c>
      <c r="K664" s="7">
        <f>VLOOKUP(F664,Vlookup!$A$1:$B$30,2,0)</f>
        <v>1.89462595295753</v>
      </c>
      <c r="L664" s="7">
        <f t="shared" si="13"/>
        <v>8.7555216272386005</v>
      </c>
      <c r="M664" s="7">
        <f t="shared" si="14"/>
        <v>6.2394866730074012</v>
      </c>
      <c r="N664" s="7">
        <f t="shared" si="15"/>
        <v>4.1431330258694539</v>
      </c>
      <c r="O664" s="7">
        <f t="shared" si="16"/>
        <v>2.3756364494473714</v>
      </c>
      <c r="P664" s="7">
        <f t="shared" si="17"/>
        <v>1.89462595295753</v>
      </c>
      <c r="Q664">
        <v>1</v>
      </c>
      <c r="R664" s="7">
        <f t="shared" si="18"/>
        <v>24.408403728520355</v>
      </c>
      <c r="S664" s="7">
        <f>VLOOKUP($A664,Rotations!$A$1:$X$1441,18,0)</f>
        <v>9.7328628118008562E-2</v>
      </c>
      <c r="T664" s="7">
        <f>VLOOKUP($A664,Rotations!$A$1:$X$1441,19,0)</f>
        <v>0.16974207211380848</v>
      </c>
      <c r="U664" s="7">
        <f>VLOOKUP($A664,Rotations!$A$1:$X$1441,20,0)</f>
        <v>0.25562862456739777</v>
      </c>
      <c r="V664" s="7">
        <f>VLOOKUP($A664,Rotations!$A$1:$X$1441,21,0)</f>
        <v>7.7621870484866101E-2</v>
      </c>
      <c r="W664" s="7">
        <f>VLOOKUP($A664,Rotations!$A$1:$X$1441,22,0)</f>
        <v>4.0969496044165124E-2</v>
      </c>
      <c r="X664" s="7">
        <f>VLOOKUP($A664,Rotations!$A$1:$X$1441,23,0)</f>
        <v>0.35870930867175405</v>
      </c>
    </row>
    <row r="665" spans="1:24" ht="15.75" customHeight="1" x14ac:dyDescent="0.3">
      <c r="A665">
        <v>656</v>
      </c>
      <c r="B665" t="str">
        <f>Permutations!I657</f>
        <v>p131 - i6:i3</v>
      </c>
      <c r="C665" t="str">
        <f>Permutations!J657</f>
        <v>p21 - i3:i2</v>
      </c>
      <c r="D665" t="str">
        <f>Permutations!K657</f>
        <v>p11 - i2:i1</v>
      </c>
      <c r="E665" t="str">
        <f>Permutations!L657</f>
        <v>p10 - i1:i5</v>
      </c>
      <c r="F665" t="str">
        <f>Permutations!M657</f>
        <v>p41 - i5:i4</v>
      </c>
      <c r="G665" s="7">
        <f>VLOOKUP(B665,Vlookup!$A$1:$B$30,2,0)</f>
        <v>1.4032439022773779</v>
      </c>
      <c r="H665" s="7">
        <f>VLOOKUP(C665,Vlookup!$A$1:$B$30,2,0)</f>
        <v>1.5059827029565431</v>
      </c>
      <c r="I665" s="7">
        <f>VLOOKUP(D665,Vlookup!$A$1:$B$30,2,0)</f>
        <v>1.7440097060445605</v>
      </c>
      <c r="J665" s="7">
        <f>VLOOKUP(E665,Vlookup!$A$1:$B$30,2,0)</f>
        <v>1.0847108741813811</v>
      </c>
      <c r="K665" s="7">
        <f>VLOOKUP(F665,Vlookup!$A$1:$B$30,2,0)</f>
        <v>1.25400669441983</v>
      </c>
      <c r="L665" s="7">
        <f t="shared" si="13"/>
        <v>5.0132099618592401</v>
      </c>
      <c r="M665" s="7">
        <f t="shared" si="14"/>
        <v>3.5725863149828121</v>
      </c>
      <c r="N665" s="7">
        <f t="shared" si="15"/>
        <v>2.3722625153457049</v>
      </c>
      <c r="O665" s="7">
        <f t="shared" si="16"/>
        <v>1.3602346977334379</v>
      </c>
      <c r="P665" s="7">
        <f t="shared" si="17"/>
        <v>1.25400669441983</v>
      </c>
      <c r="Q665">
        <v>1</v>
      </c>
      <c r="R665" s="7">
        <f t="shared" si="18"/>
        <v>14.572300184341024</v>
      </c>
      <c r="S665" s="7">
        <f>VLOOKUP($A665,Rotations!$A$1:$X$1441,18,0)</f>
        <v>9.33438565309756E-2</v>
      </c>
      <c r="T665" s="7">
        <f>VLOOKUP($A665,Rotations!$A$1:$X$1441,19,0)</f>
        <v>0.16279259178965241</v>
      </c>
      <c r="U665" s="7">
        <f>VLOOKUP($A665,Rotations!$A$1:$X$1441,20,0)</f>
        <v>0.24516282740468184</v>
      </c>
      <c r="V665" s="7">
        <f>VLOOKUP($A665,Rotations!$A$1:$X$1441,21,0)</f>
        <v>6.8623346167036234E-2</v>
      </c>
      <c r="W665" s="7">
        <f>VLOOKUP($A665,Rotations!$A$1:$X$1441,22,0)</f>
        <v>8.6054135486952815E-2</v>
      </c>
      <c r="X665" s="7">
        <f>VLOOKUP($A665,Rotations!$A$1:$X$1441,23,0)</f>
        <v>0.34402324262070111</v>
      </c>
    </row>
    <row r="666" spans="1:24" ht="15.75" customHeight="1" x14ac:dyDescent="0.3">
      <c r="A666">
        <v>657</v>
      </c>
      <c r="B666" t="str">
        <f>Permutations!I658</f>
        <v>p131 - i6:i3</v>
      </c>
      <c r="C666" t="str">
        <f>Permutations!J658</f>
        <v>p21 - i3:i2</v>
      </c>
      <c r="D666" t="str">
        <f>Permutations!K658</f>
        <v>p5 - i2:i4</v>
      </c>
      <c r="E666" t="str">
        <f>Permutations!L658</f>
        <v>p91 - i4:i1</v>
      </c>
      <c r="F666" t="str">
        <f>Permutations!M658</f>
        <v>p10 - i1:i5</v>
      </c>
      <c r="G666" s="7">
        <f>VLOOKUP(B666,Vlookup!$A$1:$B$30,2,0)</f>
        <v>1.4032439022773779</v>
      </c>
      <c r="H666" s="7">
        <f>VLOOKUP(C666,Vlookup!$A$1:$B$30,2,0)</f>
        <v>1.5059827029565431</v>
      </c>
      <c r="I666" s="7">
        <f>VLOOKUP(D666,Vlookup!$A$1:$B$30,2,0)</f>
        <v>0.9108240498099236</v>
      </c>
      <c r="J666" s="7">
        <f>VLOOKUP(E666,Vlookup!$A$1:$B$30,2,0)</f>
        <v>2.9131157743633094</v>
      </c>
      <c r="K666" s="7">
        <f>VLOOKUP(F666,Vlookup!$A$1:$B$30,2,0)</f>
        <v>1.0847108741813811</v>
      </c>
      <c r="L666" s="7">
        <f t="shared" si="13"/>
        <v>6.0821814977242052</v>
      </c>
      <c r="M666" s="7">
        <f t="shared" si="14"/>
        <v>4.3343722982534976</v>
      </c>
      <c r="N666" s="7">
        <f t="shared" si="15"/>
        <v>2.878102311364044</v>
      </c>
      <c r="O666" s="7">
        <f t="shared" si="16"/>
        <v>3.1598883582011963</v>
      </c>
      <c r="P666" s="7">
        <f t="shared" si="17"/>
        <v>1.0847108741813811</v>
      </c>
      <c r="Q666">
        <v>1</v>
      </c>
      <c r="R666" s="7">
        <f t="shared" si="18"/>
        <v>18.539255339724324</v>
      </c>
      <c r="S666" s="7">
        <f>VLOOKUP($A666,Rotations!$A$1:$X$1441,18,0)</f>
        <v>5.8508869655468622E-2</v>
      </c>
      <c r="T666" s="7">
        <f>VLOOKUP($A666,Rotations!$A$1:$X$1441,19,0)</f>
        <v>0.15524368474482864</v>
      </c>
      <c r="U666" s="7">
        <f>VLOOKUP($A666,Rotations!$A$1:$X$1441,20,0)</f>
        <v>0.23379430396895051</v>
      </c>
      <c r="V666" s="7">
        <f>VLOOKUP($A666,Rotations!$A$1:$X$1441,21,0)</f>
        <v>0.1704431111335124</v>
      </c>
      <c r="W666" s="7">
        <f>VLOOKUP($A666,Rotations!$A$1:$X$1441,22,0)</f>
        <v>5.3939599065626218E-2</v>
      </c>
      <c r="X666" s="7">
        <f>VLOOKUP($A666,Rotations!$A$1:$X$1441,23,0)</f>
        <v>0.32807043143161363</v>
      </c>
    </row>
    <row r="667" spans="1:24" ht="15.75" customHeight="1" x14ac:dyDescent="0.3">
      <c r="A667">
        <v>658</v>
      </c>
      <c r="B667" t="str">
        <f>Permutations!I659</f>
        <v>p131 - i6:i3</v>
      </c>
      <c r="C667" t="str">
        <f>Permutations!J659</f>
        <v>p21 - i3:i2</v>
      </c>
      <c r="D667" t="str">
        <f>Permutations!K659</f>
        <v>p5 - i2:i4</v>
      </c>
      <c r="E667" t="str">
        <f>Permutations!L659</f>
        <v>p4 - i4:i5</v>
      </c>
      <c r="F667" t="str">
        <f>Permutations!M659</f>
        <v>p101 - i5:i1</v>
      </c>
      <c r="G667" s="7">
        <f>VLOOKUP(B667,Vlookup!$A$1:$B$30,2,0)</f>
        <v>1.4032439022773779</v>
      </c>
      <c r="H667" s="7">
        <f>VLOOKUP(C667,Vlookup!$A$1:$B$30,2,0)</f>
        <v>1.5059827029565431</v>
      </c>
      <c r="I667" s="7">
        <f>VLOOKUP(D667,Vlookup!$A$1:$B$30,2,0)</f>
        <v>0.9108240498099236</v>
      </c>
      <c r="J667" s="7">
        <f>VLOOKUP(E667,Vlookup!$A$1:$B$30,2,0)</f>
        <v>1.89462595295753</v>
      </c>
      <c r="K667" s="7">
        <f>VLOOKUP(F667,Vlookup!$A$1:$B$30,2,0)</f>
        <v>1.530542412441888</v>
      </c>
      <c r="L667" s="7">
        <f t="shared" si="13"/>
        <v>5.5815714385855832</v>
      </c>
      <c r="M667" s="7">
        <f t="shared" si="14"/>
        <v>3.9776203050140015</v>
      </c>
      <c r="N667" s="7">
        <f t="shared" si="15"/>
        <v>2.6412124768798093</v>
      </c>
      <c r="O667" s="7">
        <f t="shared" si="16"/>
        <v>2.899805376714629</v>
      </c>
      <c r="P667" s="7">
        <f t="shared" si="17"/>
        <v>1.530542412441888</v>
      </c>
      <c r="Q667">
        <v>1</v>
      </c>
      <c r="R667" s="7">
        <f t="shared" si="18"/>
        <v>17.630752009635913</v>
      </c>
      <c r="S667" s="7">
        <f>VLOOKUP($A667,Rotations!$A$1:$X$1441,18,0)</f>
        <v>5.6719078088867676E-2</v>
      </c>
      <c r="T667" s="7">
        <f>VLOOKUP($A667,Rotations!$A$1:$X$1441,19,0)</f>
        <v>0.14980713672543752</v>
      </c>
      <c r="U667" s="7">
        <f>VLOOKUP($A667,Rotations!$A$1:$X$1441,20,0)</f>
        <v>0.2256069566879548</v>
      </c>
      <c r="V667" s="7">
        <f>VLOOKUP($A667,Rotations!$A$1:$X$1441,21,0)</f>
        <v>0.16447428760439539</v>
      </c>
      <c r="W667" s="7">
        <f>VLOOKUP($A667,Rotations!$A$1:$X$1441,22,0)</f>
        <v>8.6810954609615368E-2</v>
      </c>
      <c r="X667" s="7">
        <f>VLOOKUP($A667,Rotations!$A$1:$X$1441,23,0)</f>
        <v>0.31658158628372918</v>
      </c>
    </row>
    <row r="668" spans="1:24" ht="15.75" customHeight="1" x14ac:dyDescent="0.3">
      <c r="A668">
        <v>659</v>
      </c>
      <c r="B668" t="str">
        <f>Permutations!I660</f>
        <v>p131 - i6:i3</v>
      </c>
      <c r="C668" t="str">
        <f>Permutations!J660</f>
        <v>p21 - i3:i2</v>
      </c>
      <c r="D668" t="str">
        <f>Permutations!K660</f>
        <v>p7 - i2:i5</v>
      </c>
      <c r="E668" t="str">
        <f>Permutations!L660</f>
        <v>p101 - i5:i1</v>
      </c>
      <c r="F668" t="str">
        <f>Permutations!M660</f>
        <v>p9 - i1:i4</v>
      </c>
      <c r="G668" s="7">
        <f>VLOOKUP(B668,Vlookup!$A$1:$B$30,2,0)</f>
        <v>1.4032439022773779</v>
      </c>
      <c r="H668" s="7">
        <f>VLOOKUP(C668,Vlookup!$A$1:$B$30,2,0)</f>
        <v>1.5059827029565431</v>
      </c>
      <c r="I668" s="7">
        <f>VLOOKUP(D668,Vlookup!$A$1:$B$30,2,0)</f>
        <v>1.7991741228251155</v>
      </c>
      <c r="J668" s="7">
        <f>VLOOKUP(E668,Vlookup!$A$1:$B$30,2,0)</f>
        <v>1.530542412441888</v>
      </c>
      <c r="K668" s="7">
        <f>VLOOKUP(F668,Vlookup!$A$1:$B$30,2,0)</f>
        <v>1.2538815092968505</v>
      </c>
      <c r="L668" s="7">
        <f t="shared" si="13"/>
        <v>7.2967288889035835</v>
      </c>
      <c r="M668" s="7">
        <f t="shared" si="14"/>
        <v>5.1999006566580794</v>
      </c>
      <c r="N668" s="7">
        <f t="shared" si="15"/>
        <v>3.4528289378421424</v>
      </c>
      <c r="O668" s="7">
        <f t="shared" si="16"/>
        <v>1.9191188301554771</v>
      </c>
      <c r="P668" s="7">
        <f t="shared" si="17"/>
        <v>1.2538815092968505</v>
      </c>
      <c r="Q668">
        <v>1</v>
      </c>
      <c r="R668" s="7">
        <f t="shared" si="18"/>
        <v>20.122458822856132</v>
      </c>
      <c r="S668" s="7">
        <f>VLOOKUP($A668,Rotations!$A$1:$X$1441,18,0)</f>
        <v>6.231253945331109E-2</v>
      </c>
      <c r="T668" s="7">
        <f>VLOOKUP($A668,Rotations!$A$1:$X$1441,19,0)</f>
        <v>0.17159080648336278</v>
      </c>
      <c r="U668" s="7">
        <f>VLOOKUP($A668,Rotations!$A$1:$X$1441,20,0)</f>
        <v>0.2584127865503078</v>
      </c>
      <c r="V668" s="7">
        <f>VLOOKUP($A668,Rotations!$A$1:$X$1441,21,0)</f>
        <v>4.9695716055542287E-2</v>
      </c>
      <c r="W668" s="7">
        <f>VLOOKUP($A668,Rotations!$A$1:$X$1441,22,0)</f>
        <v>9.537198446025108E-2</v>
      </c>
      <c r="X668" s="7">
        <f>VLOOKUP($A668,Rotations!$A$1:$X$1441,23,0)</f>
        <v>0.36261616699722504</v>
      </c>
    </row>
    <row r="669" spans="1:24" ht="15.75" customHeight="1" x14ac:dyDescent="0.3">
      <c r="A669">
        <v>660</v>
      </c>
      <c r="B669" t="str">
        <f>Permutations!I661</f>
        <v>p131 - i6:i3</v>
      </c>
      <c r="C669" t="str">
        <f>Permutations!J661</f>
        <v>p21 - i3:i2</v>
      </c>
      <c r="D669" t="str">
        <f>Permutations!K661</f>
        <v>p7 - i2:i5</v>
      </c>
      <c r="E669" t="str">
        <f>Permutations!L661</f>
        <v>p41 - i5:i4</v>
      </c>
      <c r="F669" t="str">
        <f>Permutations!M661</f>
        <v>p91 - i4:i1</v>
      </c>
      <c r="G669" s="7">
        <f>VLOOKUP(B669,Vlookup!$A$1:$B$30,2,0)</f>
        <v>1.4032439022773779</v>
      </c>
      <c r="H669" s="7">
        <f>VLOOKUP(C669,Vlookup!$A$1:$B$30,2,0)</f>
        <v>1.5059827029565431</v>
      </c>
      <c r="I669" s="7">
        <f>VLOOKUP(D669,Vlookup!$A$1:$B$30,2,0)</f>
        <v>1.7991741228251155</v>
      </c>
      <c r="J669" s="7">
        <f>VLOOKUP(E669,Vlookup!$A$1:$B$30,2,0)</f>
        <v>1.25400669441983</v>
      </c>
      <c r="K669" s="7">
        <f>VLOOKUP(F669,Vlookup!$A$1:$B$30,2,0)</f>
        <v>2.9131157743633094</v>
      </c>
      <c r="L669" s="7">
        <f t="shared" si="13"/>
        <v>13.889414650984138</v>
      </c>
      <c r="M669" s="7">
        <f t="shared" si="14"/>
        <v>9.8980759000217127</v>
      </c>
      <c r="N669" s="7">
        <f t="shared" si="15"/>
        <v>6.5725030444173251</v>
      </c>
      <c r="O669" s="7">
        <f t="shared" si="16"/>
        <v>3.653066682671597</v>
      </c>
      <c r="P669" s="7">
        <f t="shared" si="17"/>
        <v>2.9131157743633094</v>
      </c>
      <c r="Q669">
        <v>1</v>
      </c>
      <c r="R669" s="7">
        <f t="shared" si="18"/>
        <v>37.926176052458089</v>
      </c>
      <c r="S669" s="7">
        <f>VLOOKUP($A669,Rotations!$A$1:$X$1441,18,0)</f>
        <v>2.6367013606033912E-2</v>
      </c>
      <c r="T669" s="7">
        <f>VLOOKUP($A669,Rotations!$A$1:$X$1441,19,0)</f>
        <v>0.17329727719785093</v>
      </c>
      <c r="U669" s="7">
        <f>VLOOKUP($A669,Rotations!$A$1:$X$1441,20,0)</f>
        <v>0.26098270192942885</v>
      </c>
      <c r="V669" s="7">
        <f>VLOOKUP($A669,Rotations!$A$1:$X$1441,21,0)</f>
        <v>7.6810163258589401E-2</v>
      </c>
      <c r="W669" s="7">
        <f>VLOOKUP($A669,Rotations!$A$1:$X$1441,22,0)</f>
        <v>9.6320458925751168E-2</v>
      </c>
      <c r="X669" s="7">
        <f>VLOOKUP($A669,Rotations!$A$1:$X$1441,23,0)</f>
        <v>0.36622238508234556</v>
      </c>
    </row>
    <row r="670" spans="1:24" ht="15.75" customHeight="1" x14ac:dyDescent="0.3">
      <c r="A670">
        <v>661</v>
      </c>
      <c r="B670" t="str">
        <f>Permutations!I662</f>
        <v>p131 - i6:i3</v>
      </c>
      <c r="C670" t="str">
        <f>Permutations!J662</f>
        <v>p3 - i3:i4</v>
      </c>
      <c r="D670" t="str">
        <f>Permutations!K662</f>
        <v>p91 - i4:i1</v>
      </c>
      <c r="E670" t="str">
        <f>Permutations!L662</f>
        <v>p1 - i1:i2</v>
      </c>
      <c r="F670" t="str">
        <f>Permutations!M662</f>
        <v>p7 - i2:i5</v>
      </c>
      <c r="G670" s="7">
        <f>VLOOKUP(B670,Vlookup!$A$1:$B$30,2,0)</f>
        <v>1.4032439022773779</v>
      </c>
      <c r="H670" s="7">
        <f>VLOOKUP(C670,Vlookup!$A$1:$B$30,2,0)</f>
        <v>1.4338636587362954</v>
      </c>
      <c r="I670" s="7">
        <f>VLOOKUP(D670,Vlookup!$A$1:$B$30,2,0)</f>
        <v>2.9131157743633094</v>
      </c>
      <c r="J670" s="7">
        <f>VLOOKUP(E670,Vlookup!$A$1:$B$30,2,0)</f>
        <v>1.6373343116675814</v>
      </c>
      <c r="K670" s="7">
        <f>VLOOKUP(F670,Vlookup!$A$1:$B$30,2,0)</f>
        <v>1.7991741228251155</v>
      </c>
      <c r="L670" s="7">
        <f t="shared" si="13"/>
        <v>17.266699279004186</v>
      </c>
      <c r="M670" s="7">
        <f t="shared" si="14"/>
        <v>12.304845402129594</v>
      </c>
      <c r="N670" s="7">
        <f t="shared" si="15"/>
        <v>8.5816007171659567</v>
      </c>
      <c r="O670" s="7">
        <f t="shared" si="16"/>
        <v>2.9458495239659848</v>
      </c>
      <c r="P670" s="7">
        <f t="shared" si="17"/>
        <v>1.7991741228251155</v>
      </c>
      <c r="Q670">
        <v>1</v>
      </c>
      <c r="R670" s="7">
        <f t="shared" si="18"/>
        <v>43.898169045090832</v>
      </c>
      <c r="S670" s="7">
        <f>VLOOKUP($A670,Rotations!$A$1:$X$1441,18,0)</f>
        <v>6.7106432638229171E-2</v>
      </c>
      <c r="T670" s="7">
        <f>VLOOKUP($A670,Rotations!$A$1:$X$1441,19,0)</f>
        <v>4.0985174597534119E-2</v>
      </c>
      <c r="U670" s="7">
        <f>VLOOKUP($A670,Rotations!$A$1:$X$1441,20,0)</f>
        <v>0.28030429673480095</v>
      </c>
      <c r="V670" s="7">
        <f>VLOOKUP($A670,Rotations!$A$1:$X$1441,21,0)</f>
        <v>0.19548880747967423</v>
      </c>
      <c r="W670" s="7">
        <f>VLOOKUP($A670,Rotations!$A$1:$X$1441,22,0)</f>
        <v>2.2779993374503413E-2</v>
      </c>
      <c r="X670" s="7">
        <f>VLOOKUP($A670,Rotations!$A$1:$X$1441,23,0)</f>
        <v>0.39333529517525823</v>
      </c>
    </row>
    <row r="671" spans="1:24" ht="15.75" customHeight="1" x14ac:dyDescent="0.3">
      <c r="A671">
        <v>662</v>
      </c>
      <c r="B671" t="str">
        <f>Permutations!I663</f>
        <v>p131 - i6:i3</v>
      </c>
      <c r="C671" t="str">
        <f>Permutations!J663</f>
        <v>p3 - i3:i4</v>
      </c>
      <c r="D671" t="str">
        <f>Permutations!K663</f>
        <v>p91 - i4:i1</v>
      </c>
      <c r="E671" t="str">
        <f>Permutations!L663</f>
        <v>p10 - i1:i5</v>
      </c>
      <c r="F671" t="str">
        <f>Permutations!M663</f>
        <v>p71 - i5:i2</v>
      </c>
      <c r="G671" s="7">
        <f>VLOOKUP(B671,Vlookup!$A$1:$B$30,2,0)</f>
        <v>1.4032439022773779</v>
      </c>
      <c r="H671" s="7">
        <f>VLOOKUP(C671,Vlookup!$A$1:$B$30,2,0)</f>
        <v>1.4338636587362954</v>
      </c>
      <c r="I671" s="7">
        <f>VLOOKUP(D671,Vlookup!$A$1:$B$30,2,0)</f>
        <v>2.9131157743633094</v>
      </c>
      <c r="J671" s="7">
        <f>VLOOKUP(E671,Vlookup!$A$1:$B$30,2,0)</f>
        <v>1.0847108741813811</v>
      </c>
      <c r="K671" s="7">
        <f>VLOOKUP(F671,Vlookup!$A$1:$B$30,2,0)</f>
        <v>1.8243208303594776</v>
      </c>
      <c r="L671" s="7">
        <f t="shared" si="13"/>
        <v>11.598824500147767</v>
      </c>
      <c r="M671" s="7">
        <f t="shared" si="14"/>
        <v>8.2657223603990673</v>
      </c>
      <c r="N671" s="7">
        <f t="shared" si="15"/>
        <v>5.7646501534768531</v>
      </c>
      <c r="O671" s="7">
        <f t="shared" si="16"/>
        <v>1.9788606426865321</v>
      </c>
      <c r="P671" s="7">
        <f t="shared" si="17"/>
        <v>1.8243208303594776</v>
      </c>
      <c r="Q671">
        <v>1</v>
      </c>
      <c r="R671" s="7">
        <f t="shared" si="18"/>
        <v>30.432378487069698</v>
      </c>
      <c r="S671" s="7">
        <f>VLOOKUP($A671,Rotations!$A$1:$X$1441,18,0)</f>
        <v>6.5024843310466943E-2</v>
      </c>
      <c r="T671" s="7">
        <f>VLOOKUP($A671,Rotations!$A$1:$X$1441,19,0)</f>
        <v>3.2859738532263795E-2</v>
      </c>
      <c r="U671" s="7">
        <f>VLOOKUP($A671,Rotations!$A$1:$X$1441,20,0)</f>
        <v>0.27160947554299969</v>
      </c>
      <c r="V671" s="7">
        <f>VLOOKUP($A671,Rotations!$A$1:$X$1441,21,0)</f>
        <v>0.18942489677322377</v>
      </c>
      <c r="W671" s="7">
        <f>VLOOKUP($A671,Rotations!$A$1:$X$1441,22,0)</f>
        <v>5.9946705484574814E-2</v>
      </c>
      <c r="X671" s="7">
        <f>VLOOKUP($A671,Rotations!$A$1:$X$1441,23,0)</f>
        <v>0.38113434035647098</v>
      </c>
    </row>
    <row r="672" spans="1:24" ht="15.75" customHeight="1" x14ac:dyDescent="0.3">
      <c r="A672">
        <v>663</v>
      </c>
      <c r="B672" t="str">
        <f>Permutations!I664</f>
        <v>p131 - i6:i3</v>
      </c>
      <c r="C672" t="str">
        <f>Permutations!J664</f>
        <v>p3 - i3:i4</v>
      </c>
      <c r="D672" t="str">
        <f>Permutations!K664</f>
        <v>p51 - i4:i2</v>
      </c>
      <c r="E672" t="str">
        <f>Permutations!L664</f>
        <v>p11 - i2:i1</v>
      </c>
      <c r="F672" t="str">
        <f>Permutations!M664</f>
        <v>p10 - i1:i5</v>
      </c>
      <c r="G672" s="7">
        <f>VLOOKUP(B672,Vlookup!$A$1:$B$30,2,0)</f>
        <v>1.4032439022773779</v>
      </c>
      <c r="H672" s="7">
        <f>VLOOKUP(C672,Vlookup!$A$1:$B$30,2,0)</f>
        <v>1.4338636587362954</v>
      </c>
      <c r="I672" s="7">
        <f>VLOOKUP(D672,Vlookup!$A$1:$B$30,2,0)</f>
        <v>1.4376356077157479</v>
      </c>
      <c r="J672" s="7">
        <f>VLOOKUP(E672,Vlookup!$A$1:$B$30,2,0)</f>
        <v>1.7440097060445605</v>
      </c>
      <c r="K672" s="7">
        <f>VLOOKUP(F672,Vlookup!$A$1:$B$30,2,0)</f>
        <v>1.0847108741813811</v>
      </c>
      <c r="L672" s="7">
        <f t="shared" si="13"/>
        <v>5.4720837284142307</v>
      </c>
      <c r="M672" s="7">
        <f t="shared" si="14"/>
        <v>3.8995955867211514</v>
      </c>
      <c r="N672" s="7">
        <f t="shared" si="15"/>
        <v>2.7196418313286319</v>
      </c>
      <c r="O672" s="7">
        <f t="shared" si="16"/>
        <v>1.8917462928244089</v>
      </c>
      <c r="P672" s="7">
        <f t="shared" si="17"/>
        <v>1.0847108741813811</v>
      </c>
      <c r="Q672">
        <v>1</v>
      </c>
      <c r="R672" s="7">
        <f t="shared" si="18"/>
        <v>16.067778313469802</v>
      </c>
      <c r="S672" s="7">
        <f>VLOOKUP($A672,Rotations!$A$1:$X$1441,18,0)</f>
        <v>6.7508454063749168E-2</v>
      </c>
      <c r="T672" s="7">
        <f>VLOOKUP($A672,Rotations!$A$1:$X$1441,19,0)</f>
        <v>0.1177353991272419</v>
      </c>
      <c r="U672" s="7">
        <f>VLOOKUP($A672,Rotations!$A$1:$X$1441,20,0)</f>
        <v>0.24269662616966006</v>
      </c>
      <c r="V672" s="7">
        <f>VLOOKUP($A672,Rotations!$A$1:$X$1441,21,0)</f>
        <v>0.16926060207394852</v>
      </c>
      <c r="W672" s="7">
        <f>VLOOKUP($A672,Rotations!$A$1:$X$1441,22,0)</f>
        <v>6.2236357789532647E-2</v>
      </c>
      <c r="X672" s="7">
        <f>VLOOKUP($A672,Rotations!$A$1:$X$1441,23,0)</f>
        <v>0.34056256077586783</v>
      </c>
    </row>
    <row r="673" spans="1:24" ht="15.75" customHeight="1" x14ac:dyDescent="0.3">
      <c r="A673">
        <v>664</v>
      </c>
      <c r="B673" t="str">
        <f>Permutations!I665</f>
        <v>p131 - i6:i3</v>
      </c>
      <c r="C673" t="str">
        <f>Permutations!J665</f>
        <v>p3 - i3:i4</v>
      </c>
      <c r="D673" t="str">
        <f>Permutations!K665</f>
        <v>p51 - i4:i2</v>
      </c>
      <c r="E673" t="str">
        <f>Permutations!L665</f>
        <v>p7 - i2:i5</v>
      </c>
      <c r="F673" t="str">
        <f>Permutations!M665</f>
        <v>p101 - i5:i1</v>
      </c>
      <c r="G673" s="7">
        <f>VLOOKUP(B673,Vlookup!$A$1:$B$30,2,0)</f>
        <v>1.4032439022773779</v>
      </c>
      <c r="H673" s="7">
        <f>VLOOKUP(C673,Vlookup!$A$1:$B$30,2,0)</f>
        <v>1.4338636587362954</v>
      </c>
      <c r="I673" s="7">
        <f>VLOOKUP(D673,Vlookup!$A$1:$B$30,2,0)</f>
        <v>1.4376356077157479</v>
      </c>
      <c r="J673" s="7">
        <f>VLOOKUP(E673,Vlookup!$A$1:$B$30,2,0)</f>
        <v>1.7991741228251155</v>
      </c>
      <c r="K673" s="7">
        <f>VLOOKUP(F673,Vlookup!$A$1:$B$30,2,0)</f>
        <v>1.530542412441888</v>
      </c>
      <c r="L673" s="7">
        <f t="shared" si="13"/>
        <v>7.9654149922691895</v>
      </c>
      <c r="M673" s="7">
        <f t="shared" si="14"/>
        <v>5.6764294356396725</v>
      </c>
      <c r="N673" s="7">
        <f t="shared" si="15"/>
        <v>3.958834859265818</v>
      </c>
      <c r="O673" s="7">
        <f t="shared" si="16"/>
        <v>2.75371230235177</v>
      </c>
      <c r="P673" s="7">
        <f t="shared" si="17"/>
        <v>1.530542412441888</v>
      </c>
      <c r="Q673">
        <v>1</v>
      </c>
      <c r="R673" s="7">
        <f t="shared" si="18"/>
        <v>22.884934001968336</v>
      </c>
      <c r="S673" s="7">
        <f>VLOOKUP($A673,Rotations!$A$1:$X$1441,18,0)</f>
        <v>4.3696870609895133E-2</v>
      </c>
      <c r="T673" s="7">
        <f>VLOOKUP($A673,Rotations!$A$1:$X$1441,19,0)</f>
        <v>0.12032861017274173</v>
      </c>
      <c r="U673" s="7">
        <f>VLOOKUP($A673,Rotations!$A$1:$X$1441,20,0)</f>
        <v>0.24804220257534682</v>
      </c>
      <c r="V673" s="7">
        <f>VLOOKUP($A673,Rotations!$A$1:$X$1441,21,0)</f>
        <v>0.17298869461128086</v>
      </c>
      <c r="W673" s="7">
        <f>VLOOKUP($A673,Rotations!$A$1:$X$1441,22,0)</f>
        <v>6.6879913759429935E-2</v>
      </c>
      <c r="X673" s="7">
        <f>VLOOKUP($A673,Rotations!$A$1:$X$1441,23,0)</f>
        <v>0.34806370827130562</v>
      </c>
    </row>
    <row r="674" spans="1:24" ht="15.75" customHeight="1" x14ac:dyDescent="0.3">
      <c r="A674">
        <v>665</v>
      </c>
      <c r="B674" t="str">
        <f>Permutations!I666</f>
        <v>p131 - i6:i3</v>
      </c>
      <c r="C674" t="str">
        <f>Permutations!J666</f>
        <v>p3 - i3:i4</v>
      </c>
      <c r="D674" t="str">
        <f>Permutations!K666</f>
        <v>p4 - i4:i5</v>
      </c>
      <c r="E674" t="str">
        <f>Permutations!L666</f>
        <v>p101 - i5:i1</v>
      </c>
      <c r="F674" t="str">
        <f>Permutations!M666</f>
        <v>p1 - i1:i2</v>
      </c>
      <c r="G674" s="7">
        <f>VLOOKUP(B674,Vlookup!$A$1:$B$30,2,0)</f>
        <v>1.4032439022773779</v>
      </c>
      <c r="H674" s="7">
        <f>VLOOKUP(C674,Vlookup!$A$1:$B$30,2,0)</f>
        <v>1.4338636587362954</v>
      </c>
      <c r="I674" s="7">
        <f>VLOOKUP(D674,Vlookup!$A$1:$B$30,2,0)</f>
        <v>1.89462595295753</v>
      </c>
      <c r="J674" s="7">
        <f>VLOOKUP(E674,Vlookup!$A$1:$B$30,2,0)</f>
        <v>1.530542412441888</v>
      </c>
      <c r="K674" s="7">
        <f>VLOOKUP(F674,Vlookup!$A$1:$B$30,2,0)</f>
        <v>1.6373343116675814</v>
      </c>
      <c r="L674" s="7">
        <f t="shared" si="13"/>
        <v>9.553164037288278</v>
      </c>
      <c r="M674" s="7">
        <f t="shared" si="14"/>
        <v>6.8079141635920042</v>
      </c>
      <c r="N674" s="7">
        <f t="shared" si="15"/>
        <v>4.7479508404529982</v>
      </c>
      <c r="O674" s="7">
        <f t="shared" si="16"/>
        <v>2.5060096073535783</v>
      </c>
      <c r="P674" s="7">
        <f t="shared" si="17"/>
        <v>1.6373343116675814</v>
      </c>
      <c r="Q674">
        <v>1</v>
      </c>
      <c r="R674" s="7">
        <f t="shared" si="18"/>
        <v>26.252372960354439</v>
      </c>
      <c r="S674" s="7">
        <f>VLOOKUP($A674,Rotations!$A$1:$X$1441,18,0)</f>
        <v>6.2369002380860405E-2</v>
      </c>
      <c r="T674" s="7">
        <f>VLOOKUP($A674,Rotations!$A$1:$X$1441,19,0)</f>
        <v>3.8091794654531635E-2</v>
      </c>
      <c r="U674" s="7">
        <f>VLOOKUP($A674,Rotations!$A$1:$X$1441,20,0)</f>
        <v>0.25932566834522408</v>
      </c>
      <c r="V674" s="7">
        <f>VLOOKUP($A674,Rotations!$A$1:$X$1441,21,0)</f>
        <v>0.18085796844434648</v>
      </c>
      <c r="W674" s="7">
        <f>VLOOKUP($A674,Rotations!$A$1:$X$1441,22,0)</f>
        <v>9.5458403365595954E-2</v>
      </c>
      <c r="X674" s="7">
        <f>VLOOKUP($A674,Rotations!$A$1:$X$1441,23,0)</f>
        <v>0.36389716280944145</v>
      </c>
    </row>
    <row r="675" spans="1:24" ht="15.75" customHeight="1" x14ac:dyDescent="0.3">
      <c r="A675">
        <v>666</v>
      </c>
      <c r="B675" t="str">
        <f>Permutations!I667</f>
        <v>p131 - i6:i3</v>
      </c>
      <c r="C675" t="str">
        <f>Permutations!J667</f>
        <v>p3 - i3:i4</v>
      </c>
      <c r="D675" t="str">
        <f>Permutations!K667</f>
        <v>p4 - i4:i5</v>
      </c>
      <c r="E675" t="str">
        <f>Permutations!L667</f>
        <v>p71 - i5:i2</v>
      </c>
      <c r="F675" t="str">
        <f>Permutations!M667</f>
        <v>p11 - i2:i1</v>
      </c>
      <c r="G675" s="7">
        <f>VLOOKUP(B675,Vlookup!$A$1:$B$30,2,0)</f>
        <v>1.4032439022773779</v>
      </c>
      <c r="H675" s="7">
        <f>VLOOKUP(C675,Vlookup!$A$1:$B$30,2,0)</f>
        <v>1.4338636587362954</v>
      </c>
      <c r="I675" s="7">
        <f>VLOOKUP(D675,Vlookup!$A$1:$B$30,2,0)</f>
        <v>1.89462595295753</v>
      </c>
      <c r="J675" s="7">
        <f>VLOOKUP(E675,Vlookup!$A$1:$B$30,2,0)</f>
        <v>1.8243208303594776</v>
      </c>
      <c r="K675" s="7">
        <f>VLOOKUP(F675,Vlookup!$A$1:$B$30,2,0)</f>
        <v>1.7440097060445605</v>
      </c>
      <c r="L675" s="7">
        <f t="shared" si="13"/>
        <v>12.128710166185014</v>
      </c>
      <c r="M675" s="7">
        <f t="shared" si="14"/>
        <v>8.6433371607750207</v>
      </c>
      <c r="N675" s="7">
        <f t="shared" si="15"/>
        <v>6.0280048999865423</v>
      </c>
      <c r="O675" s="7">
        <f t="shared" si="16"/>
        <v>3.1816332350862009</v>
      </c>
      <c r="P675" s="7">
        <f t="shared" si="17"/>
        <v>1.7440097060445605</v>
      </c>
      <c r="Q675">
        <v>1</v>
      </c>
      <c r="R675" s="7">
        <f t="shared" si="18"/>
        <v>32.725695168077337</v>
      </c>
      <c r="S675" s="7">
        <f>VLOOKUP($A675,Rotations!$A$1:$X$1441,18,0)</f>
        <v>3.0557028502039636E-2</v>
      </c>
      <c r="T675" s="7">
        <f>VLOOKUP($A675,Rotations!$A$1:$X$1441,19,0)</f>
        <v>5.3291754295437407E-2</v>
      </c>
      <c r="U675" s="7">
        <f>VLOOKUP($A675,Rotations!$A$1:$X$1441,20,0)</f>
        <v>0.26411469997454068</v>
      </c>
      <c r="V675" s="7">
        <f>VLOOKUP($A675,Rotations!$A$1:$X$1441,21,0)</f>
        <v>0.18419791753932335</v>
      </c>
      <c r="W675" s="7">
        <f>VLOOKUP($A675,Rotations!$A$1:$X$1441,22,0)</f>
        <v>9.7221257447565615E-2</v>
      </c>
      <c r="X675" s="7">
        <f>VLOOKUP($A675,Rotations!$A$1:$X$1441,23,0)</f>
        <v>0.37061734224109338</v>
      </c>
    </row>
    <row r="676" spans="1:24" ht="15.75" customHeight="1" x14ac:dyDescent="0.3">
      <c r="A676">
        <v>667</v>
      </c>
      <c r="B676" t="str">
        <f>Permutations!I668</f>
        <v>p131 - i6:i3</v>
      </c>
      <c r="C676" t="str">
        <f>Permutations!J668</f>
        <v>p6 - i3:i5</v>
      </c>
      <c r="D676" t="str">
        <f>Permutations!K668</f>
        <v>p101 - i5:i1</v>
      </c>
      <c r="E676" t="str">
        <f>Permutations!L668</f>
        <v>p1 - i1:i2</v>
      </c>
      <c r="F676" t="str">
        <f>Permutations!M668</f>
        <v>p5 - i2:i4</v>
      </c>
      <c r="G676" s="7">
        <f>VLOOKUP(B676,Vlookup!$A$1:$B$30,2,0)</f>
        <v>1.4032439022773779</v>
      </c>
      <c r="H676" s="7">
        <f>VLOOKUP(C676,Vlookup!$A$1:$B$30,2,0)</f>
        <v>2.2414716085286912</v>
      </c>
      <c r="I676" s="7">
        <f>VLOOKUP(D676,Vlookup!$A$1:$B$30,2,0)</f>
        <v>1.530542412441888</v>
      </c>
      <c r="J676" s="7">
        <f>VLOOKUP(E676,Vlookup!$A$1:$B$30,2,0)</f>
        <v>1.6373343116675814</v>
      </c>
      <c r="K676" s="7">
        <f>VLOOKUP(F676,Vlookup!$A$1:$B$30,2,0)</f>
        <v>0.9108240498099236</v>
      </c>
      <c r="L676" s="7">
        <f t="shared" si="13"/>
        <v>7.1793252180327212</v>
      </c>
      <c r="M676" s="7">
        <f t="shared" si="14"/>
        <v>5.1162347517641953</v>
      </c>
      <c r="N676" s="7">
        <f t="shared" si="15"/>
        <v>2.2825338194323628</v>
      </c>
      <c r="O676" s="7">
        <f t="shared" si="16"/>
        <v>1.4913234686458101</v>
      </c>
      <c r="P676" s="7">
        <f t="shared" si="17"/>
        <v>0.9108240498099236</v>
      </c>
      <c r="Q676">
        <v>1</v>
      </c>
      <c r="R676" s="7">
        <f t="shared" si="18"/>
        <v>17.980241307685013</v>
      </c>
      <c r="S676" s="7">
        <f>VLOOKUP($A676,Rotations!$A$1:$X$1441,18,0)</f>
        <v>8.2942350056692343E-2</v>
      </c>
      <c r="T676" s="7">
        <f>VLOOKUP($A676,Rotations!$A$1:$X$1441,19,0)</f>
        <v>5.0656942486118045E-2</v>
      </c>
      <c r="U676" s="7">
        <f>VLOOKUP($A676,Rotations!$A$1:$X$1441,20,0)</f>
        <v>0.28454761336142043</v>
      </c>
      <c r="V676" s="7">
        <f>VLOOKUP($A676,Rotations!$A$1:$X$1441,21,0)</f>
        <v>5.5616606189405574E-2</v>
      </c>
      <c r="W676" s="7">
        <f>VLOOKUP($A676,Rotations!$A$1:$X$1441,22,0)</f>
        <v>0.12694678454936947</v>
      </c>
      <c r="X676" s="7">
        <f>VLOOKUP($A676,Rotations!$A$1:$X$1441,23,0)</f>
        <v>0.39928970335699415</v>
      </c>
    </row>
    <row r="677" spans="1:24" ht="15.75" customHeight="1" x14ac:dyDescent="0.3">
      <c r="A677">
        <v>668</v>
      </c>
      <c r="B677" t="str">
        <f>Permutations!I669</f>
        <v>p131 - i6:i3</v>
      </c>
      <c r="C677" t="str">
        <f>Permutations!J669</f>
        <v>p6 - i3:i5</v>
      </c>
      <c r="D677" t="str">
        <f>Permutations!K669</f>
        <v>p101 - i5:i1</v>
      </c>
      <c r="E677" t="str">
        <f>Permutations!L669</f>
        <v>p9 - i1:i4</v>
      </c>
      <c r="F677" t="str">
        <f>Permutations!M669</f>
        <v>p51 - i4:i2</v>
      </c>
      <c r="G677" s="7">
        <f>VLOOKUP(B677,Vlookup!$A$1:$B$30,2,0)</f>
        <v>1.4032439022773779</v>
      </c>
      <c r="H677" s="7">
        <f>VLOOKUP(C677,Vlookup!$A$1:$B$30,2,0)</f>
        <v>2.2414716085286912</v>
      </c>
      <c r="I677" s="7">
        <f>VLOOKUP(D677,Vlookup!$A$1:$B$30,2,0)</f>
        <v>1.530542412441888</v>
      </c>
      <c r="J677" s="7">
        <f>VLOOKUP(E677,Vlookup!$A$1:$B$30,2,0)</f>
        <v>1.2538815092968505</v>
      </c>
      <c r="K677" s="7">
        <f>VLOOKUP(F677,Vlookup!$A$1:$B$30,2,0)</f>
        <v>1.4376356077157479</v>
      </c>
      <c r="L677" s="7">
        <f t="shared" si="13"/>
        <v>8.6779490028873205</v>
      </c>
      <c r="M677" s="7">
        <f t="shared" si="14"/>
        <v>6.1842057455610862</v>
      </c>
      <c r="N677" s="7">
        <f t="shared" si="15"/>
        <v>2.7589935656693045</v>
      </c>
      <c r="O677" s="7">
        <f t="shared" si="16"/>
        <v>1.802624705621517</v>
      </c>
      <c r="P677" s="7">
        <f t="shared" si="17"/>
        <v>1.4376356077157479</v>
      </c>
      <c r="Q677">
        <v>1</v>
      </c>
      <c r="R677" s="7">
        <f t="shared" si="18"/>
        <v>21.861408627454978</v>
      </c>
      <c r="S677" s="7">
        <f>VLOOKUP($A677,Rotations!$A$1:$X$1441,18,0)</f>
        <v>8.2456932960745438E-2</v>
      </c>
      <c r="T677" s="7">
        <f>VLOOKUP($A677,Rotations!$A$1:$X$1441,19,0)</f>
        <v>4.57427065675967E-2</v>
      </c>
      <c r="U677" s="7">
        <f>VLOOKUP($A677,Rotations!$A$1:$X$1441,20,0)</f>
        <v>0.28288230877284637</v>
      </c>
      <c r="V677" s="7">
        <f>VLOOKUP($A677,Rotations!$A$1:$X$1441,21,0)</f>
        <v>6.5761343754870014E-2</v>
      </c>
      <c r="W677" s="7">
        <f>VLOOKUP($A677,Rotations!$A$1:$X$1441,22,0)</f>
        <v>0.12620383309629835</v>
      </c>
      <c r="X677" s="7">
        <f>VLOOKUP($A677,Rotations!$A$1:$X$1441,23,0)</f>
        <v>0.39695287484764308</v>
      </c>
    </row>
    <row r="678" spans="1:24" ht="15.75" customHeight="1" x14ac:dyDescent="0.3">
      <c r="A678">
        <v>669</v>
      </c>
      <c r="B678" t="str">
        <f>Permutations!I670</f>
        <v>p131 - i6:i3</v>
      </c>
      <c r="C678" t="str">
        <f>Permutations!J670</f>
        <v>p6 - i3:i5</v>
      </c>
      <c r="D678" t="str">
        <f>Permutations!K670</f>
        <v>p71 - i5:i2</v>
      </c>
      <c r="E678" t="str">
        <f>Permutations!L670</f>
        <v>p11 - i2:i1</v>
      </c>
      <c r="F678" t="str">
        <f>Permutations!M670</f>
        <v>p9 - i1:i4</v>
      </c>
      <c r="G678" s="7">
        <f>VLOOKUP(B678,Vlookup!$A$1:$B$30,2,0)</f>
        <v>1.4032439022773779</v>
      </c>
      <c r="H678" s="7">
        <f>VLOOKUP(C678,Vlookup!$A$1:$B$30,2,0)</f>
        <v>2.2414716085286912</v>
      </c>
      <c r="I678" s="7">
        <f>VLOOKUP(D678,Vlookup!$A$1:$B$30,2,0)</f>
        <v>1.8243208303594776</v>
      </c>
      <c r="J678" s="7">
        <f>VLOOKUP(E678,Vlookup!$A$1:$B$30,2,0)</f>
        <v>1.7440097060445605</v>
      </c>
      <c r="K678" s="7">
        <f>VLOOKUP(F678,Vlookup!$A$1:$B$30,2,0)</f>
        <v>1.2538815092968505</v>
      </c>
      <c r="L678" s="7">
        <f t="shared" si="13"/>
        <v>12.547956907268485</v>
      </c>
      <c r="M678" s="7">
        <f t="shared" si="14"/>
        <v>8.9421068475009431</v>
      </c>
      <c r="N678" s="7">
        <f t="shared" si="15"/>
        <v>3.9893910828389068</v>
      </c>
      <c r="O678" s="7">
        <f t="shared" si="16"/>
        <v>2.1867815224435101</v>
      </c>
      <c r="P678" s="7">
        <f t="shared" si="17"/>
        <v>1.2538815092968505</v>
      </c>
      <c r="Q678">
        <v>1</v>
      </c>
      <c r="R678" s="7">
        <f t="shared" si="18"/>
        <v>29.920117869348697</v>
      </c>
      <c r="S678" s="7">
        <f>VLOOKUP($A678,Rotations!$A$1:$X$1441,18,0)</f>
        <v>4.1907639360651526E-2</v>
      </c>
      <c r="T678" s="7">
        <f>VLOOKUP($A678,Rotations!$A$1:$X$1441,19,0)</f>
        <v>7.3087329802391313E-2</v>
      </c>
      <c r="U678" s="7">
        <f>VLOOKUP($A678,Rotations!$A$1:$X$1441,20,0)</f>
        <v>0.29886603009213331</v>
      </c>
      <c r="V678" s="7">
        <f>VLOOKUP($A678,Rotations!$A$1:$X$1441,21,0)</f>
        <v>3.3422328226334896E-2</v>
      </c>
      <c r="W678" s="7">
        <f>VLOOKUP($A678,Rotations!$A$1:$X$1441,22,0)</f>
        <v>0.13333473819385552</v>
      </c>
      <c r="X678" s="7">
        <f>VLOOKUP($A678,Rotations!$A$1:$X$1441,23,0)</f>
        <v>0.41938193432463339</v>
      </c>
    </row>
    <row r="679" spans="1:24" ht="15.75" customHeight="1" x14ac:dyDescent="0.3">
      <c r="A679">
        <v>670</v>
      </c>
      <c r="B679" t="str">
        <f>Permutations!I671</f>
        <v>p131 - i6:i3</v>
      </c>
      <c r="C679" t="str">
        <f>Permutations!J671</f>
        <v>p6 - i3:i5</v>
      </c>
      <c r="D679" t="str">
        <f>Permutations!K671</f>
        <v>p71 - i5:i2</v>
      </c>
      <c r="E679" t="str">
        <f>Permutations!L671</f>
        <v>p5 - i2:i4</v>
      </c>
      <c r="F679" t="str">
        <f>Permutations!M671</f>
        <v>p91 - i4:i1</v>
      </c>
      <c r="G679" s="7">
        <f>VLOOKUP(B679,Vlookup!$A$1:$B$30,2,0)</f>
        <v>1.4032439022773779</v>
      </c>
      <c r="H679" s="7">
        <f>VLOOKUP(C679,Vlookup!$A$1:$B$30,2,0)</f>
        <v>2.2414716085286912</v>
      </c>
      <c r="I679" s="7">
        <f>VLOOKUP(D679,Vlookup!$A$1:$B$30,2,0)</f>
        <v>1.8243208303594776</v>
      </c>
      <c r="J679" s="7">
        <f>VLOOKUP(E679,Vlookup!$A$1:$B$30,2,0)</f>
        <v>0.9108240498099236</v>
      </c>
      <c r="K679" s="7">
        <f>VLOOKUP(F679,Vlookup!$A$1:$B$30,2,0)</f>
        <v>2.9131157743633094</v>
      </c>
      <c r="L679" s="7">
        <f t="shared" si="13"/>
        <v>15.225089604051611</v>
      </c>
      <c r="M679" s="7">
        <f t="shared" si="14"/>
        <v>10.849923936489041</v>
      </c>
      <c r="N679" s="7">
        <f t="shared" si="15"/>
        <v>4.8405359653923803</v>
      </c>
      <c r="O679" s="7">
        <f t="shared" si="16"/>
        <v>2.653335907170761</v>
      </c>
      <c r="P679" s="7">
        <f t="shared" si="17"/>
        <v>2.9131157743633094</v>
      </c>
      <c r="Q679">
        <v>1</v>
      </c>
      <c r="R679" s="7">
        <f t="shared" si="18"/>
        <v>37.482001187467105</v>
      </c>
      <c r="S679" s="7">
        <f>VLOOKUP($A679,Rotations!$A$1:$X$1441,18,0)</f>
        <v>2.6679471968384948E-2</v>
      </c>
      <c r="T679" s="7">
        <f>VLOOKUP($A679,Rotations!$A$1:$X$1441,19,0)</f>
        <v>7.0789600958071561E-2</v>
      </c>
      <c r="U679" s="7">
        <f>VLOOKUP($A679,Rotations!$A$1:$X$1441,20,0)</f>
        <v>0.28947024152266826</v>
      </c>
      <c r="V679" s="7">
        <f>VLOOKUP($A679,Rotations!$A$1:$X$1441,21,0)</f>
        <v>7.7720390642785922E-2</v>
      </c>
      <c r="W679" s="7">
        <f>VLOOKUP($A679,Rotations!$A$1:$X$1441,22,0)</f>
        <v>0.12914294360064518</v>
      </c>
      <c r="X679" s="7">
        <f>VLOOKUP($A679,Rotations!$A$1:$X$1441,23,0)</f>
        <v>0.40619735130744405</v>
      </c>
    </row>
    <row r="680" spans="1:24" ht="15.75" customHeight="1" x14ac:dyDescent="0.3">
      <c r="A680">
        <v>671</v>
      </c>
      <c r="B680" t="str">
        <f>Permutations!I672</f>
        <v>p131 - i6:i3</v>
      </c>
      <c r="C680" t="str">
        <f>Permutations!J672</f>
        <v>p6 - i3:i5</v>
      </c>
      <c r="D680" t="str">
        <f>Permutations!K672</f>
        <v>p41 - i5:i4</v>
      </c>
      <c r="E680" t="str">
        <f>Permutations!L672</f>
        <v>p91 - i4:i1</v>
      </c>
      <c r="F680" t="str">
        <f>Permutations!M672</f>
        <v>p1 - i1:i2</v>
      </c>
      <c r="G680" s="7">
        <f>VLOOKUP(B680,Vlookup!$A$1:$B$30,2,0)</f>
        <v>1.4032439022773779</v>
      </c>
      <c r="H680" s="7">
        <f>VLOOKUP(C680,Vlookup!$A$1:$B$30,2,0)</f>
        <v>2.2414716085286912</v>
      </c>
      <c r="I680" s="7">
        <f>VLOOKUP(D680,Vlookup!$A$1:$B$30,2,0)</f>
        <v>1.25400669441983</v>
      </c>
      <c r="J680" s="7">
        <f>VLOOKUP(E680,Vlookup!$A$1:$B$30,2,0)</f>
        <v>2.9131157743633094</v>
      </c>
      <c r="K680" s="7">
        <f>VLOOKUP(F680,Vlookup!$A$1:$B$30,2,0)</f>
        <v>1.6373343116675814</v>
      </c>
      <c r="L680" s="7">
        <f t="shared" si="13"/>
        <v>18.813143524657146</v>
      </c>
      <c r="M680" s="7">
        <f t="shared" si="14"/>
        <v>13.406894905528954</v>
      </c>
      <c r="N680" s="7">
        <f t="shared" si="15"/>
        <v>5.9812914223478737</v>
      </c>
      <c r="O680" s="7">
        <f t="shared" si="16"/>
        <v>4.7697444112251226</v>
      </c>
      <c r="P680" s="7">
        <f t="shared" si="17"/>
        <v>1.6373343116675814</v>
      </c>
      <c r="Q680">
        <v>1</v>
      </c>
      <c r="R680" s="7">
        <f t="shared" si="18"/>
        <v>45.608408575426672</v>
      </c>
      <c r="S680" s="7">
        <f>VLOOKUP($A680,Rotations!$A$1:$X$1441,18,0)</f>
        <v>3.5899834324624076E-2</v>
      </c>
      <c r="T680" s="7">
        <f>VLOOKUP($A680,Rotations!$A$1:$X$1441,19,0)</f>
        <v>2.1925781478347599E-2</v>
      </c>
      <c r="U680" s="7">
        <f>VLOOKUP($A680,Rotations!$A$1:$X$1441,20,0)</f>
        <v>0.29395664800179955</v>
      </c>
      <c r="V680" s="7">
        <f>VLOOKUP($A680,Rotations!$A$1:$X$1441,21,0)</f>
        <v>0.10458037366809177</v>
      </c>
      <c r="W680" s="7">
        <f>VLOOKUP($A680,Rotations!$A$1:$X$1441,22,0)</f>
        <v>0.13114448868471437</v>
      </c>
      <c r="X680" s="7">
        <f>VLOOKUP($A680,Rotations!$A$1:$X$1441,23,0)</f>
        <v>0.41249287384242272</v>
      </c>
    </row>
    <row r="681" spans="1:24" ht="15.75" customHeight="1" x14ac:dyDescent="0.3">
      <c r="A681">
        <v>672</v>
      </c>
      <c r="B681" t="str">
        <f>Permutations!I673</f>
        <v>p131 - i6:i3</v>
      </c>
      <c r="C681" t="str">
        <f>Permutations!J673</f>
        <v>p6 - i3:i5</v>
      </c>
      <c r="D681" t="str">
        <f>Permutations!K673</f>
        <v>p41 - i5:i4</v>
      </c>
      <c r="E681" t="str">
        <f>Permutations!L673</f>
        <v>p51 - i4:i2</v>
      </c>
      <c r="F681" t="str">
        <f>Permutations!M673</f>
        <v>p11 - i2:i1</v>
      </c>
      <c r="G681" s="7">
        <f>VLOOKUP(B681,Vlookup!$A$1:$B$30,2,0)</f>
        <v>1.4032439022773779</v>
      </c>
      <c r="H681" s="7">
        <f>VLOOKUP(C681,Vlookup!$A$1:$B$30,2,0)</f>
        <v>2.2414716085286912</v>
      </c>
      <c r="I681" s="7">
        <f>VLOOKUP(D681,Vlookup!$A$1:$B$30,2,0)</f>
        <v>1.25400669441983</v>
      </c>
      <c r="J681" s="7">
        <f>VLOOKUP(E681,Vlookup!$A$1:$B$30,2,0)</f>
        <v>1.4376356077157479</v>
      </c>
      <c r="K681" s="7">
        <f>VLOOKUP(F681,Vlookup!$A$1:$B$30,2,0)</f>
        <v>1.7440097060445605</v>
      </c>
      <c r="L681" s="7">
        <f t="shared" si="13"/>
        <v>9.8892641972696342</v>
      </c>
      <c r="M681" s="7">
        <f t="shared" si="14"/>
        <v>7.047430729055705</v>
      </c>
      <c r="N681" s="7">
        <f t="shared" si="15"/>
        <v>3.1441088534160202</v>
      </c>
      <c r="O681" s="7">
        <f t="shared" si="16"/>
        <v>2.5072504536115345</v>
      </c>
      <c r="P681" s="7">
        <f t="shared" si="17"/>
        <v>1.7440097060445605</v>
      </c>
      <c r="Q681">
        <v>1</v>
      </c>
      <c r="R681" s="7">
        <f t="shared" si="18"/>
        <v>25.332063939397454</v>
      </c>
      <c r="S681" s="7">
        <f>VLOOKUP($A681,Rotations!$A$1:$X$1441,18,0)</f>
        <v>3.9475662243405263E-2</v>
      </c>
      <c r="T681" s="7">
        <f>VLOOKUP($A681,Rotations!$A$1:$X$1441,19,0)</f>
        <v>6.8845938105035559E-2</v>
      </c>
      <c r="U681" s="7">
        <f>VLOOKUP($A681,Rotations!$A$1:$X$1441,20,0)</f>
        <v>0.27820199514399829</v>
      </c>
      <c r="V681" s="7">
        <f>VLOOKUP($A681,Rotations!$A$1:$X$1441,21,0)</f>
        <v>9.8975372066393563E-2</v>
      </c>
      <c r="W681" s="7">
        <f>VLOOKUP($A681,Rotations!$A$1:$X$1441,22,0)</f>
        <v>0.124115779153951</v>
      </c>
      <c r="X681" s="7">
        <f>VLOOKUP($A681,Rotations!$A$1:$X$1441,23,0)</f>
        <v>0.39038525328721635</v>
      </c>
    </row>
    <row r="682" spans="1:24" ht="15.75" customHeight="1" x14ac:dyDescent="0.3">
      <c r="A682">
        <v>673</v>
      </c>
      <c r="B682" t="str">
        <f>Permutations!I674</f>
        <v>p141 - i6:i4</v>
      </c>
      <c r="C682" t="str">
        <f>Permutations!J674</f>
        <v>p91 - i4:i1</v>
      </c>
      <c r="D682" t="str">
        <f>Permutations!K674</f>
        <v>p1 - i1:i2</v>
      </c>
      <c r="E682" t="str">
        <f>Permutations!L674</f>
        <v>p2 - i2:i3</v>
      </c>
      <c r="F682" t="str">
        <f>Permutations!M674</f>
        <v>p6 - i3:i5</v>
      </c>
      <c r="G682" s="7">
        <f>VLOOKUP(B682,Vlookup!$A$1:$B$30,2,0)</f>
        <v>0.88688155974910687</v>
      </c>
      <c r="H682" s="7">
        <f>VLOOKUP(C682,Vlookup!$A$1:$B$30,2,0)</f>
        <v>2.9131157743633094</v>
      </c>
      <c r="I682" s="7">
        <f>VLOOKUP(D682,Vlookup!$A$1:$B$30,2,0)</f>
        <v>1.6373343116675814</v>
      </c>
      <c r="J682" s="7">
        <f>VLOOKUP(E682,Vlookup!$A$1:$B$30,2,0)</f>
        <v>1.3601242124324544</v>
      </c>
      <c r="K682" s="7">
        <f>VLOOKUP(F682,Vlookup!$A$1:$B$30,2,0)</f>
        <v>2.2414716085286912</v>
      </c>
      <c r="L682" s="7">
        <f t="shared" si="13"/>
        <v>12.896520325764049</v>
      </c>
      <c r="M682" s="7">
        <f t="shared" si="14"/>
        <v>14.541423467427142</v>
      </c>
      <c r="N682" s="7">
        <f t="shared" si="15"/>
        <v>4.9917080520444861</v>
      </c>
      <c r="O682" s="7">
        <f t="shared" si="16"/>
        <v>3.0486798062397931</v>
      </c>
      <c r="P682" s="7">
        <f t="shared" si="17"/>
        <v>2.2414716085286912</v>
      </c>
      <c r="Q682">
        <v>1</v>
      </c>
      <c r="R682" s="7">
        <f t="shared" si="18"/>
        <v>38.719803260004163</v>
      </c>
      <c r="S682" s="7">
        <f>VLOOKUP($A682,Rotations!$A$1:$X$1441,18,0)</f>
        <v>0.12891873490485162</v>
      </c>
      <c r="T682" s="7">
        <f>VLOOKUP($A682,Rotations!$A$1:$X$1441,19,0)</f>
        <v>7.8736965313791873E-2</v>
      </c>
      <c r="U682" s="7">
        <f>VLOOKUP($A682,Rotations!$A$1:$X$1441,20,0)</f>
        <v>5.7889540230283962E-2</v>
      </c>
      <c r="V682" s="7">
        <f>VLOOKUP($A682,Rotations!$A$1:$X$1441,21,0)</f>
        <v>0.37555520026228506</v>
      </c>
      <c r="W682" s="7">
        <f>VLOOKUP($A682,Rotations!$A$1:$X$1441,22,0)</f>
        <v>2.582657750828387E-2</v>
      </c>
      <c r="X682" s="7">
        <f>VLOOKUP($A682,Rotations!$A$1:$X$1441,23,0)</f>
        <v>0.3330729817805036</v>
      </c>
    </row>
    <row r="683" spans="1:24" ht="15.75" customHeight="1" x14ac:dyDescent="0.3">
      <c r="A683">
        <v>674</v>
      </c>
      <c r="B683" t="str">
        <f>Permutations!I675</f>
        <v>p141 - i6:i4</v>
      </c>
      <c r="C683" t="str">
        <f>Permutations!J675</f>
        <v>p91 - i4:i1</v>
      </c>
      <c r="D683" t="str">
        <f>Permutations!K675</f>
        <v>p1 - i1:i2</v>
      </c>
      <c r="E683" t="str">
        <f>Permutations!L675</f>
        <v>p7 - i2:i5</v>
      </c>
      <c r="F683" t="str">
        <f>Permutations!M675</f>
        <v>p61 - i5:i3</v>
      </c>
      <c r="G683" s="7">
        <f>VLOOKUP(B683,Vlookup!$A$1:$B$30,2,0)</f>
        <v>0.88688155974910687</v>
      </c>
      <c r="H683" s="7">
        <f>VLOOKUP(C683,Vlookup!$A$1:$B$30,2,0)</f>
        <v>2.9131157743633094</v>
      </c>
      <c r="I683" s="7">
        <f>VLOOKUP(D683,Vlookup!$A$1:$B$30,2,0)</f>
        <v>1.6373343116675814</v>
      </c>
      <c r="J683" s="7">
        <f>VLOOKUP(E683,Vlookup!$A$1:$B$30,2,0)</f>
        <v>1.7991741228251155</v>
      </c>
      <c r="K683" s="7">
        <f>VLOOKUP(F683,Vlookup!$A$1:$B$30,2,0)</f>
        <v>1.9746367445127702</v>
      </c>
      <c r="L683" s="7">
        <f t="shared" si="13"/>
        <v>15.028690584735584</v>
      </c>
      <c r="M683" s="7">
        <f t="shared" si="14"/>
        <v>16.945544102853038</v>
      </c>
      <c r="N683" s="7">
        <f t="shared" si="15"/>
        <v>5.8169827138286863</v>
      </c>
      <c r="O683" s="7">
        <f t="shared" si="16"/>
        <v>3.5527153327070047</v>
      </c>
      <c r="P683" s="7">
        <f t="shared" si="17"/>
        <v>1.9746367445127702</v>
      </c>
      <c r="Q683">
        <v>1</v>
      </c>
      <c r="R683" s="7">
        <f t="shared" si="18"/>
        <v>44.31856947863708</v>
      </c>
      <c r="S683" s="7">
        <f>VLOOKUP($A683,Rotations!$A$1:$X$1441,18,0)</f>
        <v>0.13125384646344804</v>
      </c>
      <c r="T683" s="7">
        <f>VLOOKUP($A683,Rotations!$A$1:$X$1441,19,0)</f>
        <v>8.0163131944489388E-2</v>
      </c>
      <c r="U683" s="7">
        <f>VLOOKUP($A683,Rotations!$A$1:$X$1441,20,0)</f>
        <v>2.256390519287927E-2</v>
      </c>
      <c r="V683" s="7">
        <f>VLOOKUP($A683,Rotations!$A$1:$X$1441,21,0)</f>
        <v>0.38235765057853038</v>
      </c>
      <c r="W683" s="7">
        <f>VLOOKUP($A683,Rotations!$A$1:$X$1441,22,0)</f>
        <v>4.4555516293561914E-2</v>
      </c>
      <c r="X683" s="7">
        <f>VLOOKUP($A683,Rotations!$A$1:$X$1441,23,0)</f>
        <v>0.33910594952709106</v>
      </c>
    </row>
    <row r="684" spans="1:24" ht="15.75" customHeight="1" x14ac:dyDescent="0.3">
      <c r="A684">
        <v>675</v>
      </c>
      <c r="B684" t="str">
        <f>Permutations!I676</f>
        <v>p141 - i6:i4</v>
      </c>
      <c r="C684" t="str">
        <f>Permutations!J676</f>
        <v>p91 - i4:i1</v>
      </c>
      <c r="D684" t="str">
        <f>Permutations!K676</f>
        <v>p8 - i1:i3</v>
      </c>
      <c r="E684" t="str">
        <f>Permutations!L676</f>
        <v>p21 - i3:i2</v>
      </c>
      <c r="F684" t="str">
        <f>Permutations!M676</f>
        <v>p7 - i2:i5</v>
      </c>
      <c r="G684" s="7">
        <f>VLOOKUP(B684,Vlookup!$A$1:$B$30,2,0)</f>
        <v>0.88688155974910687</v>
      </c>
      <c r="H684" s="7">
        <f>VLOOKUP(C684,Vlookup!$A$1:$B$30,2,0)</f>
        <v>2.9131157743633094</v>
      </c>
      <c r="I684" s="7">
        <f>VLOOKUP(D684,Vlookup!$A$1:$B$30,2,0)</f>
        <v>1.1080774401297739</v>
      </c>
      <c r="J684" s="7">
        <f>VLOOKUP(E684,Vlookup!$A$1:$B$30,2,0)</f>
        <v>1.5059827029565431</v>
      </c>
      <c r="K684" s="7">
        <f>VLOOKUP(F684,Vlookup!$A$1:$B$30,2,0)</f>
        <v>1.7991741228251155</v>
      </c>
      <c r="L684" s="7">
        <f t="shared" si="13"/>
        <v>7.7568726748320378</v>
      </c>
      <c r="M684" s="7">
        <f t="shared" si="14"/>
        <v>8.7462328983662783</v>
      </c>
      <c r="N684" s="7">
        <f t="shared" si="15"/>
        <v>3.0023636462844858</v>
      </c>
      <c r="O684" s="7">
        <f t="shared" si="16"/>
        <v>2.709525108581635</v>
      </c>
      <c r="P684" s="7">
        <f t="shared" si="17"/>
        <v>1.7991741228251155</v>
      </c>
      <c r="Q684">
        <v>1</v>
      </c>
      <c r="R684" s="7">
        <f t="shared" si="18"/>
        <v>25.014168450889549</v>
      </c>
      <c r="S684" s="7">
        <f>VLOOKUP($A684,Rotations!$A$1:$X$1441,18,0)</f>
        <v>0.12002652225593836</v>
      </c>
      <c r="T684" s="7">
        <f>VLOOKUP($A684,Rotations!$A$1:$X$1441,19,0)</f>
        <v>7.1926201598803641E-2</v>
      </c>
      <c r="U684" s="7">
        <f>VLOOKUP($A684,Rotations!$A$1:$X$1441,20,0)</f>
        <v>0.10831961549716354</v>
      </c>
      <c r="V684" s="7">
        <f>VLOOKUP($A684,Rotations!$A$1:$X$1441,21,0)</f>
        <v>0.34965115532574287</v>
      </c>
      <c r="W684" s="7">
        <f>VLOOKUP($A684,Rotations!$A$1:$X$1441,22,0)</f>
        <v>3.9977343318979612E-2</v>
      </c>
      <c r="X684" s="7">
        <f>VLOOKUP($A684,Rotations!$A$1:$X$1441,23,0)</f>
        <v>0.31009916200337212</v>
      </c>
    </row>
    <row r="685" spans="1:24" ht="15.75" customHeight="1" x14ac:dyDescent="0.3">
      <c r="A685">
        <v>676</v>
      </c>
      <c r="B685" t="str">
        <f>Permutations!I677</f>
        <v>p141 - i6:i4</v>
      </c>
      <c r="C685" t="str">
        <f>Permutations!J677</f>
        <v>p91 - i4:i1</v>
      </c>
      <c r="D685" t="str">
        <f>Permutations!K677</f>
        <v>p8 - i1:i3</v>
      </c>
      <c r="E685" t="str">
        <f>Permutations!L677</f>
        <v>p6 - i3:i5</v>
      </c>
      <c r="F685" t="str">
        <f>Permutations!M677</f>
        <v>p71 - i5:i2</v>
      </c>
      <c r="G685" s="7">
        <f>VLOOKUP(B685,Vlookup!$A$1:$B$30,2,0)</f>
        <v>0.88688155974910687</v>
      </c>
      <c r="H685" s="7">
        <f>VLOOKUP(C685,Vlookup!$A$1:$B$30,2,0)</f>
        <v>2.9131157743633094</v>
      </c>
      <c r="I685" s="7">
        <f>VLOOKUP(D685,Vlookup!$A$1:$B$30,2,0)</f>
        <v>1.1080774401297739</v>
      </c>
      <c r="J685" s="7">
        <f>VLOOKUP(E685,Vlookup!$A$1:$B$30,2,0)</f>
        <v>2.2414716085286912</v>
      </c>
      <c r="K685" s="7">
        <f>VLOOKUP(F685,Vlookup!$A$1:$B$30,2,0)</f>
        <v>1.8243208303594776</v>
      </c>
      <c r="L685" s="7">
        <f t="shared" si="13"/>
        <v>11.706523523924243</v>
      </c>
      <c r="M685" s="7">
        <f t="shared" si="14"/>
        <v>13.199647004991224</v>
      </c>
      <c r="N685" s="7">
        <f t="shared" si="15"/>
        <v>4.5311096528170554</v>
      </c>
      <c r="O685" s="7">
        <f t="shared" si="16"/>
        <v>4.0891633460982559</v>
      </c>
      <c r="P685" s="7">
        <f t="shared" si="17"/>
        <v>1.8243208303594776</v>
      </c>
      <c r="Q685">
        <v>1</v>
      </c>
      <c r="R685" s="7">
        <f t="shared" si="18"/>
        <v>36.350764358190254</v>
      </c>
      <c r="S685" s="7">
        <f>VLOOKUP($A685,Rotations!$A$1:$X$1441,18,0)</f>
        <v>0.12464963895033319</v>
      </c>
      <c r="T685" s="7">
        <f>VLOOKUP($A685,Rotations!$A$1:$X$1441,19,0)</f>
        <v>2.7509737901142323E-2</v>
      </c>
      <c r="U685" s="7">
        <f>VLOOKUP($A685,Rotations!$A$1:$X$1441,20,0)</f>
        <v>0.11249181188612116</v>
      </c>
      <c r="V685" s="7">
        <f>VLOOKUP($A685,Rotations!$A$1:$X$1441,21,0)</f>
        <v>0.36311882949490687</v>
      </c>
      <c r="W685" s="7">
        <f>VLOOKUP($A685,Rotations!$A$1:$X$1441,22,0)</f>
        <v>5.0186587890783556E-2</v>
      </c>
      <c r="X685" s="7">
        <f>VLOOKUP($A685,Rotations!$A$1:$X$1441,23,0)</f>
        <v>0.32204339387671299</v>
      </c>
    </row>
    <row r="686" spans="1:24" ht="15.75" customHeight="1" x14ac:dyDescent="0.3">
      <c r="A686">
        <v>677</v>
      </c>
      <c r="B686" t="str">
        <f>Permutations!I678</f>
        <v>p141 - i6:i4</v>
      </c>
      <c r="C686" t="str">
        <f>Permutations!J678</f>
        <v>p91 - i4:i1</v>
      </c>
      <c r="D686" t="str">
        <f>Permutations!K678</f>
        <v>p10 - i1:i5</v>
      </c>
      <c r="E686" t="str">
        <f>Permutations!L678</f>
        <v>p71 - i5:i2</v>
      </c>
      <c r="F686" t="str">
        <f>Permutations!M678</f>
        <v>p2 - i2:i3</v>
      </c>
      <c r="G686" s="7">
        <f>VLOOKUP(B686,Vlookup!$A$1:$B$30,2,0)</f>
        <v>0.88688155974910687</v>
      </c>
      <c r="H686" s="7">
        <f>VLOOKUP(C686,Vlookup!$A$1:$B$30,2,0)</f>
        <v>2.9131157743633094</v>
      </c>
      <c r="I686" s="7">
        <f>VLOOKUP(D686,Vlookup!$A$1:$B$30,2,0)</f>
        <v>1.0847108741813811</v>
      </c>
      <c r="J686" s="7">
        <f>VLOOKUP(E686,Vlookup!$A$1:$B$30,2,0)</f>
        <v>1.8243208303594776</v>
      </c>
      <c r="K686" s="7">
        <f>VLOOKUP(F686,Vlookup!$A$1:$B$30,2,0)</f>
        <v>1.3601242124324544</v>
      </c>
      <c r="L686" s="7">
        <f t="shared" si="13"/>
        <v>6.9537192543040307</v>
      </c>
      <c r="M686" s="7">
        <f t="shared" si="14"/>
        <v>7.8406402499463326</v>
      </c>
      <c r="N686" s="7">
        <f t="shared" si="15"/>
        <v>2.6914962731476</v>
      </c>
      <c r="O686" s="7">
        <f t="shared" si="16"/>
        <v>2.4813029326168055</v>
      </c>
      <c r="P686" s="7">
        <f t="shared" si="17"/>
        <v>1.3601242124324544</v>
      </c>
      <c r="Q686">
        <v>1</v>
      </c>
      <c r="R686" s="7">
        <f t="shared" si="18"/>
        <v>22.327282922447221</v>
      </c>
      <c r="S686" s="7">
        <f>VLOOKUP($A686,Rotations!$A$1:$X$1441,18,0)</f>
        <v>0.12054741647232164</v>
      </c>
      <c r="T686" s="7">
        <f>VLOOKUP($A686,Rotations!$A$1:$X$1441,19,0)</f>
        <v>6.0917587561226443E-2</v>
      </c>
      <c r="U686" s="7">
        <f>VLOOKUP($A686,Rotations!$A$1:$X$1441,20,0)</f>
        <v>4.478825316423201E-2</v>
      </c>
      <c r="V686" s="7">
        <f>VLOOKUP($A686,Rotations!$A$1:$X$1441,21,0)</f>
        <v>0.35116858048426364</v>
      </c>
      <c r="W686" s="7">
        <f>VLOOKUP($A686,Rotations!$A$1:$X$1441,22,0)</f>
        <v>0.11113322392319279</v>
      </c>
      <c r="X686" s="7">
        <f>VLOOKUP($A686,Rotations!$A$1:$X$1441,23,0)</f>
        <v>0.31144493839476356</v>
      </c>
    </row>
    <row r="687" spans="1:24" ht="15.75" customHeight="1" x14ac:dyDescent="0.3">
      <c r="A687">
        <v>678</v>
      </c>
      <c r="B687" t="str">
        <f>Permutations!I679</f>
        <v>p141 - i6:i4</v>
      </c>
      <c r="C687" t="str">
        <f>Permutations!J679</f>
        <v>p91 - i4:i1</v>
      </c>
      <c r="D687" t="str">
        <f>Permutations!K679</f>
        <v>p10 - i1:i5</v>
      </c>
      <c r="E687" t="str">
        <f>Permutations!L679</f>
        <v>p61 - i5:i3</v>
      </c>
      <c r="F687" t="str">
        <f>Permutations!M679</f>
        <v>p21 - i3:i2</v>
      </c>
      <c r="G687" s="7">
        <f>VLOOKUP(B687,Vlookup!$A$1:$B$30,2,0)</f>
        <v>0.88688155974910687</v>
      </c>
      <c r="H687" s="7">
        <f>VLOOKUP(C687,Vlookup!$A$1:$B$30,2,0)</f>
        <v>2.9131157743633094</v>
      </c>
      <c r="I687" s="7">
        <f>VLOOKUP(D687,Vlookup!$A$1:$B$30,2,0)</f>
        <v>1.0847108741813811</v>
      </c>
      <c r="J687" s="7">
        <f>VLOOKUP(E687,Vlookup!$A$1:$B$30,2,0)</f>
        <v>1.9746367445127702</v>
      </c>
      <c r="K687" s="7">
        <f>VLOOKUP(F687,Vlookup!$A$1:$B$30,2,0)</f>
        <v>1.5059827029565431</v>
      </c>
      <c r="L687" s="7">
        <f t="shared" si="13"/>
        <v>8.3338285561330991</v>
      </c>
      <c r="M687" s="7">
        <f t="shared" si="14"/>
        <v>9.3967773537773027</v>
      </c>
      <c r="N687" s="7">
        <f t="shared" si="15"/>
        <v>3.2256793349831976</v>
      </c>
      <c r="O687" s="7">
        <f t="shared" si="16"/>
        <v>2.9737687818586505</v>
      </c>
      <c r="P687" s="7">
        <f t="shared" si="17"/>
        <v>1.5059827029565431</v>
      </c>
      <c r="Q687">
        <v>1</v>
      </c>
      <c r="R687" s="7">
        <f t="shared" si="18"/>
        <v>26.436036729708796</v>
      </c>
      <c r="S687" s="7">
        <f>VLOOKUP($A687,Rotations!$A$1:$X$1441,18,0)</f>
        <v>0.12201826499046212</v>
      </c>
      <c r="T687" s="7">
        <f>VLOOKUP($A687,Rotations!$A$1:$X$1441,19,0)</f>
        <v>3.7827152769696407E-2</v>
      </c>
      <c r="U687" s="7">
        <f>VLOOKUP($A687,Rotations!$A$1:$X$1441,20,0)</f>
        <v>5.6967037773257477E-2</v>
      </c>
      <c r="V687" s="7">
        <f>VLOOKUP($A687,Rotations!$A$1:$X$1441,21,0)</f>
        <v>0.35545333250415756</v>
      </c>
      <c r="W687" s="7">
        <f>VLOOKUP($A687,Rotations!$A$1:$X$1441,22,0)</f>
        <v>0.11248920601312115</v>
      </c>
      <c r="X687" s="7">
        <f>VLOOKUP($A687,Rotations!$A$1:$X$1441,23,0)</f>
        <v>0.31524500594930516</v>
      </c>
    </row>
    <row r="688" spans="1:24" ht="15.75" customHeight="1" x14ac:dyDescent="0.3">
      <c r="A688">
        <v>679</v>
      </c>
      <c r="B688" t="str">
        <f>Permutations!I680</f>
        <v>p141 - i6:i4</v>
      </c>
      <c r="C688" t="str">
        <f>Permutations!J680</f>
        <v>p51 - i4:i2</v>
      </c>
      <c r="D688" t="str">
        <f>Permutations!K680</f>
        <v>p11 - i2:i1</v>
      </c>
      <c r="E688" t="str">
        <f>Permutations!L680</f>
        <v>p8 - i1:i3</v>
      </c>
      <c r="F688" t="str">
        <f>Permutations!M680</f>
        <v>p6 - i3:i5</v>
      </c>
      <c r="G688" s="7">
        <f>VLOOKUP(B688,Vlookup!$A$1:$B$30,2,0)</f>
        <v>0.88688155974910687</v>
      </c>
      <c r="H688" s="7">
        <f>VLOOKUP(C688,Vlookup!$A$1:$B$30,2,0)</f>
        <v>1.4376356077157479</v>
      </c>
      <c r="I688" s="7">
        <f>VLOOKUP(D688,Vlookup!$A$1:$B$30,2,0)</f>
        <v>1.7440097060445605</v>
      </c>
      <c r="J688" s="7">
        <f>VLOOKUP(E688,Vlookup!$A$1:$B$30,2,0)</f>
        <v>1.1080774401297739</v>
      </c>
      <c r="K688" s="7">
        <f>VLOOKUP(F688,Vlookup!$A$1:$B$30,2,0)</f>
        <v>2.2414716085286912</v>
      </c>
      <c r="L688" s="7">
        <f t="shared" si="13"/>
        <v>5.5228938838369501</v>
      </c>
      <c r="M688" s="7">
        <f t="shared" si="14"/>
        <v>6.227318431786248</v>
      </c>
      <c r="N688" s="7">
        <f t="shared" si="15"/>
        <v>4.331638976082961</v>
      </c>
      <c r="O688" s="7">
        <f t="shared" si="16"/>
        <v>2.4837241221020387</v>
      </c>
      <c r="P688" s="7">
        <f t="shared" si="17"/>
        <v>2.2414716085286912</v>
      </c>
      <c r="Q688">
        <v>1</v>
      </c>
      <c r="R688" s="7">
        <f t="shared" si="18"/>
        <v>21.807047022336889</v>
      </c>
      <c r="S688" s="7">
        <f>VLOOKUP($A688,Rotations!$A$1:$X$1441,18,0)</f>
        <v>0.11389548156419198</v>
      </c>
      <c r="T688" s="7">
        <f>VLOOKUP($A688,Rotations!$A$1:$X$1441,19,0)</f>
        <v>0.19863482532257012</v>
      </c>
      <c r="U688" s="7">
        <f>VLOOKUP($A688,Rotations!$A$1:$X$1441,20,0)</f>
        <v>0.10278657198440298</v>
      </c>
      <c r="V688" s="7">
        <f>VLOOKUP($A688,Rotations!$A$1:$X$1441,21,0)</f>
        <v>0.28556449781612459</v>
      </c>
      <c r="W688" s="7">
        <f>VLOOKUP($A688,Rotations!$A$1:$X$1441,22,0)</f>
        <v>4.5856736080575382E-2</v>
      </c>
      <c r="X688" s="7">
        <f>VLOOKUP($A688,Rotations!$A$1:$X$1441,23,0)</f>
        <v>0.253261887232135</v>
      </c>
    </row>
    <row r="689" spans="1:24" ht="15.75" customHeight="1" x14ac:dyDescent="0.3">
      <c r="A689">
        <v>680</v>
      </c>
      <c r="B689" t="str">
        <f>Permutations!I681</f>
        <v>p141 - i6:i4</v>
      </c>
      <c r="C689" t="str">
        <f>Permutations!J681</f>
        <v>p51 - i4:i2</v>
      </c>
      <c r="D689" t="str">
        <f>Permutations!K681</f>
        <v>p11 - i2:i1</v>
      </c>
      <c r="E689" t="str">
        <f>Permutations!L681</f>
        <v>p10 - i1:i5</v>
      </c>
      <c r="F689" t="str">
        <f>Permutations!M681</f>
        <v>p61 - i5:i3</v>
      </c>
      <c r="G689" s="7">
        <f>VLOOKUP(B689,Vlookup!$A$1:$B$30,2,0)</f>
        <v>0.88688155974910687</v>
      </c>
      <c r="H689" s="7">
        <f>VLOOKUP(C689,Vlookup!$A$1:$B$30,2,0)</f>
        <v>1.4376356077157479</v>
      </c>
      <c r="I689" s="7">
        <f>VLOOKUP(D689,Vlookup!$A$1:$B$30,2,0)</f>
        <v>1.7440097060445605</v>
      </c>
      <c r="J689" s="7">
        <f>VLOOKUP(E689,Vlookup!$A$1:$B$30,2,0)</f>
        <v>1.0847108741813811</v>
      </c>
      <c r="K689" s="7">
        <f>VLOOKUP(F689,Vlookup!$A$1:$B$30,2,0)</f>
        <v>1.9746367445127702</v>
      </c>
      <c r="L689" s="7">
        <f t="shared" si="13"/>
        <v>4.7628242016181455</v>
      </c>
      <c r="M689" s="7">
        <f t="shared" si="14"/>
        <v>5.3703046920555177</v>
      </c>
      <c r="N689" s="7">
        <f t="shared" si="15"/>
        <v>3.7355117411068925</v>
      </c>
      <c r="O689" s="7">
        <f t="shared" si="16"/>
        <v>2.1419099493311236</v>
      </c>
      <c r="P689" s="7">
        <f t="shared" si="17"/>
        <v>1.9746367445127702</v>
      </c>
      <c r="Q689">
        <v>1</v>
      </c>
      <c r="R689" s="7">
        <f t="shared" si="18"/>
        <v>18.985187328624452</v>
      </c>
      <c r="S689" s="7">
        <f>VLOOKUP($A689,Rotations!$A$1:$X$1441,18,0)</f>
        <v>0.11282005872555764</v>
      </c>
      <c r="T689" s="7">
        <f>VLOOKUP($A689,Rotations!$A$1:$X$1441,19,0)</f>
        <v>0.19675927745388985</v>
      </c>
      <c r="U689" s="7">
        <f>VLOOKUP($A689,Rotations!$A$1:$X$1441,20,0)</f>
        <v>5.2672643292398513E-2</v>
      </c>
      <c r="V689" s="7">
        <f>VLOOKUP($A689,Rotations!$A$1:$X$1441,21,0)</f>
        <v>0.28286814341613431</v>
      </c>
      <c r="W689" s="7">
        <f>VLOOKUP($A689,Rotations!$A$1:$X$1441,22,0)</f>
        <v>0.1040093368757842</v>
      </c>
      <c r="X689" s="7">
        <f>VLOOKUP($A689,Rotations!$A$1:$X$1441,23,0)</f>
        <v>0.25087054023623534</v>
      </c>
    </row>
    <row r="690" spans="1:24" ht="15.75" customHeight="1" x14ac:dyDescent="0.3">
      <c r="A690">
        <v>681</v>
      </c>
      <c r="B690" t="str">
        <f>Permutations!I682</f>
        <v>p141 - i6:i4</v>
      </c>
      <c r="C690" t="str">
        <f>Permutations!J682</f>
        <v>p51 - i4:i2</v>
      </c>
      <c r="D690" t="str">
        <f>Permutations!K682</f>
        <v>p2 - i2:i3</v>
      </c>
      <c r="E690" t="str">
        <f>Permutations!L682</f>
        <v>p81 - i3:i1</v>
      </c>
      <c r="F690" t="str">
        <f>Permutations!M682</f>
        <v>p10 - i1:i5</v>
      </c>
      <c r="G690" s="7">
        <f>VLOOKUP(B690,Vlookup!$A$1:$B$30,2,0)</f>
        <v>0.88688155974910687</v>
      </c>
      <c r="H690" s="7">
        <f>VLOOKUP(C690,Vlookup!$A$1:$B$30,2,0)</f>
        <v>1.4376356077157479</v>
      </c>
      <c r="I690" s="7">
        <f>VLOOKUP(D690,Vlookup!$A$1:$B$30,2,0)</f>
        <v>1.3601242124324544</v>
      </c>
      <c r="J690" s="7">
        <f>VLOOKUP(E690,Vlookup!$A$1:$B$30,2,0)</f>
        <v>1.7021844231989158</v>
      </c>
      <c r="K690" s="7">
        <f>VLOOKUP(F690,Vlookup!$A$1:$B$30,2,0)</f>
        <v>1.0847108741813811</v>
      </c>
      <c r="L690" s="7">
        <f t="shared" si="13"/>
        <v>3.2019432008856521</v>
      </c>
      <c r="M690" s="7">
        <f t="shared" si="14"/>
        <v>3.6103391323092353</v>
      </c>
      <c r="N690" s="7">
        <f t="shared" si="15"/>
        <v>2.5113033601370556</v>
      </c>
      <c r="O690" s="7">
        <f t="shared" si="16"/>
        <v>1.8463779537060261</v>
      </c>
      <c r="P690" s="7">
        <f t="shared" si="17"/>
        <v>1.0847108741813811</v>
      </c>
      <c r="Q690">
        <v>1</v>
      </c>
      <c r="R690" s="7">
        <f t="shared" si="18"/>
        <v>13.25467452121935</v>
      </c>
      <c r="S690" s="7">
        <f>VLOOKUP($A690,Rotations!$A$1:$X$1441,18,0)</f>
        <v>8.1836100346702009E-2</v>
      </c>
      <c r="T690" s="7">
        <f>VLOOKUP($A690,Rotations!$A$1:$X$1441,19,0)</f>
        <v>0.18946548676972197</v>
      </c>
      <c r="U690" s="7">
        <f>VLOOKUP($A690,Rotations!$A$1:$X$1441,20,0)</f>
        <v>0.13930013526549956</v>
      </c>
      <c r="V690" s="7">
        <f>VLOOKUP($A690,Rotations!$A$1:$X$1441,21,0)</f>
        <v>0.27238233021334923</v>
      </c>
      <c r="W690" s="7">
        <f>VLOOKUP($A690,Rotations!$A$1:$X$1441,22,0)</f>
        <v>7.5445081537015818E-2</v>
      </c>
      <c r="X690" s="7">
        <f>VLOOKUP($A690,Rotations!$A$1:$X$1441,23,0)</f>
        <v>0.24157086586771145</v>
      </c>
    </row>
    <row r="691" spans="1:24" ht="15.75" customHeight="1" x14ac:dyDescent="0.3">
      <c r="A691">
        <v>682</v>
      </c>
      <c r="B691" t="str">
        <f>Permutations!I683</f>
        <v>p141 - i6:i4</v>
      </c>
      <c r="C691" t="str">
        <f>Permutations!J683</f>
        <v>p51 - i4:i2</v>
      </c>
      <c r="D691" t="str">
        <f>Permutations!K683</f>
        <v>p2 - i2:i3</v>
      </c>
      <c r="E691" t="str">
        <f>Permutations!L683</f>
        <v>p6 - i3:i5</v>
      </c>
      <c r="F691" t="str">
        <f>Permutations!M683</f>
        <v>p101 - i5:i1</v>
      </c>
      <c r="G691" s="7">
        <f>VLOOKUP(B691,Vlookup!$A$1:$B$30,2,0)</f>
        <v>0.88688155974910687</v>
      </c>
      <c r="H691" s="7">
        <f>VLOOKUP(C691,Vlookup!$A$1:$B$30,2,0)</f>
        <v>1.4376356077157479</v>
      </c>
      <c r="I691" s="7">
        <f>VLOOKUP(D691,Vlookup!$A$1:$B$30,2,0)</f>
        <v>1.3601242124324544</v>
      </c>
      <c r="J691" s="7">
        <f>VLOOKUP(E691,Vlookup!$A$1:$B$30,2,0)</f>
        <v>2.2414716085286912</v>
      </c>
      <c r="K691" s="7">
        <f>VLOOKUP(F691,Vlookup!$A$1:$B$30,2,0)</f>
        <v>1.530542412441888</v>
      </c>
      <c r="L691" s="7">
        <f t="shared" si="13"/>
        <v>5.9493788992930083</v>
      </c>
      <c r="M691" s="7">
        <f t="shared" si="14"/>
        <v>6.70820002275845</v>
      </c>
      <c r="N691" s="7">
        <f t="shared" si="15"/>
        <v>4.666133745405121</v>
      </c>
      <c r="O691" s="7">
        <f t="shared" si="16"/>
        <v>3.4306673631375024</v>
      </c>
      <c r="P691" s="7">
        <f t="shared" si="17"/>
        <v>1.530542412441888</v>
      </c>
      <c r="Q691">
        <v>1</v>
      </c>
      <c r="R691" s="7">
        <f t="shared" si="18"/>
        <v>23.28492244303597</v>
      </c>
      <c r="S691" s="7">
        <f>VLOOKUP($A691,Rotations!$A$1:$X$1441,18,0)</f>
        <v>4.2946245685223615E-2</v>
      </c>
      <c r="T691" s="7">
        <f>VLOOKUP($A691,Rotations!$A$1:$X$1441,19,0)</f>
        <v>0.20039292623028096</v>
      </c>
      <c r="U691" s="7">
        <f>VLOOKUP($A691,Rotations!$A$1:$X$1441,20,0)</f>
        <v>0.14733428344158142</v>
      </c>
      <c r="V691" s="7">
        <f>VLOOKUP($A691,Rotations!$A$1:$X$1441,21,0)</f>
        <v>0.28809200628300702</v>
      </c>
      <c r="W691" s="7">
        <f>VLOOKUP($A691,Rotations!$A$1:$X$1441,22,0)</f>
        <v>6.5731050476384167E-2</v>
      </c>
      <c r="X691" s="7">
        <f>VLOOKUP($A691,Rotations!$A$1:$X$1441,23,0)</f>
        <v>0.25550348788352278</v>
      </c>
    </row>
    <row r="692" spans="1:24" ht="15.75" customHeight="1" x14ac:dyDescent="0.3">
      <c r="A692">
        <v>683</v>
      </c>
      <c r="B692" t="str">
        <f>Permutations!I684</f>
        <v>p141 - i6:i4</v>
      </c>
      <c r="C692" t="str">
        <f>Permutations!J684</f>
        <v>p51 - i4:i2</v>
      </c>
      <c r="D692" t="str">
        <f>Permutations!K684</f>
        <v>p7 - i2:i5</v>
      </c>
      <c r="E692" t="str">
        <f>Permutations!L684</f>
        <v>p101 - i5:i1</v>
      </c>
      <c r="F692" t="str">
        <f>Permutations!M684</f>
        <v>p8 - i1:i3</v>
      </c>
      <c r="G692" s="7">
        <f>VLOOKUP(B692,Vlookup!$A$1:$B$30,2,0)</f>
        <v>0.88688155974910687</v>
      </c>
      <c r="H692" s="7">
        <f>VLOOKUP(C692,Vlookup!$A$1:$B$30,2,0)</f>
        <v>1.4376356077157479</v>
      </c>
      <c r="I692" s="7">
        <f>VLOOKUP(D692,Vlookup!$A$1:$B$30,2,0)</f>
        <v>1.7991741228251155</v>
      </c>
      <c r="J692" s="7">
        <f>VLOOKUP(E692,Vlookup!$A$1:$B$30,2,0)</f>
        <v>1.530542412441888</v>
      </c>
      <c r="K692" s="7">
        <f>VLOOKUP(F692,Vlookup!$A$1:$B$30,2,0)</f>
        <v>1.1080774401297739</v>
      </c>
      <c r="L692" s="7">
        <f t="shared" si="13"/>
        <v>3.8904794329917589</v>
      </c>
      <c r="M692" s="7">
        <f t="shared" si="14"/>
        <v>4.3866955967517818</v>
      </c>
      <c r="N692" s="7">
        <f t="shared" si="15"/>
        <v>3.0513264788438152</v>
      </c>
      <c r="O692" s="7">
        <f t="shared" si="16"/>
        <v>1.695959518388656</v>
      </c>
      <c r="P692" s="7">
        <f t="shared" si="17"/>
        <v>1.1080774401297739</v>
      </c>
      <c r="Q692">
        <v>1</v>
      </c>
      <c r="R692" s="7">
        <f t="shared" si="18"/>
        <v>15.132538467105787</v>
      </c>
      <c r="S692" s="7">
        <f>VLOOKUP($A692,Rotations!$A$1:$X$1441,18,0)</f>
        <v>7.3224822295244574E-2</v>
      </c>
      <c r="T692" s="7">
        <f>VLOOKUP($A692,Rotations!$A$1:$X$1441,19,0)</f>
        <v>0.20164009399193714</v>
      </c>
      <c r="U692" s="7">
        <f>VLOOKUP($A692,Rotations!$A$1:$X$1441,20,0)</f>
        <v>6.6082766098611981E-2</v>
      </c>
      <c r="V692" s="7">
        <f>VLOOKUP($A692,Rotations!$A$1:$X$1441,21,0)</f>
        <v>0.28988497906595911</v>
      </c>
      <c r="W692" s="7">
        <f>VLOOKUP($A692,Rotations!$A$1:$X$1441,22,0)</f>
        <v>0.11207369616639218</v>
      </c>
      <c r="X692" s="7">
        <f>VLOOKUP($A692,Rotations!$A$1:$X$1441,23,0)</f>
        <v>0.25709364238185495</v>
      </c>
    </row>
    <row r="693" spans="1:24" ht="15.75" customHeight="1" x14ac:dyDescent="0.3">
      <c r="A693">
        <v>684</v>
      </c>
      <c r="B693" t="str">
        <f>Permutations!I685</f>
        <v>p141 - i6:i4</v>
      </c>
      <c r="C693" t="str">
        <f>Permutations!J685</f>
        <v>p51 - i4:i2</v>
      </c>
      <c r="D693" t="str">
        <f>Permutations!K685</f>
        <v>p7 - i2:i5</v>
      </c>
      <c r="E693" t="str">
        <f>Permutations!L685</f>
        <v>p61 - i5:i3</v>
      </c>
      <c r="F693" t="str">
        <f>Permutations!M685</f>
        <v>p81 - i3:i1</v>
      </c>
      <c r="G693" s="7">
        <f>VLOOKUP(B693,Vlookup!$A$1:$B$30,2,0)</f>
        <v>0.88688155974910687</v>
      </c>
      <c r="H693" s="7">
        <f>VLOOKUP(C693,Vlookup!$A$1:$B$30,2,0)</f>
        <v>1.4376356077157479</v>
      </c>
      <c r="I693" s="7">
        <f>VLOOKUP(D693,Vlookup!$A$1:$B$30,2,0)</f>
        <v>1.7991741228251155</v>
      </c>
      <c r="J693" s="7">
        <f>VLOOKUP(E693,Vlookup!$A$1:$B$30,2,0)</f>
        <v>1.9746367445127702</v>
      </c>
      <c r="K693" s="7">
        <f>VLOOKUP(F693,Vlookup!$A$1:$B$30,2,0)</f>
        <v>1.7021844231989158</v>
      </c>
      <c r="L693" s="7">
        <f t="shared" si="13"/>
        <v>7.7104809451461831</v>
      </c>
      <c r="M693" s="7">
        <f t="shared" si="14"/>
        <v>8.6939240763190853</v>
      </c>
      <c r="N693" s="7">
        <f t="shared" si="15"/>
        <v>6.0473766993938174</v>
      </c>
      <c r="O693" s="7">
        <f t="shared" si="16"/>
        <v>3.3611959079858544</v>
      </c>
      <c r="P693" s="7">
        <f t="shared" si="17"/>
        <v>1.7021844231989158</v>
      </c>
      <c r="Q693">
        <v>1</v>
      </c>
      <c r="R693" s="7">
        <f t="shared" si="18"/>
        <v>28.515162052043859</v>
      </c>
      <c r="S693" s="7">
        <f>VLOOKUP($A693,Rotations!$A$1:$X$1441,18,0)</f>
        <v>3.5069062492959734E-2</v>
      </c>
      <c r="T693" s="7">
        <f>VLOOKUP($A693,Rotations!$A$1:$X$1441,19,0)</f>
        <v>0.21207583138951036</v>
      </c>
      <c r="U693" s="7">
        <f>VLOOKUP($A693,Rotations!$A$1:$X$1441,20,0)</f>
        <v>5.9694011911705397E-2</v>
      </c>
      <c r="V693" s="7">
        <f>VLOOKUP($A693,Rotations!$A$1:$X$1441,21,0)</f>
        <v>0.30488776674148121</v>
      </c>
      <c r="W693" s="7">
        <f>VLOOKUP($A693,Rotations!$A$1:$X$1441,22,0)</f>
        <v>0.11787398934823647</v>
      </c>
      <c r="X693" s="7">
        <f>VLOOKUP($A693,Rotations!$A$1:$X$1441,23,0)</f>
        <v>0.27039933811610672</v>
      </c>
    </row>
    <row r="694" spans="1:24" ht="15.75" customHeight="1" x14ac:dyDescent="0.3">
      <c r="A694">
        <v>685</v>
      </c>
      <c r="B694" t="str">
        <f>Permutations!I686</f>
        <v>p141 - i6:i4</v>
      </c>
      <c r="C694" t="str">
        <f>Permutations!J686</f>
        <v>p31 - i4:i3</v>
      </c>
      <c r="D694" t="str">
        <f>Permutations!K686</f>
        <v>p81 - i3:i1</v>
      </c>
      <c r="E694" t="str">
        <f>Permutations!L686</f>
        <v>p1 - i1:i2</v>
      </c>
      <c r="F694" t="str">
        <f>Permutations!M686</f>
        <v>p7 - i2:i5</v>
      </c>
      <c r="G694" s="7">
        <f>VLOOKUP(B694,Vlookup!$A$1:$B$30,2,0)</f>
        <v>0.88688155974910687</v>
      </c>
      <c r="H694" s="7">
        <f>VLOOKUP(C694,Vlookup!$A$1:$B$30,2,0)</f>
        <v>2.2388599512381115</v>
      </c>
      <c r="I694" s="7">
        <f>VLOOKUP(D694,Vlookup!$A$1:$B$30,2,0)</f>
        <v>1.7021844231989158</v>
      </c>
      <c r="J694" s="7">
        <f>VLOOKUP(E694,Vlookup!$A$1:$B$30,2,0)</f>
        <v>1.6373343116675814</v>
      </c>
      <c r="K694" s="7">
        <f>VLOOKUP(F694,Vlookup!$A$1:$B$30,2,0)</f>
        <v>1.7991741228251155</v>
      </c>
      <c r="L694" s="7">
        <f t="shared" si="13"/>
        <v>9.9565693653926814</v>
      </c>
      <c r="M694" s="7">
        <f t="shared" si="14"/>
        <v>11.226492710265994</v>
      </c>
      <c r="N694" s="7">
        <f t="shared" si="15"/>
        <v>5.0143791727828404</v>
      </c>
      <c r="O694" s="7">
        <f t="shared" si="16"/>
        <v>2.9458495239659848</v>
      </c>
      <c r="P694" s="7">
        <f t="shared" si="17"/>
        <v>1.7991741228251155</v>
      </c>
      <c r="Q694">
        <v>1</v>
      </c>
      <c r="R694" s="7">
        <f t="shared" si="18"/>
        <v>31.942464895232614</v>
      </c>
      <c r="S694" s="7">
        <f>VLOOKUP($A694,Rotations!$A$1:$X$1441,18,0)</f>
        <v>9.2223613100241686E-2</v>
      </c>
      <c r="T694" s="7">
        <f>VLOOKUP($A694,Rotations!$A$1:$X$1441,19,0)</f>
        <v>5.6325462944897549E-2</v>
      </c>
      <c r="U694" s="7">
        <f>VLOOKUP($A694,Rotations!$A$1:$X$1441,20,0)</f>
        <v>0.15698159767035488</v>
      </c>
      <c r="V694" s="7">
        <f>VLOOKUP($A694,Rotations!$A$1:$X$1441,21,0)</f>
        <v>0.35145981210553162</v>
      </c>
      <c r="W694" s="7">
        <f>VLOOKUP($A694,Rotations!$A$1:$X$1441,22,0)</f>
        <v>3.1306287829692477E-2</v>
      </c>
      <c r="X694" s="7">
        <f>VLOOKUP($A694,Rotations!$A$1:$X$1441,23,0)</f>
        <v>0.31170322634928188</v>
      </c>
    </row>
    <row r="695" spans="1:24" ht="15.75" customHeight="1" x14ac:dyDescent="0.3">
      <c r="A695">
        <v>686</v>
      </c>
      <c r="B695" t="str">
        <f>Permutations!I687</f>
        <v>p141 - i6:i4</v>
      </c>
      <c r="C695" t="str">
        <f>Permutations!J687</f>
        <v>p31 - i4:i3</v>
      </c>
      <c r="D695" t="str">
        <f>Permutations!K687</f>
        <v>p81 - i3:i1</v>
      </c>
      <c r="E695" t="str">
        <f>Permutations!L687</f>
        <v>p10 - i1:i5</v>
      </c>
      <c r="F695" t="str">
        <f>Permutations!M687</f>
        <v>p71 - i5:i2</v>
      </c>
      <c r="G695" s="7">
        <f>VLOOKUP(B695,Vlookup!$A$1:$B$30,2,0)</f>
        <v>0.88688155974910687</v>
      </c>
      <c r="H695" s="7">
        <f>VLOOKUP(C695,Vlookup!$A$1:$B$30,2,0)</f>
        <v>2.2388599512381115</v>
      </c>
      <c r="I695" s="7">
        <f>VLOOKUP(D695,Vlookup!$A$1:$B$30,2,0)</f>
        <v>1.7021844231989158</v>
      </c>
      <c r="J695" s="7">
        <f>VLOOKUP(E695,Vlookup!$A$1:$B$30,2,0)</f>
        <v>1.0847108741813811</v>
      </c>
      <c r="K695" s="7">
        <f>VLOOKUP(F695,Vlookup!$A$1:$B$30,2,0)</f>
        <v>1.8243208303594776</v>
      </c>
      <c r="L695" s="7">
        <f t="shared" si="13"/>
        <v>6.6882789134552896</v>
      </c>
      <c r="M695" s="7">
        <f t="shared" si="14"/>
        <v>7.5413439821066524</v>
      </c>
      <c r="N695" s="7">
        <f t="shared" si="15"/>
        <v>3.3683857616624104</v>
      </c>
      <c r="O695" s="7">
        <f t="shared" si="16"/>
        <v>1.9788606426865321</v>
      </c>
      <c r="P695" s="7">
        <f t="shared" si="17"/>
        <v>1.8243208303594776</v>
      </c>
      <c r="Q695">
        <v>1</v>
      </c>
      <c r="R695" s="7">
        <f t="shared" si="18"/>
        <v>22.401190130270361</v>
      </c>
      <c r="S695" s="7">
        <f>VLOOKUP($A695,Rotations!$A$1:$X$1441,18,0)</f>
        <v>8.8337299544301001E-2</v>
      </c>
      <c r="T695" s="7">
        <f>VLOOKUP($A695,Rotations!$A$1:$X$1441,19,0)</f>
        <v>4.4640485357459486E-2</v>
      </c>
      <c r="U695" s="7">
        <f>VLOOKUP($A695,Rotations!$A$1:$X$1441,20,0)</f>
        <v>0.15036637527176586</v>
      </c>
      <c r="V695" s="7">
        <f>VLOOKUP($A695,Rotations!$A$1:$X$1441,21,0)</f>
        <v>0.33664925560879722</v>
      </c>
      <c r="W695" s="7">
        <f>VLOOKUP($A695,Rotations!$A$1:$X$1441,22,0)</f>
        <v>8.1438567314970581E-2</v>
      </c>
      <c r="X695" s="7">
        <f>VLOOKUP($A695,Rotations!$A$1:$X$1441,23,0)</f>
        <v>0.2985680169027059</v>
      </c>
    </row>
    <row r="696" spans="1:24" ht="15.75" customHeight="1" x14ac:dyDescent="0.3">
      <c r="A696">
        <v>687</v>
      </c>
      <c r="B696" t="str">
        <f>Permutations!I688</f>
        <v>p141 - i6:i4</v>
      </c>
      <c r="C696" t="str">
        <f>Permutations!J688</f>
        <v>p31 - i4:i3</v>
      </c>
      <c r="D696" t="str">
        <f>Permutations!K688</f>
        <v>p21 - i3:i2</v>
      </c>
      <c r="E696" t="str">
        <f>Permutations!L688</f>
        <v>p11 - i2:i1</v>
      </c>
      <c r="F696" t="str">
        <f>Permutations!M688</f>
        <v>p10 - i1:i5</v>
      </c>
      <c r="G696" s="7">
        <f>VLOOKUP(B696,Vlookup!$A$1:$B$30,2,0)</f>
        <v>0.88688155974910687</v>
      </c>
      <c r="H696" s="7">
        <f>VLOOKUP(C696,Vlookup!$A$1:$B$30,2,0)</f>
        <v>2.2388599512381115</v>
      </c>
      <c r="I696" s="7">
        <f>VLOOKUP(D696,Vlookup!$A$1:$B$30,2,0)</f>
        <v>1.5059827029565431</v>
      </c>
      <c r="J696" s="7">
        <f>VLOOKUP(E696,Vlookup!$A$1:$B$30,2,0)</f>
        <v>1.7440097060445605</v>
      </c>
      <c r="K696" s="7">
        <f>VLOOKUP(F696,Vlookup!$A$1:$B$30,2,0)</f>
        <v>1.0847108741813811</v>
      </c>
      <c r="L696" s="7">
        <f t="shared" si="13"/>
        <v>5.6568599673054907</v>
      </c>
      <c r="M696" s="7">
        <f t="shared" si="14"/>
        <v>6.3783713903193338</v>
      </c>
      <c r="N696" s="7">
        <f t="shared" si="15"/>
        <v>2.848937195375723</v>
      </c>
      <c r="O696" s="7">
        <f t="shared" si="16"/>
        <v>1.8917462928244089</v>
      </c>
      <c r="P696" s="7">
        <f t="shared" si="17"/>
        <v>1.0847108741813811</v>
      </c>
      <c r="Q696">
        <v>1</v>
      </c>
      <c r="R696" s="7">
        <f t="shared" si="18"/>
        <v>18.860625720006336</v>
      </c>
      <c r="S696" s="7">
        <f>VLOOKUP($A696,Rotations!$A$1:$X$1441,18,0)</f>
        <v>5.7511924062560567E-2</v>
      </c>
      <c r="T696" s="7">
        <f>VLOOKUP($A696,Rotations!$A$1:$X$1441,19,0)</f>
        <v>0.10030135377840335</v>
      </c>
      <c r="U696" s="7">
        <f>VLOOKUP($A696,Rotations!$A$1:$X$1441,20,0)</f>
        <v>0.15105210387340032</v>
      </c>
      <c r="V696" s="7">
        <f>VLOOKUP($A696,Rotations!$A$1:$X$1441,21,0)</f>
        <v>0.33818450591241522</v>
      </c>
      <c r="W696" s="7">
        <f>VLOOKUP($A696,Rotations!$A$1:$X$1441,22,0)</f>
        <v>5.3020510286636666E-2</v>
      </c>
      <c r="X696" s="7">
        <f>VLOOKUP($A696,Rotations!$A$1:$X$1441,23,0)</f>
        <v>0.29992960208658392</v>
      </c>
    </row>
    <row r="697" spans="1:24" ht="15.75" customHeight="1" x14ac:dyDescent="0.3">
      <c r="A697">
        <v>688</v>
      </c>
      <c r="B697" t="str">
        <f>Permutations!I689</f>
        <v>p141 - i6:i4</v>
      </c>
      <c r="C697" t="str">
        <f>Permutations!J689</f>
        <v>p31 - i4:i3</v>
      </c>
      <c r="D697" t="str">
        <f>Permutations!K689</f>
        <v>p21 - i3:i2</v>
      </c>
      <c r="E697" t="str">
        <f>Permutations!L689</f>
        <v>p7 - i2:i5</v>
      </c>
      <c r="F697" t="str">
        <f>Permutations!M689</f>
        <v>p101 - i5:i1</v>
      </c>
      <c r="G697" s="7">
        <f>VLOOKUP(B697,Vlookup!$A$1:$B$30,2,0)</f>
        <v>0.88688155974910687</v>
      </c>
      <c r="H697" s="7">
        <f>VLOOKUP(C697,Vlookup!$A$1:$B$30,2,0)</f>
        <v>2.2388599512381115</v>
      </c>
      <c r="I697" s="7">
        <f>VLOOKUP(D697,Vlookup!$A$1:$B$30,2,0)</f>
        <v>1.5059827029565431</v>
      </c>
      <c r="J697" s="7">
        <f>VLOOKUP(E697,Vlookup!$A$1:$B$30,2,0)</f>
        <v>1.7991741228251155</v>
      </c>
      <c r="K697" s="7">
        <f>VLOOKUP(F697,Vlookup!$A$1:$B$30,2,0)</f>
        <v>1.530542412441888</v>
      </c>
      <c r="L697" s="7">
        <f t="shared" si="13"/>
        <v>8.2343837245707476</v>
      </c>
      <c r="M697" s="7">
        <f t="shared" si="14"/>
        <v>9.2846487042759147</v>
      </c>
      <c r="N697" s="7">
        <f t="shared" si="15"/>
        <v>4.1470430962604041</v>
      </c>
      <c r="O697" s="7">
        <f t="shared" si="16"/>
        <v>2.75371230235177</v>
      </c>
      <c r="P697" s="7">
        <f t="shared" si="17"/>
        <v>1.530542412441888</v>
      </c>
      <c r="Q697">
        <v>1</v>
      </c>
      <c r="R697" s="7">
        <f t="shared" si="18"/>
        <v>26.950330239900726</v>
      </c>
      <c r="S697" s="7">
        <f>VLOOKUP($A697,Rotations!$A$1:$X$1441,18,0)</f>
        <v>3.7105296710593615E-2</v>
      </c>
      <c r="T697" s="7">
        <f>VLOOKUP($A697,Rotations!$A$1:$X$1441,19,0)</f>
        <v>0.1021773120343743</v>
      </c>
      <c r="U697" s="7">
        <f>VLOOKUP($A697,Rotations!$A$1:$X$1441,20,0)</f>
        <v>0.15387726455836112</v>
      </c>
      <c r="V697" s="7">
        <f>VLOOKUP($A697,Rotations!$A$1:$X$1441,21,0)</f>
        <v>0.34450964502578635</v>
      </c>
      <c r="W697" s="7">
        <f>VLOOKUP($A697,Rotations!$A$1:$X$1441,22,0)</f>
        <v>5.6791230341804E-2</v>
      </c>
      <c r="X697" s="7">
        <f>VLOOKUP($A697,Rotations!$A$1:$X$1441,23,0)</f>
        <v>0.30553925132908055</v>
      </c>
    </row>
    <row r="698" spans="1:24" ht="15.75" customHeight="1" x14ac:dyDescent="0.3">
      <c r="A698">
        <v>689</v>
      </c>
      <c r="B698" t="str">
        <f>Permutations!I690</f>
        <v>p141 - i6:i4</v>
      </c>
      <c r="C698" t="str">
        <f>Permutations!J690</f>
        <v>p31 - i4:i3</v>
      </c>
      <c r="D698" t="str">
        <f>Permutations!K690</f>
        <v>p6 - i3:i5</v>
      </c>
      <c r="E698" t="str">
        <f>Permutations!L690</f>
        <v>p101 - i5:i1</v>
      </c>
      <c r="F698" t="str">
        <f>Permutations!M690</f>
        <v>p1 - i1:i2</v>
      </c>
      <c r="G698" s="7">
        <f>VLOOKUP(B698,Vlookup!$A$1:$B$30,2,0)</f>
        <v>0.88688155974910687</v>
      </c>
      <c r="H698" s="7">
        <f>VLOOKUP(C698,Vlookup!$A$1:$B$30,2,0)</f>
        <v>2.2388599512381115</v>
      </c>
      <c r="I698" s="7">
        <f>VLOOKUP(D698,Vlookup!$A$1:$B$30,2,0)</f>
        <v>2.2414716085286912</v>
      </c>
      <c r="J698" s="7">
        <f>VLOOKUP(E698,Vlookup!$A$1:$B$30,2,0)</f>
        <v>1.530542412441888</v>
      </c>
      <c r="K698" s="7">
        <f>VLOOKUP(F698,Vlookup!$A$1:$B$30,2,0)</f>
        <v>1.6373343116675814</v>
      </c>
      <c r="L698" s="7">
        <f t="shared" si="13"/>
        <v>11.15343207328567</v>
      </c>
      <c r="M698" s="7">
        <f t="shared" si="14"/>
        <v>12.576010799503944</v>
      </c>
      <c r="N698" s="7">
        <f t="shared" si="15"/>
        <v>5.6171493855831791</v>
      </c>
      <c r="O698" s="7">
        <f t="shared" si="16"/>
        <v>2.5060096073535783</v>
      </c>
      <c r="P698" s="7">
        <f t="shared" si="17"/>
        <v>1.6373343116675814</v>
      </c>
      <c r="Q698">
        <v>1</v>
      </c>
      <c r="R698" s="7">
        <f t="shared" si="18"/>
        <v>34.48993617739395</v>
      </c>
      <c r="S698" s="7">
        <f>VLOOKUP($A698,Rotations!$A$1:$X$1441,18,0)</f>
        <v>4.7472813612822927E-2</v>
      </c>
      <c r="T698" s="7">
        <f>VLOOKUP($A698,Rotations!$A$1:$X$1441,19,0)</f>
        <v>2.8993964931006134E-2</v>
      </c>
      <c r="U698" s="7">
        <f>VLOOKUP($A698,Rotations!$A$1:$X$1441,20,0)</f>
        <v>0.16286343229782135</v>
      </c>
      <c r="V698" s="7">
        <f>VLOOKUP($A698,Rotations!$A$1:$X$1441,21,0)</f>
        <v>0.3646284160927718</v>
      </c>
      <c r="W698" s="7">
        <f>VLOOKUP($A698,Rotations!$A$1:$X$1441,22,0)</f>
        <v>7.2659154672374104E-2</v>
      </c>
      <c r="X698" s="7">
        <f>VLOOKUP($A698,Rotations!$A$1:$X$1441,23,0)</f>
        <v>0.32338221839320375</v>
      </c>
    </row>
    <row r="699" spans="1:24" ht="15.75" customHeight="1" x14ac:dyDescent="0.3">
      <c r="A699">
        <v>690</v>
      </c>
      <c r="B699" t="str">
        <f>Permutations!I691</f>
        <v>p141 - i6:i4</v>
      </c>
      <c r="C699" t="str">
        <f>Permutations!J691</f>
        <v>p31 - i4:i3</v>
      </c>
      <c r="D699" t="str">
        <f>Permutations!K691</f>
        <v>p6 - i3:i5</v>
      </c>
      <c r="E699" t="str">
        <f>Permutations!L691</f>
        <v>p71 - i5:i2</v>
      </c>
      <c r="F699" t="str">
        <f>Permutations!M691</f>
        <v>p11 - i2:i1</v>
      </c>
      <c r="G699" s="7">
        <f>VLOOKUP(B699,Vlookup!$A$1:$B$30,2,0)</f>
        <v>0.88688155974910687</v>
      </c>
      <c r="H699" s="7">
        <f>VLOOKUP(C699,Vlookup!$A$1:$B$30,2,0)</f>
        <v>2.2388599512381115</v>
      </c>
      <c r="I699" s="7">
        <f>VLOOKUP(D699,Vlookup!$A$1:$B$30,2,0)</f>
        <v>2.2414716085286912</v>
      </c>
      <c r="J699" s="7">
        <f>VLOOKUP(E699,Vlookup!$A$1:$B$30,2,0)</f>
        <v>1.8243208303594776</v>
      </c>
      <c r="K699" s="7">
        <f>VLOOKUP(F699,Vlookup!$A$1:$B$30,2,0)</f>
        <v>1.7440097060445605</v>
      </c>
      <c r="L699" s="7">
        <f t="shared" si="13"/>
        <v>14.160412659836728</v>
      </c>
      <c r="M699" s="7">
        <f t="shared" si="14"/>
        <v>15.966520562049594</v>
      </c>
      <c r="N699" s="7">
        <f t="shared" si="15"/>
        <v>7.1315405651970112</v>
      </c>
      <c r="O699" s="7">
        <f t="shared" si="16"/>
        <v>3.1816332350862009</v>
      </c>
      <c r="P699" s="7">
        <f t="shared" si="17"/>
        <v>1.7440097060445605</v>
      </c>
      <c r="Q699">
        <v>1</v>
      </c>
      <c r="R699" s="7">
        <f t="shared" si="18"/>
        <v>43.184116728214093</v>
      </c>
      <c r="S699" s="7">
        <f>VLOOKUP($A699,Rotations!$A$1:$X$1441,18,0)</f>
        <v>2.315666211940039E-2</v>
      </c>
      <c r="T699" s="7">
        <f>VLOOKUP($A699,Rotations!$A$1:$X$1441,19,0)</f>
        <v>4.0385443495828684E-2</v>
      </c>
      <c r="U699" s="7">
        <f>VLOOKUP($A699,Rotations!$A$1:$X$1441,20,0)</f>
        <v>0.16514267525906487</v>
      </c>
      <c r="V699" s="7">
        <f>VLOOKUP($A699,Rotations!$A$1:$X$1441,21,0)</f>
        <v>0.36973132187784125</v>
      </c>
      <c r="W699" s="7">
        <f>VLOOKUP($A699,Rotations!$A$1:$X$1441,22,0)</f>
        <v>7.3676005812745943E-2</v>
      </c>
      <c r="X699" s="7">
        <f>VLOOKUP($A699,Rotations!$A$1:$X$1441,23,0)</f>
        <v>0.32790789143511889</v>
      </c>
    </row>
    <row r="700" spans="1:24" ht="15.75" customHeight="1" x14ac:dyDescent="0.3">
      <c r="A700">
        <v>691</v>
      </c>
      <c r="B700" t="str">
        <f>Permutations!I692</f>
        <v>p141 - i6:i4</v>
      </c>
      <c r="C700" t="str">
        <f>Permutations!J692</f>
        <v>p4 - i4:i5</v>
      </c>
      <c r="D700" t="str">
        <f>Permutations!K692</f>
        <v>p101 - i5:i1</v>
      </c>
      <c r="E700" t="str">
        <f>Permutations!L692</f>
        <v>p1 - i1:i2</v>
      </c>
      <c r="F700" t="str">
        <f>Permutations!M692</f>
        <v>p2 - i2:i3</v>
      </c>
      <c r="G700" s="7">
        <f>VLOOKUP(B700,Vlookup!$A$1:$B$30,2,0)</f>
        <v>0.88688155974910687</v>
      </c>
      <c r="H700" s="7">
        <f>VLOOKUP(C700,Vlookup!$A$1:$B$30,2,0)</f>
        <v>1.89462595295753</v>
      </c>
      <c r="I700" s="7">
        <f>VLOOKUP(D700,Vlookup!$A$1:$B$30,2,0)</f>
        <v>1.530542412441888</v>
      </c>
      <c r="J700" s="7">
        <f>VLOOKUP(E700,Vlookup!$A$1:$B$30,2,0)</f>
        <v>1.6373343116675814</v>
      </c>
      <c r="K700" s="7">
        <f>VLOOKUP(F700,Vlookup!$A$1:$B$30,2,0)</f>
        <v>1.3601242124324544</v>
      </c>
      <c r="L700" s="7">
        <f t="shared" si="13"/>
        <v>5.7273063063218181</v>
      </c>
      <c r="M700" s="7">
        <f t="shared" si="14"/>
        <v>6.4578028975391444</v>
      </c>
      <c r="N700" s="7">
        <f t="shared" si="15"/>
        <v>3.4084843435499499</v>
      </c>
      <c r="O700" s="7">
        <f t="shared" si="16"/>
        <v>2.2269780411455038</v>
      </c>
      <c r="P700" s="7">
        <f t="shared" si="17"/>
        <v>1.3601242124324544</v>
      </c>
      <c r="Q700">
        <v>1</v>
      </c>
      <c r="R700" s="7">
        <f t="shared" si="18"/>
        <v>20.180695800988868</v>
      </c>
      <c r="S700" s="7">
        <f>VLOOKUP($A700,Rotations!$A$1:$X$1441,18,0)</f>
        <v>0.11035189584674183</v>
      </c>
      <c r="T700" s="7">
        <f>VLOOKUP($A700,Rotations!$A$1:$X$1441,19,0)</f>
        <v>6.7397290254273962E-2</v>
      </c>
      <c r="U700" s="7">
        <f>VLOOKUP($A700,Rotations!$A$1:$X$1441,20,0)</f>
        <v>4.9552305324923399E-2</v>
      </c>
      <c r="V700" s="7">
        <f>VLOOKUP($A700,Rotations!$A$1:$X$1441,21,0)</f>
        <v>0.31999902090703469</v>
      </c>
      <c r="W700" s="7">
        <f>VLOOKUP($A700,Rotations!$A$1:$X$1441,22,0)</f>
        <v>0.16889825688680823</v>
      </c>
      <c r="X700" s="7">
        <f>VLOOKUP($A700,Rotations!$A$1:$X$1441,23,0)</f>
        <v>0.28380123078021802</v>
      </c>
    </row>
    <row r="701" spans="1:24" ht="15.75" customHeight="1" x14ac:dyDescent="0.3">
      <c r="A701">
        <v>692</v>
      </c>
      <c r="B701" t="str">
        <f>Permutations!I693</f>
        <v>p141 - i6:i4</v>
      </c>
      <c r="C701" t="str">
        <f>Permutations!J693</f>
        <v>p4 - i4:i5</v>
      </c>
      <c r="D701" t="str">
        <f>Permutations!K693</f>
        <v>p101 - i5:i1</v>
      </c>
      <c r="E701" t="str">
        <f>Permutations!L693</f>
        <v>p8 - i1:i3</v>
      </c>
      <c r="F701" t="str">
        <f>Permutations!M693</f>
        <v>p21 - i3:i2</v>
      </c>
      <c r="G701" s="7">
        <f>VLOOKUP(B701,Vlookup!$A$1:$B$30,2,0)</f>
        <v>0.88688155974910687</v>
      </c>
      <c r="H701" s="7">
        <f>VLOOKUP(C701,Vlookup!$A$1:$B$30,2,0)</f>
        <v>1.89462595295753</v>
      </c>
      <c r="I701" s="7">
        <f>VLOOKUP(D701,Vlookup!$A$1:$B$30,2,0)</f>
        <v>1.530542412441888</v>
      </c>
      <c r="J701" s="7">
        <f>VLOOKUP(E701,Vlookup!$A$1:$B$30,2,0)</f>
        <v>1.1080774401297739</v>
      </c>
      <c r="K701" s="7">
        <f>VLOOKUP(F701,Vlookup!$A$1:$B$30,2,0)</f>
        <v>1.5059827029565431</v>
      </c>
      <c r="L701" s="7">
        <f t="shared" si="13"/>
        <v>4.2916527288534114</v>
      </c>
      <c r="M701" s="7">
        <f t="shared" si="14"/>
        <v>4.8390370525546755</v>
      </c>
      <c r="N701" s="7">
        <f t="shared" si="15"/>
        <v>2.5540856996078252</v>
      </c>
      <c r="O701" s="7">
        <f t="shared" si="16"/>
        <v>1.668745458371804</v>
      </c>
      <c r="P701" s="7">
        <f t="shared" si="17"/>
        <v>1.5059827029565431</v>
      </c>
      <c r="Q701">
        <v>1</v>
      </c>
      <c r="R701" s="7">
        <f t="shared" si="18"/>
        <v>15.859503642344258</v>
      </c>
      <c r="S701" s="7">
        <f>VLOOKUP($A701,Rotations!$A$1:$X$1441,18,0)</f>
        <v>0.10522053501827879</v>
      </c>
      <c r="T701" s="7">
        <f>VLOOKUP($A701,Rotations!$A$1:$X$1441,19,0)</f>
        <v>6.3053675736108095E-2</v>
      </c>
      <c r="U701" s="7">
        <f>VLOOKUP($A701,Rotations!$A$1:$X$1441,20,0)</f>
        <v>9.4957745016409453E-2</v>
      </c>
      <c r="V701" s="7">
        <f>VLOOKUP($A701,Rotations!$A$1:$X$1441,21,0)</f>
        <v>0.30511907318679476</v>
      </c>
      <c r="W701" s="7">
        <f>VLOOKUP($A701,Rotations!$A$1:$X$1441,22,0)</f>
        <v>0.16104449150530259</v>
      </c>
      <c r="X701" s="7">
        <f>VLOOKUP($A701,Rotations!$A$1:$X$1441,23,0)</f>
        <v>0.27060447953710642</v>
      </c>
    </row>
    <row r="702" spans="1:24" ht="15.75" customHeight="1" x14ac:dyDescent="0.3">
      <c r="A702">
        <v>693</v>
      </c>
      <c r="B702" t="str">
        <f>Permutations!I694</f>
        <v>p141 - i6:i4</v>
      </c>
      <c r="C702" t="str">
        <f>Permutations!J694</f>
        <v>p4 - i4:i5</v>
      </c>
      <c r="D702" t="str">
        <f>Permutations!K694</f>
        <v>p71 - i5:i2</v>
      </c>
      <c r="E702" t="str">
        <f>Permutations!L694</f>
        <v>p11 - i2:i1</v>
      </c>
      <c r="F702" t="str">
        <f>Permutations!M694</f>
        <v>p8 - i1:i3</v>
      </c>
      <c r="G702" s="7">
        <f>VLOOKUP(B702,Vlookup!$A$1:$B$30,2,0)</f>
        <v>0.88688155974910687</v>
      </c>
      <c r="H702" s="7">
        <f>VLOOKUP(C702,Vlookup!$A$1:$B$30,2,0)</f>
        <v>1.89462595295753</v>
      </c>
      <c r="I702" s="7">
        <f>VLOOKUP(D702,Vlookup!$A$1:$B$30,2,0)</f>
        <v>1.8243208303594776</v>
      </c>
      <c r="J702" s="7">
        <f>VLOOKUP(E702,Vlookup!$A$1:$B$30,2,0)</f>
        <v>1.7440097060445605</v>
      </c>
      <c r="K702" s="7">
        <f>VLOOKUP(F702,Vlookup!$A$1:$B$30,2,0)</f>
        <v>1.1080774401297739</v>
      </c>
      <c r="L702" s="7">
        <f t="shared" si="13"/>
        <v>5.9239220424871233</v>
      </c>
      <c r="M702" s="7">
        <f t="shared" si="14"/>
        <v>6.6794962386668217</v>
      </c>
      <c r="N702" s="7">
        <f t="shared" si="15"/>
        <v>3.5254960105661288</v>
      </c>
      <c r="O702" s="7">
        <f t="shared" si="16"/>
        <v>1.9324978106353361</v>
      </c>
      <c r="P702" s="7">
        <f t="shared" si="17"/>
        <v>1.1080774401297739</v>
      </c>
      <c r="Q702">
        <v>1</v>
      </c>
      <c r="R702" s="7">
        <f t="shared" si="18"/>
        <v>20.169489542485184</v>
      </c>
      <c r="S702" s="7">
        <f>VLOOKUP($A702,Rotations!$A$1:$X$1441,18,0)</f>
        <v>5.4938298651322347E-2</v>
      </c>
      <c r="T702" s="7">
        <f>VLOOKUP($A702,Rotations!$A$1:$X$1441,19,0)</f>
        <v>9.5812926081480954E-2</v>
      </c>
      <c r="U702" s="7">
        <f>VLOOKUP($A702,Rotations!$A$1:$X$1441,20,0)</f>
        <v>4.9579836807153277E-2</v>
      </c>
      <c r="V702" s="7">
        <f>VLOOKUP($A702,Rotations!$A$1:$X$1441,21,0)</f>
        <v>0.33116833346709512</v>
      </c>
      <c r="W702" s="7">
        <f>VLOOKUP($A702,Rotations!$A$1:$X$1441,22,0)</f>
        <v>0.17479351686813857</v>
      </c>
      <c r="X702" s="7">
        <f>VLOOKUP($A702,Rotations!$A$1:$X$1441,23,0)</f>
        <v>0.29370708812480967</v>
      </c>
    </row>
    <row r="703" spans="1:24" ht="15.75" customHeight="1" x14ac:dyDescent="0.3">
      <c r="A703">
        <v>694</v>
      </c>
      <c r="B703" t="str">
        <f>Permutations!I695</f>
        <v>p141 - i6:i4</v>
      </c>
      <c r="C703" t="str">
        <f>Permutations!J695</f>
        <v>p4 - i4:i5</v>
      </c>
      <c r="D703" t="str">
        <f>Permutations!K695</f>
        <v>p71 - i5:i2</v>
      </c>
      <c r="E703" t="str">
        <f>Permutations!L695</f>
        <v>p2 - i2:i3</v>
      </c>
      <c r="F703" t="str">
        <f>Permutations!M695</f>
        <v>p81 - i3:i1</v>
      </c>
      <c r="G703" s="7">
        <f>VLOOKUP(B703,Vlookup!$A$1:$B$30,2,0)</f>
        <v>0.88688155974910687</v>
      </c>
      <c r="H703" s="7">
        <f>VLOOKUP(C703,Vlookup!$A$1:$B$30,2,0)</f>
        <v>1.89462595295753</v>
      </c>
      <c r="I703" s="7">
        <f>VLOOKUP(D703,Vlookup!$A$1:$B$30,2,0)</f>
        <v>1.8243208303594776</v>
      </c>
      <c r="J703" s="7">
        <f>VLOOKUP(E703,Vlookup!$A$1:$B$30,2,0)</f>
        <v>1.3601242124324544</v>
      </c>
      <c r="K703" s="7">
        <f>VLOOKUP(F703,Vlookup!$A$1:$B$30,2,0)</f>
        <v>1.7021844231989158</v>
      </c>
      <c r="L703" s="7">
        <f t="shared" si="13"/>
        <v>7.0970114822024151</v>
      </c>
      <c r="M703" s="7">
        <f t="shared" si="14"/>
        <v>8.0022088679012704</v>
      </c>
      <c r="N703" s="7">
        <f t="shared" si="15"/>
        <v>4.2236352011381157</v>
      </c>
      <c r="O703" s="7">
        <f t="shared" si="16"/>
        <v>2.3151822480182171</v>
      </c>
      <c r="P703" s="7">
        <f t="shared" si="17"/>
        <v>1.7021844231989158</v>
      </c>
      <c r="Q703">
        <v>1</v>
      </c>
      <c r="R703" s="7">
        <f t="shared" si="18"/>
        <v>24.340222222458934</v>
      </c>
      <c r="S703" s="7">
        <f>VLOOKUP($A703,Rotations!$A$1:$X$1441,18,0)</f>
        <v>4.1084259250406159E-2</v>
      </c>
      <c r="T703" s="7">
        <f>VLOOKUP($A703,Rotations!$A$1:$X$1441,19,0)</f>
        <v>9.5117547689518564E-2</v>
      </c>
      <c r="U703" s="7">
        <f>VLOOKUP($A703,Rotations!$A$1:$X$1441,20,0)</f>
        <v>6.9932986134707331E-2</v>
      </c>
      <c r="V703" s="7">
        <f>VLOOKUP($A703,Rotations!$A$1:$X$1441,21,0)</f>
        <v>0.32876482370475496</v>
      </c>
      <c r="W703" s="7">
        <f>VLOOKUP($A703,Rotations!$A$1:$X$1441,22,0)</f>
        <v>0.17352492358269972</v>
      </c>
      <c r="X703" s="7">
        <f>VLOOKUP($A703,Rotations!$A$1:$X$1441,23,0)</f>
        <v>0.29157545963791331</v>
      </c>
    </row>
    <row r="704" spans="1:24" ht="15.75" customHeight="1" x14ac:dyDescent="0.3">
      <c r="A704">
        <v>695</v>
      </c>
      <c r="B704" t="str">
        <f>Permutations!I696</f>
        <v>p141 - i6:i4</v>
      </c>
      <c r="C704" t="str">
        <f>Permutations!J696</f>
        <v>p4 - i4:i5</v>
      </c>
      <c r="D704" t="str">
        <f>Permutations!K696</f>
        <v>p61 - i5:i3</v>
      </c>
      <c r="E704" t="str">
        <f>Permutations!L696</f>
        <v>p81 - i3:i1</v>
      </c>
      <c r="F704" t="str">
        <f>Permutations!M696</f>
        <v>p1 - i1:i2</v>
      </c>
      <c r="G704" s="7">
        <f>VLOOKUP(B704,Vlookup!$A$1:$B$30,2,0)</f>
        <v>0.88688155974910687</v>
      </c>
      <c r="H704" s="7">
        <f>VLOOKUP(C704,Vlookup!$A$1:$B$30,2,0)</f>
        <v>1.89462595295753</v>
      </c>
      <c r="I704" s="7">
        <f>VLOOKUP(D704,Vlookup!$A$1:$B$30,2,0)</f>
        <v>1.9746367445127702</v>
      </c>
      <c r="J704" s="7">
        <f>VLOOKUP(E704,Vlookup!$A$1:$B$30,2,0)</f>
        <v>1.7021844231989158</v>
      </c>
      <c r="K704" s="7">
        <f>VLOOKUP(F704,Vlookup!$A$1:$B$30,2,0)</f>
        <v>1.6373343116675814</v>
      </c>
      <c r="L704" s="7">
        <f t="shared" si="13"/>
        <v>9.2474138945500091</v>
      </c>
      <c r="M704" s="7">
        <f t="shared" si="14"/>
        <v>10.426887099970871</v>
      </c>
      <c r="N704" s="7">
        <f t="shared" si="15"/>
        <v>5.50340138838191</v>
      </c>
      <c r="O704" s="7">
        <f t="shared" si="16"/>
        <v>2.7870449608896757</v>
      </c>
      <c r="P704" s="7">
        <f t="shared" si="17"/>
        <v>1.6373343116675814</v>
      </c>
      <c r="Q704">
        <v>1</v>
      </c>
      <c r="R704" s="7">
        <f t="shared" si="18"/>
        <v>30.602081655460047</v>
      </c>
      <c r="S704" s="7">
        <f>VLOOKUP($A704,Rotations!$A$1:$X$1441,18,0)</f>
        <v>5.3504017475080719E-2</v>
      </c>
      <c r="T704" s="7">
        <f>VLOOKUP($A704,Rotations!$A$1:$X$1441,19,0)</f>
        <v>3.2677515577492725E-2</v>
      </c>
      <c r="U704" s="7">
        <f>VLOOKUP($A704,Rotations!$A$1:$X$1441,20,0)</f>
        <v>9.107370512464498E-2</v>
      </c>
      <c r="V704" s="7">
        <f>VLOOKUP($A704,Rotations!$A$1:$X$1441,21,0)</f>
        <v>0.34072476563405607</v>
      </c>
      <c r="W704" s="7">
        <f>VLOOKUP($A704,Rotations!$A$1:$X$1441,22,0)</f>
        <v>0.17983748459804494</v>
      </c>
      <c r="X704" s="7">
        <f>VLOOKUP($A704,Rotations!$A$1:$X$1441,23,0)</f>
        <v>0.30218251159068055</v>
      </c>
    </row>
    <row r="705" spans="1:24" ht="15.75" customHeight="1" x14ac:dyDescent="0.3">
      <c r="A705">
        <v>696</v>
      </c>
      <c r="B705" t="str">
        <f>Permutations!I697</f>
        <v>p141 - i6:i4</v>
      </c>
      <c r="C705" t="str">
        <f>Permutations!J697</f>
        <v>p4 - i4:i5</v>
      </c>
      <c r="D705" t="str">
        <f>Permutations!K697</f>
        <v>p61 - i5:i3</v>
      </c>
      <c r="E705" t="str">
        <f>Permutations!L697</f>
        <v>p21 - i3:i2</v>
      </c>
      <c r="F705" t="str">
        <f>Permutations!M697</f>
        <v>p11 - i2:i1</v>
      </c>
      <c r="G705" s="7">
        <f>VLOOKUP(B705,Vlookup!$A$1:$B$30,2,0)</f>
        <v>0.88688155974910687</v>
      </c>
      <c r="H705" s="7">
        <f>VLOOKUP(C705,Vlookup!$A$1:$B$30,2,0)</f>
        <v>1.89462595295753</v>
      </c>
      <c r="I705" s="7">
        <f>VLOOKUP(D705,Vlookup!$A$1:$B$30,2,0)</f>
        <v>1.9746367445127702</v>
      </c>
      <c r="J705" s="7">
        <f>VLOOKUP(E705,Vlookup!$A$1:$B$30,2,0)</f>
        <v>1.5059827029565431</v>
      </c>
      <c r="K705" s="7">
        <f>VLOOKUP(F705,Vlookup!$A$1:$B$30,2,0)</f>
        <v>1.7440097060445605</v>
      </c>
      <c r="L705" s="7">
        <f t="shared" si="13"/>
        <v>8.7145547491236517</v>
      </c>
      <c r="M705" s="7">
        <f t="shared" si="14"/>
        <v>9.8260637548817051</v>
      </c>
      <c r="N705" s="7">
        <f t="shared" si="15"/>
        <v>5.1862816190937959</v>
      </c>
      <c r="O705" s="7">
        <f t="shared" si="16"/>
        <v>2.6264484510914334</v>
      </c>
      <c r="P705" s="7">
        <f t="shared" si="17"/>
        <v>1.7440097060445605</v>
      </c>
      <c r="Q705">
        <v>1</v>
      </c>
      <c r="R705" s="7">
        <f t="shared" si="18"/>
        <v>29.097358280235152</v>
      </c>
      <c r="S705" s="7">
        <f>VLOOKUP($A705,Rotations!$A$1:$X$1441,18,0)</f>
        <v>3.436738106494245E-2</v>
      </c>
      <c r="T705" s="7">
        <f>VLOOKUP($A705,Rotations!$A$1:$X$1441,19,0)</f>
        <v>5.9937046148591681E-2</v>
      </c>
      <c r="U705" s="7">
        <f>VLOOKUP($A705,Rotations!$A$1:$X$1441,20,0)</f>
        <v>9.0264154766087151E-2</v>
      </c>
      <c r="V705" s="7">
        <f>VLOOKUP($A705,Rotations!$A$1:$X$1441,21,0)</f>
        <v>0.33769607743243885</v>
      </c>
      <c r="W705" s="7">
        <f>VLOOKUP($A705,Rotations!$A$1:$X$1441,22,0)</f>
        <v>0.1782389167135032</v>
      </c>
      <c r="X705" s="7">
        <f>VLOOKUP($A705,Rotations!$A$1:$X$1441,23,0)</f>
        <v>0.29949642387443648</v>
      </c>
    </row>
    <row r="706" spans="1:24" ht="15.75" customHeight="1" x14ac:dyDescent="0.3">
      <c r="A706">
        <v>697</v>
      </c>
      <c r="B706" t="str">
        <f>Permutations!I698</f>
        <v>p151 - i6:i5</v>
      </c>
      <c r="C706" t="str">
        <f>Permutations!J698</f>
        <v>p101 - i5:i1</v>
      </c>
      <c r="D706" t="str">
        <f>Permutations!K698</f>
        <v>p1 - i1:i2</v>
      </c>
      <c r="E706" t="str">
        <f>Permutations!L698</f>
        <v>p2 - i2:i3</v>
      </c>
      <c r="F706" t="str">
        <f>Permutations!M698</f>
        <v>p3 - i3:i4</v>
      </c>
      <c r="G706" s="7">
        <f>VLOOKUP(B706,Vlookup!$A$1:$B$30,2,0)</f>
        <v>1.2266517321719024</v>
      </c>
      <c r="H706" s="7">
        <f>VLOOKUP(C706,Vlookup!$A$1:$B$30,2,0)</f>
        <v>1.530542412441888</v>
      </c>
      <c r="I706" s="7">
        <f>VLOOKUP(D706,Vlookup!$A$1:$B$30,2,0)</f>
        <v>1.6373343116675814</v>
      </c>
      <c r="J706" s="7">
        <f>VLOOKUP(E706,Vlookup!$A$1:$B$30,2,0)</f>
        <v>1.3601242124324544</v>
      </c>
      <c r="K706" s="7">
        <f>VLOOKUP(F706,Vlookup!$A$1:$B$30,2,0)</f>
        <v>1.4338636587362954</v>
      </c>
      <c r="L706" s="7">
        <f t="shared" si="13"/>
        <v>5.9950172573642222</v>
      </c>
      <c r="M706" s="7">
        <f t="shared" si="14"/>
        <v>4.8873018315879113</v>
      </c>
      <c r="N706" s="7">
        <f t="shared" si="15"/>
        <v>3.1931828820022803</v>
      </c>
      <c r="O706" s="7">
        <f t="shared" si="16"/>
        <v>1.9502326795742213</v>
      </c>
      <c r="P706" s="7">
        <f t="shared" si="17"/>
        <v>1.4338636587362954</v>
      </c>
      <c r="Q706">
        <v>1</v>
      </c>
      <c r="R706" s="7">
        <f t="shared" si="18"/>
        <v>18.45959830926493</v>
      </c>
      <c r="S706" s="7">
        <f>VLOOKUP($A706,Rotations!$A$1:$X$1441,18,0)</f>
        <v>0.17298225175352877</v>
      </c>
      <c r="T706" s="7">
        <f>VLOOKUP($A706,Rotations!$A$1:$X$1441,19,0)</f>
        <v>0.10564870626656017</v>
      </c>
      <c r="U706" s="7">
        <f>VLOOKUP($A706,Rotations!$A$1:$X$1441,20,0)</f>
        <v>7.7675777918560382E-2</v>
      </c>
      <c r="V706" s="7">
        <f>VLOOKUP($A706,Rotations!$A$1:$X$1441,21,0)</f>
        <v>5.4172359725622898E-2</v>
      </c>
      <c r="W706" s="7">
        <f>VLOOKUP($A706,Rotations!$A$1:$X$1441,22,0)</f>
        <v>0.26475667290847599</v>
      </c>
      <c r="X706" s="7">
        <f>VLOOKUP($A706,Rotations!$A$1:$X$1441,23,0)</f>
        <v>0.3247642314272518</v>
      </c>
    </row>
    <row r="707" spans="1:24" ht="15.75" customHeight="1" x14ac:dyDescent="0.3">
      <c r="A707">
        <v>698</v>
      </c>
      <c r="B707" t="str">
        <f>Permutations!I699</f>
        <v>p151 - i6:i5</v>
      </c>
      <c r="C707" t="str">
        <f>Permutations!J699</f>
        <v>p101 - i5:i1</v>
      </c>
      <c r="D707" t="str">
        <f>Permutations!K699</f>
        <v>p1 - i1:i2</v>
      </c>
      <c r="E707" t="str">
        <f>Permutations!L699</f>
        <v>p5 - i2:i4</v>
      </c>
      <c r="F707" t="str">
        <f>Permutations!M699</f>
        <v>p31 - i4:i3</v>
      </c>
      <c r="G707" s="7">
        <f>VLOOKUP(B707,Vlookup!$A$1:$B$30,2,0)</f>
        <v>1.2266517321719024</v>
      </c>
      <c r="H707" s="7">
        <f>VLOOKUP(C707,Vlookup!$A$1:$B$30,2,0)</f>
        <v>1.530542412441888</v>
      </c>
      <c r="I707" s="7">
        <f>VLOOKUP(D707,Vlookup!$A$1:$B$30,2,0)</f>
        <v>1.6373343116675814</v>
      </c>
      <c r="J707" s="7">
        <f>VLOOKUP(E707,Vlookup!$A$1:$B$30,2,0)</f>
        <v>0.9108240498099236</v>
      </c>
      <c r="K707" s="7">
        <f>VLOOKUP(F707,Vlookup!$A$1:$B$30,2,0)</f>
        <v>2.2388599512381115</v>
      </c>
      <c r="L707" s="7">
        <f t="shared" si="13"/>
        <v>6.2685259089393863</v>
      </c>
      <c r="M707" s="7">
        <f t="shared" si="14"/>
        <v>5.1102735556736798</v>
      </c>
      <c r="N707" s="7">
        <f t="shared" si="15"/>
        <v>3.3388643882926097</v>
      </c>
      <c r="O707" s="7">
        <f t="shared" si="16"/>
        <v>2.039207487743945</v>
      </c>
      <c r="P707" s="7">
        <f t="shared" si="17"/>
        <v>2.2388599512381115</v>
      </c>
      <c r="Q707">
        <v>1</v>
      </c>
      <c r="R707" s="7">
        <f t="shared" si="18"/>
        <v>19.995731291887733</v>
      </c>
      <c r="S707" s="7">
        <f>VLOOKUP($A707,Rotations!$A$1:$X$1441,18,0)</f>
        <v>0.16697885861504785</v>
      </c>
      <c r="T707" s="7">
        <f>VLOOKUP($A707,Rotations!$A$1:$X$1441,19,0)</f>
        <v>0.10198214098682409</v>
      </c>
      <c r="U707" s="7">
        <f>VLOOKUP($A707,Rotations!$A$1:$X$1441,20,0)</f>
        <v>5.0010674048500542E-2</v>
      </c>
      <c r="V707" s="7">
        <f>VLOOKUP($A707,Rotations!$A$1:$X$1441,21,0)</f>
        <v>0.11196689526161101</v>
      </c>
      <c r="W707" s="7">
        <f>VLOOKUP($A707,Rotations!$A$1:$X$1441,22,0)</f>
        <v>0.25556822509146826</v>
      </c>
      <c r="X707" s="7">
        <f>VLOOKUP($A707,Rotations!$A$1:$X$1441,23,0)</f>
        <v>0.31349320599654823</v>
      </c>
    </row>
    <row r="708" spans="1:24" ht="15.75" customHeight="1" x14ac:dyDescent="0.3">
      <c r="A708">
        <v>699</v>
      </c>
      <c r="B708" t="str">
        <f>Permutations!I700</f>
        <v>p151 - i6:i5</v>
      </c>
      <c r="C708" t="str">
        <f>Permutations!J700</f>
        <v>p101 - i5:i1</v>
      </c>
      <c r="D708" t="str">
        <f>Permutations!K700</f>
        <v>p8 - i1:i3</v>
      </c>
      <c r="E708" t="str">
        <f>Permutations!L700</f>
        <v>p21 - i3:i2</v>
      </c>
      <c r="F708" t="str">
        <f>Permutations!M700</f>
        <v>p5 - i2:i4</v>
      </c>
      <c r="G708" s="7">
        <f>VLOOKUP(B708,Vlookup!$A$1:$B$30,2,0)</f>
        <v>1.2266517321719024</v>
      </c>
      <c r="H708" s="7">
        <f>VLOOKUP(C708,Vlookup!$A$1:$B$30,2,0)</f>
        <v>1.530542412441888</v>
      </c>
      <c r="I708" s="7">
        <f>VLOOKUP(D708,Vlookup!$A$1:$B$30,2,0)</f>
        <v>1.1080774401297739</v>
      </c>
      <c r="J708" s="7">
        <f>VLOOKUP(E708,Vlookup!$A$1:$B$30,2,0)</f>
        <v>1.5059827029565431</v>
      </c>
      <c r="K708" s="7">
        <f>VLOOKUP(F708,Vlookup!$A$1:$B$30,2,0)</f>
        <v>0.9108240498099236</v>
      </c>
      <c r="L708" s="7">
        <f t="shared" si="13"/>
        <v>2.8535877455996261</v>
      </c>
      <c r="M708" s="7">
        <f t="shared" si="14"/>
        <v>2.3263226804784112</v>
      </c>
      <c r="N708" s="7">
        <f t="shared" si="15"/>
        <v>1.5199334964961237</v>
      </c>
      <c r="O708" s="7">
        <f t="shared" si="16"/>
        <v>1.3716852644505737</v>
      </c>
      <c r="P708" s="7">
        <f t="shared" si="17"/>
        <v>0.9108240498099236</v>
      </c>
      <c r="Q708">
        <v>1</v>
      </c>
      <c r="R708" s="7">
        <f t="shared" si="18"/>
        <v>9.9823532368346566</v>
      </c>
      <c r="S708" s="7">
        <f>VLOOKUP($A708,Rotations!$A$1:$X$1441,18,0)</f>
        <v>0.15226204287057321</v>
      </c>
      <c r="T708" s="7">
        <f>VLOOKUP($A708,Rotations!$A$1:$X$1441,19,0)</f>
        <v>9.1243420083453222E-2</v>
      </c>
      <c r="U708" s="7">
        <f>VLOOKUP($A708,Rotations!$A$1:$X$1441,20,0)</f>
        <v>0.13741101240427819</v>
      </c>
      <c r="V708" s="7">
        <f>VLOOKUP($A708,Rotations!$A$1:$X$1441,21,0)</f>
        <v>0.10017677959040988</v>
      </c>
      <c r="W708" s="7">
        <f>VLOOKUP($A708,Rotations!$A$1:$X$1441,22,0)</f>
        <v>0.2330435144184573</v>
      </c>
      <c r="X708" s="7">
        <f>VLOOKUP($A708,Rotations!$A$1:$X$1441,23,0)</f>
        <v>0.28586323063282837</v>
      </c>
    </row>
    <row r="709" spans="1:24" ht="15.75" customHeight="1" x14ac:dyDescent="0.3">
      <c r="A709">
        <v>700</v>
      </c>
      <c r="B709" t="str">
        <f>Permutations!I701</f>
        <v>p151 - i6:i5</v>
      </c>
      <c r="C709" t="str">
        <f>Permutations!J701</f>
        <v>p101 - i5:i1</v>
      </c>
      <c r="D709" t="str">
        <f>Permutations!K701</f>
        <v>p8 - i1:i3</v>
      </c>
      <c r="E709" t="str">
        <f>Permutations!L701</f>
        <v>p3 - i3:i4</v>
      </c>
      <c r="F709" t="str">
        <f>Permutations!M701</f>
        <v>p51 - i4:i2</v>
      </c>
      <c r="G709" s="7">
        <f>VLOOKUP(B709,Vlookup!$A$1:$B$30,2,0)</f>
        <v>1.2266517321719024</v>
      </c>
      <c r="H709" s="7">
        <f>VLOOKUP(C709,Vlookup!$A$1:$B$30,2,0)</f>
        <v>1.530542412441888</v>
      </c>
      <c r="I709" s="7">
        <f>VLOOKUP(D709,Vlookup!$A$1:$B$30,2,0)</f>
        <v>1.1080774401297739</v>
      </c>
      <c r="J709" s="7">
        <f>VLOOKUP(E709,Vlookup!$A$1:$B$30,2,0)</f>
        <v>1.4338636587362954</v>
      </c>
      <c r="K709" s="7">
        <f>VLOOKUP(F709,Vlookup!$A$1:$B$30,2,0)</f>
        <v>1.4376356077157479</v>
      </c>
      <c r="L709" s="7">
        <f t="shared" si="13"/>
        <v>4.288381726732716</v>
      </c>
      <c r="M709" s="7">
        <f t="shared" si="14"/>
        <v>3.4960059275665247</v>
      </c>
      <c r="N709" s="7">
        <f t="shared" si="15"/>
        <v>2.2841614182967063</v>
      </c>
      <c r="O709" s="7">
        <f t="shared" si="16"/>
        <v>2.0613734524088798</v>
      </c>
      <c r="P709" s="7">
        <f t="shared" si="17"/>
        <v>1.4376356077157479</v>
      </c>
      <c r="Q709">
        <v>1</v>
      </c>
      <c r="R709" s="7">
        <f t="shared" si="18"/>
        <v>14.567558132720576</v>
      </c>
      <c r="S709" s="7">
        <f>VLOOKUP($A709,Rotations!$A$1:$X$1441,18,0)</f>
        <v>0.15679782414364912</v>
      </c>
      <c r="T709" s="7">
        <f>VLOOKUP($A709,Rotations!$A$1:$X$1441,19,0)</f>
        <v>6.8645684533351792E-2</v>
      </c>
      <c r="U709" s="7">
        <f>VLOOKUP($A709,Rotations!$A$1:$X$1441,20,0)</f>
        <v>0.14150439171948623</v>
      </c>
      <c r="V709" s="7">
        <f>VLOOKUP($A709,Rotations!$A$1:$X$1441,21,0)</f>
        <v>9.8687480401168731E-2</v>
      </c>
      <c r="W709" s="7">
        <f>VLOOKUP($A709,Rotations!$A$1:$X$1441,22,0)</f>
        <v>0.23998572003045959</v>
      </c>
      <c r="X709" s="7">
        <f>VLOOKUP($A709,Rotations!$A$1:$X$1441,23,0)</f>
        <v>0.29437889917188448</v>
      </c>
    </row>
    <row r="710" spans="1:24" ht="15.75" customHeight="1" x14ac:dyDescent="0.3">
      <c r="A710">
        <v>701</v>
      </c>
      <c r="B710" t="str">
        <f>Permutations!I702</f>
        <v>p151 - i6:i5</v>
      </c>
      <c r="C710" t="str">
        <f>Permutations!J702</f>
        <v>p101 - i5:i1</v>
      </c>
      <c r="D710" t="str">
        <f>Permutations!K702</f>
        <v>p9 - i1:i4</v>
      </c>
      <c r="E710" t="str">
        <f>Permutations!L702</f>
        <v>p51 - i4:i2</v>
      </c>
      <c r="F710" t="str">
        <f>Permutations!M702</f>
        <v>p2 - i2:i3</v>
      </c>
      <c r="G710" s="7">
        <f>VLOOKUP(B710,Vlookup!$A$1:$B$30,2,0)</f>
        <v>1.2266517321719024</v>
      </c>
      <c r="H710" s="7">
        <f>VLOOKUP(C710,Vlookup!$A$1:$B$30,2,0)</f>
        <v>1.530542412441888</v>
      </c>
      <c r="I710" s="7">
        <f>VLOOKUP(D710,Vlookup!$A$1:$B$30,2,0)</f>
        <v>1.2538815092968505</v>
      </c>
      <c r="J710" s="7">
        <f>VLOOKUP(E710,Vlookup!$A$1:$B$30,2,0)</f>
        <v>1.4376356077157479</v>
      </c>
      <c r="K710" s="7">
        <f>VLOOKUP(F710,Vlookup!$A$1:$B$30,2,0)</f>
        <v>1.3601242124324544</v>
      </c>
      <c r="L710" s="7">
        <f t="shared" si="13"/>
        <v>4.6031013366215801</v>
      </c>
      <c r="M710" s="7">
        <f t="shared" si="14"/>
        <v>3.752573950612172</v>
      </c>
      <c r="N710" s="7">
        <f t="shared" si="15"/>
        <v>2.4517935080447506</v>
      </c>
      <c r="O710" s="7">
        <f t="shared" si="16"/>
        <v>1.9553629987092347</v>
      </c>
      <c r="P710" s="7">
        <f t="shared" si="17"/>
        <v>1.3601242124324544</v>
      </c>
      <c r="Q710">
        <v>1</v>
      </c>
      <c r="R710" s="7">
        <f t="shared" si="18"/>
        <v>15.122956006420193</v>
      </c>
      <c r="S710" s="7">
        <f>VLOOKUP($A710,Rotations!$A$1:$X$1441,18,0)</f>
        <v>0.16212395956213083</v>
      </c>
      <c r="T710" s="7">
        <f>VLOOKUP($A710,Rotations!$A$1:$X$1441,19,0)</f>
        <v>8.9937721954294975E-2</v>
      </c>
      <c r="U710" s="7">
        <f>VLOOKUP($A710,Rotations!$A$1:$X$1441,20,0)</f>
        <v>6.6124638567715666E-2</v>
      </c>
      <c r="V710" s="7">
        <f>VLOOKUP($A710,Rotations!$A$1:$X$1441,21,0)</f>
        <v>0.12929767155833283</v>
      </c>
      <c r="W710" s="7">
        <f>VLOOKUP($A710,Rotations!$A$1:$X$1441,22,0)</f>
        <v>0.24813759618285477</v>
      </c>
      <c r="X710" s="7">
        <f>VLOOKUP($A710,Rotations!$A$1:$X$1441,23,0)</f>
        <v>0.30437841217467088</v>
      </c>
    </row>
    <row r="711" spans="1:24" ht="15.75" customHeight="1" x14ac:dyDescent="0.3">
      <c r="A711">
        <v>702</v>
      </c>
      <c r="B711" t="str">
        <f>Permutations!I703</f>
        <v>p151 - i6:i5</v>
      </c>
      <c r="C711" t="str">
        <f>Permutations!J703</f>
        <v>p101 - i5:i1</v>
      </c>
      <c r="D711" t="str">
        <f>Permutations!K703</f>
        <v>p9 - i1:i4</v>
      </c>
      <c r="E711" t="str">
        <f>Permutations!L703</f>
        <v>p31 - i4:i3</v>
      </c>
      <c r="F711" t="str">
        <f>Permutations!M703</f>
        <v>p21 - i3:i2</v>
      </c>
      <c r="G711" s="7">
        <f>VLOOKUP(B711,Vlookup!$A$1:$B$30,2,0)</f>
        <v>1.2266517321719024</v>
      </c>
      <c r="H711" s="7">
        <f>VLOOKUP(C711,Vlookup!$A$1:$B$30,2,0)</f>
        <v>1.530542412441888</v>
      </c>
      <c r="I711" s="7">
        <f>VLOOKUP(D711,Vlookup!$A$1:$B$30,2,0)</f>
        <v>1.2538815092968505</v>
      </c>
      <c r="J711" s="7">
        <f>VLOOKUP(E711,Vlookup!$A$1:$B$30,2,0)</f>
        <v>2.2388599512381115</v>
      </c>
      <c r="K711" s="7">
        <f>VLOOKUP(F711,Vlookup!$A$1:$B$30,2,0)</f>
        <v>1.5059827029565431</v>
      </c>
      <c r="L711" s="7">
        <f t="shared" si="13"/>
        <v>7.9372499114491548</v>
      </c>
      <c r="M711" s="7">
        <f t="shared" si="14"/>
        <v>6.4706629463568319</v>
      </c>
      <c r="N711" s="7">
        <f t="shared" si="15"/>
        <v>4.2276926753263115</v>
      </c>
      <c r="O711" s="7">
        <f t="shared" si="16"/>
        <v>3.3716843609067255</v>
      </c>
      <c r="P711" s="7">
        <f t="shared" si="17"/>
        <v>1.5059827029565431</v>
      </c>
      <c r="Q711">
        <v>1</v>
      </c>
      <c r="R711" s="7">
        <f t="shared" si="18"/>
        <v>24.51327259699557</v>
      </c>
      <c r="S711" s="7">
        <f>VLOOKUP($A711,Rotations!$A$1:$X$1441,18,0)</f>
        <v>0.17246545350474632</v>
      </c>
      <c r="T711" s="7">
        <f>VLOOKUP($A711,Rotations!$A$1:$X$1441,19,0)</f>
        <v>4.0794226721183012E-2</v>
      </c>
      <c r="U711" s="7">
        <f>VLOOKUP($A711,Rotations!$A$1:$X$1441,20,0)</f>
        <v>6.1435399822589234E-2</v>
      </c>
      <c r="V711" s="7">
        <f>VLOOKUP($A711,Rotations!$A$1:$X$1441,21,0)</f>
        <v>0.13754525625109601</v>
      </c>
      <c r="W711" s="7">
        <f>VLOOKUP($A711,Rotations!$A$1:$X$1441,22,0)</f>
        <v>0.26396569127003866</v>
      </c>
      <c r="X711" s="7">
        <f>VLOOKUP($A711,Rotations!$A$1:$X$1441,23,0)</f>
        <v>0.32379397243034663</v>
      </c>
    </row>
    <row r="712" spans="1:24" ht="15.75" customHeight="1" x14ac:dyDescent="0.3">
      <c r="A712">
        <v>703</v>
      </c>
      <c r="B712" t="str">
        <f>Permutations!I704</f>
        <v>p151 - i6:i5</v>
      </c>
      <c r="C712" t="str">
        <f>Permutations!J704</f>
        <v>p71 - i5:i2</v>
      </c>
      <c r="D712" t="str">
        <f>Permutations!K704</f>
        <v>p11 - i2:i1</v>
      </c>
      <c r="E712" t="str">
        <f>Permutations!L704</f>
        <v>p8 - i1:i3</v>
      </c>
      <c r="F712" t="str">
        <f>Permutations!M704</f>
        <v>p3 - i3:i4</v>
      </c>
      <c r="G712" s="7">
        <f>VLOOKUP(B712,Vlookup!$A$1:$B$30,2,0)</f>
        <v>1.2266517321719024</v>
      </c>
      <c r="H712" s="7">
        <f>VLOOKUP(C712,Vlookup!$A$1:$B$30,2,0)</f>
        <v>1.8243208303594776</v>
      </c>
      <c r="I712" s="7">
        <f>VLOOKUP(D712,Vlookup!$A$1:$B$30,2,0)</f>
        <v>1.7440097060445605</v>
      </c>
      <c r="J712" s="7">
        <f>VLOOKUP(E712,Vlookup!$A$1:$B$30,2,0)</f>
        <v>1.1080774401297739</v>
      </c>
      <c r="K712" s="7">
        <f>VLOOKUP(F712,Vlookup!$A$1:$B$30,2,0)</f>
        <v>1.4338636587362954</v>
      </c>
      <c r="L712" s="7">
        <f t="shared" si="13"/>
        <v>6.2008233847716756</v>
      </c>
      <c r="M712" s="7">
        <f t="shared" si="14"/>
        <v>5.0550806085705622</v>
      </c>
      <c r="N712" s="7">
        <f t="shared" si="15"/>
        <v>2.7709383812574635</v>
      </c>
      <c r="O712" s="7">
        <f t="shared" si="16"/>
        <v>1.5888319724676261</v>
      </c>
      <c r="P712" s="7">
        <f t="shared" si="17"/>
        <v>1.4338636587362954</v>
      </c>
      <c r="Q712">
        <v>1</v>
      </c>
      <c r="R712" s="7">
        <f t="shared" si="18"/>
        <v>18.049538005803623</v>
      </c>
      <c r="S712" s="7">
        <f>VLOOKUP($A712,Rotations!$A$1:$X$1441,18,0)</f>
        <v>8.802618504455656E-2</v>
      </c>
      <c r="T712" s="7">
        <f>VLOOKUP($A712,Rotations!$A$1:$X$1441,19,0)</f>
        <v>0.15351852110378117</v>
      </c>
      <c r="U712" s="7">
        <f>VLOOKUP($A712,Rotations!$A$1:$X$1441,20,0)</f>
        <v>7.9440463145109469E-2</v>
      </c>
      <c r="V712" s="7">
        <f>VLOOKUP($A712,Rotations!$A$1:$X$1441,21,0)</f>
        <v>5.5403080105344601E-2</v>
      </c>
      <c r="W712" s="7">
        <f>VLOOKUP($A712,Rotations!$A$1:$X$1441,22,0)</f>
        <v>0.280067035895609</v>
      </c>
      <c r="X712" s="7">
        <f>VLOOKUP($A712,Rotations!$A$1:$X$1441,23,0)</f>
        <v>0.34354471470559922</v>
      </c>
    </row>
    <row r="713" spans="1:24" ht="15.75" customHeight="1" x14ac:dyDescent="0.3">
      <c r="A713">
        <v>704</v>
      </c>
      <c r="B713" t="str">
        <f>Permutations!I705</f>
        <v>p151 - i6:i5</v>
      </c>
      <c r="C713" t="str">
        <f>Permutations!J705</f>
        <v>p71 - i5:i2</v>
      </c>
      <c r="D713" t="str">
        <f>Permutations!K705</f>
        <v>p11 - i2:i1</v>
      </c>
      <c r="E713" t="str">
        <f>Permutations!L705</f>
        <v>p9 - i1:i4</v>
      </c>
      <c r="F713" t="str">
        <f>Permutations!M705</f>
        <v>p31 - i4:i3</v>
      </c>
      <c r="G713" s="7">
        <f>VLOOKUP(B713,Vlookup!$A$1:$B$30,2,0)</f>
        <v>1.2266517321719024</v>
      </c>
      <c r="H713" s="7">
        <f>VLOOKUP(C713,Vlookup!$A$1:$B$30,2,0)</f>
        <v>1.8243208303594776</v>
      </c>
      <c r="I713" s="7">
        <f>VLOOKUP(D713,Vlookup!$A$1:$B$30,2,0)</f>
        <v>1.7440097060445605</v>
      </c>
      <c r="J713" s="7">
        <f>VLOOKUP(E713,Vlookup!$A$1:$B$30,2,0)</f>
        <v>1.2538815092968505</v>
      </c>
      <c r="K713" s="7">
        <f>VLOOKUP(F713,Vlookup!$A$1:$B$30,2,0)</f>
        <v>2.2388599512381115</v>
      </c>
      <c r="L713" s="7">
        <f t="shared" si="13"/>
        <v>10.956070464658664</v>
      </c>
      <c r="M713" s="7">
        <f t="shared" si="14"/>
        <v>8.9316879251944723</v>
      </c>
      <c r="N713" s="7">
        <f t="shared" si="15"/>
        <v>4.8958975727062803</v>
      </c>
      <c r="O713" s="7">
        <f t="shared" si="16"/>
        <v>2.8072650947627165</v>
      </c>
      <c r="P713" s="7">
        <f t="shared" si="17"/>
        <v>2.2388599512381115</v>
      </c>
      <c r="Q713">
        <v>1</v>
      </c>
      <c r="R713" s="7">
        <f t="shared" si="18"/>
        <v>30.829781008560243</v>
      </c>
      <c r="S713" s="7">
        <f>VLOOKUP($A713,Rotations!$A$1:$X$1441,18,0)</f>
        <v>9.1056926222837814E-2</v>
      </c>
      <c r="T713" s="7">
        <f>VLOOKUP($A713,Rotations!$A$1:$X$1441,19,0)</f>
        <v>0.15880416313521262</v>
      </c>
      <c r="U713" s="7">
        <f>VLOOKUP($A713,Rotations!$A$1:$X$1441,20,0)</f>
        <v>3.2436169420805766E-2</v>
      </c>
      <c r="V713" s="7">
        <f>VLOOKUP($A713,Rotations!$A$1:$X$1441,21,0)</f>
        <v>7.2620040687816315E-2</v>
      </c>
      <c r="W713" s="7">
        <f>VLOOKUP($A713,Rotations!$A$1:$X$1441,22,0)</f>
        <v>0.28970974275537303</v>
      </c>
      <c r="X713" s="7">
        <f>VLOOKUP($A713,Rotations!$A$1:$X$1441,23,0)</f>
        <v>0.35537295777795452</v>
      </c>
    </row>
    <row r="714" spans="1:24" ht="15.75" customHeight="1" x14ac:dyDescent="0.3">
      <c r="A714">
        <v>705</v>
      </c>
      <c r="B714" t="str">
        <f>Permutations!I706</f>
        <v>p151 - i6:i5</v>
      </c>
      <c r="C714" t="str">
        <f>Permutations!J706</f>
        <v>p71 - i5:i2</v>
      </c>
      <c r="D714" t="str">
        <f>Permutations!K706</f>
        <v>p2 - i2:i3</v>
      </c>
      <c r="E714" t="str">
        <f>Permutations!L706</f>
        <v>p81 - i3:i1</v>
      </c>
      <c r="F714" t="str">
        <f>Permutations!M706</f>
        <v>p9 - i1:i4</v>
      </c>
      <c r="G714" s="7">
        <f>VLOOKUP(B714,Vlookup!$A$1:$B$30,2,0)</f>
        <v>1.2266517321719024</v>
      </c>
      <c r="H714" s="7">
        <f>VLOOKUP(C714,Vlookup!$A$1:$B$30,2,0)</f>
        <v>1.8243208303594776</v>
      </c>
      <c r="I714" s="7">
        <f>VLOOKUP(D714,Vlookup!$A$1:$B$30,2,0)</f>
        <v>1.3601242124324544</v>
      </c>
      <c r="J714" s="7">
        <f>VLOOKUP(E714,Vlookup!$A$1:$B$30,2,0)</f>
        <v>1.7021844231989158</v>
      </c>
      <c r="K714" s="7">
        <f>VLOOKUP(F714,Vlookup!$A$1:$B$30,2,0)</f>
        <v>1.2538815092968505</v>
      </c>
      <c r="L714" s="7">
        <f t="shared" si="13"/>
        <v>6.4962716201932329</v>
      </c>
      <c r="M714" s="7">
        <f t="shared" si="14"/>
        <v>5.295938080722367</v>
      </c>
      <c r="N714" s="7">
        <f t="shared" si="15"/>
        <v>2.9029642114423573</v>
      </c>
      <c r="O714" s="7">
        <f t="shared" si="16"/>
        <v>2.1343375736622456</v>
      </c>
      <c r="P714" s="7">
        <f t="shared" si="17"/>
        <v>1.2538815092968505</v>
      </c>
      <c r="Q714">
        <v>1</v>
      </c>
      <c r="R714" s="7">
        <f t="shared" si="18"/>
        <v>19.083392995317052</v>
      </c>
      <c r="S714" s="7">
        <f>VLOOKUP($A714,Rotations!$A$1:$X$1441,18,0)</f>
        <v>6.5705375852425474E-2</v>
      </c>
      <c r="T714" s="7">
        <f>VLOOKUP($A714,Rotations!$A$1:$X$1441,19,0)</f>
        <v>0.15211991977290029</v>
      </c>
      <c r="U714" s="7">
        <f>VLOOKUP($A714,Rotations!$A$1:$X$1441,20,0)</f>
        <v>0.11184266729642885</v>
      </c>
      <c r="V714" s="7">
        <f>VLOOKUP($A714,Rotations!$A$1:$X$1441,21,0)</f>
        <v>5.2401582896992892E-2</v>
      </c>
      <c r="W714" s="7">
        <f>VLOOKUP($A714,Rotations!$A$1:$X$1441,22,0)</f>
        <v>0.27751553835431458</v>
      </c>
      <c r="X714" s="7">
        <f>VLOOKUP($A714,Rotations!$A$1:$X$1441,23,0)</f>
        <v>0.340414915826938</v>
      </c>
    </row>
    <row r="715" spans="1:24" ht="15.75" customHeight="1" x14ac:dyDescent="0.3">
      <c r="A715">
        <v>706</v>
      </c>
      <c r="B715" t="str">
        <f>Permutations!I707</f>
        <v>p151 - i6:i5</v>
      </c>
      <c r="C715" t="str">
        <f>Permutations!J707</f>
        <v>p71 - i5:i2</v>
      </c>
      <c r="D715" t="str">
        <f>Permutations!K707</f>
        <v>p2 - i2:i3</v>
      </c>
      <c r="E715" t="str">
        <f>Permutations!L707</f>
        <v>p3 - i3:i4</v>
      </c>
      <c r="F715" t="str">
        <f>Permutations!M707</f>
        <v>p91 - i4:i1</v>
      </c>
      <c r="G715" s="7">
        <f>VLOOKUP(B715,Vlookup!$A$1:$B$30,2,0)</f>
        <v>1.2266517321719024</v>
      </c>
      <c r="H715" s="7">
        <f>VLOOKUP(C715,Vlookup!$A$1:$B$30,2,0)</f>
        <v>1.8243208303594776</v>
      </c>
      <c r="I715" s="7">
        <f>VLOOKUP(D715,Vlookup!$A$1:$B$30,2,0)</f>
        <v>1.3601242124324544</v>
      </c>
      <c r="J715" s="7">
        <f>VLOOKUP(E715,Vlookup!$A$1:$B$30,2,0)</f>
        <v>1.4338636587362954</v>
      </c>
      <c r="K715" s="7">
        <f>VLOOKUP(F715,Vlookup!$A$1:$B$30,2,0)</f>
        <v>2.9131157743633094</v>
      </c>
      <c r="L715" s="7">
        <f t="shared" si="13"/>
        <v>12.713545096403518</v>
      </c>
      <c r="M715" s="7">
        <f t="shared" si="14"/>
        <v>10.364429253193968</v>
      </c>
      <c r="N715" s="7">
        <f t="shared" si="15"/>
        <v>5.6812535825464892</v>
      </c>
      <c r="O715" s="7">
        <f t="shared" si="16"/>
        <v>4.1770108425509909</v>
      </c>
      <c r="P715" s="7">
        <f t="shared" si="17"/>
        <v>2.9131157743633094</v>
      </c>
      <c r="Q715">
        <v>1</v>
      </c>
      <c r="R715" s="7">
        <f t="shared" si="18"/>
        <v>36.849354549058276</v>
      </c>
      <c r="S715" s="7">
        <f>VLOOKUP($A715,Rotations!$A$1:$X$1441,18,0)</f>
        <v>2.7137517393111463E-2</v>
      </c>
      <c r="T715" s="7">
        <f>VLOOKUP($A715,Rotations!$A$1:$X$1441,19,0)</f>
        <v>0.15417511791103217</v>
      </c>
      <c r="U715" s="7">
        <f>VLOOKUP($A715,Rotations!$A$1:$X$1441,20,0)</f>
        <v>0.11335370439094268</v>
      </c>
      <c r="V715" s="7">
        <f>VLOOKUP($A715,Rotations!$A$1:$X$1441,21,0)</f>
        <v>7.9054729994931683E-2</v>
      </c>
      <c r="W715" s="7">
        <f>VLOOKUP($A715,Rotations!$A$1:$X$1441,22,0)</f>
        <v>0.28126487912822457</v>
      </c>
      <c r="X715" s="7">
        <f>VLOOKUP($A715,Rotations!$A$1:$X$1441,23,0)</f>
        <v>0.34501405118175743</v>
      </c>
    </row>
    <row r="716" spans="1:24" ht="15.75" customHeight="1" x14ac:dyDescent="0.3">
      <c r="A716">
        <v>707</v>
      </c>
      <c r="B716" t="str">
        <f>Permutations!I708</f>
        <v>p151 - i6:i5</v>
      </c>
      <c r="C716" t="str">
        <f>Permutations!J708</f>
        <v>p71 - i5:i2</v>
      </c>
      <c r="D716" t="str">
        <f>Permutations!K708</f>
        <v>p5 - i2:i4</v>
      </c>
      <c r="E716" t="str">
        <f>Permutations!L708</f>
        <v>p91 - i4:i1</v>
      </c>
      <c r="F716" t="str">
        <f>Permutations!M708</f>
        <v>p8 - i1:i3</v>
      </c>
      <c r="G716" s="7">
        <f>VLOOKUP(B716,Vlookup!$A$1:$B$30,2,0)</f>
        <v>1.2266517321719024</v>
      </c>
      <c r="H716" s="7">
        <f>VLOOKUP(C716,Vlookup!$A$1:$B$30,2,0)</f>
        <v>1.8243208303594776</v>
      </c>
      <c r="I716" s="7">
        <f>VLOOKUP(D716,Vlookup!$A$1:$B$30,2,0)</f>
        <v>0.9108240498099236</v>
      </c>
      <c r="J716" s="7">
        <f>VLOOKUP(E716,Vlookup!$A$1:$B$30,2,0)</f>
        <v>2.9131157743633094</v>
      </c>
      <c r="K716" s="7">
        <f>VLOOKUP(F716,Vlookup!$A$1:$B$30,2,0)</f>
        <v>1.1080774401297739</v>
      </c>
      <c r="L716" s="7">
        <f t="shared" si="13"/>
        <v>6.5793780363885661</v>
      </c>
      <c r="M716" s="7">
        <f t="shared" si="14"/>
        <v>5.3636887013880932</v>
      </c>
      <c r="N716" s="7">
        <f t="shared" si="15"/>
        <v>2.9401016598221883</v>
      </c>
      <c r="O716" s="7">
        <f t="shared" si="16"/>
        <v>3.2279578700581602</v>
      </c>
      <c r="P716" s="7">
        <f t="shared" si="17"/>
        <v>1.1080774401297739</v>
      </c>
      <c r="Q716">
        <v>1</v>
      </c>
      <c r="R716" s="7">
        <f t="shared" si="18"/>
        <v>20.219203707786779</v>
      </c>
      <c r="S716" s="7">
        <f>VLOOKUP($A716,Rotations!$A$1:$X$1441,18,0)</f>
        <v>5.480321857101788E-2</v>
      </c>
      <c r="T716" s="7">
        <f>VLOOKUP($A716,Rotations!$A$1:$X$1441,19,0)</f>
        <v>0.14541134766300923</v>
      </c>
      <c r="U716" s="7">
        <f>VLOOKUP($A716,Rotations!$A$1:$X$1441,20,0)</f>
        <v>4.9457931897430855E-2</v>
      </c>
      <c r="V716" s="7">
        <f>VLOOKUP($A716,Rotations!$A$1:$X$1441,21,0)</f>
        <v>0.15964812050511246</v>
      </c>
      <c r="W716" s="7">
        <f>VLOOKUP($A716,Rotations!$A$1:$X$1441,22,0)</f>
        <v>0.26527695051227168</v>
      </c>
      <c r="X716" s="7">
        <f>VLOOKUP($A716,Rotations!$A$1:$X$1441,23,0)</f>
        <v>0.32540243085115805</v>
      </c>
    </row>
    <row r="717" spans="1:24" ht="15.75" customHeight="1" x14ac:dyDescent="0.3">
      <c r="A717">
        <v>708</v>
      </c>
      <c r="B717" t="str">
        <f>Permutations!I709</f>
        <v>p151 - i6:i5</v>
      </c>
      <c r="C717" t="str">
        <f>Permutations!J709</f>
        <v>p71 - i5:i2</v>
      </c>
      <c r="D717" t="str">
        <f>Permutations!K709</f>
        <v>p5 - i2:i4</v>
      </c>
      <c r="E717" t="str">
        <f>Permutations!L709</f>
        <v>p31 - i4:i3</v>
      </c>
      <c r="F717" t="str">
        <f>Permutations!M709</f>
        <v>p81 - i3:i1</v>
      </c>
      <c r="G717" s="7">
        <f>VLOOKUP(B717,Vlookup!$A$1:$B$30,2,0)</f>
        <v>1.2266517321719024</v>
      </c>
      <c r="H717" s="7">
        <f>VLOOKUP(C717,Vlookup!$A$1:$B$30,2,0)</f>
        <v>1.8243208303594776</v>
      </c>
      <c r="I717" s="7">
        <f>VLOOKUP(D717,Vlookup!$A$1:$B$30,2,0)</f>
        <v>0.9108240498099236</v>
      </c>
      <c r="J717" s="7">
        <f>VLOOKUP(E717,Vlookup!$A$1:$B$30,2,0)</f>
        <v>2.2388599512381115</v>
      </c>
      <c r="K717" s="7">
        <f>VLOOKUP(F717,Vlookup!$A$1:$B$30,2,0)</f>
        <v>1.7021844231989158</v>
      </c>
      <c r="L717" s="7">
        <f t="shared" si="13"/>
        <v>7.7676656307207415</v>
      </c>
      <c r="M717" s="7">
        <f t="shared" si="14"/>
        <v>6.3324132082440032</v>
      </c>
      <c r="N717" s="7">
        <f t="shared" si="15"/>
        <v>3.4711072213083374</v>
      </c>
      <c r="O717" s="7">
        <f t="shared" si="16"/>
        <v>3.8109525347213977</v>
      </c>
      <c r="P717" s="7">
        <f t="shared" si="17"/>
        <v>1.7021844231989158</v>
      </c>
      <c r="Q717">
        <v>1</v>
      </c>
      <c r="R717" s="7">
        <f t="shared" si="18"/>
        <v>24.084323018193395</v>
      </c>
      <c r="S717" s="7">
        <f>VLOOKUP($A717,Rotations!$A$1:$X$1441,18,0)</f>
        <v>4.1520785086821665E-2</v>
      </c>
      <c r="T717" s="7">
        <f>VLOOKUP($A717,Rotations!$A$1:$X$1441,19,0)</f>
        <v>0.14412309694925821</v>
      </c>
      <c r="U717" s="7">
        <f>VLOOKUP($A717,Rotations!$A$1:$X$1441,20,0)</f>
        <v>7.0676033613777681E-2</v>
      </c>
      <c r="V717" s="7">
        <f>VLOOKUP($A717,Rotations!$A$1:$X$1441,21,0)</f>
        <v>0.15823374117024541</v>
      </c>
      <c r="W717" s="7">
        <f>VLOOKUP($A717,Rotations!$A$1:$X$1441,22,0)</f>
        <v>0.26292676790045011</v>
      </c>
      <c r="X717" s="7">
        <f>VLOOKUP($A717,Rotations!$A$1:$X$1441,23,0)</f>
        <v>0.32251957527944697</v>
      </c>
    </row>
    <row r="718" spans="1:24" ht="15.75" customHeight="1" x14ac:dyDescent="0.3">
      <c r="A718">
        <v>709</v>
      </c>
      <c r="B718" t="str">
        <f>Permutations!I710</f>
        <v>p151 - i6:i5</v>
      </c>
      <c r="C718" t="str">
        <f>Permutations!J710</f>
        <v>p61 - i5:i3</v>
      </c>
      <c r="D718" t="str">
        <f>Permutations!K710</f>
        <v>p81 - i3:i1</v>
      </c>
      <c r="E718" t="str">
        <f>Permutations!L710</f>
        <v>p1 - i1:i2</v>
      </c>
      <c r="F718" t="str">
        <f>Permutations!M710</f>
        <v>p5 - i2:i4</v>
      </c>
      <c r="G718" s="7">
        <f>VLOOKUP(B718,Vlookup!$A$1:$B$30,2,0)</f>
        <v>1.2266517321719024</v>
      </c>
      <c r="H718" s="7">
        <f>VLOOKUP(C718,Vlookup!$A$1:$B$30,2,0)</f>
        <v>1.9746367445127702</v>
      </c>
      <c r="I718" s="7">
        <f>VLOOKUP(D718,Vlookup!$A$1:$B$30,2,0)</f>
        <v>1.7021844231989158</v>
      </c>
      <c r="J718" s="7">
        <f>VLOOKUP(E718,Vlookup!$A$1:$B$30,2,0)</f>
        <v>1.6373343116675814</v>
      </c>
      <c r="K718" s="7">
        <f>VLOOKUP(F718,Vlookup!$A$1:$B$30,2,0)</f>
        <v>0.9108240498099236</v>
      </c>
      <c r="L718" s="7">
        <f t="shared" si="13"/>
        <v>6.1487516896609913</v>
      </c>
      <c r="M718" s="7">
        <f t="shared" si="14"/>
        <v>5.0126303402955674</v>
      </c>
      <c r="N718" s="7">
        <f t="shared" si="15"/>
        <v>2.5385075782798747</v>
      </c>
      <c r="O718" s="7">
        <f t="shared" si="16"/>
        <v>1.4913234686458101</v>
      </c>
      <c r="P718" s="7">
        <f t="shared" si="17"/>
        <v>0.9108240498099236</v>
      </c>
      <c r="Q718">
        <v>1</v>
      </c>
      <c r="R718" s="7">
        <f t="shared" si="18"/>
        <v>17.102037126692167</v>
      </c>
      <c r="S718" s="7">
        <f>VLOOKUP($A718,Rotations!$A$1:$X$1441,18,0)</f>
        <v>8.720151041645284E-2</v>
      </c>
      <c r="T718" s="7">
        <f>VLOOKUP($A718,Rotations!$A$1:$X$1441,19,0)</f>
        <v>5.3258219653163207E-2</v>
      </c>
      <c r="U718" s="7">
        <f>VLOOKUP($A718,Rotations!$A$1:$X$1441,20,0)</f>
        <v>0.14843305271030402</v>
      </c>
      <c r="V718" s="7">
        <f>VLOOKUP($A718,Rotations!$A$1:$X$1441,21,0)</f>
        <v>5.8472566314292491E-2</v>
      </c>
      <c r="W718" s="7">
        <f>VLOOKUP($A718,Rotations!$A$1:$X$1441,22,0)</f>
        <v>0.29310135998196712</v>
      </c>
      <c r="X718" s="7">
        <f>VLOOKUP($A718,Rotations!$A$1:$X$1441,23,0)</f>
        <v>0.35953329092382036</v>
      </c>
    </row>
    <row r="719" spans="1:24" ht="15.75" customHeight="1" x14ac:dyDescent="0.3">
      <c r="A719">
        <v>710</v>
      </c>
      <c r="B719" t="str">
        <f>Permutations!I711</f>
        <v>p151 - i6:i5</v>
      </c>
      <c r="C719" t="str">
        <f>Permutations!J711</f>
        <v>p61 - i5:i3</v>
      </c>
      <c r="D719" t="str">
        <f>Permutations!K711</f>
        <v>p81 - i3:i1</v>
      </c>
      <c r="E719" t="str">
        <f>Permutations!L711</f>
        <v>p9 - i1:i4</v>
      </c>
      <c r="F719" t="str">
        <f>Permutations!M711</f>
        <v>p51 - i4:i2</v>
      </c>
      <c r="G719" s="7">
        <f>VLOOKUP(B719,Vlookup!$A$1:$B$30,2,0)</f>
        <v>1.2266517321719024</v>
      </c>
      <c r="H719" s="7">
        <f>VLOOKUP(C719,Vlookup!$A$1:$B$30,2,0)</f>
        <v>1.9746367445127702</v>
      </c>
      <c r="I719" s="7">
        <f>VLOOKUP(D719,Vlookup!$A$1:$B$30,2,0)</f>
        <v>1.7021844231989158</v>
      </c>
      <c r="J719" s="7">
        <f>VLOOKUP(E719,Vlookup!$A$1:$B$30,2,0)</f>
        <v>1.2538815092968505</v>
      </c>
      <c r="K719" s="7">
        <f>VLOOKUP(F719,Vlookup!$A$1:$B$30,2,0)</f>
        <v>1.4376356077157479</v>
      </c>
      <c r="L719" s="7">
        <f t="shared" si="13"/>
        <v>7.4322519141870869</v>
      </c>
      <c r="M719" s="7">
        <f t="shared" si="14"/>
        <v>6.0589747841692487</v>
      </c>
      <c r="N719" s="7">
        <f t="shared" si="15"/>
        <v>3.0683996947824776</v>
      </c>
      <c r="O719" s="7">
        <f t="shared" si="16"/>
        <v>1.802624705621517</v>
      </c>
      <c r="P719" s="7">
        <f t="shared" si="17"/>
        <v>1.4376356077157479</v>
      </c>
      <c r="Q719">
        <v>1</v>
      </c>
      <c r="R719" s="7">
        <f t="shared" si="18"/>
        <v>20.79988670647608</v>
      </c>
      <c r="S719" s="7">
        <f>VLOOKUP($A719,Rotations!$A$1:$X$1441,18,0)</f>
        <v>8.666512135665945E-2</v>
      </c>
      <c r="T719" s="7">
        <f>VLOOKUP($A719,Rotations!$A$1:$X$1441,19,0)</f>
        <v>4.8077184943928E-2</v>
      </c>
      <c r="U719" s="7">
        <f>VLOOKUP($A719,Rotations!$A$1:$X$1441,20,0)</f>
        <v>0.14752001960794942</v>
      </c>
      <c r="V719" s="7">
        <f>VLOOKUP($A719,Rotations!$A$1:$X$1441,21,0)</f>
        <v>6.9117472994126336E-2</v>
      </c>
      <c r="W719" s="7">
        <f>VLOOKUP($A719,Rotations!$A$1:$X$1441,22,0)</f>
        <v>0.2912984512691012</v>
      </c>
      <c r="X719" s="7">
        <f>VLOOKUP($A719,Rotations!$A$1:$X$1441,23,0)</f>
        <v>0.3573217498282355</v>
      </c>
    </row>
    <row r="720" spans="1:24" ht="15.75" customHeight="1" x14ac:dyDescent="0.3">
      <c r="A720">
        <v>711</v>
      </c>
      <c r="B720" t="str">
        <f>Permutations!I712</f>
        <v>p151 - i6:i5</v>
      </c>
      <c r="C720" t="str">
        <f>Permutations!J712</f>
        <v>p61 - i5:i3</v>
      </c>
      <c r="D720" t="str">
        <f>Permutations!K712</f>
        <v>p21 - i3:i2</v>
      </c>
      <c r="E720" t="str">
        <f>Permutations!L712</f>
        <v>p11 - i2:i1</v>
      </c>
      <c r="F720" t="str">
        <f>Permutations!M712</f>
        <v>p9 - i1:i4</v>
      </c>
      <c r="G720" s="7">
        <f>VLOOKUP(B720,Vlookup!$A$1:$B$30,2,0)</f>
        <v>1.2266517321719024</v>
      </c>
      <c r="H720" s="7">
        <f>VLOOKUP(C720,Vlookup!$A$1:$B$30,2,0)</f>
        <v>1.9746367445127702</v>
      </c>
      <c r="I720" s="7">
        <f>VLOOKUP(D720,Vlookup!$A$1:$B$30,2,0)</f>
        <v>1.5059827029565431</v>
      </c>
      <c r="J720" s="7">
        <f>VLOOKUP(E720,Vlookup!$A$1:$B$30,2,0)</f>
        <v>1.7440097060445605</v>
      </c>
      <c r="K720" s="7">
        <f>VLOOKUP(F720,Vlookup!$A$1:$B$30,2,0)</f>
        <v>1.2538815092968505</v>
      </c>
      <c r="L720" s="7">
        <f t="shared" si="13"/>
        <v>7.9768949002438001</v>
      </c>
      <c r="M720" s="7">
        <f t="shared" si="14"/>
        <v>6.5029826241878421</v>
      </c>
      <c r="N720" s="7">
        <f t="shared" si="15"/>
        <v>3.2932551479449019</v>
      </c>
      <c r="O720" s="7">
        <f t="shared" si="16"/>
        <v>2.1867815224435101</v>
      </c>
      <c r="P720" s="7">
        <f t="shared" si="17"/>
        <v>1.2538815092968505</v>
      </c>
      <c r="Q720">
        <v>1</v>
      </c>
      <c r="R720" s="7">
        <f t="shared" si="18"/>
        <v>22.213795704116905</v>
      </c>
      <c r="S720" s="7">
        <f>VLOOKUP($A720,Rotations!$A$1:$X$1441,18,0)</f>
        <v>5.6446071891462807E-2</v>
      </c>
      <c r="T720" s="7">
        <f>VLOOKUP($A720,Rotations!$A$1:$X$1441,19,0)</f>
        <v>9.8442497246800181E-2</v>
      </c>
      <c r="U720" s="7">
        <f>VLOOKUP($A720,Rotations!$A$1:$X$1441,20,0)</f>
        <v>0.14825269808952821</v>
      </c>
      <c r="V720" s="7">
        <f>VLOOKUP($A720,Rotations!$A$1:$X$1441,21,0)</f>
        <v>4.5017070172058395E-2</v>
      </c>
      <c r="W720" s="7">
        <f>VLOOKUP($A720,Rotations!$A$1:$X$1441,22,0)</f>
        <v>0.29274522512074053</v>
      </c>
      <c r="X720" s="7">
        <f>VLOOKUP($A720,Rotations!$A$1:$X$1441,23,0)</f>
        <v>0.35909643747940989</v>
      </c>
    </row>
    <row r="721" spans="1:25" ht="15.75" customHeight="1" x14ac:dyDescent="0.3">
      <c r="A721">
        <v>712</v>
      </c>
      <c r="B721" t="str">
        <f>Permutations!I713</f>
        <v>p151 - i6:i5</v>
      </c>
      <c r="C721" t="str">
        <f>Permutations!J713</f>
        <v>p61 - i5:i3</v>
      </c>
      <c r="D721" t="str">
        <f>Permutations!K713</f>
        <v>p21 - i3:i2</v>
      </c>
      <c r="E721" t="str">
        <f>Permutations!L713</f>
        <v>p5 - i2:i4</v>
      </c>
      <c r="F721" t="str">
        <f>Permutations!M713</f>
        <v>p91 - i4:i1</v>
      </c>
      <c r="G721" s="7">
        <f>VLOOKUP(B721,Vlookup!$A$1:$B$30,2,0)</f>
        <v>1.2266517321719024</v>
      </c>
      <c r="H721" s="7">
        <f>VLOOKUP(C721,Vlookup!$A$1:$B$30,2,0)</f>
        <v>1.9746367445127702</v>
      </c>
      <c r="I721" s="7">
        <f>VLOOKUP(D721,Vlookup!$A$1:$B$30,2,0)</f>
        <v>1.5059827029565431</v>
      </c>
      <c r="J721" s="7">
        <f>VLOOKUP(E721,Vlookup!$A$1:$B$30,2,0)</f>
        <v>0.9108240498099236</v>
      </c>
      <c r="K721" s="7">
        <f>VLOOKUP(F721,Vlookup!$A$1:$B$30,2,0)</f>
        <v>2.9131157743633094</v>
      </c>
      <c r="L721" s="7">
        <f t="shared" si="13"/>
        <v>9.6787820133462628</v>
      </c>
      <c r="M721" s="7">
        <f t="shared" si="14"/>
        <v>7.8904074885290116</v>
      </c>
      <c r="N721" s="7">
        <f t="shared" si="15"/>
        <v>3.9958779813326739</v>
      </c>
      <c r="O721" s="7">
        <f t="shared" si="16"/>
        <v>2.653335907170761</v>
      </c>
      <c r="P721" s="7">
        <f t="shared" si="17"/>
        <v>2.9131157743633094</v>
      </c>
      <c r="Q721">
        <v>1</v>
      </c>
      <c r="R721" s="7">
        <f t="shared" si="18"/>
        <v>28.131519164742016</v>
      </c>
      <c r="S721" s="7">
        <f>VLOOKUP($A721,Rotations!$A$1:$X$1441,18,0)</f>
        <v>3.5547315953463568E-2</v>
      </c>
      <c r="T721" s="7">
        <f>VLOOKUP($A721,Rotations!$A$1:$X$1441,19,0)</f>
        <v>9.4318969822868914E-2</v>
      </c>
      <c r="U721" s="7">
        <f>VLOOKUP($A721,Rotations!$A$1:$X$1441,20,0)</f>
        <v>0.14204273711392076</v>
      </c>
      <c r="V721" s="7">
        <f>VLOOKUP($A721,Rotations!$A$1:$X$1441,21,0)</f>
        <v>0.10355344684031124</v>
      </c>
      <c r="W721" s="7">
        <f>VLOOKUP($A721,Rotations!$A$1:$X$1441,22,0)</f>
        <v>0.28048280799631575</v>
      </c>
      <c r="X721" s="7">
        <f>VLOOKUP($A721,Rotations!$A$1:$X$1441,23,0)</f>
        <v>0.34405472227311984</v>
      </c>
    </row>
    <row r="722" spans="1:25" ht="15.75" customHeight="1" x14ac:dyDescent="0.3">
      <c r="A722">
        <v>713</v>
      </c>
      <c r="B722" t="str">
        <f>Permutations!I714</f>
        <v>p151 - i6:i5</v>
      </c>
      <c r="C722" t="str">
        <f>Permutations!J714</f>
        <v>p61 - i5:i3</v>
      </c>
      <c r="D722" t="str">
        <f>Permutations!K714</f>
        <v>p3 - i3:i4</v>
      </c>
      <c r="E722" t="str">
        <f>Permutations!L714</f>
        <v>p91 - i4:i1</v>
      </c>
      <c r="F722" t="str">
        <f>Permutations!M714</f>
        <v>p1 - i1:i2</v>
      </c>
      <c r="G722" s="7">
        <f>VLOOKUP(B722,Vlookup!$A$1:$B$30,2,0)</f>
        <v>1.2266517321719024</v>
      </c>
      <c r="H722" s="7">
        <f>VLOOKUP(C722,Vlookup!$A$1:$B$30,2,0)</f>
        <v>1.9746367445127702</v>
      </c>
      <c r="I722" s="7">
        <f>VLOOKUP(D722,Vlookup!$A$1:$B$30,2,0)</f>
        <v>1.4338636587362954</v>
      </c>
      <c r="J722" s="7">
        <f>VLOOKUP(E722,Vlookup!$A$1:$B$30,2,0)</f>
        <v>2.9131157743633094</v>
      </c>
      <c r="K722" s="7">
        <f>VLOOKUP(F722,Vlookup!$A$1:$B$30,2,0)</f>
        <v>1.6373343116675814</v>
      </c>
      <c r="L722" s="7">
        <f t="shared" si="13"/>
        <v>16.565763472174254</v>
      </c>
      <c r="M722" s="7">
        <f t="shared" si="14"/>
        <v>13.504862902564046</v>
      </c>
      <c r="N722" s="7">
        <f t="shared" si="15"/>
        <v>6.8391631727162503</v>
      </c>
      <c r="O722" s="7">
        <f t="shared" si="16"/>
        <v>4.7697444112251226</v>
      </c>
      <c r="P722" s="7">
        <f t="shared" si="17"/>
        <v>1.6373343116675814</v>
      </c>
      <c r="Q722">
        <v>1</v>
      </c>
      <c r="R722" s="7">
        <f t="shared" si="18"/>
        <v>44.31686827034725</v>
      </c>
      <c r="S722" s="7">
        <f>VLOOKUP($A722,Rotations!$A$1:$X$1441,18,0)</f>
        <v>3.6946074385927084E-2</v>
      </c>
      <c r="T722" s="7">
        <f>VLOOKUP($A722,Rotations!$A$1:$X$1441,19,0)</f>
        <v>2.2564771361994175E-2</v>
      </c>
      <c r="U722" s="7">
        <f>VLOOKUP($A722,Rotations!$A$1:$X$1441,20,0)</f>
        <v>0.15432415329971289</v>
      </c>
      <c r="V722" s="7">
        <f>VLOOKUP($A722,Rotations!$A$1:$X$1441,21,0)</f>
        <v>0.10762819209444442</v>
      </c>
      <c r="W722" s="7">
        <f>VLOOKUP($A722,Rotations!$A$1:$X$1441,22,0)</f>
        <v>0.30473414367143475</v>
      </c>
      <c r="X722" s="7">
        <f>VLOOKUP($A722,Rotations!$A$1:$X$1441,23,0)</f>
        <v>0.3738026651864868</v>
      </c>
    </row>
    <row r="723" spans="1:25" ht="15.75" customHeight="1" x14ac:dyDescent="0.3">
      <c r="A723">
        <v>714</v>
      </c>
      <c r="B723" t="str">
        <f>Permutations!I715</f>
        <v>p151 - i6:i5</v>
      </c>
      <c r="C723" t="str">
        <f>Permutations!J715</f>
        <v>p61 - i5:i3</v>
      </c>
      <c r="D723" t="str">
        <f>Permutations!K715</f>
        <v>p3 - i3:i4</v>
      </c>
      <c r="E723" t="str">
        <f>Permutations!L715</f>
        <v>p51 - i4:i2</v>
      </c>
      <c r="F723" t="str">
        <f>Permutations!M715</f>
        <v>p11 - i2:i1</v>
      </c>
      <c r="G723" s="7">
        <f>VLOOKUP(B723,Vlookup!$A$1:$B$30,2,0)</f>
        <v>1.2266517321719024</v>
      </c>
      <c r="H723" s="7">
        <f>VLOOKUP(C723,Vlookup!$A$1:$B$30,2,0)</f>
        <v>1.9746367445127702</v>
      </c>
      <c r="I723" s="7">
        <f>VLOOKUP(D723,Vlookup!$A$1:$B$30,2,0)</f>
        <v>1.4338636587362954</v>
      </c>
      <c r="J723" s="7">
        <f>VLOOKUP(E723,Vlookup!$A$1:$B$30,2,0)</f>
        <v>1.4376356077157479</v>
      </c>
      <c r="K723" s="7">
        <f>VLOOKUP(F723,Vlookup!$A$1:$B$30,2,0)</f>
        <v>1.7440097060445605</v>
      </c>
      <c r="L723" s="7">
        <f t="shared" si="13"/>
        <v>8.7079127095956963</v>
      </c>
      <c r="M723" s="7">
        <f t="shared" si="14"/>
        <v>7.0989283112799395</v>
      </c>
      <c r="N723" s="7">
        <f t="shared" si="15"/>
        <v>3.5950553087836714</v>
      </c>
      <c r="O723" s="7">
        <f t="shared" si="16"/>
        <v>2.5072504536115345</v>
      </c>
      <c r="P723" s="7">
        <f t="shared" si="17"/>
        <v>1.7440097060445605</v>
      </c>
      <c r="Q723">
        <v>1</v>
      </c>
      <c r="R723" s="7">
        <f t="shared" si="18"/>
        <v>24.653156489315403</v>
      </c>
      <c r="S723" s="7">
        <f>VLOOKUP($A723,Rotations!$A$1:$X$1441,18,0)</f>
        <v>4.0562757163911105E-2</v>
      </c>
      <c r="T723" s="7">
        <f>VLOOKUP($A723,Rotations!$A$1:$X$1441,19,0)</f>
        <v>7.0741842197789506E-2</v>
      </c>
      <c r="U723" s="7">
        <f>VLOOKUP($A723,Rotations!$A$1:$X$1441,20,0)</f>
        <v>0.14582535548102152</v>
      </c>
      <c r="V723" s="7">
        <f>VLOOKUP($A723,Rotations!$A$1:$X$1441,21,0)</f>
        <v>0.10170099129895065</v>
      </c>
      <c r="W723" s="7">
        <f>VLOOKUP($A723,Rotations!$A$1:$X$1441,22,0)</f>
        <v>0.28795210521446174</v>
      </c>
      <c r="X723" s="7">
        <f>VLOOKUP($A723,Rotations!$A$1:$X$1441,23,0)</f>
        <v>0.35321694864386544</v>
      </c>
    </row>
    <row r="724" spans="1:25" ht="15.75" customHeight="1" x14ac:dyDescent="0.3">
      <c r="A724">
        <v>715</v>
      </c>
      <c r="B724" t="str">
        <f>Permutations!I716</f>
        <v>p151 - i6:i5</v>
      </c>
      <c r="C724" t="str">
        <f>Permutations!J716</f>
        <v>p41 - i5:i4</v>
      </c>
      <c r="D724" t="str">
        <f>Permutations!K716</f>
        <v>p91 - i4:i1</v>
      </c>
      <c r="E724" t="str">
        <f>Permutations!L716</f>
        <v>p1 - i1:i2</v>
      </c>
      <c r="F724" t="str">
        <f>Permutations!M716</f>
        <v>p2 - i2:i3</v>
      </c>
      <c r="G724" s="7">
        <f>VLOOKUP(B724,Vlookup!$A$1:$B$30,2,0)</f>
        <v>1.2266517321719024</v>
      </c>
      <c r="H724" s="7">
        <f>VLOOKUP(C724,Vlookup!$A$1:$B$30,2,0)</f>
        <v>1.25400669441983</v>
      </c>
      <c r="I724" s="7">
        <f>VLOOKUP(D724,Vlookup!$A$1:$B$30,2,0)</f>
        <v>2.9131157743633094</v>
      </c>
      <c r="J724" s="7">
        <f>VLOOKUP(E724,Vlookup!$A$1:$B$30,2,0)</f>
        <v>1.6373343116675814</v>
      </c>
      <c r="K724" s="7">
        <f>VLOOKUP(F724,Vlookup!$A$1:$B$30,2,0)</f>
        <v>1.3601242124324544</v>
      </c>
      <c r="L724" s="7">
        <f t="shared" si="13"/>
        <v>9.9791789598659602</v>
      </c>
      <c r="M724" s="7">
        <f t="shared" si="14"/>
        <v>8.1352992851498964</v>
      </c>
      <c r="N724" s="7">
        <f t="shared" si="15"/>
        <v>6.4874448608216708</v>
      </c>
      <c r="O724" s="7">
        <f t="shared" si="16"/>
        <v>2.2269780411455038</v>
      </c>
      <c r="P724" s="7">
        <f t="shared" si="17"/>
        <v>1.3601242124324544</v>
      </c>
      <c r="Q724">
        <v>1</v>
      </c>
      <c r="R724" s="7">
        <f t="shared" si="18"/>
        <v>29.189025359415485</v>
      </c>
      <c r="S724" s="7">
        <f>VLOOKUP($A724,Rotations!$A$1:$X$1441,18,0)</f>
        <v>7.6295046296472144E-2</v>
      </c>
      <c r="T724" s="7">
        <f>VLOOKUP($A724,Rotations!$A$1:$X$1441,19,0)</f>
        <v>4.6597109553495934E-2</v>
      </c>
      <c r="U724" s="7">
        <f>VLOOKUP($A724,Rotations!$A$1:$X$1441,20,0)</f>
        <v>3.4259451546827024E-2</v>
      </c>
      <c r="V724" s="7">
        <f>VLOOKUP($A724,Rotations!$A$1:$X$1441,21,0)</f>
        <v>0.22225630287203199</v>
      </c>
      <c r="W724" s="7">
        <f>VLOOKUP($A724,Rotations!$A$1:$X$1441,22,0)</f>
        <v>0.27871089167852936</v>
      </c>
      <c r="X724" s="7">
        <f>VLOOKUP($A724,Rotations!$A$1:$X$1441,23,0)</f>
        <v>0.34188119805264355</v>
      </c>
    </row>
    <row r="725" spans="1:25" ht="15.75" customHeight="1" x14ac:dyDescent="0.3">
      <c r="A725">
        <v>716</v>
      </c>
      <c r="B725" t="str">
        <f>Permutations!I717</f>
        <v>p151 - i6:i5</v>
      </c>
      <c r="C725" t="str">
        <f>Permutations!J717</f>
        <v>p41 - i5:i4</v>
      </c>
      <c r="D725" t="str">
        <f>Permutations!K717</f>
        <v>p91 - i4:i1</v>
      </c>
      <c r="E725" t="str">
        <f>Permutations!L717</f>
        <v>p8 - i1:i3</v>
      </c>
      <c r="F725" t="str">
        <f>Permutations!M717</f>
        <v>p21 - i3:i2</v>
      </c>
      <c r="G725" s="7">
        <f>VLOOKUP(B725,Vlookup!$A$1:$B$30,2,0)</f>
        <v>1.2266517321719024</v>
      </c>
      <c r="H725" s="7">
        <f>VLOOKUP(C725,Vlookup!$A$1:$B$30,2,0)</f>
        <v>1.25400669441983</v>
      </c>
      <c r="I725" s="7">
        <f>VLOOKUP(D725,Vlookup!$A$1:$B$30,2,0)</f>
        <v>2.9131157743633094</v>
      </c>
      <c r="J725" s="7">
        <f>VLOOKUP(E725,Vlookup!$A$1:$B$30,2,0)</f>
        <v>1.1080774401297739</v>
      </c>
      <c r="K725" s="7">
        <f>VLOOKUP(F725,Vlookup!$A$1:$B$30,2,0)</f>
        <v>1.5059827029565431</v>
      </c>
      <c r="L725" s="7">
        <f t="shared" si="13"/>
        <v>7.4777161067066613</v>
      </c>
      <c r="M725" s="7">
        <f t="shared" si="14"/>
        <v>6.0960384358375803</v>
      </c>
      <c r="N725" s="7">
        <f t="shared" si="15"/>
        <v>4.8612487181800335</v>
      </c>
      <c r="O725" s="7">
        <f t="shared" si="16"/>
        <v>1.668745458371804</v>
      </c>
      <c r="P725" s="7">
        <f t="shared" si="17"/>
        <v>1.5059827029565431</v>
      </c>
      <c r="Q725">
        <v>1</v>
      </c>
      <c r="R725" s="7">
        <f t="shared" si="18"/>
        <v>22.609731422052626</v>
      </c>
      <c r="S725" s="7">
        <f>VLOOKUP($A725,Rotations!$A$1:$X$1441,18,0)</f>
        <v>7.3806513983805069E-2</v>
      </c>
      <c r="T725" s="7">
        <f>VLOOKUP($A725,Rotations!$A$1:$X$1441,19,0)</f>
        <v>4.4228742983856949E-2</v>
      </c>
      <c r="U725" s="7">
        <f>VLOOKUP($A725,Rotations!$A$1:$X$1441,20,0)</f>
        <v>6.660772190719913E-2</v>
      </c>
      <c r="V725" s="7">
        <f>VLOOKUP($A725,Rotations!$A$1:$X$1441,21,0)</f>
        <v>0.21500692013698872</v>
      </c>
      <c r="W725" s="7">
        <f>VLOOKUP($A725,Rotations!$A$1:$X$1441,22,0)</f>
        <v>0.26962011719837364</v>
      </c>
      <c r="X725" s="7">
        <f>VLOOKUP($A725,Rotations!$A$1:$X$1441,23,0)</f>
        <v>0.33072998378977631</v>
      </c>
    </row>
    <row r="726" spans="1:25" ht="15.75" customHeight="1" x14ac:dyDescent="0.3">
      <c r="A726">
        <v>717</v>
      </c>
      <c r="B726" t="str">
        <f>Permutations!I718</f>
        <v>p151 - i6:i5</v>
      </c>
      <c r="C726" t="str">
        <f>Permutations!J718</f>
        <v>p41 - i5:i4</v>
      </c>
      <c r="D726" t="str">
        <f>Permutations!K718</f>
        <v>p51 - i4:i2</v>
      </c>
      <c r="E726" t="str">
        <f>Permutations!L718</f>
        <v>p11 - i2:i1</v>
      </c>
      <c r="F726" t="str">
        <f>Permutations!M718</f>
        <v>p8 - i1:i3</v>
      </c>
      <c r="G726" s="7">
        <f>VLOOKUP(B726,Vlookup!$A$1:$B$30,2,0)</f>
        <v>1.2266517321719024</v>
      </c>
      <c r="H726" s="7">
        <f>VLOOKUP(C726,Vlookup!$A$1:$B$30,2,0)</f>
        <v>1.25400669441983</v>
      </c>
      <c r="I726" s="7">
        <f>VLOOKUP(D726,Vlookup!$A$1:$B$30,2,0)</f>
        <v>1.4376356077157479</v>
      </c>
      <c r="J726" s="7">
        <f>VLOOKUP(E726,Vlookup!$A$1:$B$30,2,0)</f>
        <v>1.7440097060445605</v>
      </c>
      <c r="K726" s="7">
        <f>VLOOKUP(F726,Vlookup!$A$1:$B$30,2,0)</f>
        <v>1.1080774401297739</v>
      </c>
      <c r="L726" s="7">
        <f t="shared" si="13"/>
        <v>4.2735517062733654</v>
      </c>
      <c r="M726" s="7">
        <f t="shared" si="14"/>
        <v>3.4839160897825825</v>
      </c>
      <c r="N726" s="7">
        <f t="shared" si="15"/>
        <v>2.7782276644020838</v>
      </c>
      <c r="O726" s="7">
        <f t="shared" si="16"/>
        <v>1.9324978106353361</v>
      </c>
      <c r="P726" s="7">
        <f t="shared" si="17"/>
        <v>1.1080774401297739</v>
      </c>
      <c r="Q726">
        <v>1</v>
      </c>
      <c r="R726" s="7">
        <f t="shared" si="18"/>
        <v>14.576270711223144</v>
      </c>
      <c r="S726" s="7">
        <f>VLOOKUP($A726,Rotations!$A$1:$X$1441,18,0)</f>
        <v>7.6019268719851554E-2</v>
      </c>
      <c r="T726" s="7">
        <f>VLOOKUP($A726,Rotations!$A$1:$X$1441,19,0)</f>
        <v>0.13257834249383077</v>
      </c>
      <c r="U726" s="7">
        <f>VLOOKUP($A726,Rotations!$A$1:$X$1441,20,0)</f>
        <v>6.860465339944874E-2</v>
      </c>
      <c r="V726" s="7">
        <f>VLOOKUP($A726,Rotations!$A$1:$X$1441,21,0)</f>
        <v>0.19059934598106495</v>
      </c>
      <c r="W726" s="7">
        <f>VLOOKUP($A726,Rotations!$A$1:$X$1441,22,0)</f>
        <v>0.23901285581229684</v>
      </c>
      <c r="X726" s="7">
        <f>VLOOKUP($A726,Rotations!$A$1:$X$1441,23,0)</f>
        <v>0.29318553359350702</v>
      </c>
    </row>
    <row r="727" spans="1:25" ht="15.75" customHeight="1" x14ac:dyDescent="0.3">
      <c r="A727">
        <v>718</v>
      </c>
      <c r="B727" t="str">
        <f>Permutations!I719</f>
        <v>p151 - i6:i5</v>
      </c>
      <c r="C727" t="str">
        <f>Permutations!J719</f>
        <v>p41 - i5:i4</v>
      </c>
      <c r="D727" t="str">
        <f>Permutations!K719</f>
        <v>p51 - i4:i2</v>
      </c>
      <c r="E727" t="str">
        <f>Permutations!L719</f>
        <v>p2 - i2:i3</v>
      </c>
      <c r="F727" t="str">
        <f>Permutations!M719</f>
        <v>p81 - i3:i1</v>
      </c>
      <c r="G727" s="7">
        <f>VLOOKUP(B727,Vlookup!$A$1:$B$30,2,0)</f>
        <v>1.2266517321719024</v>
      </c>
      <c r="H727" s="7">
        <f>VLOOKUP(C727,Vlookup!$A$1:$B$30,2,0)</f>
        <v>1.25400669441983</v>
      </c>
      <c r="I727" s="7">
        <f>VLOOKUP(D727,Vlookup!$A$1:$B$30,2,0)</f>
        <v>1.4376356077157479</v>
      </c>
      <c r="J727" s="7">
        <f>VLOOKUP(E727,Vlookup!$A$1:$B$30,2,0)</f>
        <v>1.3601242124324544</v>
      </c>
      <c r="K727" s="7">
        <f>VLOOKUP(F727,Vlookup!$A$1:$B$30,2,0)</f>
        <v>1.7021844231989158</v>
      </c>
      <c r="L727" s="7">
        <f t="shared" si="13"/>
        <v>5.1198252292452775</v>
      </c>
      <c r="M727" s="7">
        <f t="shared" si="14"/>
        <v>4.1738213830099475</v>
      </c>
      <c r="N727" s="7">
        <f t="shared" si="15"/>
        <v>3.3283884381023809</v>
      </c>
      <c r="O727" s="7">
        <f t="shared" si="16"/>
        <v>2.3151822480182171</v>
      </c>
      <c r="P727" s="7">
        <f t="shared" si="17"/>
        <v>1.7021844231989158</v>
      </c>
      <c r="Q727">
        <v>1</v>
      </c>
      <c r="R727" s="7">
        <f t="shared" si="18"/>
        <v>17.639401721574739</v>
      </c>
      <c r="S727" s="7">
        <f>VLOOKUP($A727,Rotations!$A$1:$X$1441,18,0)</f>
        <v>5.6691265145172171E-2</v>
      </c>
      <c r="T727" s="7">
        <f>VLOOKUP($A727,Rotations!$A$1:$X$1441,19,0)</f>
        <v>0.1312506106817965</v>
      </c>
      <c r="U727" s="7">
        <f>VLOOKUP($A727,Rotations!$A$1:$X$1441,20,0)</f>
        <v>9.6498988461551694E-2</v>
      </c>
      <c r="V727" s="7">
        <f>VLOOKUP($A727,Rotations!$A$1:$X$1441,21,0)</f>
        <v>0.18869055145058755</v>
      </c>
      <c r="W727" s="7">
        <f>VLOOKUP($A727,Rotations!$A$1:$X$1441,22,0)</f>
        <v>0.23661921469280614</v>
      </c>
      <c r="X727" s="7">
        <f>VLOOKUP($A727,Rotations!$A$1:$X$1441,23,0)</f>
        <v>0.29024936956808595</v>
      </c>
    </row>
    <row r="728" spans="1:25" ht="15.75" customHeight="1" x14ac:dyDescent="0.3">
      <c r="A728">
        <v>719</v>
      </c>
      <c r="B728" t="str">
        <f>Permutations!I720</f>
        <v>p151 - i6:i5</v>
      </c>
      <c r="C728" t="str">
        <f>Permutations!J720</f>
        <v>p41 - i5:i4</v>
      </c>
      <c r="D728" t="str">
        <f>Permutations!K720</f>
        <v>p31 - i4:i3</v>
      </c>
      <c r="E728" t="str">
        <f>Permutations!L720</f>
        <v>p81 - i3:i1</v>
      </c>
      <c r="F728" t="str">
        <f>Permutations!M720</f>
        <v>p1 - i1:i2</v>
      </c>
      <c r="G728" s="7">
        <f>VLOOKUP(B728,Vlookup!$A$1:$B$30,2,0)</f>
        <v>1.2266517321719024</v>
      </c>
      <c r="H728" s="7">
        <f>VLOOKUP(C728,Vlookup!$A$1:$B$30,2,0)</f>
        <v>1.25400669441983</v>
      </c>
      <c r="I728" s="7">
        <f>VLOOKUP(D728,Vlookup!$A$1:$B$30,2,0)</f>
        <v>2.2388599512381115</v>
      </c>
      <c r="J728" s="7">
        <f>VLOOKUP(E728,Vlookup!$A$1:$B$30,2,0)</f>
        <v>1.7021844231989158</v>
      </c>
      <c r="K728" s="7">
        <f>VLOOKUP(F728,Vlookup!$A$1:$B$30,2,0)</f>
        <v>1.6373343116675814</v>
      </c>
      <c r="L728" s="7">
        <f t="shared" si="13"/>
        <v>9.5982494791628277</v>
      </c>
      <c r="M728" s="7">
        <f t="shared" si="14"/>
        <v>7.8247551667890498</v>
      </c>
      <c r="N728" s="7">
        <f t="shared" si="15"/>
        <v>6.2398033452358845</v>
      </c>
      <c r="O728" s="7">
        <f t="shared" si="16"/>
        <v>2.7870449608896757</v>
      </c>
      <c r="P728" s="7">
        <f t="shared" si="17"/>
        <v>1.6373343116675814</v>
      </c>
      <c r="Q728">
        <v>1</v>
      </c>
      <c r="R728" s="7">
        <f t="shared" si="18"/>
        <v>29.087187263745019</v>
      </c>
      <c r="S728" s="7">
        <f>VLOOKUP($A728,Rotations!$A$1:$X$1441,18,0)</f>
        <v>5.629056865558104E-2</v>
      </c>
      <c r="T728" s="7">
        <f>VLOOKUP($A728,Rotations!$A$1:$X$1441,19,0)</f>
        <v>3.4379398424901141E-2</v>
      </c>
      <c r="U728" s="7">
        <f>VLOOKUP($A728,Rotations!$A$1:$X$1441,20,0)</f>
        <v>9.5816929138539175E-2</v>
      </c>
      <c r="V728" s="7">
        <f>VLOOKUP($A728,Rotations!$A$1:$X$1441,21,0)</f>
        <v>0.21452068529889542</v>
      </c>
      <c r="W728" s="7">
        <f>VLOOKUP($A728,Rotations!$A$1:$X$1441,22,0)</f>
        <v>0.26901037545634454</v>
      </c>
      <c r="X728" s="7">
        <f>VLOOKUP($A728,Rotations!$A$1:$X$1441,23,0)</f>
        <v>0.32998204302573869</v>
      </c>
    </row>
    <row r="729" spans="1:25" ht="15.75" customHeight="1" x14ac:dyDescent="0.3">
      <c r="A729">
        <v>720</v>
      </c>
      <c r="B729" t="str">
        <f>Permutations!I721</f>
        <v>p151 - i6:i5</v>
      </c>
      <c r="C729" t="str">
        <f>Permutations!J721</f>
        <v>p41 - i5:i4</v>
      </c>
      <c r="D729" t="str">
        <f>Permutations!K721</f>
        <v>p31 - i4:i3</v>
      </c>
      <c r="E729" t="str">
        <f>Permutations!L721</f>
        <v>p21 - i3:i2</v>
      </c>
      <c r="F729" t="str">
        <f>Permutations!M721</f>
        <v>p11 - i2:i1</v>
      </c>
      <c r="G729" s="7">
        <f>VLOOKUP(B729,Vlookup!$A$1:$B$30,2,0)</f>
        <v>1.2266517321719024</v>
      </c>
      <c r="H729" s="7">
        <f>VLOOKUP(C729,Vlookup!$A$1:$B$30,2,0)</f>
        <v>1.25400669441983</v>
      </c>
      <c r="I729" s="7">
        <f>VLOOKUP(D729,Vlookup!$A$1:$B$30,2,0)</f>
        <v>2.2388599512381115</v>
      </c>
      <c r="J729" s="7">
        <f>VLOOKUP(E729,Vlookup!$A$1:$B$30,2,0)</f>
        <v>1.5059827029565431</v>
      </c>
      <c r="K729" s="7">
        <f>VLOOKUP(F729,Vlookup!$A$1:$B$30,2,0)</f>
        <v>1.7440097060445605</v>
      </c>
      <c r="L729" s="7">
        <f t="shared" si="13"/>
        <v>9.0451743088095355</v>
      </c>
      <c r="M729" s="7">
        <f t="shared" si="14"/>
        <v>7.3738731797934225</v>
      </c>
      <c r="N729" s="7">
        <f t="shared" si="15"/>
        <v>5.8802502511399801</v>
      </c>
      <c r="O729" s="7">
        <f t="shared" si="16"/>
        <v>2.6264484510914334</v>
      </c>
      <c r="P729" s="7">
        <f t="shared" si="17"/>
        <v>1.7440097060445605</v>
      </c>
      <c r="Q729">
        <v>1</v>
      </c>
      <c r="R729" s="7">
        <f t="shared" si="18"/>
        <v>27.669755896878932</v>
      </c>
      <c r="S729" s="7">
        <f>VLOOKUP($A729,Rotations!$A$1:$X$1441,18,0)</f>
        <v>3.6140542899144153E-2</v>
      </c>
      <c r="T729" s="7">
        <f>VLOOKUP($A729,Rotations!$A$1:$X$1441,19,0)</f>
        <v>6.3029457597827229E-2</v>
      </c>
      <c r="U729" s="7">
        <f>VLOOKUP($A729,Rotations!$A$1:$X$1441,20,0)</f>
        <v>9.4921272919060662E-2</v>
      </c>
      <c r="V729" s="7">
        <f>VLOOKUP($A729,Rotations!$A$1:$X$1441,21,0)</f>
        <v>0.21251543645902765</v>
      </c>
      <c r="W729" s="7">
        <f>VLOOKUP($A729,Rotations!$A$1:$X$1441,22,0)</f>
        <v>0.26649577998717272</v>
      </c>
      <c r="X729" s="7">
        <f>VLOOKUP($A729,Rotations!$A$1:$X$1441,23,0)</f>
        <v>0.32689751013776758</v>
      </c>
    </row>
    <row r="730" spans="1:25" ht="15.75" customHeight="1" x14ac:dyDescent="0.3">
      <c r="S730" t="s">
        <v>68</v>
      </c>
      <c r="T730" t="s">
        <v>69</v>
      </c>
      <c r="U730" t="s">
        <v>70</v>
      </c>
      <c r="V730" t="s">
        <v>71</v>
      </c>
      <c r="W730" t="s">
        <v>72</v>
      </c>
      <c r="X730" t="s">
        <v>73</v>
      </c>
    </row>
    <row r="731" spans="1:25" ht="15.75" customHeight="1" x14ac:dyDescent="0.3">
      <c r="S731" s="7">
        <f t="shared" ref="S731:X731" si="19">AVERAGE(S10:S729)</f>
        <v>0.14169146480845851</v>
      </c>
      <c r="T731" s="7">
        <f t="shared" si="19"/>
        <v>0.16063063169499187</v>
      </c>
      <c r="U731" s="7">
        <f t="shared" si="19"/>
        <v>0.17277553412563473</v>
      </c>
      <c r="V731" s="7">
        <f t="shared" si="19"/>
        <v>0.20300982914439128</v>
      </c>
      <c r="W731" s="7">
        <f t="shared" si="19"/>
        <v>0.16468822184385667</v>
      </c>
      <c r="X731" s="7">
        <f t="shared" si="19"/>
        <v>0.15720431838266755</v>
      </c>
      <c r="Y731" s="16" t="s">
        <v>74</v>
      </c>
    </row>
    <row r="732" spans="1:25" ht="15.75" customHeight="1" x14ac:dyDescent="0.3">
      <c r="S732" s="17">
        <f t="shared" ref="S732:X732" si="20">STDEV(S10:S729)</f>
        <v>9.8387720738643797E-2</v>
      </c>
      <c r="T732" s="17">
        <f t="shared" si="20"/>
        <v>0.10779911719045727</v>
      </c>
      <c r="U732" s="17">
        <f t="shared" si="20"/>
        <v>0.1166401978148332</v>
      </c>
      <c r="V732" s="17">
        <f t="shared" si="20"/>
        <v>0.13060293810795842</v>
      </c>
      <c r="W732" s="17">
        <f t="shared" si="20"/>
        <v>0.11206995300592215</v>
      </c>
      <c r="X732" s="17">
        <f t="shared" si="20"/>
        <v>0.10381082043790933</v>
      </c>
      <c r="Y732" s="16" t="s">
        <v>75</v>
      </c>
    </row>
    <row r="733" spans="1:25" ht="15.75" customHeight="1" x14ac:dyDescent="0.3">
      <c r="X733" s="18">
        <f>AVERAGE(S732:X732)</f>
        <v>0.11155179121595404</v>
      </c>
      <c r="Y733" s="16" t="s">
        <v>76</v>
      </c>
    </row>
    <row r="734" spans="1:25" ht="15.75" customHeight="1" x14ac:dyDescent="0.3">
      <c r="S734" s="17">
        <f t="shared" ref="S734:X734" si="21">S732*S732</f>
        <v>9.6801435921453592E-3</v>
      </c>
      <c r="T734" s="17">
        <f t="shared" si="21"/>
        <v>1.1620649667041941E-2</v>
      </c>
      <c r="U734" s="17">
        <f t="shared" si="21"/>
        <v>1.3604935746283421E-2</v>
      </c>
      <c r="V734" s="17">
        <f t="shared" si="21"/>
        <v>1.7057127442431218E-2</v>
      </c>
      <c r="W734" s="17">
        <f t="shared" si="21"/>
        <v>1.2559674366749599E-2</v>
      </c>
      <c r="X734" s="17">
        <f t="shared" si="21"/>
        <v>1.0776686439991854E-2</v>
      </c>
      <c r="Y734" s="16" t="s">
        <v>77</v>
      </c>
    </row>
    <row r="735" spans="1:25" ht="15.75" customHeight="1" x14ac:dyDescent="0.3">
      <c r="X735" s="17">
        <f>S734+T734+U734+V734+W734+X734</f>
        <v>7.5299217254643391E-2</v>
      </c>
      <c r="Y735" s="16" t="s">
        <v>78</v>
      </c>
    </row>
    <row r="736" spans="1:25" ht="15.75" customHeight="1" x14ac:dyDescent="0.3">
      <c r="X736" s="17">
        <f>SQRT(X735)</f>
        <v>0.27440702843521225</v>
      </c>
      <c r="Y736" s="16" t="s">
        <v>79</v>
      </c>
    </row>
  </sheetData>
  <conditionalFormatting sqref="S731:X731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25" right="0.25" top="0.75" bottom="0.75" header="0" footer="0"/>
  <pageSetup fitToHeight="0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X1441"/>
  <sheetViews>
    <sheetView workbookViewId="0"/>
  </sheetViews>
  <sheetFormatPr defaultColWidth="14.44140625" defaultRowHeight="15" customHeight="1" x14ac:dyDescent="0.3"/>
  <cols>
    <col min="1" max="1" width="5" customWidth="1"/>
    <col min="2" max="2" width="8.6640625" customWidth="1"/>
    <col min="3" max="8" width="8" customWidth="1"/>
    <col min="9" max="9" width="8.109375" customWidth="1"/>
    <col min="10" max="10" width="4" customWidth="1"/>
    <col min="11" max="16" width="8" customWidth="1"/>
    <col min="17" max="17" width="8.6640625" customWidth="1"/>
    <col min="18" max="24" width="10" customWidth="1"/>
  </cols>
  <sheetData>
    <row r="1" spans="1:24" ht="14.4" x14ac:dyDescent="0.3">
      <c r="C1" t="s">
        <v>64</v>
      </c>
      <c r="K1" t="s">
        <v>80</v>
      </c>
      <c r="R1" t="s">
        <v>67</v>
      </c>
    </row>
    <row r="2" spans="1:24" ht="14.4" x14ac:dyDescent="0.3">
      <c r="C2" t="s">
        <v>68</v>
      </c>
      <c r="D2" t="s">
        <v>69</v>
      </c>
      <c r="E2" t="s">
        <v>70</v>
      </c>
      <c r="F2" t="s">
        <v>71</v>
      </c>
      <c r="G2" t="s">
        <v>72</v>
      </c>
      <c r="H2" t="s">
        <v>73</v>
      </c>
      <c r="I2" t="s">
        <v>81</v>
      </c>
      <c r="K2" t="s">
        <v>68</v>
      </c>
      <c r="L2" t="s">
        <v>69</v>
      </c>
      <c r="M2" t="s">
        <v>70</v>
      </c>
      <c r="N2" t="s">
        <v>71</v>
      </c>
      <c r="O2" t="s">
        <v>72</v>
      </c>
      <c r="P2" t="s">
        <v>73</v>
      </c>
      <c r="R2" t="s">
        <v>68</v>
      </c>
      <c r="S2" t="s">
        <v>69</v>
      </c>
      <c r="T2" t="s">
        <v>70</v>
      </c>
      <c r="U2" t="s">
        <v>71</v>
      </c>
      <c r="V2" t="s">
        <v>72</v>
      </c>
      <c r="W2" t="s">
        <v>73</v>
      </c>
      <c r="X2" t="s">
        <v>81</v>
      </c>
    </row>
    <row r="3" spans="1:24" ht="14.4" x14ac:dyDescent="0.3">
      <c r="A3">
        <v>1</v>
      </c>
      <c r="B3" s="16" t="s">
        <v>82</v>
      </c>
      <c r="C3" s="7">
        <f>Rankings!L10</f>
        <v>7.9975631967866176</v>
      </c>
      <c r="D3" s="7">
        <f>Rankings!M10</f>
        <v>4.8845022911914135</v>
      </c>
      <c r="E3" s="7">
        <f>Rankings!N10</f>
        <v>3.5912178068324656</v>
      </c>
      <c r="F3" s="7">
        <f>Rankings!O10</f>
        <v>2.5045741168986093</v>
      </c>
      <c r="G3" s="7">
        <f>Rankings!P10</f>
        <v>1.3219359277692486</v>
      </c>
      <c r="H3" s="7">
        <f>Rankings!Q10</f>
        <v>1</v>
      </c>
      <c r="I3" s="7">
        <f>Rankings!R10</f>
        <v>21.299793339478356</v>
      </c>
      <c r="K3" s="7">
        <f t="shared" ref="K3:P3" si="0">C3</f>
        <v>7.9975631967866176</v>
      </c>
      <c r="L3" s="7">
        <f t="shared" si="0"/>
        <v>4.8845022911914135</v>
      </c>
      <c r="M3" s="7">
        <f t="shared" si="0"/>
        <v>3.5912178068324656</v>
      </c>
      <c r="N3" s="7">
        <f t="shared" si="0"/>
        <v>2.5045741168986093</v>
      </c>
      <c r="O3" s="7">
        <f t="shared" si="0"/>
        <v>1.3219359277692486</v>
      </c>
      <c r="P3" s="7">
        <f t="shared" si="0"/>
        <v>1</v>
      </c>
      <c r="R3" s="7">
        <f t="shared" ref="R3:W3" si="1">K3/$I3</f>
        <v>0.37547609356206468</v>
      </c>
      <c r="S3" s="7">
        <f t="shared" si="1"/>
        <v>0.22932158135723196</v>
      </c>
      <c r="T3" s="7">
        <f t="shared" si="1"/>
        <v>0.16860341082165714</v>
      </c>
      <c r="U3" s="7">
        <f t="shared" si="1"/>
        <v>0.11758678016168714</v>
      </c>
      <c r="V3" s="7">
        <f t="shared" si="1"/>
        <v>6.2063321775009464E-2</v>
      </c>
      <c r="W3" s="7">
        <f t="shared" si="1"/>
        <v>4.6948812322349535E-2</v>
      </c>
      <c r="X3" s="7">
        <f>SUM(R3:W3)</f>
        <v>1</v>
      </c>
    </row>
    <row r="4" spans="1:24" ht="14.4" x14ac:dyDescent="0.3">
      <c r="C4" t="s">
        <v>68</v>
      </c>
      <c r="D4" t="s">
        <v>69</v>
      </c>
      <c r="E4" t="s">
        <v>70</v>
      </c>
      <c r="F4" t="s">
        <v>71</v>
      </c>
      <c r="G4" t="s">
        <v>73</v>
      </c>
      <c r="H4" t="s">
        <v>72</v>
      </c>
      <c r="K4" t="s">
        <v>68</v>
      </c>
      <c r="L4" t="s">
        <v>69</v>
      </c>
      <c r="M4" t="s">
        <v>70</v>
      </c>
      <c r="N4" t="s">
        <v>71</v>
      </c>
      <c r="O4" t="s">
        <v>72</v>
      </c>
      <c r="P4" t="s">
        <v>73</v>
      </c>
    </row>
    <row r="5" spans="1:24" ht="14.4" x14ac:dyDescent="0.3">
      <c r="A5">
        <v>2</v>
      </c>
      <c r="B5" s="16" t="s">
        <v>83</v>
      </c>
      <c r="C5" s="7">
        <f>Rankings!L11</f>
        <v>5.7902934007986664</v>
      </c>
      <c r="D5" s="7">
        <f>Rankings!M11</f>
        <v>3.536414866247692</v>
      </c>
      <c r="E5" s="7">
        <f>Rankings!N11</f>
        <v>2.6000675775950977</v>
      </c>
      <c r="F5" s="7">
        <f>Rankings!O11</f>
        <v>1.8133297135702644</v>
      </c>
      <c r="G5" s="7">
        <f>Rankings!P11</f>
        <v>1.2266517321719024</v>
      </c>
      <c r="H5" s="7">
        <f>Rankings!Q11</f>
        <v>1</v>
      </c>
      <c r="I5" s="7">
        <f>Rankings!R11</f>
        <v>15.966757290383622</v>
      </c>
      <c r="K5" s="7">
        <f t="shared" ref="K5:N5" si="2">C5</f>
        <v>5.7902934007986664</v>
      </c>
      <c r="L5" s="7">
        <f t="shared" si="2"/>
        <v>3.536414866247692</v>
      </c>
      <c r="M5" s="7">
        <f t="shared" si="2"/>
        <v>2.6000675775950977</v>
      </c>
      <c r="N5" s="7">
        <f t="shared" si="2"/>
        <v>1.8133297135702644</v>
      </c>
      <c r="O5" s="7">
        <f>H5</f>
        <v>1</v>
      </c>
      <c r="P5" s="7">
        <f>G5</f>
        <v>1.2266517321719024</v>
      </c>
      <c r="R5" s="7">
        <f t="shared" ref="R5:W5" si="3">K5/$I5</f>
        <v>0.3626467976867172</v>
      </c>
      <c r="S5" s="7">
        <f t="shared" si="3"/>
        <v>0.22148610403050256</v>
      </c>
      <c r="T5" s="7">
        <f t="shared" si="3"/>
        <v>0.16284255658855998</v>
      </c>
      <c r="U5" s="7">
        <f t="shared" si="3"/>
        <v>0.11356906606593109</v>
      </c>
      <c r="V5" s="7">
        <f t="shared" si="3"/>
        <v>6.2630124690520275E-2</v>
      </c>
      <c r="W5" s="7">
        <f t="shared" si="3"/>
        <v>7.6825350937768933E-2</v>
      </c>
      <c r="X5" s="7">
        <f>SUM(R5:W5)</f>
        <v>1</v>
      </c>
    </row>
    <row r="6" spans="1:24" ht="14.4" x14ac:dyDescent="0.3">
      <c r="C6" t="s">
        <v>68</v>
      </c>
      <c r="D6" t="s">
        <v>69</v>
      </c>
      <c r="E6" t="s">
        <v>70</v>
      </c>
      <c r="F6" t="s">
        <v>72</v>
      </c>
      <c r="G6" t="s">
        <v>71</v>
      </c>
      <c r="H6" t="s">
        <v>73</v>
      </c>
      <c r="K6" t="s">
        <v>68</v>
      </c>
      <c r="L6" t="s">
        <v>69</v>
      </c>
      <c r="M6" t="s">
        <v>70</v>
      </c>
      <c r="N6" t="s">
        <v>71</v>
      </c>
      <c r="O6" t="s">
        <v>72</v>
      </c>
      <c r="P6" t="s">
        <v>73</v>
      </c>
    </row>
    <row r="7" spans="1:24" ht="14.4" x14ac:dyDescent="0.3">
      <c r="A7">
        <v>3</v>
      </c>
      <c r="B7" s="16" t="s">
        <v>84</v>
      </c>
      <c r="C7" s="7">
        <f>Rankings!L12</f>
        <v>9.2534681303763584</v>
      </c>
      <c r="D7" s="7">
        <f>Rankings!M12</f>
        <v>5.6515447483366721</v>
      </c>
      <c r="E7" s="7">
        <f>Rankings!N12</f>
        <v>4.1551681064697865</v>
      </c>
      <c r="F7" s="7">
        <f>Rankings!O12</f>
        <v>1.8537678954574186</v>
      </c>
      <c r="G7" s="7">
        <f>Rankings!P12</f>
        <v>1.478275916473532</v>
      </c>
      <c r="H7" s="7">
        <f>Rankings!Q12</f>
        <v>1</v>
      </c>
      <c r="I7" s="7">
        <f>Rankings!R12</f>
        <v>23.392224797113769</v>
      </c>
      <c r="K7" s="7">
        <f t="shared" ref="K7:M7" si="4">C7</f>
        <v>9.2534681303763584</v>
      </c>
      <c r="L7" s="7">
        <f t="shared" si="4"/>
        <v>5.6515447483366721</v>
      </c>
      <c r="M7" s="7">
        <f t="shared" si="4"/>
        <v>4.1551681064697865</v>
      </c>
      <c r="N7" s="7">
        <f>G7</f>
        <v>1.478275916473532</v>
      </c>
      <c r="O7" s="7">
        <f>F7</f>
        <v>1.8537678954574186</v>
      </c>
      <c r="P7" s="7">
        <f>H7</f>
        <v>1</v>
      </c>
      <c r="R7" s="7">
        <f t="shared" ref="R7:W7" si="5">K7/$I7</f>
        <v>0.395578796400678</v>
      </c>
      <c r="S7" s="7">
        <f t="shared" si="5"/>
        <v>0.2415992834095021</v>
      </c>
      <c r="T7" s="7">
        <f t="shared" si="5"/>
        <v>0.17763030846824235</v>
      </c>
      <c r="U7" s="7">
        <f t="shared" si="5"/>
        <v>6.3195182557237051E-2</v>
      </c>
      <c r="V7" s="7">
        <f t="shared" si="5"/>
        <v>7.9247181981858525E-2</v>
      </c>
      <c r="W7" s="7">
        <f t="shared" si="5"/>
        <v>4.2749247182481943E-2</v>
      </c>
      <c r="X7" s="7">
        <f>SUM(R7:W7)</f>
        <v>1</v>
      </c>
    </row>
    <row r="8" spans="1:24" ht="14.4" x14ac:dyDescent="0.3">
      <c r="C8" t="s">
        <v>68</v>
      </c>
      <c r="D8" t="s">
        <v>69</v>
      </c>
      <c r="E8" t="s">
        <v>70</v>
      </c>
      <c r="F8" t="s">
        <v>72</v>
      </c>
      <c r="G8" t="s">
        <v>73</v>
      </c>
      <c r="H8" t="s">
        <v>71</v>
      </c>
      <c r="K8" t="s">
        <v>68</v>
      </c>
      <c r="L8" t="s">
        <v>69</v>
      </c>
      <c r="M8" t="s">
        <v>70</v>
      </c>
      <c r="N8" t="s">
        <v>71</v>
      </c>
      <c r="O8" t="s">
        <v>72</v>
      </c>
      <c r="P8" t="s">
        <v>73</v>
      </c>
    </row>
    <row r="9" spans="1:24" ht="14.4" x14ac:dyDescent="0.3">
      <c r="A9">
        <v>4</v>
      </c>
      <c r="B9" s="16" t="s">
        <v>85</v>
      </c>
      <c r="C9" s="7">
        <f>Rankings!L13</f>
        <v>5.8522815028043169</v>
      </c>
      <c r="D9" s="7">
        <f>Rankings!M13</f>
        <v>3.574274026447247</v>
      </c>
      <c r="E9" s="7">
        <f>Rankings!N13</f>
        <v>2.6279026531370935</v>
      </c>
      <c r="F9" s="7">
        <f>Rankings!O13</f>
        <v>1.172400597508374</v>
      </c>
      <c r="G9" s="7">
        <f>Rankings!P13</f>
        <v>0.88688155974910687</v>
      </c>
      <c r="H9" s="7">
        <f>Rankings!Q13</f>
        <v>1</v>
      </c>
      <c r="I9" s="7">
        <f>Rankings!R13</f>
        <v>15.113740339646139</v>
      </c>
      <c r="K9" s="7">
        <f t="shared" ref="K9:M9" si="6">C9</f>
        <v>5.8522815028043169</v>
      </c>
      <c r="L9" s="7">
        <f t="shared" si="6"/>
        <v>3.574274026447247</v>
      </c>
      <c r="M9" s="7">
        <f t="shared" si="6"/>
        <v>2.6279026531370935</v>
      </c>
      <c r="N9" s="7">
        <f>H9</f>
        <v>1</v>
      </c>
      <c r="O9" s="7">
        <f t="shared" ref="O9:P9" si="7">F9</f>
        <v>1.172400597508374</v>
      </c>
      <c r="P9" s="7">
        <f t="shared" si="7"/>
        <v>0.88688155974910687</v>
      </c>
      <c r="R9" s="7">
        <f t="shared" ref="R9:W9" si="8">K9/$I9</f>
        <v>0.38721596185245416</v>
      </c>
      <c r="S9" s="7">
        <f t="shared" si="8"/>
        <v>0.23649169207117213</v>
      </c>
      <c r="T9" s="7">
        <f t="shared" si="8"/>
        <v>0.17387506957782106</v>
      </c>
      <c r="U9" s="7">
        <f t="shared" si="8"/>
        <v>6.6164958344349406E-2</v>
      </c>
      <c r="V9" s="7">
        <f t="shared" si="8"/>
        <v>7.7571836697031923E-2</v>
      </c>
      <c r="W9" s="7">
        <f t="shared" si="8"/>
        <v>5.8680481457171287E-2</v>
      </c>
      <c r="X9" s="7">
        <f>SUM(R9:W9)</f>
        <v>1</v>
      </c>
    </row>
    <row r="10" spans="1:24" ht="14.4" x14ac:dyDescent="0.3">
      <c r="C10" t="s">
        <v>68</v>
      </c>
      <c r="D10" t="s">
        <v>69</v>
      </c>
      <c r="E10" t="s">
        <v>70</v>
      </c>
      <c r="F10" t="s">
        <v>73</v>
      </c>
      <c r="G10" t="s">
        <v>71</v>
      </c>
      <c r="H10" t="s">
        <v>72</v>
      </c>
      <c r="K10" t="s">
        <v>68</v>
      </c>
      <c r="L10" t="s">
        <v>69</v>
      </c>
      <c r="M10" t="s">
        <v>70</v>
      </c>
      <c r="N10" t="s">
        <v>71</v>
      </c>
      <c r="O10" t="s">
        <v>72</v>
      </c>
      <c r="P10" t="s">
        <v>73</v>
      </c>
    </row>
    <row r="11" spans="1:24" ht="14.4" x14ac:dyDescent="0.3">
      <c r="A11">
        <v>5</v>
      </c>
      <c r="B11" s="16" t="s">
        <v>86</v>
      </c>
      <c r="C11" s="7">
        <f>Rankings!L14</f>
        <v>7.5384761540037619</v>
      </c>
      <c r="D11" s="7">
        <f>Rankings!M14</f>
        <v>4.6041154211970463</v>
      </c>
      <c r="E11" s="7">
        <f>Rankings!N14</f>
        <v>3.3850698187064974</v>
      </c>
      <c r="F11" s="7">
        <f>Rankings!O14</f>
        <v>1.6803088203001122</v>
      </c>
      <c r="G11" s="7">
        <f>Rankings!P14</f>
        <v>1.89462595295753</v>
      </c>
      <c r="H11" s="7">
        <f>Rankings!Q14</f>
        <v>1</v>
      </c>
      <c r="I11" s="7">
        <f>Rankings!R14</f>
        <v>20.102596167164947</v>
      </c>
      <c r="K11" s="7">
        <f t="shared" ref="K11:M11" si="9">C11</f>
        <v>7.5384761540037619</v>
      </c>
      <c r="L11" s="7">
        <f t="shared" si="9"/>
        <v>4.6041154211970463</v>
      </c>
      <c r="M11" s="7">
        <f t="shared" si="9"/>
        <v>3.3850698187064974</v>
      </c>
      <c r="N11" s="7">
        <f t="shared" ref="N11:O11" si="10">G11</f>
        <v>1.89462595295753</v>
      </c>
      <c r="O11" s="7">
        <f t="shared" si="10"/>
        <v>1</v>
      </c>
      <c r="P11" s="7">
        <f>F11</f>
        <v>1.6803088203001122</v>
      </c>
      <c r="R11" s="7">
        <f t="shared" ref="R11:W11" si="11">K11/$I11</f>
        <v>0.3750001289045895</v>
      </c>
      <c r="S11" s="7">
        <f t="shared" si="11"/>
        <v>0.22903088650396747</v>
      </c>
      <c r="T11" s="7">
        <f t="shared" si="11"/>
        <v>0.16838968412625138</v>
      </c>
      <c r="U11" s="7">
        <f t="shared" si="11"/>
        <v>9.4247824370673194E-2</v>
      </c>
      <c r="V11" s="7">
        <f t="shared" si="11"/>
        <v>4.9744818613695965E-2</v>
      </c>
      <c r="W11" s="7">
        <f t="shared" si="11"/>
        <v>8.3586657480822529E-2</v>
      </c>
      <c r="X11" s="7">
        <f>SUM(R11:W11)</f>
        <v>1.0000000000000002</v>
      </c>
    </row>
    <row r="12" spans="1:24" ht="14.4" x14ac:dyDescent="0.3">
      <c r="C12" t="s">
        <v>68</v>
      </c>
      <c r="D12" t="s">
        <v>69</v>
      </c>
      <c r="E12" t="s">
        <v>70</v>
      </c>
      <c r="F12" t="s">
        <v>73</v>
      </c>
      <c r="G12" t="s">
        <v>72</v>
      </c>
      <c r="H12" t="s">
        <v>71</v>
      </c>
      <c r="K12" t="s">
        <v>68</v>
      </c>
      <c r="L12" t="s">
        <v>69</v>
      </c>
      <c r="M12" t="s">
        <v>70</v>
      </c>
      <c r="N12" t="s">
        <v>71</v>
      </c>
      <c r="O12" t="s">
        <v>72</v>
      </c>
      <c r="P12" t="s">
        <v>73</v>
      </c>
    </row>
    <row r="13" spans="1:24" ht="14.4" x14ac:dyDescent="0.3">
      <c r="A13">
        <v>6</v>
      </c>
      <c r="B13" s="16" t="s">
        <v>87</v>
      </c>
      <c r="C13" s="7">
        <f>Rankings!L15</f>
        <v>6.9010566054355289</v>
      </c>
      <c r="D13" s="7">
        <f>Rankings!M15</f>
        <v>4.2148121835955337</v>
      </c>
      <c r="E13" s="7">
        <f>Rankings!N15</f>
        <v>3.098843579924027</v>
      </c>
      <c r="F13" s="7">
        <f>Rankings!O15</f>
        <v>1.5382294838652459</v>
      </c>
      <c r="G13" s="7">
        <f>Rankings!P15</f>
        <v>1.25400669441983</v>
      </c>
      <c r="H13" s="7">
        <f>Rankings!Q15</f>
        <v>1</v>
      </c>
      <c r="I13" s="7">
        <f>Rankings!R15</f>
        <v>18.006948547240164</v>
      </c>
      <c r="K13" s="7">
        <f t="shared" ref="K13:M13" si="12">C13</f>
        <v>6.9010566054355289</v>
      </c>
      <c r="L13" s="7">
        <f t="shared" si="12"/>
        <v>4.2148121835955337</v>
      </c>
      <c r="M13" s="7">
        <f t="shared" si="12"/>
        <v>3.098843579924027</v>
      </c>
      <c r="N13" s="7">
        <f>H13</f>
        <v>1</v>
      </c>
      <c r="O13" s="7">
        <f>G13</f>
        <v>1.25400669441983</v>
      </c>
      <c r="P13" s="7">
        <f>F13</f>
        <v>1.5382294838652459</v>
      </c>
      <c r="R13" s="7">
        <f t="shared" ref="R13:W13" si="13">K13/$I13</f>
        <v>0.38324408976518232</v>
      </c>
      <c r="S13" s="7">
        <f t="shared" si="13"/>
        <v>0.23406587587776037</v>
      </c>
      <c r="T13" s="7">
        <f t="shared" si="13"/>
        <v>0.17209154409445857</v>
      </c>
      <c r="U13" s="7">
        <f t="shared" si="13"/>
        <v>5.5534117697763126E-2</v>
      </c>
      <c r="V13" s="7">
        <f t="shared" si="13"/>
        <v>6.9640155361693726E-2</v>
      </c>
      <c r="W13" s="7">
        <f t="shared" si="13"/>
        <v>8.5424217203142E-2</v>
      </c>
      <c r="X13" s="7">
        <f>SUM(R13:W13)</f>
        <v>1.0000000000000002</v>
      </c>
    </row>
    <row r="14" spans="1:24" ht="14.4" x14ac:dyDescent="0.3">
      <c r="C14" t="s">
        <v>68</v>
      </c>
      <c r="D14" t="s">
        <v>69</v>
      </c>
      <c r="E14" t="s">
        <v>71</v>
      </c>
      <c r="F14" t="s">
        <v>70</v>
      </c>
      <c r="G14" t="s">
        <v>72</v>
      </c>
      <c r="H14" t="s">
        <v>73</v>
      </c>
      <c r="K14" t="s">
        <v>68</v>
      </c>
      <c r="L14" t="s">
        <v>69</v>
      </c>
      <c r="M14" t="s">
        <v>70</v>
      </c>
      <c r="N14" t="s">
        <v>71</v>
      </c>
      <c r="O14" t="s">
        <v>72</v>
      </c>
      <c r="P14" t="s">
        <v>73</v>
      </c>
    </row>
    <row r="15" spans="1:24" ht="14.4" x14ac:dyDescent="0.3">
      <c r="A15">
        <v>7</v>
      </c>
      <c r="B15" s="16" t="s">
        <v>88</v>
      </c>
      <c r="C15" s="7">
        <f>Rankings!L16</f>
        <v>9.8933284698593535</v>
      </c>
      <c r="D15" s="7">
        <f>Rankings!M16</f>
        <v>6.0423386961110355</v>
      </c>
      <c r="E15" s="7">
        <f>Rankings!N16</f>
        <v>6.633925287076015</v>
      </c>
      <c r="F15" s="7">
        <f>Rankings!O16</f>
        <v>2.9630818503888054</v>
      </c>
      <c r="G15" s="7">
        <f>Rankings!P16</f>
        <v>1.3219359277692486</v>
      </c>
      <c r="H15" s="7">
        <f>Rankings!Q16</f>
        <v>1</v>
      </c>
      <c r="I15" s="7">
        <f>Rankings!R16</f>
        <v>27.854610231204457</v>
      </c>
      <c r="K15" s="7">
        <f t="shared" ref="K15:L15" si="14">C15</f>
        <v>9.8933284698593535</v>
      </c>
      <c r="L15" s="7">
        <f t="shared" si="14"/>
        <v>6.0423386961110355</v>
      </c>
      <c r="M15" s="7">
        <f>F15</f>
        <v>2.9630818503888054</v>
      </c>
      <c r="N15" s="7">
        <f>E15</f>
        <v>6.633925287076015</v>
      </c>
      <c r="O15" s="7">
        <f t="shared" ref="O15:P15" si="15">G15</f>
        <v>1.3219359277692486</v>
      </c>
      <c r="P15" s="7">
        <f t="shared" si="15"/>
        <v>1</v>
      </c>
      <c r="R15" s="7">
        <f t="shared" ref="R15:W15" si="16">K15/$I15</f>
        <v>0.35517741543467141</v>
      </c>
      <c r="S15" s="7">
        <f t="shared" si="16"/>
        <v>0.21692418762844629</v>
      </c>
      <c r="T15" s="7">
        <f t="shared" si="16"/>
        <v>0.10637671199826655</v>
      </c>
      <c r="U15" s="7">
        <f t="shared" si="16"/>
        <v>0.23816256023730972</v>
      </c>
      <c r="V15" s="7">
        <f t="shared" si="16"/>
        <v>4.7458424899743674E-2</v>
      </c>
      <c r="W15" s="7">
        <f t="shared" si="16"/>
        <v>3.5900699801562408E-2</v>
      </c>
      <c r="X15" s="7">
        <f>SUM(R15:W15)</f>
        <v>1</v>
      </c>
    </row>
    <row r="16" spans="1:24" ht="14.4" x14ac:dyDescent="0.3">
      <c r="C16" t="s">
        <v>68</v>
      </c>
      <c r="D16" t="s">
        <v>69</v>
      </c>
      <c r="E16" t="s">
        <v>71</v>
      </c>
      <c r="F16" t="s">
        <v>70</v>
      </c>
      <c r="G16" t="s">
        <v>73</v>
      </c>
      <c r="H16" t="s">
        <v>72</v>
      </c>
      <c r="K16" t="s">
        <v>68</v>
      </c>
      <c r="L16" t="s">
        <v>69</v>
      </c>
      <c r="M16" t="s">
        <v>70</v>
      </c>
      <c r="N16" t="s">
        <v>71</v>
      </c>
      <c r="O16" t="s">
        <v>72</v>
      </c>
      <c r="P16" t="s">
        <v>73</v>
      </c>
    </row>
    <row r="17" spans="1:24" ht="14.4" x14ac:dyDescent="0.3">
      <c r="A17">
        <v>8</v>
      </c>
      <c r="B17" s="16" t="s">
        <v>89</v>
      </c>
      <c r="C17" s="7">
        <f>Rankings!L17</f>
        <v>8.2508478781960655</v>
      </c>
      <c r="D17" s="7">
        <f>Rankings!M17</f>
        <v>5.0391956116724854</v>
      </c>
      <c r="E17" s="7">
        <f>Rankings!N17</f>
        <v>5.5325675828653136</v>
      </c>
      <c r="F17" s="7">
        <f>Rankings!O17</f>
        <v>2.471153936987327</v>
      </c>
      <c r="G17" s="7">
        <f>Rankings!P17</f>
        <v>1.2266517321719024</v>
      </c>
      <c r="H17" s="7">
        <f>Rankings!Q17</f>
        <v>1</v>
      </c>
      <c r="I17" s="7">
        <f>Rankings!R17</f>
        <v>23.520416741893094</v>
      </c>
      <c r="K17" s="7">
        <f t="shared" ref="K17:L17" si="17">C17</f>
        <v>8.2508478781960655</v>
      </c>
      <c r="L17" s="7">
        <f t="shared" si="17"/>
        <v>5.0391956116724854</v>
      </c>
      <c r="M17" s="7">
        <f>F17</f>
        <v>2.471153936987327</v>
      </c>
      <c r="N17" s="7">
        <f>E17</f>
        <v>5.5325675828653136</v>
      </c>
      <c r="O17" s="7">
        <f>H17</f>
        <v>1</v>
      </c>
      <c r="P17" s="7">
        <f>G17</f>
        <v>1.2266517321719024</v>
      </c>
      <c r="R17" s="7">
        <f t="shared" ref="R17:W17" si="18">K17/$I17</f>
        <v>0.35079513976043508</v>
      </c>
      <c r="S17" s="7">
        <f t="shared" si="18"/>
        <v>0.21424771792827063</v>
      </c>
      <c r="T17" s="7">
        <f t="shared" si="18"/>
        <v>0.10506420715691922</v>
      </c>
      <c r="U17" s="7">
        <f t="shared" si="18"/>
        <v>0.23522404571221098</v>
      </c>
      <c r="V17" s="7">
        <f t="shared" si="18"/>
        <v>4.25162534734711E-2</v>
      </c>
      <c r="W17" s="7">
        <f t="shared" si="18"/>
        <v>5.2152635968692983E-2</v>
      </c>
      <c r="X17" s="7">
        <f>SUM(R17:W17)</f>
        <v>1</v>
      </c>
    </row>
    <row r="18" spans="1:24" ht="14.4" x14ac:dyDescent="0.3">
      <c r="C18" t="s">
        <v>68</v>
      </c>
      <c r="D18" t="s">
        <v>69</v>
      </c>
      <c r="E18" t="s">
        <v>71</v>
      </c>
      <c r="F18" t="s">
        <v>72</v>
      </c>
      <c r="G18" t="s">
        <v>70</v>
      </c>
      <c r="H18" t="s">
        <v>73</v>
      </c>
      <c r="K18" t="s">
        <v>68</v>
      </c>
      <c r="L18" t="s">
        <v>69</v>
      </c>
      <c r="M18" t="s">
        <v>70</v>
      </c>
      <c r="N18" t="s">
        <v>71</v>
      </c>
      <c r="O18" t="s">
        <v>72</v>
      </c>
      <c r="P18" t="s">
        <v>73</v>
      </c>
    </row>
    <row r="19" spans="1:24" ht="14.4" x14ac:dyDescent="0.3">
      <c r="A19">
        <v>9</v>
      </c>
      <c r="B19" s="16" t="s">
        <v>90</v>
      </c>
      <c r="C19" s="7">
        <f>Rankings!L18</f>
        <v>11.23986440735983</v>
      </c>
      <c r="D19" s="7">
        <f>Rankings!M18</f>
        <v>6.8647339320168079</v>
      </c>
      <c r="E19" s="7">
        <f>Rankings!N18</f>
        <v>7.5368386830029177</v>
      </c>
      <c r="F19" s="7">
        <f>Rankings!O18</f>
        <v>3.9780087838646128</v>
      </c>
      <c r="G19" s="7">
        <f>Rankings!P18</f>
        <v>2.0145521929129111</v>
      </c>
      <c r="H19" s="7">
        <f>Rankings!Q18</f>
        <v>1</v>
      </c>
      <c r="I19" s="7">
        <f>Rankings!R18</f>
        <v>32.633997999157081</v>
      </c>
      <c r="K19" s="7">
        <f t="shared" ref="K19:L19" si="19">C19</f>
        <v>11.23986440735983</v>
      </c>
      <c r="L19" s="7">
        <f t="shared" si="19"/>
        <v>6.8647339320168079</v>
      </c>
      <c r="M19" s="7">
        <f>G19</f>
        <v>2.0145521929129111</v>
      </c>
      <c r="N19" s="7">
        <f t="shared" ref="N19:O19" si="20">E19</f>
        <v>7.5368386830029177</v>
      </c>
      <c r="O19" s="7">
        <f t="shared" si="20"/>
        <v>3.9780087838646128</v>
      </c>
      <c r="P19" s="7">
        <f>H19</f>
        <v>1</v>
      </c>
      <c r="R19" s="7">
        <f t="shared" ref="R19:W19" si="21">K19/$I19</f>
        <v>0.34442192487877671</v>
      </c>
      <c r="S19" s="7">
        <f t="shared" si="21"/>
        <v>0.21035528445500673</v>
      </c>
      <c r="T19" s="7">
        <f t="shared" si="21"/>
        <v>6.1731700570826345E-2</v>
      </c>
      <c r="U19" s="7">
        <f t="shared" si="21"/>
        <v>0.23095051618246684</v>
      </c>
      <c r="V19" s="7">
        <f t="shared" si="21"/>
        <v>0.12189768424841366</v>
      </c>
      <c r="W19" s="7">
        <f t="shared" si="21"/>
        <v>3.0642889664509676E-2</v>
      </c>
      <c r="X19" s="7">
        <f>SUM(R19:W19)</f>
        <v>1</v>
      </c>
    </row>
    <row r="20" spans="1:24" ht="14.4" x14ac:dyDescent="0.3">
      <c r="C20" t="s">
        <v>68</v>
      </c>
      <c r="D20" t="s">
        <v>69</v>
      </c>
      <c r="E20" t="s">
        <v>71</v>
      </c>
      <c r="F20" t="s">
        <v>72</v>
      </c>
      <c r="G20" t="s">
        <v>73</v>
      </c>
      <c r="H20" t="s">
        <v>70</v>
      </c>
      <c r="K20" t="s">
        <v>68</v>
      </c>
      <c r="L20" t="s">
        <v>69</v>
      </c>
      <c r="M20" t="s">
        <v>70</v>
      </c>
      <c r="N20" t="s">
        <v>71</v>
      </c>
      <c r="O20" t="s">
        <v>72</v>
      </c>
      <c r="P20" t="s">
        <v>73</v>
      </c>
    </row>
    <row r="21" spans="1:24" ht="15.75" customHeight="1" x14ac:dyDescent="0.3">
      <c r="A21">
        <v>10</v>
      </c>
      <c r="B21" s="16" t="s">
        <v>91</v>
      </c>
      <c r="C21" s="7">
        <f>Rankings!L19</f>
        <v>5.2412986205219356</v>
      </c>
      <c r="D21" s="7">
        <f>Rankings!M19</f>
        <v>3.2011169516039835</v>
      </c>
      <c r="E21" s="7">
        <f>Rankings!N19</f>
        <v>3.5145283573397221</v>
      </c>
      <c r="F21" s="7">
        <f>Rankings!O19</f>
        <v>1.8549985298435865</v>
      </c>
      <c r="G21" s="7">
        <f>Rankings!P19</f>
        <v>1.4032439022773779</v>
      </c>
      <c r="H21" s="7">
        <f>Rankings!Q19</f>
        <v>1</v>
      </c>
      <c r="I21" s="7">
        <f>Rankings!R19</f>
        <v>16.215186361586603</v>
      </c>
      <c r="K21" s="7">
        <f t="shared" ref="K21:L21" si="22">C21</f>
        <v>5.2412986205219356</v>
      </c>
      <c r="L21" s="7">
        <f t="shared" si="22"/>
        <v>3.2011169516039835</v>
      </c>
      <c r="M21" s="7">
        <f>H21</f>
        <v>1</v>
      </c>
      <c r="N21" s="7">
        <f t="shared" ref="N21:P21" si="23">E21</f>
        <v>3.5145283573397221</v>
      </c>
      <c r="O21" s="7">
        <f t="shared" si="23"/>
        <v>1.8549985298435865</v>
      </c>
      <c r="P21" s="7">
        <f t="shared" si="23"/>
        <v>1.4032439022773779</v>
      </c>
      <c r="R21" s="7">
        <f t="shared" ref="R21:W21" si="24">K21/$I21</f>
        <v>0.32323394277715173</v>
      </c>
      <c r="S21" s="7">
        <f t="shared" si="24"/>
        <v>0.19741474937268402</v>
      </c>
      <c r="T21" s="7">
        <f t="shared" si="24"/>
        <v>6.167058322369804E-2</v>
      </c>
      <c r="U21" s="7">
        <f t="shared" si="24"/>
        <v>0.21674301355336609</v>
      </c>
      <c r="V21" s="7">
        <f t="shared" si="24"/>
        <v>0.1143988412145564</v>
      </c>
      <c r="W21" s="7">
        <f t="shared" si="24"/>
        <v>8.6538869858543838E-2</v>
      </c>
      <c r="X21" s="7">
        <f>SUM(R21:W21)</f>
        <v>1.0000000000000002</v>
      </c>
    </row>
    <row r="22" spans="1:24" ht="15.75" customHeight="1" x14ac:dyDescent="0.3">
      <c r="C22" t="s">
        <v>68</v>
      </c>
      <c r="D22" t="s">
        <v>69</v>
      </c>
      <c r="E22" t="s">
        <v>71</v>
      </c>
      <c r="F22" t="s">
        <v>73</v>
      </c>
      <c r="G22" t="s">
        <v>70</v>
      </c>
      <c r="H22" t="s">
        <v>72</v>
      </c>
      <c r="K22" t="s">
        <v>68</v>
      </c>
      <c r="L22" t="s">
        <v>69</v>
      </c>
      <c r="M22" t="s">
        <v>70</v>
      </c>
      <c r="N22" t="s">
        <v>71</v>
      </c>
      <c r="O22" t="s">
        <v>72</v>
      </c>
      <c r="P22" t="s">
        <v>73</v>
      </c>
    </row>
    <row r="23" spans="1:24" ht="15.75" customHeight="1" x14ac:dyDescent="0.3">
      <c r="A23">
        <v>11</v>
      </c>
      <c r="B23" s="16" t="s">
        <v>92</v>
      </c>
      <c r="C23" s="7">
        <f>Rankings!L20</f>
        <v>6.9341584264995459</v>
      </c>
      <c r="D23" s="7">
        <f>Rankings!M20</f>
        <v>4.2350290817745648</v>
      </c>
      <c r="E23" s="7">
        <f>Rankings!N20</f>
        <v>4.649667608862937</v>
      </c>
      <c r="F23" s="7">
        <f>Rankings!O20</f>
        <v>3.1453313667957521</v>
      </c>
      <c r="G23" s="7">
        <f>Rankings!P20</f>
        <v>2.2414716085286912</v>
      </c>
      <c r="H23" s="7">
        <f>Rankings!Q20</f>
        <v>1</v>
      </c>
      <c r="I23" s="7">
        <f>Rankings!R20</f>
        <v>22.205658092461491</v>
      </c>
      <c r="K23" s="7">
        <f t="shared" ref="K23:L23" si="25">C23</f>
        <v>6.9341584264995459</v>
      </c>
      <c r="L23" s="7">
        <f t="shared" si="25"/>
        <v>4.2350290817745648</v>
      </c>
      <c r="M23" s="7">
        <f>G23</f>
        <v>2.2414716085286912</v>
      </c>
      <c r="N23" s="7">
        <f>E23</f>
        <v>4.649667608862937</v>
      </c>
      <c r="O23" s="7">
        <f>H23</f>
        <v>1</v>
      </c>
      <c r="P23" s="7">
        <f>F23</f>
        <v>3.1453313667957521</v>
      </c>
      <c r="R23" s="7">
        <f t="shared" ref="R23:W23" si="26">K23/$I23</f>
        <v>0.31226989074706124</v>
      </c>
      <c r="S23" s="7">
        <f t="shared" si="26"/>
        <v>0.19071846752482863</v>
      </c>
      <c r="T23" s="7">
        <f t="shared" si="26"/>
        <v>0.10094146272069457</v>
      </c>
      <c r="U23" s="7">
        <f t="shared" si="26"/>
        <v>0.20939111957422391</v>
      </c>
      <c r="V23" s="7">
        <f t="shared" si="26"/>
        <v>4.5033567383417739E-2</v>
      </c>
      <c r="W23" s="7">
        <f t="shared" si="26"/>
        <v>0.14164549204977392</v>
      </c>
      <c r="X23" s="7">
        <f>SUM(R23:W23)</f>
        <v>1</v>
      </c>
    </row>
    <row r="24" spans="1:24" ht="15.75" customHeight="1" x14ac:dyDescent="0.3">
      <c r="C24" t="s">
        <v>68</v>
      </c>
      <c r="D24" t="s">
        <v>69</v>
      </c>
      <c r="E24" t="s">
        <v>71</v>
      </c>
      <c r="F24" t="s">
        <v>73</v>
      </c>
      <c r="G24" t="s">
        <v>72</v>
      </c>
      <c r="H24" t="s">
        <v>70</v>
      </c>
      <c r="K24" t="s">
        <v>68</v>
      </c>
      <c r="L24" t="s">
        <v>69</v>
      </c>
      <c r="M24" t="s">
        <v>70</v>
      </c>
      <c r="N24" t="s">
        <v>71</v>
      </c>
      <c r="O24" t="s">
        <v>72</v>
      </c>
      <c r="P24" t="s">
        <v>73</v>
      </c>
    </row>
    <row r="25" spans="1:24" ht="15.75" customHeight="1" x14ac:dyDescent="0.3">
      <c r="A25">
        <v>12</v>
      </c>
      <c r="B25" s="16" t="s">
        <v>93</v>
      </c>
      <c r="C25" s="7">
        <f>Rankings!L21</f>
        <v>5.339933449819604</v>
      </c>
      <c r="D25" s="7">
        <f>Rankings!M21</f>
        <v>3.2613580572809378</v>
      </c>
      <c r="E25" s="7">
        <f>Rankings!N21</f>
        <v>3.580667482332661</v>
      </c>
      <c r="F25" s="7">
        <f>Rankings!O21</f>
        <v>2.4221915830668759</v>
      </c>
      <c r="G25" s="7">
        <f>Rankings!P21</f>
        <v>1.9746367445127702</v>
      </c>
      <c r="H25" s="7">
        <f>Rankings!Q21</f>
        <v>1</v>
      </c>
      <c r="I25" s="7">
        <f>Rankings!R21</f>
        <v>17.57878731701285</v>
      </c>
      <c r="K25" s="7">
        <f t="shared" ref="K25:L25" si="27">C25</f>
        <v>5.339933449819604</v>
      </c>
      <c r="L25" s="7">
        <f t="shared" si="27"/>
        <v>3.2613580572809378</v>
      </c>
      <c r="M25" s="7">
        <f>H25</f>
        <v>1</v>
      </c>
      <c r="N25" s="7">
        <f>E25</f>
        <v>3.580667482332661</v>
      </c>
      <c r="O25" s="7">
        <f>G25</f>
        <v>1.9746367445127702</v>
      </c>
      <c r="P25" s="7">
        <f>F25</f>
        <v>2.4221915830668759</v>
      </c>
      <c r="R25" s="7">
        <f t="shared" ref="R25:W25" si="28">K25/$I25</f>
        <v>0.30377143505522625</v>
      </c>
      <c r="S25" s="7">
        <f t="shared" si="28"/>
        <v>0.18552804573297141</v>
      </c>
      <c r="T25" s="7">
        <f t="shared" si="28"/>
        <v>5.6886745482846494E-2</v>
      </c>
      <c r="U25" s="7">
        <f t="shared" si="28"/>
        <v>0.20369251972616284</v>
      </c>
      <c r="V25" s="7">
        <f t="shared" si="28"/>
        <v>0.11233065790617454</v>
      </c>
      <c r="W25" s="7">
        <f t="shared" si="28"/>
        <v>0.1377905960966184</v>
      </c>
      <c r="X25" s="7">
        <f>SUM(R25:W25)</f>
        <v>0.99999999999999989</v>
      </c>
    </row>
    <row r="26" spans="1:24" ht="15.75" customHeight="1" x14ac:dyDescent="0.3">
      <c r="C26" t="s">
        <v>68</v>
      </c>
      <c r="D26" t="s">
        <v>69</v>
      </c>
      <c r="E26" t="s">
        <v>72</v>
      </c>
      <c r="F26" t="s">
        <v>70</v>
      </c>
      <c r="G26" t="s">
        <v>71</v>
      </c>
      <c r="H26" t="s">
        <v>73</v>
      </c>
      <c r="K26" t="s">
        <v>68</v>
      </c>
      <c r="L26" t="s">
        <v>69</v>
      </c>
      <c r="M26" t="s">
        <v>70</v>
      </c>
      <c r="N26" t="s">
        <v>71</v>
      </c>
      <c r="O26" t="s">
        <v>72</v>
      </c>
      <c r="P26" t="s">
        <v>73</v>
      </c>
    </row>
    <row r="27" spans="1:24" ht="15.75" customHeight="1" x14ac:dyDescent="0.3">
      <c r="A27">
        <v>13</v>
      </c>
      <c r="B27" s="16" t="s">
        <v>94</v>
      </c>
      <c r="C27" s="7">
        <f>Rankings!L22</f>
        <v>12.32994480583146</v>
      </c>
      <c r="D27" s="7">
        <f>Rankings!M22</f>
        <v>7.5304992498897425</v>
      </c>
      <c r="E27" s="7">
        <f>Rankings!N22</f>
        <v>4.1855311024955908</v>
      </c>
      <c r="F27" s="7">
        <f>Rankings!O22</f>
        <v>2.1196461142164886</v>
      </c>
      <c r="G27" s="7">
        <f>Rankings!P22</f>
        <v>1.478275916473532</v>
      </c>
      <c r="H27" s="7">
        <f>Rankings!Q22</f>
        <v>1</v>
      </c>
      <c r="I27" s="7">
        <f>Rankings!R22</f>
        <v>28.643897188906816</v>
      </c>
      <c r="K27" s="7">
        <f t="shared" ref="K27:L27" si="29">C27</f>
        <v>12.32994480583146</v>
      </c>
      <c r="L27" s="7">
        <f t="shared" si="29"/>
        <v>7.5304992498897425</v>
      </c>
      <c r="M27" s="7">
        <f t="shared" ref="M27:N27" si="30">F27</f>
        <v>2.1196461142164886</v>
      </c>
      <c r="N27" s="7">
        <f t="shared" si="30"/>
        <v>1.478275916473532</v>
      </c>
      <c r="O27" s="7">
        <f>E27</f>
        <v>4.1855311024955908</v>
      </c>
      <c r="P27" s="7">
        <f>H27</f>
        <v>1</v>
      </c>
      <c r="R27" s="7">
        <f t="shared" ref="R27:W27" si="31">K27/$I27</f>
        <v>0.43045625825687539</v>
      </c>
      <c r="S27" s="7">
        <f t="shared" si="31"/>
        <v>0.26290065210840613</v>
      </c>
      <c r="T27" s="7">
        <f t="shared" si="31"/>
        <v>7.399992048000309E-2</v>
      </c>
      <c r="U27" s="7">
        <f t="shared" si="31"/>
        <v>5.1608756543297378E-2</v>
      </c>
      <c r="V27" s="7">
        <f t="shared" si="31"/>
        <v>0.14612296207083719</v>
      </c>
      <c r="W27" s="7">
        <f t="shared" si="31"/>
        <v>3.4911450540580737E-2</v>
      </c>
      <c r="X27" s="7">
        <f>SUM(R27:W27)</f>
        <v>0.99999999999999978</v>
      </c>
    </row>
    <row r="28" spans="1:24" ht="15.75" customHeight="1" x14ac:dyDescent="0.3">
      <c r="C28" t="s">
        <v>68</v>
      </c>
      <c r="D28" t="s">
        <v>69</v>
      </c>
      <c r="E28" t="s">
        <v>72</v>
      </c>
      <c r="F28" t="s">
        <v>70</v>
      </c>
      <c r="G28" t="s">
        <v>73</v>
      </c>
      <c r="H28" t="s">
        <v>71</v>
      </c>
      <c r="K28" t="s">
        <v>68</v>
      </c>
      <c r="L28" t="s">
        <v>69</v>
      </c>
      <c r="M28" t="s">
        <v>70</v>
      </c>
      <c r="N28" t="s">
        <v>71</v>
      </c>
      <c r="O28" t="s">
        <v>72</v>
      </c>
      <c r="P28" t="s">
        <v>73</v>
      </c>
    </row>
    <row r="29" spans="1:24" ht="15.75" customHeight="1" x14ac:dyDescent="0.3">
      <c r="A29">
        <v>14</v>
      </c>
      <c r="B29" s="16" t="s">
        <v>95</v>
      </c>
      <c r="C29" s="7">
        <f>Rankings!L23</f>
        <v>10.393023799648274</v>
      </c>
      <c r="D29" s="7">
        <f>Rankings!M23</f>
        <v>6.3475270295064279</v>
      </c>
      <c r="E29" s="7">
        <f>Rankings!N23</f>
        <v>3.5280226349294956</v>
      </c>
      <c r="F29" s="7">
        <f>Rankings!O23</f>
        <v>1.7866691910465862</v>
      </c>
      <c r="G29" s="7">
        <f>Rankings!P23</f>
        <v>0.88688155974910687</v>
      </c>
      <c r="H29" s="7">
        <f>Rankings!Q23</f>
        <v>1</v>
      </c>
      <c r="I29" s="7">
        <f>Rankings!R23</f>
        <v>23.94212421487989</v>
      </c>
      <c r="K29" s="7">
        <f t="shared" ref="K29:L29" si="32">C29</f>
        <v>10.393023799648274</v>
      </c>
      <c r="L29" s="7">
        <f t="shared" si="32"/>
        <v>6.3475270295064279</v>
      </c>
      <c r="M29" s="7">
        <f>F29</f>
        <v>1.7866691910465862</v>
      </c>
      <c r="N29" s="7">
        <f>H29</f>
        <v>1</v>
      </c>
      <c r="O29" s="7">
        <f>E29</f>
        <v>3.5280226349294956</v>
      </c>
      <c r="P29" s="7">
        <f>G29</f>
        <v>0.88688155974910687</v>
      </c>
      <c r="R29" s="7">
        <f t="shared" ref="R29:W29" si="33">K29/$I29</f>
        <v>0.43408946116773844</v>
      </c>
      <c r="S29" s="7">
        <f t="shared" si="33"/>
        <v>0.26511962650170684</v>
      </c>
      <c r="T29" s="7">
        <f t="shared" si="33"/>
        <v>7.4624505954913628E-2</v>
      </c>
      <c r="U29" s="7">
        <f t="shared" si="33"/>
        <v>4.1767388349714843E-2</v>
      </c>
      <c r="V29" s="7">
        <f t="shared" si="33"/>
        <v>0.14735629149968449</v>
      </c>
      <c r="W29" s="7">
        <f t="shared" si="33"/>
        <v>3.7042726526241777E-2</v>
      </c>
      <c r="X29" s="7">
        <f>SUM(R29:W29)</f>
        <v>0.99999999999999989</v>
      </c>
    </row>
    <row r="30" spans="1:24" ht="15.75" customHeight="1" x14ac:dyDescent="0.3">
      <c r="C30" t="s">
        <v>68</v>
      </c>
      <c r="D30" t="s">
        <v>69</v>
      </c>
      <c r="E30" t="s">
        <v>72</v>
      </c>
      <c r="F30" t="s">
        <v>71</v>
      </c>
      <c r="G30" t="s">
        <v>70</v>
      </c>
      <c r="H30" t="s">
        <v>73</v>
      </c>
      <c r="K30" t="s">
        <v>68</v>
      </c>
      <c r="L30" t="s">
        <v>69</v>
      </c>
      <c r="M30" t="s">
        <v>70</v>
      </c>
      <c r="N30" t="s">
        <v>71</v>
      </c>
      <c r="O30" t="s">
        <v>72</v>
      </c>
      <c r="P30" t="s">
        <v>73</v>
      </c>
    </row>
    <row r="31" spans="1:24" ht="15.75" customHeight="1" x14ac:dyDescent="0.3">
      <c r="A31">
        <v>15</v>
      </c>
      <c r="B31" s="16" t="s">
        <v>96</v>
      </c>
      <c r="C31" s="7">
        <f>Rankings!L24</f>
        <v>16.661567820804372</v>
      </c>
      <c r="D31" s="7">
        <f>Rankings!M24</f>
        <v>10.176032898153222</v>
      </c>
      <c r="E31" s="7">
        <f>Rankings!N24</f>
        <v>5.6559466752303669</v>
      </c>
      <c r="F31" s="7">
        <f>Rankings!O24</f>
        <v>4.5103002243916306</v>
      </c>
      <c r="G31" s="7">
        <f>Rankings!P24</f>
        <v>2.0145521929129111</v>
      </c>
      <c r="H31" s="7">
        <f>Rankings!Q24</f>
        <v>1</v>
      </c>
      <c r="I31" s="7">
        <f>Rankings!R24</f>
        <v>40.0183998114925</v>
      </c>
      <c r="K31" s="7">
        <f t="shared" ref="K31:L31" si="34">C31</f>
        <v>16.661567820804372</v>
      </c>
      <c r="L31" s="7">
        <f t="shared" si="34"/>
        <v>10.176032898153222</v>
      </c>
      <c r="M31" s="7">
        <f>G31</f>
        <v>2.0145521929129111</v>
      </c>
      <c r="N31" s="7">
        <f>F31</f>
        <v>4.5103002243916306</v>
      </c>
      <c r="O31" s="7">
        <f>E31</f>
        <v>5.6559466752303669</v>
      </c>
      <c r="P31" s="7">
        <f>H31</f>
        <v>1</v>
      </c>
      <c r="R31" s="7">
        <f t="shared" ref="R31:W31" si="35">K31/$I31</f>
        <v>0.41634767755055252</v>
      </c>
      <c r="S31" s="7">
        <f t="shared" si="35"/>
        <v>0.25428385307977419</v>
      </c>
      <c r="T31" s="7">
        <f t="shared" si="35"/>
        <v>5.0340648361816086E-2</v>
      </c>
      <c r="U31" s="7">
        <f t="shared" si="35"/>
        <v>0.11270566153663047</v>
      </c>
      <c r="V31" s="7">
        <f t="shared" si="35"/>
        <v>0.14133365406595017</v>
      </c>
      <c r="W31" s="7">
        <f t="shared" si="35"/>
        <v>2.4988505405276591E-2</v>
      </c>
      <c r="X31" s="7">
        <f>SUM(R31:W31)</f>
        <v>1</v>
      </c>
    </row>
    <row r="32" spans="1:24" ht="15.75" customHeight="1" x14ac:dyDescent="0.3">
      <c r="C32" t="s">
        <v>68</v>
      </c>
      <c r="D32" t="s">
        <v>69</v>
      </c>
      <c r="E32" t="s">
        <v>72</v>
      </c>
      <c r="F32" t="s">
        <v>71</v>
      </c>
      <c r="G32" t="s">
        <v>73</v>
      </c>
      <c r="H32" t="s">
        <v>70</v>
      </c>
      <c r="K32" t="s">
        <v>68</v>
      </c>
      <c r="L32" t="s">
        <v>69</v>
      </c>
      <c r="M32" t="s">
        <v>70</v>
      </c>
      <c r="N32" t="s">
        <v>71</v>
      </c>
      <c r="O32" t="s">
        <v>72</v>
      </c>
      <c r="P32" t="s">
        <v>73</v>
      </c>
    </row>
    <row r="33" spans="1:24" ht="15.75" customHeight="1" x14ac:dyDescent="0.3">
      <c r="A33">
        <v>16</v>
      </c>
      <c r="B33" s="16" t="s">
        <v>97</v>
      </c>
      <c r="C33" s="7">
        <f>Rankings!L25</f>
        <v>7.6630044762793705</v>
      </c>
      <c r="D33" s="7">
        <f>Rankings!M25</f>
        <v>4.6801709471749886</v>
      </c>
      <c r="E33" s="7">
        <f>Rankings!N25</f>
        <v>2.6012884955381903</v>
      </c>
      <c r="F33" s="7">
        <f>Rankings!O25</f>
        <v>2.0743816656749861</v>
      </c>
      <c r="G33" s="7">
        <f>Rankings!P25</f>
        <v>1.4032439022773779</v>
      </c>
      <c r="H33" s="7">
        <f>Rankings!Q25</f>
        <v>1</v>
      </c>
      <c r="I33" s="7">
        <f>Rankings!R25</f>
        <v>19.422089486944913</v>
      </c>
      <c r="K33" s="7">
        <f t="shared" ref="K33:L33" si="36">C33</f>
        <v>7.6630044762793705</v>
      </c>
      <c r="L33" s="7">
        <f t="shared" si="36"/>
        <v>4.6801709471749886</v>
      </c>
      <c r="M33" s="7">
        <f>H33</f>
        <v>1</v>
      </c>
      <c r="N33" s="7">
        <f>F33</f>
        <v>2.0743816656749861</v>
      </c>
      <c r="O33" s="7">
        <f>E33</f>
        <v>2.6012884955381903</v>
      </c>
      <c r="P33" s="7">
        <f>G33</f>
        <v>1.4032439022773779</v>
      </c>
      <c r="R33" s="7">
        <f t="shared" ref="R33:W33" si="37">K33/$I33</f>
        <v>0.39455098183077925</v>
      </c>
      <c r="S33" s="7">
        <f t="shared" si="37"/>
        <v>0.24097154687300218</v>
      </c>
      <c r="T33" s="7">
        <f t="shared" si="37"/>
        <v>5.1487766065138219E-2</v>
      </c>
      <c r="U33" s="7">
        <f t="shared" si="37"/>
        <v>0.10680527793208544</v>
      </c>
      <c r="V33" s="7">
        <f t="shared" si="37"/>
        <v>0.13393453352620568</v>
      </c>
      <c r="W33" s="7">
        <f t="shared" si="37"/>
        <v>7.2249893772789314E-2</v>
      </c>
      <c r="X33" s="7">
        <f>SUM(R33:W33)</f>
        <v>1</v>
      </c>
    </row>
    <row r="34" spans="1:24" ht="15.75" customHeight="1" x14ac:dyDescent="0.3">
      <c r="C34" t="s">
        <v>68</v>
      </c>
      <c r="D34" t="s">
        <v>69</v>
      </c>
      <c r="E34" t="s">
        <v>72</v>
      </c>
      <c r="F34" t="s">
        <v>73</v>
      </c>
      <c r="G34" t="s">
        <v>70</v>
      </c>
      <c r="H34" t="s">
        <v>71</v>
      </c>
      <c r="K34" t="s">
        <v>68</v>
      </c>
      <c r="L34" t="s">
        <v>69</v>
      </c>
      <c r="M34" t="s">
        <v>70</v>
      </c>
      <c r="N34" t="s">
        <v>71</v>
      </c>
      <c r="O34" t="s">
        <v>72</v>
      </c>
      <c r="P34" t="s">
        <v>73</v>
      </c>
    </row>
    <row r="35" spans="1:24" ht="15.75" customHeight="1" x14ac:dyDescent="0.3">
      <c r="A35">
        <v>17</v>
      </c>
      <c r="B35" s="16" t="s">
        <v>98</v>
      </c>
      <c r="C35" s="7">
        <f>Rankings!L26</f>
        <v>7.8354146895832679</v>
      </c>
      <c r="D35" s="7">
        <f>Rankings!M26</f>
        <v>4.785470281633021</v>
      </c>
      <c r="E35" s="7">
        <f>Rankings!N26</f>
        <v>2.6598149789519741</v>
      </c>
      <c r="F35" s="7">
        <f>Rankings!O26</f>
        <v>2.0120604358188379</v>
      </c>
      <c r="G35" s="7">
        <f>Rankings!P26</f>
        <v>1.4338636587362954</v>
      </c>
      <c r="H35" s="7">
        <f>Rankings!Q26</f>
        <v>1</v>
      </c>
      <c r="I35" s="7">
        <f>Rankings!R26</f>
        <v>19.726624044723398</v>
      </c>
      <c r="K35" s="7">
        <f t="shared" ref="K35:L35" si="38">C35</f>
        <v>7.8354146895832679</v>
      </c>
      <c r="L35" s="7">
        <f t="shared" si="38"/>
        <v>4.785470281633021</v>
      </c>
      <c r="M35" s="7">
        <f t="shared" ref="M35:N35" si="39">G35</f>
        <v>1.4338636587362954</v>
      </c>
      <c r="N35" s="7">
        <f t="shared" si="39"/>
        <v>1</v>
      </c>
      <c r="O35" s="7">
        <f t="shared" ref="O35:P35" si="40">E35</f>
        <v>2.6598149789519741</v>
      </c>
      <c r="P35" s="7">
        <f t="shared" si="40"/>
        <v>2.0120604358188379</v>
      </c>
      <c r="R35" s="7">
        <f t="shared" ref="R35:W35" si="41">K35/$I35</f>
        <v>0.39719998068697082</v>
      </c>
      <c r="S35" s="7">
        <f t="shared" si="41"/>
        <v>0.24258941980054965</v>
      </c>
      <c r="T35" s="7">
        <f t="shared" si="41"/>
        <v>7.2686723054360344E-2</v>
      </c>
      <c r="U35" s="7">
        <f t="shared" si="41"/>
        <v>5.0692911150577044E-2</v>
      </c>
      <c r="V35" s="7">
        <f t="shared" si="41"/>
        <v>0.13483376440498637</v>
      </c>
      <c r="W35" s="7">
        <f t="shared" si="41"/>
        <v>0.10199720090255568</v>
      </c>
      <c r="X35" s="7">
        <f>SUM(R35:W35)</f>
        <v>0.99999999999999989</v>
      </c>
    </row>
    <row r="36" spans="1:24" ht="15.75" customHeight="1" x14ac:dyDescent="0.3">
      <c r="C36" t="s">
        <v>68</v>
      </c>
      <c r="D36" t="s">
        <v>69</v>
      </c>
      <c r="E36" t="s">
        <v>72</v>
      </c>
      <c r="F36" t="s">
        <v>73</v>
      </c>
      <c r="G36" t="s">
        <v>71</v>
      </c>
      <c r="H36" t="s">
        <v>70</v>
      </c>
      <c r="K36" t="s">
        <v>68</v>
      </c>
      <c r="L36" t="s">
        <v>69</v>
      </c>
      <c r="M36" t="s">
        <v>70</v>
      </c>
      <c r="N36" t="s">
        <v>71</v>
      </c>
      <c r="O36" t="s">
        <v>72</v>
      </c>
      <c r="P36" t="s">
        <v>73</v>
      </c>
    </row>
    <row r="37" spans="1:24" ht="15.75" customHeight="1" x14ac:dyDescent="0.3">
      <c r="A37">
        <v>18</v>
      </c>
      <c r="B37" s="16" t="s">
        <v>99</v>
      </c>
      <c r="C37" s="7">
        <f>Rankings!L27</f>
        <v>7.7323858578754949</v>
      </c>
      <c r="D37" s="7">
        <f>Rankings!M27</f>
        <v>4.7225455441657891</v>
      </c>
      <c r="E37" s="7">
        <f>Rankings!N27</f>
        <v>2.6248407445691311</v>
      </c>
      <c r="F37" s="7">
        <f>Rankings!O27</f>
        <v>1.9856036056138657</v>
      </c>
      <c r="G37" s="7">
        <f>Rankings!P27</f>
        <v>2.2388599512381115</v>
      </c>
      <c r="H37" s="7">
        <f>Rankings!Q27</f>
        <v>1</v>
      </c>
      <c r="I37" s="7">
        <f>Rankings!R27</f>
        <v>20.304235703462393</v>
      </c>
      <c r="K37" s="7">
        <f t="shared" ref="K37:L37" si="42">C37</f>
        <v>7.7323858578754949</v>
      </c>
      <c r="L37" s="7">
        <f t="shared" si="42"/>
        <v>4.7225455441657891</v>
      </c>
      <c r="M37" s="7">
        <f>H37</f>
        <v>1</v>
      </c>
      <c r="N37" s="7">
        <f>G37</f>
        <v>2.2388599512381115</v>
      </c>
      <c r="O37" s="7">
        <f t="shared" ref="O37:P37" si="43">E37</f>
        <v>2.6248407445691311</v>
      </c>
      <c r="P37" s="7">
        <f t="shared" si="43"/>
        <v>1.9856036056138657</v>
      </c>
      <c r="R37" s="7">
        <f t="shared" ref="R37:W37" si="44">K37/$I37</f>
        <v>0.38082624585356467</v>
      </c>
      <c r="S37" s="7">
        <f t="shared" si="44"/>
        <v>0.23258918056001851</v>
      </c>
      <c r="T37" s="7">
        <f t="shared" si="44"/>
        <v>4.9250807299753438E-2</v>
      </c>
      <c r="U37" s="7">
        <f t="shared" si="44"/>
        <v>0.11026566002956362</v>
      </c>
      <c r="V37" s="7">
        <f t="shared" si="44"/>
        <v>0.1292755257033156</v>
      </c>
      <c r="W37" s="7">
        <f t="shared" si="44"/>
        <v>9.779258055378412E-2</v>
      </c>
      <c r="X37" s="7">
        <f>SUM(R37:W37)</f>
        <v>0.99999999999999989</v>
      </c>
    </row>
    <row r="38" spans="1:24" ht="15.75" customHeight="1" x14ac:dyDescent="0.3">
      <c r="C38" t="s">
        <v>68</v>
      </c>
      <c r="D38" t="s">
        <v>69</v>
      </c>
      <c r="E38" t="s">
        <v>73</v>
      </c>
      <c r="F38" t="s">
        <v>70</v>
      </c>
      <c r="G38" t="s">
        <v>71</v>
      </c>
      <c r="H38" t="s">
        <v>72</v>
      </c>
      <c r="K38" t="s">
        <v>68</v>
      </c>
      <c r="L38" t="s">
        <v>69</v>
      </c>
      <c r="M38" t="s">
        <v>70</v>
      </c>
      <c r="N38" t="s">
        <v>71</v>
      </c>
      <c r="O38" t="s">
        <v>72</v>
      </c>
      <c r="P38" t="s">
        <v>73</v>
      </c>
    </row>
    <row r="39" spans="1:24" ht="15.75" customHeight="1" x14ac:dyDescent="0.3">
      <c r="A39">
        <v>19</v>
      </c>
      <c r="B39" s="16" t="s">
        <v>100</v>
      </c>
      <c r="C39" s="7">
        <f>Rankings!L28</f>
        <v>8.3354932779441668</v>
      </c>
      <c r="D39" s="7">
        <f>Rankings!M28</f>
        <v>5.0908926897492845</v>
      </c>
      <c r="E39" s="7">
        <f>Rankings!N28</f>
        <v>3.8121019206214086</v>
      </c>
      <c r="F39" s="7">
        <f>Rankings!O28</f>
        <v>2.7166353008444242</v>
      </c>
      <c r="G39" s="7">
        <f>Rankings!P28</f>
        <v>1.89462595295753</v>
      </c>
      <c r="H39" s="7">
        <f>Rankings!Q28</f>
        <v>1</v>
      </c>
      <c r="I39" s="7">
        <f>Rankings!R28</f>
        <v>22.849749142116814</v>
      </c>
      <c r="K39" s="7">
        <f t="shared" ref="K39:L39" si="45">C39</f>
        <v>8.3354932779441668</v>
      </c>
      <c r="L39" s="7">
        <f t="shared" si="45"/>
        <v>5.0908926897492845</v>
      </c>
      <c r="M39" s="7">
        <f t="shared" ref="M39:O39" si="46">F39</f>
        <v>2.7166353008444242</v>
      </c>
      <c r="N39" s="7">
        <f t="shared" si="46"/>
        <v>1.89462595295753</v>
      </c>
      <c r="O39" s="7">
        <f t="shared" si="46"/>
        <v>1</v>
      </c>
      <c r="P39" s="7">
        <f>E39</f>
        <v>3.8121019206214086</v>
      </c>
      <c r="R39" s="7">
        <f t="shared" ref="R39:W39" si="47">K39/$I39</f>
        <v>0.3647958332540347</v>
      </c>
      <c r="S39" s="7">
        <f t="shared" si="47"/>
        <v>0.22279862496895936</v>
      </c>
      <c r="T39" s="7">
        <f t="shared" si="47"/>
        <v>0.11889125276378214</v>
      </c>
      <c r="U39" s="7">
        <f t="shared" si="47"/>
        <v>8.2916706926350559E-2</v>
      </c>
      <c r="V39" s="7">
        <f t="shared" si="47"/>
        <v>4.3764156611977557E-2</v>
      </c>
      <c r="W39" s="7">
        <f t="shared" si="47"/>
        <v>0.16683342547489577</v>
      </c>
      <c r="X39" s="7">
        <f>SUM(R39:W39)</f>
        <v>1</v>
      </c>
    </row>
    <row r="40" spans="1:24" ht="15.75" customHeight="1" x14ac:dyDescent="0.3">
      <c r="C40" t="s">
        <v>68</v>
      </c>
      <c r="D40" t="s">
        <v>69</v>
      </c>
      <c r="E40" t="s">
        <v>73</v>
      </c>
      <c r="F40" t="s">
        <v>70</v>
      </c>
      <c r="G40" t="s">
        <v>72</v>
      </c>
      <c r="H40" t="s">
        <v>71</v>
      </c>
      <c r="K40" t="s">
        <v>68</v>
      </c>
      <c r="L40" t="s">
        <v>69</v>
      </c>
      <c r="M40" t="s">
        <v>70</v>
      </c>
      <c r="N40" t="s">
        <v>71</v>
      </c>
      <c r="O40" t="s">
        <v>72</v>
      </c>
      <c r="P40" t="s">
        <v>73</v>
      </c>
    </row>
    <row r="41" spans="1:24" ht="15.75" customHeight="1" x14ac:dyDescent="0.3">
      <c r="A41">
        <v>20</v>
      </c>
      <c r="B41" s="16" t="s">
        <v>101</v>
      </c>
      <c r="C41" s="7">
        <f>Rankings!L29</f>
        <v>8.6244828530433448</v>
      </c>
      <c r="D41" s="7">
        <f>Rankings!M29</f>
        <v>5.2673927319458276</v>
      </c>
      <c r="E41" s="7">
        <f>Rankings!N29</f>
        <v>3.9442665901305469</v>
      </c>
      <c r="F41" s="7">
        <f>Rankings!O29</f>
        <v>2.8108204024469634</v>
      </c>
      <c r="G41" s="7">
        <f>Rankings!P29</f>
        <v>1.25400669441983</v>
      </c>
      <c r="H41" s="7">
        <f>Rankings!Q29</f>
        <v>1</v>
      </c>
      <c r="I41" s="7">
        <f>Rankings!R29</f>
        <v>22.900969271986511</v>
      </c>
      <c r="K41" s="7">
        <f t="shared" ref="K41:L41" si="48">C41</f>
        <v>8.6244828530433448</v>
      </c>
      <c r="L41" s="7">
        <f t="shared" si="48"/>
        <v>5.2673927319458276</v>
      </c>
      <c r="M41" s="7">
        <f>F41</f>
        <v>2.8108204024469634</v>
      </c>
      <c r="N41" s="7">
        <f>H41</f>
        <v>1</v>
      </c>
      <c r="O41" s="7">
        <f>G41</f>
        <v>1.25400669441983</v>
      </c>
      <c r="P41" s="7">
        <f>E41</f>
        <v>3.9442665901305469</v>
      </c>
      <c r="R41" s="7">
        <f t="shared" ref="R41:W41" si="49">K41/$I41</f>
        <v>0.3765990317096839</v>
      </c>
      <c r="S41" s="7">
        <f t="shared" si="49"/>
        <v>0.23000741450664874</v>
      </c>
      <c r="T41" s="7">
        <f t="shared" si="49"/>
        <v>0.12273805396897695</v>
      </c>
      <c r="U41" s="7">
        <f t="shared" si="49"/>
        <v>4.3666274039468045E-2</v>
      </c>
      <c r="V41" s="7">
        <f t="shared" si="49"/>
        <v>5.475779996586376E-2</v>
      </c>
      <c r="W41" s="7">
        <f t="shared" si="49"/>
        <v>0.17223142580935866</v>
      </c>
      <c r="X41" s="7">
        <f>SUM(R41:W41)</f>
        <v>1</v>
      </c>
    </row>
    <row r="42" spans="1:24" ht="15.75" customHeight="1" x14ac:dyDescent="0.3">
      <c r="C42" t="s">
        <v>68</v>
      </c>
      <c r="D42" t="s">
        <v>69</v>
      </c>
      <c r="E42" t="s">
        <v>73</v>
      </c>
      <c r="F42" t="s">
        <v>71</v>
      </c>
      <c r="G42" t="s">
        <v>70</v>
      </c>
      <c r="H42" t="s">
        <v>72</v>
      </c>
      <c r="K42" t="s">
        <v>68</v>
      </c>
      <c r="L42" t="s">
        <v>69</v>
      </c>
      <c r="M42" t="s">
        <v>70</v>
      </c>
      <c r="N42" t="s">
        <v>71</v>
      </c>
      <c r="O42" t="s">
        <v>72</v>
      </c>
      <c r="P42" t="s">
        <v>73</v>
      </c>
    </row>
    <row r="43" spans="1:24" ht="15.75" customHeight="1" x14ac:dyDescent="0.3">
      <c r="A43">
        <v>21</v>
      </c>
      <c r="B43" s="16" t="s">
        <v>102</v>
      </c>
      <c r="C43" s="7">
        <f>Rankings!L30</f>
        <v>9.7317870508658704</v>
      </c>
      <c r="D43" s="7">
        <f>Rankings!M30</f>
        <v>5.9436774649609001</v>
      </c>
      <c r="E43" s="7">
        <f>Rankings!N30</f>
        <v>4.4506741077756802</v>
      </c>
      <c r="F43" s="7">
        <f>Rankings!O30</f>
        <v>5.0183410161721573</v>
      </c>
      <c r="G43" s="7">
        <f>Rankings!P30</f>
        <v>2.2414716085286912</v>
      </c>
      <c r="H43" s="7">
        <f>Rankings!Q30</f>
        <v>1</v>
      </c>
      <c r="I43" s="7">
        <f>Rankings!R30</f>
        <v>28.3859512483033</v>
      </c>
      <c r="K43" s="7">
        <f t="shared" ref="K43:L43" si="50">C43</f>
        <v>9.7317870508658704</v>
      </c>
      <c r="L43" s="7">
        <f t="shared" si="50"/>
        <v>5.9436774649609001</v>
      </c>
      <c r="M43" s="7">
        <f>G43</f>
        <v>2.2414716085286912</v>
      </c>
      <c r="N43" s="7">
        <f>F43</f>
        <v>5.0183410161721573</v>
      </c>
      <c r="O43" s="7">
        <f>H43</f>
        <v>1</v>
      </c>
      <c r="P43" s="7">
        <f>E43</f>
        <v>4.4506741077756802</v>
      </c>
      <c r="R43" s="7">
        <f t="shared" ref="R43:W43" si="51">K43/$I43</f>
        <v>0.34283815137065604</v>
      </c>
      <c r="S43" s="7">
        <f t="shared" si="51"/>
        <v>0.20938799665261063</v>
      </c>
      <c r="T43" s="7">
        <f t="shared" si="51"/>
        <v>7.8964118162595298E-2</v>
      </c>
      <c r="U43" s="7">
        <f t="shared" si="51"/>
        <v>0.1767896017390686</v>
      </c>
      <c r="V43" s="7">
        <f t="shared" si="51"/>
        <v>3.5228694337300831E-2</v>
      </c>
      <c r="W43" s="7">
        <f t="shared" si="51"/>
        <v>0.15679143773776855</v>
      </c>
      <c r="X43" s="7">
        <f>SUM(R43:W43)</f>
        <v>1</v>
      </c>
    </row>
    <row r="44" spans="1:24" ht="15.75" customHeight="1" x14ac:dyDescent="0.3">
      <c r="C44" t="s">
        <v>68</v>
      </c>
      <c r="D44" t="s">
        <v>69</v>
      </c>
      <c r="E44" t="s">
        <v>73</v>
      </c>
      <c r="F44" t="s">
        <v>71</v>
      </c>
      <c r="G44" t="s">
        <v>72</v>
      </c>
      <c r="H44" t="s">
        <v>70</v>
      </c>
      <c r="K44" t="s">
        <v>68</v>
      </c>
      <c r="L44" t="s">
        <v>69</v>
      </c>
      <c r="M44" t="s">
        <v>70</v>
      </c>
      <c r="N44" t="s">
        <v>71</v>
      </c>
      <c r="O44" t="s">
        <v>72</v>
      </c>
      <c r="P44" t="s">
        <v>73</v>
      </c>
    </row>
    <row r="45" spans="1:24" ht="15.75" customHeight="1" x14ac:dyDescent="0.3">
      <c r="A45">
        <v>22</v>
      </c>
      <c r="B45" s="16" t="s">
        <v>103</v>
      </c>
      <c r="C45" s="7">
        <f>Rankings!L31</f>
        <v>7.2550953324178682</v>
      </c>
      <c r="D45" s="7">
        <f>Rankings!M31</f>
        <v>4.4310409185945341</v>
      </c>
      <c r="E45" s="7">
        <f>Rankings!N31</f>
        <v>3.3179995386935071</v>
      </c>
      <c r="F45" s="7">
        <f>Rankings!O31</f>
        <v>3.741198023817462</v>
      </c>
      <c r="G45" s="7">
        <f>Rankings!P31</f>
        <v>1.9746367445127702</v>
      </c>
      <c r="H45" s="7">
        <f>Rankings!Q31</f>
        <v>1</v>
      </c>
      <c r="I45" s="7">
        <f>Rankings!R31</f>
        <v>21.719970558036142</v>
      </c>
      <c r="K45" s="7">
        <f t="shared" ref="K45:L45" si="52">C45</f>
        <v>7.2550953324178682</v>
      </c>
      <c r="L45" s="7">
        <f t="shared" si="52"/>
        <v>4.4310409185945341</v>
      </c>
      <c r="M45" s="7">
        <f>H45</f>
        <v>1</v>
      </c>
      <c r="N45" s="7">
        <f t="shared" ref="N45:O45" si="53">F45</f>
        <v>3.741198023817462</v>
      </c>
      <c r="O45" s="7">
        <f t="shared" si="53"/>
        <v>1.9746367445127702</v>
      </c>
      <c r="P45" s="7">
        <f>E45</f>
        <v>3.3179995386935071</v>
      </c>
      <c r="R45" s="7">
        <f t="shared" ref="R45:W45" si="54">K45/$I45</f>
        <v>0.33402878300558125</v>
      </c>
      <c r="S45" s="7">
        <f t="shared" si="54"/>
        <v>0.20400768531222063</v>
      </c>
      <c r="T45" s="7">
        <f t="shared" si="54"/>
        <v>4.6040578062846928E-2</v>
      </c>
      <c r="U45" s="7">
        <f t="shared" si="54"/>
        <v>0.17224691966413652</v>
      </c>
      <c r="V45" s="7">
        <f t="shared" si="54"/>
        <v>9.0913417181506126E-2</v>
      </c>
      <c r="W45" s="7">
        <f t="shared" si="54"/>
        <v>0.1527626167737085</v>
      </c>
      <c r="X45" s="7">
        <f>SUM(R45:W45)</f>
        <v>0.99999999999999989</v>
      </c>
    </row>
    <row r="46" spans="1:24" ht="15.75" customHeight="1" x14ac:dyDescent="0.3">
      <c r="C46" t="s">
        <v>68</v>
      </c>
      <c r="D46" t="s">
        <v>69</v>
      </c>
      <c r="E46" t="s">
        <v>73</v>
      </c>
      <c r="F46" t="s">
        <v>72</v>
      </c>
      <c r="G46" t="s">
        <v>70</v>
      </c>
      <c r="H46" t="s">
        <v>71</v>
      </c>
      <c r="K46" t="s">
        <v>68</v>
      </c>
      <c r="L46" t="s">
        <v>69</v>
      </c>
      <c r="M46" t="s">
        <v>70</v>
      </c>
      <c r="N46" t="s">
        <v>71</v>
      </c>
      <c r="O46" t="s">
        <v>72</v>
      </c>
      <c r="P46" t="s">
        <v>73</v>
      </c>
    </row>
    <row r="47" spans="1:24" ht="15.75" customHeight="1" x14ac:dyDescent="0.3">
      <c r="A47">
        <v>23</v>
      </c>
      <c r="B47" s="16" t="s">
        <v>104</v>
      </c>
      <c r="C47" s="7">
        <f>Rankings!L32</f>
        <v>7.5942195851579424</v>
      </c>
      <c r="D47" s="7">
        <f>Rankings!M32</f>
        <v>4.6381606560381865</v>
      </c>
      <c r="E47" s="7">
        <f>Rankings!N32</f>
        <v>3.4730924854565299</v>
      </c>
      <c r="F47" s="7">
        <f>Rankings!O32</f>
        <v>2.8313598671622078</v>
      </c>
      <c r="G47" s="7">
        <f>Rankings!P32</f>
        <v>1.4338636587362954</v>
      </c>
      <c r="H47" s="7">
        <f>Rankings!Q32</f>
        <v>1</v>
      </c>
      <c r="I47" s="7">
        <f>Rankings!R32</f>
        <v>20.970696252551161</v>
      </c>
      <c r="K47" s="7">
        <f t="shared" ref="K47:L47" si="55">C47</f>
        <v>7.5942195851579424</v>
      </c>
      <c r="L47" s="7">
        <f t="shared" si="55"/>
        <v>4.6381606560381865</v>
      </c>
      <c r="M47" s="7">
        <f t="shared" ref="M47:N47" si="56">G47</f>
        <v>1.4338636587362954</v>
      </c>
      <c r="N47" s="7">
        <f t="shared" si="56"/>
        <v>1</v>
      </c>
      <c r="O47" s="7">
        <f>F47</f>
        <v>2.8313598671622078</v>
      </c>
      <c r="P47" s="7">
        <f>E47</f>
        <v>3.4730924854565299</v>
      </c>
      <c r="R47" s="7">
        <f t="shared" ref="R47:W47" si="57">K47/$I47</f>
        <v>0.36213483299268512</v>
      </c>
      <c r="S47" s="7">
        <f t="shared" si="57"/>
        <v>0.22117342219736447</v>
      </c>
      <c r="T47" s="7">
        <f t="shared" si="57"/>
        <v>6.8374632938658905E-2</v>
      </c>
      <c r="U47" s="7">
        <f t="shared" si="57"/>
        <v>4.7685588878735793E-2</v>
      </c>
      <c r="V47" s="7">
        <f t="shared" si="57"/>
        <v>0.13501506259324902</v>
      </c>
      <c r="W47" s="7">
        <f t="shared" si="57"/>
        <v>0.16561646039930675</v>
      </c>
      <c r="X47" s="7">
        <f>SUM(R47:W47)</f>
        <v>1</v>
      </c>
    </row>
    <row r="48" spans="1:24" ht="15.75" customHeight="1" x14ac:dyDescent="0.3">
      <c r="C48" t="s">
        <v>68</v>
      </c>
      <c r="D48" t="s">
        <v>69</v>
      </c>
      <c r="E48" t="s">
        <v>73</v>
      </c>
      <c r="F48" t="s">
        <v>72</v>
      </c>
      <c r="G48" t="s">
        <v>71</v>
      </c>
      <c r="H48" t="s">
        <v>70</v>
      </c>
      <c r="K48" t="s">
        <v>68</v>
      </c>
      <c r="L48" t="s">
        <v>69</v>
      </c>
      <c r="M48" t="s">
        <v>70</v>
      </c>
      <c r="N48" t="s">
        <v>71</v>
      </c>
      <c r="O48" t="s">
        <v>72</v>
      </c>
      <c r="P48" t="s">
        <v>73</v>
      </c>
    </row>
    <row r="49" spans="1:24" ht="15.75" customHeight="1" x14ac:dyDescent="0.3">
      <c r="A49">
        <v>24</v>
      </c>
      <c r="B49" s="16" t="s">
        <v>105</v>
      </c>
      <c r="C49" s="7">
        <f>Rankings!L33</f>
        <v>7.5303447850103051</v>
      </c>
      <c r="D49" s="7">
        <f>Rankings!M33</f>
        <v>4.5991491971733316</v>
      </c>
      <c r="E49" s="7">
        <f>Rankings!N33</f>
        <v>3.4438803872395698</v>
      </c>
      <c r="F49" s="7">
        <f>Rankings!O33</f>
        <v>2.8075453667210462</v>
      </c>
      <c r="G49" s="7">
        <f>Rankings!P33</f>
        <v>2.2388599512381115</v>
      </c>
      <c r="H49" s="7">
        <f>Rankings!Q33</f>
        <v>1</v>
      </c>
      <c r="I49" s="7">
        <f>Rankings!R33</f>
        <v>21.619779687382366</v>
      </c>
      <c r="K49" s="7">
        <f t="shared" ref="K49:L49" si="58">C49</f>
        <v>7.5303447850103051</v>
      </c>
      <c r="L49" s="7">
        <f t="shared" si="58"/>
        <v>4.5991491971733316</v>
      </c>
      <c r="M49" s="7">
        <f>H49</f>
        <v>1</v>
      </c>
      <c r="N49" s="7">
        <f>G49</f>
        <v>2.2388599512381115</v>
      </c>
      <c r="O49" s="7">
        <f>F49</f>
        <v>2.8075453667210462</v>
      </c>
      <c r="P49" s="7">
        <f>E49</f>
        <v>3.4438803872395698</v>
      </c>
      <c r="R49" s="7">
        <f t="shared" ref="R49:W49" si="59">K49/$I49</f>
        <v>0.34830811848675453</v>
      </c>
      <c r="S49" s="7">
        <f t="shared" si="59"/>
        <v>0.21272877261822726</v>
      </c>
      <c r="T49" s="7">
        <f t="shared" si="59"/>
        <v>4.6253940348134785E-2</v>
      </c>
      <c r="U49" s="7">
        <f t="shared" si="59"/>
        <v>0.10355609463239555</v>
      </c>
      <c r="V49" s="7">
        <f t="shared" si="59"/>
        <v>0.12986003591699746</v>
      </c>
      <c r="W49" s="7">
        <f t="shared" si="59"/>
        <v>0.15929303799749037</v>
      </c>
      <c r="X49" s="7">
        <f>SUM(R49:W49)</f>
        <v>1</v>
      </c>
    </row>
    <row r="50" spans="1:24" ht="15.75" customHeight="1" x14ac:dyDescent="0.3">
      <c r="C50" t="s">
        <v>68</v>
      </c>
      <c r="D50" t="s">
        <v>70</v>
      </c>
      <c r="E50" t="s">
        <v>69</v>
      </c>
      <c r="F50" t="s">
        <v>71</v>
      </c>
      <c r="G50" t="s">
        <v>72</v>
      </c>
      <c r="H50" t="s">
        <v>73</v>
      </c>
      <c r="K50" t="s">
        <v>68</v>
      </c>
      <c r="L50" t="s">
        <v>69</v>
      </c>
      <c r="M50" t="s">
        <v>70</v>
      </c>
      <c r="N50" t="s">
        <v>71</v>
      </c>
      <c r="O50" t="s">
        <v>72</v>
      </c>
      <c r="P50" t="s">
        <v>73</v>
      </c>
    </row>
    <row r="51" spans="1:24" ht="15.75" customHeight="1" x14ac:dyDescent="0.3">
      <c r="A51">
        <v>25</v>
      </c>
      <c r="B51" s="16" t="s">
        <v>106</v>
      </c>
      <c r="C51" s="7">
        <f>Rankings!L34</f>
        <v>3.8067860947313945</v>
      </c>
      <c r="D51" s="7">
        <f>Rankings!M34</f>
        <v>3.4354874098741308</v>
      </c>
      <c r="E51" s="7">
        <f>Rankings!N34</f>
        <v>2.281226340202704</v>
      </c>
      <c r="F51" s="7">
        <f>Rankings!O34</f>
        <v>2.5045741168986093</v>
      </c>
      <c r="G51" s="7">
        <f>Rankings!P34</f>
        <v>1.3219359277692486</v>
      </c>
      <c r="H51" s="7">
        <f>Rankings!Q34</f>
        <v>1</v>
      </c>
      <c r="I51" s="7">
        <f>Rankings!R34</f>
        <v>14.350009889476087</v>
      </c>
      <c r="K51" s="7">
        <f>C51</f>
        <v>3.8067860947313945</v>
      </c>
      <c r="L51" s="7">
        <f>E51</f>
        <v>2.281226340202704</v>
      </c>
      <c r="M51" s="7">
        <f>D51</f>
        <v>3.4354874098741308</v>
      </c>
      <c r="N51" s="7">
        <f t="shared" ref="N51:P51" si="60">F51</f>
        <v>2.5045741168986093</v>
      </c>
      <c r="O51" s="7">
        <f t="shared" si="60"/>
        <v>1.3219359277692486</v>
      </c>
      <c r="P51" s="7">
        <f t="shared" si="60"/>
        <v>1</v>
      </c>
      <c r="R51" s="7">
        <f t="shared" ref="R51:W51" si="61">K51/$I51</f>
        <v>0.26528107813522761</v>
      </c>
      <c r="S51" s="7">
        <f t="shared" si="61"/>
        <v>0.15897036711282647</v>
      </c>
      <c r="T51" s="7">
        <f t="shared" si="61"/>
        <v>0.23940662315456837</v>
      </c>
      <c r="U51" s="7">
        <f t="shared" si="61"/>
        <v>0.17453466138273513</v>
      </c>
      <c r="V51" s="7">
        <f t="shared" si="61"/>
        <v>9.2120907090016774E-2</v>
      </c>
      <c r="W51" s="7">
        <f t="shared" si="61"/>
        <v>6.9686363124625658E-2</v>
      </c>
      <c r="X51" s="7">
        <f>SUM(R51:W51)</f>
        <v>0.99999999999999989</v>
      </c>
    </row>
    <row r="52" spans="1:24" ht="15.75" customHeight="1" x14ac:dyDescent="0.3">
      <c r="C52" t="s">
        <v>68</v>
      </c>
      <c r="D52" t="s">
        <v>70</v>
      </c>
      <c r="E52" t="s">
        <v>69</v>
      </c>
      <c r="F52" t="s">
        <v>71</v>
      </c>
      <c r="G52" t="s">
        <v>73</v>
      </c>
      <c r="H52" t="s">
        <v>72</v>
      </c>
      <c r="K52" t="s">
        <v>68</v>
      </c>
      <c r="L52" t="s">
        <v>69</v>
      </c>
      <c r="M52" t="s">
        <v>70</v>
      </c>
      <c r="N52" t="s">
        <v>71</v>
      </c>
      <c r="O52" t="s">
        <v>72</v>
      </c>
      <c r="P52" t="s">
        <v>73</v>
      </c>
    </row>
    <row r="53" spans="1:24" ht="15.75" customHeight="1" x14ac:dyDescent="0.3">
      <c r="A53">
        <v>26</v>
      </c>
      <c r="B53" s="16" t="s">
        <v>107</v>
      </c>
      <c r="C53" s="7">
        <f>Rankings!L35</f>
        <v>2.7561405718471663</v>
      </c>
      <c r="D53" s="7">
        <f>Rankings!M35</f>
        <v>2.4873176476947112</v>
      </c>
      <c r="E53" s="7">
        <f>Rankings!N35</f>
        <v>1.6516243133547373</v>
      </c>
      <c r="F53" s="7">
        <f>Rankings!O35</f>
        <v>1.8133297135702644</v>
      </c>
      <c r="G53" s="7">
        <f>Rankings!P35</f>
        <v>1.2266517321719024</v>
      </c>
      <c r="H53" s="7">
        <f>Rankings!Q35</f>
        <v>1</v>
      </c>
      <c r="I53" s="7">
        <f>Rankings!R35</f>
        <v>10.93506397863878</v>
      </c>
      <c r="K53" s="7">
        <f>C53</f>
        <v>2.7561405718471663</v>
      </c>
      <c r="L53" s="7">
        <f>E53</f>
        <v>1.6516243133547373</v>
      </c>
      <c r="M53" s="7">
        <f>D53</f>
        <v>2.4873176476947112</v>
      </c>
      <c r="N53" s="7">
        <f>F53</f>
        <v>1.8133297135702644</v>
      </c>
      <c r="O53" s="7">
        <f>H53</f>
        <v>1</v>
      </c>
      <c r="P53" s="7">
        <f>G53</f>
        <v>1.2266517321719024</v>
      </c>
      <c r="R53" s="7">
        <f t="shared" ref="R53:W53" si="62">K53/$I53</f>
        <v>0.25204613134693854</v>
      </c>
      <c r="S53" s="7">
        <f t="shared" si="62"/>
        <v>0.15103929127265472</v>
      </c>
      <c r="T53" s="7">
        <f t="shared" si="62"/>
        <v>0.22746256012343311</v>
      </c>
      <c r="U53" s="7">
        <f t="shared" si="62"/>
        <v>0.16582707857151391</v>
      </c>
      <c r="V53" s="7">
        <f t="shared" si="62"/>
        <v>9.1448939114893241E-2</v>
      </c>
      <c r="W53" s="7">
        <f t="shared" si="62"/>
        <v>0.11217599957056662</v>
      </c>
      <c r="X53" s="7">
        <f>SUM(R53:W53)</f>
        <v>1.0000000000000002</v>
      </c>
    </row>
    <row r="54" spans="1:24" ht="15.75" customHeight="1" x14ac:dyDescent="0.3">
      <c r="C54" t="s">
        <v>68</v>
      </c>
      <c r="D54" t="s">
        <v>70</v>
      </c>
      <c r="E54" t="s">
        <v>69</v>
      </c>
      <c r="F54" t="s">
        <v>72</v>
      </c>
      <c r="G54" t="s">
        <v>71</v>
      </c>
      <c r="H54" t="s">
        <v>73</v>
      </c>
      <c r="K54" t="s">
        <v>68</v>
      </c>
      <c r="L54" t="s">
        <v>69</v>
      </c>
      <c r="M54" t="s">
        <v>70</v>
      </c>
      <c r="N54" t="s">
        <v>71</v>
      </c>
      <c r="O54" t="s">
        <v>72</v>
      </c>
      <c r="P54" t="s">
        <v>73</v>
      </c>
    </row>
    <row r="55" spans="1:24" ht="15.75" customHeight="1" x14ac:dyDescent="0.3">
      <c r="A55">
        <v>27</v>
      </c>
      <c r="B55" s="16" t="s">
        <v>108</v>
      </c>
      <c r="C55" s="7">
        <f>Rankings!L36</f>
        <v>5.5656853379706526</v>
      </c>
      <c r="D55" s="7">
        <f>Rankings!M36</f>
        <v>5.0228306582244109</v>
      </c>
      <c r="E55" s="7">
        <f>Rankings!N36</f>
        <v>3.3352512272309616</v>
      </c>
      <c r="F55" s="7">
        <f>Rankings!O36</f>
        <v>1.8537678954574186</v>
      </c>
      <c r="G55" s="7">
        <f>Rankings!P36</f>
        <v>1.478275916473532</v>
      </c>
      <c r="H55" s="7">
        <f>Rankings!Q36</f>
        <v>1</v>
      </c>
      <c r="I55" s="7">
        <f>Rankings!R36</f>
        <v>18.255811035356977</v>
      </c>
      <c r="K55" s="7">
        <f>C55</f>
        <v>5.5656853379706526</v>
      </c>
      <c r="L55" s="7">
        <f>E55</f>
        <v>3.3352512272309616</v>
      </c>
      <c r="M55" s="7">
        <f>D55</f>
        <v>5.0228306582244109</v>
      </c>
      <c r="N55" s="7">
        <f>G55</f>
        <v>1.478275916473532</v>
      </c>
      <c r="O55" s="7">
        <f>F55</f>
        <v>1.8537678954574186</v>
      </c>
      <c r="P55" s="7">
        <f>H55</f>
        <v>1</v>
      </c>
      <c r="R55" s="7">
        <f t="shared" ref="R55:W55" si="63">K55/$I55</f>
        <v>0.30487198444327129</v>
      </c>
      <c r="S55" s="7">
        <f t="shared" si="63"/>
        <v>0.18269531935729436</v>
      </c>
      <c r="T55" s="7">
        <f t="shared" si="63"/>
        <v>0.275135990863207</v>
      </c>
      <c r="U55" s="7">
        <f t="shared" si="63"/>
        <v>8.0975636393829792E-2</v>
      </c>
      <c r="V55" s="7">
        <f t="shared" si="63"/>
        <v>0.10154399012276859</v>
      </c>
      <c r="W55" s="7">
        <f t="shared" si="63"/>
        <v>5.4777078819628885E-2</v>
      </c>
      <c r="X55" s="7">
        <f>SUM(R55:W55)</f>
        <v>0.99999999999999989</v>
      </c>
    </row>
    <row r="56" spans="1:24" ht="15.75" customHeight="1" x14ac:dyDescent="0.3">
      <c r="C56" t="s">
        <v>68</v>
      </c>
      <c r="D56" t="s">
        <v>70</v>
      </c>
      <c r="E56" t="s">
        <v>69</v>
      </c>
      <c r="F56" t="s">
        <v>72</v>
      </c>
      <c r="G56" t="s">
        <v>73</v>
      </c>
      <c r="H56" t="s">
        <v>71</v>
      </c>
      <c r="K56" t="s">
        <v>68</v>
      </c>
      <c r="L56" t="s">
        <v>69</v>
      </c>
      <c r="M56" t="s">
        <v>70</v>
      </c>
      <c r="N56" t="s">
        <v>71</v>
      </c>
      <c r="O56" t="s">
        <v>72</v>
      </c>
      <c r="P56" t="s">
        <v>73</v>
      </c>
    </row>
    <row r="57" spans="1:24" ht="15.75" customHeight="1" x14ac:dyDescent="0.3">
      <c r="A57">
        <v>28</v>
      </c>
      <c r="B57" s="16" t="s">
        <v>109</v>
      </c>
      <c r="C57" s="7">
        <f>Rankings!L37</f>
        <v>3.5199729328413514</v>
      </c>
      <c r="D57" s="7">
        <f>Rankings!M37</f>
        <v>3.1766488562650506</v>
      </c>
      <c r="E57" s="7">
        <f>Rankings!N37</f>
        <v>2.1093528166217701</v>
      </c>
      <c r="F57" s="7">
        <f>Rankings!O37</f>
        <v>1.172400597508374</v>
      </c>
      <c r="G57" s="7">
        <f>Rankings!P37</f>
        <v>0.88688155974910687</v>
      </c>
      <c r="H57" s="7">
        <f>Rankings!Q37</f>
        <v>1</v>
      </c>
      <c r="I57" s="7">
        <f>Rankings!R37</f>
        <v>11.865256762985652</v>
      </c>
      <c r="K57" s="7">
        <f>C57</f>
        <v>3.5199729328413514</v>
      </c>
      <c r="L57" s="7">
        <f>E57</f>
        <v>2.1093528166217701</v>
      </c>
      <c r="M57" s="7">
        <f>D57</f>
        <v>3.1766488562650506</v>
      </c>
      <c r="N57" s="7">
        <f>H57</f>
        <v>1</v>
      </c>
      <c r="O57" s="7">
        <f t="shared" ref="O57:P57" si="64">F57</f>
        <v>1.172400597508374</v>
      </c>
      <c r="P57" s="7">
        <f t="shared" si="64"/>
        <v>0.88688155974910687</v>
      </c>
      <c r="R57" s="7">
        <f t="shared" ref="R57:W57" si="65">K57/$I57</f>
        <v>0.29666217960171826</v>
      </c>
      <c r="S57" s="7">
        <f t="shared" si="65"/>
        <v>0.17777557272945133</v>
      </c>
      <c r="T57" s="7">
        <f t="shared" si="65"/>
        <v>0.2677269375387466</v>
      </c>
      <c r="U57" s="7">
        <f t="shared" si="65"/>
        <v>8.4279676367354922E-2</v>
      </c>
      <c r="V57" s="7">
        <f t="shared" si="65"/>
        <v>9.8809542930899302E-2</v>
      </c>
      <c r="W57" s="7">
        <f t="shared" si="65"/>
        <v>7.4746090831829676E-2</v>
      </c>
      <c r="X57" s="7">
        <f>SUM(R57:W57)</f>
        <v>1</v>
      </c>
    </row>
    <row r="58" spans="1:24" ht="15.75" customHeight="1" x14ac:dyDescent="0.3">
      <c r="C58" t="s">
        <v>68</v>
      </c>
      <c r="D58" t="s">
        <v>70</v>
      </c>
      <c r="E58" t="s">
        <v>69</v>
      </c>
      <c r="F58" t="s">
        <v>73</v>
      </c>
      <c r="G58" t="s">
        <v>71</v>
      </c>
      <c r="H58" t="s">
        <v>72</v>
      </c>
      <c r="K58" t="s">
        <v>68</v>
      </c>
      <c r="L58" t="s">
        <v>69</v>
      </c>
      <c r="M58" t="s">
        <v>70</v>
      </c>
      <c r="N58" t="s">
        <v>71</v>
      </c>
      <c r="O58" t="s">
        <v>72</v>
      </c>
      <c r="P58" t="s">
        <v>73</v>
      </c>
    </row>
    <row r="59" spans="1:24" ht="15.75" customHeight="1" x14ac:dyDescent="0.3">
      <c r="A59">
        <v>29</v>
      </c>
      <c r="B59" s="16" t="s">
        <v>110</v>
      </c>
      <c r="C59" s="7">
        <f>Rankings!L38</f>
        <v>3.7446276786410908</v>
      </c>
      <c r="D59" s="7">
        <f>Rankings!M38</f>
        <v>3.3793916769955477</v>
      </c>
      <c r="E59" s="7">
        <f>Rankings!N38</f>
        <v>2.2439777497849951</v>
      </c>
      <c r="F59" s="7">
        <f>Rankings!O38</f>
        <v>1.6803088203001122</v>
      </c>
      <c r="G59" s="7">
        <f>Rankings!P38</f>
        <v>1.89462595295753</v>
      </c>
      <c r="H59" s="7">
        <f>Rankings!Q38</f>
        <v>1</v>
      </c>
      <c r="I59" s="7">
        <f>Rankings!R38</f>
        <v>13.942931878679275</v>
      </c>
      <c r="K59" s="7">
        <f>C59</f>
        <v>3.7446276786410908</v>
      </c>
      <c r="L59" s="7">
        <f>E59</f>
        <v>2.2439777497849951</v>
      </c>
      <c r="M59" s="7">
        <f>D59</f>
        <v>3.3793916769955477</v>
      </c>
      <c r="N59" s="7">
        <f t="shared" ref="N59:O59" si="66">G59</f>
        <v>1.89462595295753</v>
      </c>
      <c r="O59" s="7">
        <f t="shared" si="66"/>
        <v>1</v>
      </c>
      <c r="P59" s="7">
        <f>F59</f>
        <v>1.6803088203001122</v>
      </c>
      <c r="R59" s="7">
        <f t="shared" ref="R59:W59" si="67">K59/$I59</f>
        <v>0.26856816853327375</v>
      </c>
      <c r="S59" s="7">
        <f t="shared" si="67"/>
        <v>0.16094016447260681</v>
      </c>
      <c r="T59" s="7">
        <f t="shared" si="67"/>
        <v>0.24237310390672695</v>
      </c>
      <c r="U59" s="7">
        <f t="shared" si="67"/>
        <v>0.13588432974091214</v>
      </c>
      <c r="V59" s="7">
        <f t="shared" si="67"/>
        <v>7.1720927040398313E-2</v>
      </c>
      <c r="W59" s="7">
        <f t="shared" si="67"/>
        <v>0.1205133063060821</v>
      </c>
      <c r="X59" s="7">
        <f>SUM(R59:W59)</f>
        <v>1</v>
      </c>
    </row>
    <row r="60" spans="1:24" ht="15.75" customHeight="1" x14ac:dyDescent="0.3">
      <c r="C60" t="s">
        <v>68</v>
      </c>
      <c r="D60" t="s">
        <v>70</v>
      </c>
      <c r="E60" t="s">
        <v>69</v>
      </c>
      <c r="F60" t="s">
        <v>73</v>
      </c>
      <c r="G60" t="s">
        <v>72</v>
      </c>
      <c r="H60" t="s">
        <v>71</v>
      </c>
      <c r="K60" t="s">
        <v>68</v>
      </c>
      <c r="L60" t="s">
        <v>69</v>
      </c>
      <c r="M60" t="s">
        <v>70</v>
      </c>
      <c r="N60" t="s">
        <v>71</v>
      </c>
      <c r="O60" t="s">
        <v>72</v>
      </c>
      <c r="P60" t="s">
        <v>73</v>
      </c>
    </row>
    <row r="61" spans="1:24" ht="15.75" customHeight="1" x14ac:dyDescent="0.3">
      <c r="A61">
        <v>30</v>
      </c>
      <c r="B61" s="16" t="s">
        <v>111</v>
      </c>
      <c r="C61" s="7">
        <f>Rankings!L39</f>
        <v>3.427998848660935</v>
      </c>
      <c r="D61" s="7">
        <f>Rankings!M39</f>
        <v>3.0936455562703822</v>
      </c>
      <c r="E61" s="7">
        <f>Rankings!N39</f>
        <v>2.0542371105570747</v>
      </c>
      <c r="F61" s="7">
        <f>Rankings!O39</f>
        <v>1.5382294838652459</v>
      </c>
      <c r="G61" s="7">
        <f>Rankings!P39</f>
        <v>1.25400669441983</v>
      </c>
      <c r="H61" s="7">
        <f>Rankings!Q39</f>
        <v>1</v>
      </c>
      <c r="I61" s="7">
        <f>Rankings!R39</f>
        <v>12.368117693773469</v>
      </c>
      <c r="K61" s="7">
        <f>C61</f>
        <v>3.427998848660935</v>
      </c>
      <c r="L61" s="7">
        <f>E61</f>
        <v>2.0542371105570747</v>
      </c>
      <c r="M61" s="7">
        <f>D61</f>
        <v>3.0936455562703822</v>
      </c>
      <c r="N61" s="7">
        <f>H61</f>
        <v>1</v>
      </c>
      <c r="O61" s="7">
        <f>G61</f>
        <v>1.25400669441983</v>
      </c>
      <c r="P61" s="7">
        <f>F61</f>
        <v>1.5382294838652459</v>
      </c>
      <c r="R61" s="7">
        <f t="shared" ref="R61:W61" si="68">K61/$I61</f>
        <v>0.27716415169518527</v>
      </c>
      <c r="S61" s="7">
        <f t="shared" si="68"/>
        <v>0.16609132945033725</v>
      </c>
      <c r="T61" s="7">
        <f t="shared" si="68"/>
        <v>0.2501306692632646</v>
      </c>
      <c r="U61" s="7">
        <f t="shared" si="68"/>
        <v>8.0853046903283751E-2</v>
      </c>
      <c r="V61" s="7">
        <f t="shared" si="68"/>
        <v>0.10139026208095835</v>
      </c>
      <c r="W61" s="7">
        <f t="shared" si="68"/>
        <v>0.1243705406069707</v>
      </c>
      <c r="X61" s="7">
        <f>SUM(R61:W61)</f>
        <v>0.99999999999999989</v>
      </c>
    </row>
    <row r="62" spans="1:24" ht="15.75" customHeight="1" x14ac:dyDescent="0.3">
      <c r="C62" t="s">
        <v>68</v>
      </c>
      <c r="D62" t="s">
        <v>70</v>
      </c>
      <c r="E62" t="s">
        <v>71</v>
      </c>
      <c r="F62" t="s">
        <v>69</v>
      </c>
      <c r="G62" t="s">
        <v>72</v>
      </c>
      <c r="H62" t="s">
        <v>73</v>
      </c>
      <c r="K62" t="s">
        <v>68</v>
      </c>
      <c r="L62" t="s">
        <v>69</v>
      </c>
      <c r="M62" t="s">
        <v>70</v>
      </c>
      <c r="N62" t="s">
        <v>71</v>
      </c>
      <c r="O62" t="s">
        <v>72</v>
      </c>
      <c r="P62" t="s">
        <v>73</v>
      </c>
    </row>
    <row r="63" spans="1:24" ht="15.75" customHeight="1" x14ac:dyDescent="0.3">
      <c r="A63">
        <v>31</v>
      </c>
      <c r="B63" s="16" t="s">
        <v>112</v>
      </c>
      <c r="C63" s="7">
        <f>Rankings!L40</f>
        <v>5.4326333300536138</v>
      </c>
      <c r="D63" s="7">
        <f>Rankings!M40</f>
        <v>4.9027560108230013</v>
      </c>
      <c r="E63" s="7">
        <f>Rankings!N40</f>
        <v>3.4192623412632823</v>
      </c>
      <c r="F63" s="7">
        <f>Rankings!O40</f>
        <v>2.3783929132752433</v>
      </c>
      <c r="G63" s="7">
        <f>Rankings!P40</f>
        <v>1.3219359277692486</v>
      </c>
      <c r="H63" s="7">
        <f>Rankings!Q40</f>
        <v>1</v>
      </c>
      <c r="I63" s="7">
        <f>Rankings!R40</f>
        <v>18.454980523184389</v>
      </c>
      <c r="K63" s="7">
        <f>C63</f>
        <v>5.4326333300536138</v>
      </c>
      <c r="L63" s="7">
        <f>F63</f>
        <v>2.3783929132752433</v>
      </c>
      <c r="M63" s="7">
        <f t="shared" ref="M63:N63" si="69">D63</f>
        <v>4.9027560108230013</v>
      </c>
      <c r="N63" s="7">
        <f t="shared" si="69"/>
        <v>3.4192623412632823</v>
      </c>
      <c r="O63" s="7">
        <f t="shared" ref="O63:P63" si="70">G63</f>
        <v>1.3219359277692486</v>
      </c>
      <c r="P63" s="7">
        <f t="shared" si="70"/>
        <v>1</v>
      </c>
      <c r="R63" s="7">
        <f t="shared" ref="R63:W63" si="71">K63/$I63</f>
        <v>0.29437220609519332</v>
      </c>
      <c r="S63" s="7">
        <f t="shared" si="71"/>
        <v>0.12887539546776253</v>
      </c>
      <c r="T63" s="7">
        <f t="shared" si="71"/>
        <v>0.26566031888594133</v>
      </c>
      <c r="U63" s="7">
        <f t="shared" si="71"/>
        <v>0.18527585748290412</v>
      </c>
      <c r="V63" s="7">
        <f t="shared" si="71"/>
        <v>7.1630307390925921E-2</v>
      </c>
      <c r="W63" s="7">
        <f t="shared" si="71"/>
        <v>5.4185914677272767E-2</v>
      </c>
      <c r="X63" s="7">
        <f>SUM(R63:W63)</f>
        <v>0.99999999999999989</v>
      </c>
    </row>
    <row r="64" spans="1:24" ht="15.75" customHeight="1" x14ac:dyDescent="0.3">
      <c r="C64" t="s">
        <v>68</v>
      </c>
      <c r="D64" t="s">
        <v>70</v>
      </c>
      <c r="E64" t="s">
        <v>71</v>
      </c>
      <c r="F64" t="s">
        <v>69</v>
      </c>
      <c r="G64" t="s">
        <v>73</v>
      </c>
      <c r="H64" t="s">
        <v>72</v>
      </c>
      <c r="K64" t="s">
        <v>68</v>
      </c>
      <c r="L64" t="s">
        <v>69</v>
      </c>
      <c r="M64" t="s">
        <v>70</v>
      </c>
      <c r="N64" t="s">
        <v>71</v>
      </c>
      <c r="O64" t="s">
        <v>72</v>
      </c>
      <c r="P64" t="s">
        <v>73</v>
      </c>
    </row>
    <row r="65" spans="1:24" ht="15.75" customHeight="1" x14ac:dyDescent="0.3">
      <c r="A65">
        <v>32</v>
      </c>
      <c r="B65" s="16" t="s">
        <v>113</v>
      </c>
      <c r="C65" s="7">
        <f>Rankings!L41</f>
        <v>3.7417736068296192</v>
      </c>
      <c r="D65" s="7">
        <f>Rankings!M41</f>
        <v>3.3768159799295212</v>
      </c>
      <c r="E65" s="7">
        <f>Rankings!N41</f>
        <v>2.3550467712569025</v>
      </c>
      <c r="F65" s="7">
        <f>Rankings!O41</f>
        <v>1.6381388709471552</v>
      </c>
      <c r="G65" s="7">
        <f>Rankings!P41</f>
        <v>1.2266517321719024</v>
      </c>
      <c r="H65" s="7">
        <f>Rankings!Q41</f>
        <v>1</v>
      </c>
      <c r="I65" s="7">
        <f>Rankings!R41</f>
        <v>13.338426961135102</v>
      </c>
      <c r="K65" s="7">
        <f>C65</f>
        <v>3.7417736068296192</v>
      </c>
      <c r="L65" s="7">
        <f>F65</f>
        <v>1.6381388709471552</v>
      </c>
      <c r="M65" s="7">
        <f t="shared" ref="M65:N65" si="72">D65</f>
        <v>3.3768159799295212</v>
      </c>
      <c r="N65" s="7">
        <f t="shared" si="72"/>
        <v>2.3550467712569025</v>
      </c>
      <c r="O65" s="7">
        <f>H65</f>
        <v>1</v>
      </c>
      <c r="P65" s="7">
        <f>G65</f>
        <v>1.2266517321719024</v>
      </c>
      <c r="R65" s="7">
        <f t="shared" ref="R65:W65" si="73">K65/$I65</f>
        <v>0.28052585344075637</v>
      </c>
      <c r="S65" s="7">
        <f t="shared" si="73"/>
        <v>0.12281349785250459</v>
      </c>
      <c r="T65" s="7">
        <f t="shared" si="73"/>
        <v>0.25316448407062792</v>
      </c>
      <c r="U65" s="7">
        <f t="shared" si="73"/>
        <v>0.17656105762088214</v>
      </c>
      <c r="V65" s="7">
        <f t="shared" si="73"/>
        <v>7.4971359285000719E-2</v>
      </c>
      <c r="W65" s="7">
        <f t="shared" si="73"/>
        <v>9.1963747730228168E-2</v>
      </c>
      <c r="X65" s="7">
        <f>SUM(R65:W65)</f>
        <v>0.99999999999999989</v>
      </c>
    </row>
    <row r="66" spans="1:24" ht="15.75" customHeight="1" x14ac:dyDescent="0.3">
      <c r="C66" t="s">
        <v>68</v>
      </c>
      <c r="D66" t="s">
        <v>70</v>
      </c>
      <c r="E66" t="s">
        <v>71</v>
      </c>
      <c r="F66" t="s">
        <v>72</v>
      </c>
      <c r="G66" t="s">
        <v>69</v>
      </c>
      <c r="H66" t="s">
        <v>73</v>
      </c>
      <c r="K66" t="s">
        <v>68</v>
      </c>
      <c r="L66" t="s">
        <v>69</v>
      </c>
      <c r="M66" t="s">
        <v>70</v>
      </c>
      <c r="N66" t="s">
        <v>71</v>
      </c>
      <c r="O66" t="s">
        <v>72</v>
      </c>
      <c r="P66" t="s">
        <v>73</v>
      </c>
    </row>
    <row r="67" spans="1:24" ht="15.75" customHeight="1" x14ac:dyDescent="0.3">
      <c r="A67">
        <v>33</v>
      </c>
      <c r="B67" s="16" t="s">
        <v>114</v>
      </c>
      <c r="C67" s="7">
        <f>Rankings!L42</f>
        <v>7.3338514509135013</v>
      </c>
      <c r="D67" s="7">
        <f>Rankings!M42</f>
        <v>6.6185369228838269</v>
      </c>
      <c r="E67" s="7">
        <f>Rankings!N42</f>
        <v>4.6158760510862864</v>
      </c>
      <c r="F67" s="7">
        <f>Rankings!O42</f>
        <v>2.436299388742595</v>
      </c>
      <c r="G67" s="7">
        <f>Rankings!P42</f>
        <v>1.3354555559520354</v>
      </c>
      <c r="H67" s="7">
        <f>Rankings!Q42</f>
        <v>1</v>
      </c>
      <c r="I67" s="7">
        <f>Rankings!R42</f>
        <v>23.340019369578243</v>
      </c>
      <c r="K67" s="7">
        <f>C67</f>
        <v>7.3338514509135013</v>
      </c>
      <c r="L67" s="7">
        <f>G67</f>
        <v>1.3354555559520354</v>
      </c>
      <c r="M67" s="7">
        <f t="shared" ref="M67:O67" si="74">D67</f>
        <v>6.6185369228838269</v>
      </c>
      <c r="N67" s="7">
        <f t="shared" si="74"/>
        <v>4.6158760510862864</v>
      </c>
      <c r="O67" s="7">
        <f t="shared" si="74"/>
        <v>2.436299388742595</v>
      </c>
      <c r="P67" s="7">
        <f>H67</f>
        <v>1</v>
      </c>
      <c r="R67" s="7">
        <f t="shared" ref="R67:W67" si="75">K67/$I67</f>
        <v>0.31421788194711447</v>
      </c>
      <c r="S67" s="7">
        <f t="shared" si="75"/>
        <v>5.7217414210576432E-2</v>
      </c>
      <c r="T67" s="7">
        <f t="shared" si="75"/>
        <v>0.28357032691714618</v>
      </c>
      <c r="U67" s="7">
        <f t="shared" si="75"/>
        <v>0.19776659042120134</v>
      </c>
      <c r="V67" s="7">
        <f t="shared" si="75"/>
        <v>0.10438292060366097</v>
      </c>
      <c r="W67" s="7">
        <f t="shared" si="75"/>
        <v>4.284486590030067E-2</v>
      </c>
      <c r="X67" s="7">
        <f>SUM(R67:W67)</f>
        <v>1</v>
      </c>
    </row>
    <row r="68" spans="1:24" ht="15.75" customHeight="1" x14ac:dyDescent="0.3">
      <c r="C68" t="s">
        <v>68</v>
      </c>
      <c r="D68" t="s">
        <v>70</v>
      </c>
      <c r="E68" t="s">
        <v>71</v>
      </c>
      <c r="F68" t="s">
        <v>72</v>
      </c>
      <c r="G68" t="s">
        <v>73</v>
      </c>
      <c r="H68" t="s">
        <v>69</v>
      </c>
      <c r="K68" t="s">
        <v>68</v>
      </c>
      <c r="L68" t="s">
        <v>69</v>
      </c>
      <c r="M68" t="s">
        <v>70</v>
      </c>
      <c r="N68" t="s">
        <v>71</v>
      </c>
      <c r="O68" t="s">
        <v>72</v>
      </c>
      <c r="P68" t="s">
        <v>73</v>
      </c>
    </row>
    <row r="69" spans="1:24" ht="15.75" customHeight="1" x14ac:dyDescent="0.3">
      <c r="A69">
        <v>34</v>
      </c>
      <c r="B69" s="16" t="s">
        <v>115</v>
      </c>
      <c r="C69" s="7">
        <f>Rankings!L43</f>
        <v>4.9420870882002941</v>
      </c>
      <c r="D69" s="7">
        <f>Rankings!M43</f>
        <v>4.460055686741077</v>
      </c>
      <c r="E69" s="7">
        <f>Rankings!N43</f>
        <v>3.1105158845240912</v>
      </c>
      <c r="F69" s="7">
        <f>Rankings!O43</f>
        <v>1.6417572448369266</v>
      </c>
      <c r="G69" s="7">
        <f>Rankings!P43</f>
        <v>1.2419340531937677</v>
      </c>
      <c r="H69" s="7">
        <f>Rankings!Q43</f>
        <v>1</v>
      </c>
      <c r="I69" s="7">
        <f>Rankings!R43</f>
        <v>16.396349957496156</v>
      </c>
      <c r="K69" s="7">
        <f>C69</f>
        <v>4.9420870882002941</v>
      </c>
      <c r="L69" s="7">
        <f>H69</f>
        <v>1</v>
      </c>
      <c r="M69" s="7">
        <f t="shared" ref="M69:P69" si="76">D69</f>
        <v>4.460055686741077</v>
      </c>
      <c r="N69" s="7">
        <f t="shared" si="76"/>
        <v>3.1105158845240912</v>
      </c>
      <c r="O69" s="7">
        <f t="shared" si="76"/>
        <v>1.6417572448369266</v>
      </c>
      <c r="P69" s="7">
        <f t="shared" si="76"/>
        <v>1.2419340531937677</v>
      </c>
      <c r="R69" s="7">
        <f t="shared" ref="R69:W69" si="77">K69/$I69</f>
        <v>0.30141385741409166</v>
      </c>
      <c r="S69" s="7">
        <f t="shared" si="77"/>
        <v>6.0989183726394884E-2</v>
      </c>
      <c r="T69" s="7">
        <f t="shared" si="77"/>
        <v>0.27201515570860385</v>
      </c>
      <c r="U69" s="7">
        <f t="shared" si="77"/>
        <v>0.1897078247651095</v>
      </c>
      <c r="V69" s="7">
        <f t="shared" si="77"/>
        <v>0.10012943423949919</v>
      </c>
      <c r="W69" s="7">
        <f t="shared" si="77"/>
        <v>7.5744544146300982E-2</v>
      </c>
      <c r="X69" s="7">
        <f>SUM(R69:W69)</f>
        <v>1</v>
      </c>
    </row>
    <row r="70" spans="1:24" ht="15.75" customHeight="1" x14ac:dyDescent="0.3">
      <c r="C70" t="s">
        <v>68</v>
      </c>
      <c r="D70" t="s">
        <v>70</v>
      </c>
      <c r="E70" t="s">
        <v>71</v>
      </c>
      <c r="F70" t="s">
        <v>73</v>
      </c>
      <c r="G70" t="s">
        <v>69</v>
      </c>
      <c r="H70" t="s">
        <v>72</v>
      </c>
      <c r="K70" t="s">
        <v>68</v>
      </c>
      <c r="L70" t="s">
        <v>69</v>
      </c>
      <c r="M70" t="s">
        <v>70</v>
      </c>
      <c r="N70" t="s">
        <v>71</v>
      </c>
      <c r="O70" t="s">
        <v>72</v>
      </c>
      <c r="P70" t="s">
        <v>73</v>
      </c>
    </row>
    <row r="71" spans="1:24" ht="15.75" customHeight="1" x14ac:dyDescent="0.3">
      <c r="A71">
        <v>35</v>
      </c>
      <c r="B71" s="16" t="s">
        <v>116</v>
      </c>
      <c r="C71" s="7">
        <f>Rankings!L44</f>
        <v>5.2481374854495062</v>
      </c>
      <c r="D71" s="7">
        <f>Rankings!M44</f>
        <v>4.7362551527399237</v>
      </c>
      <c r="E71" s="7">
        <f>Rankings!N44</f>
        <v>3.3031419158179371</v>
      </c>
      <c r="F71" s="7">
        <f>Rankings!O44</f>
        <v>2.2344556107615374</v>
      </c>
      <c r="G71" s="7">
        <f>Rankings!P44</f>
        <v>1.7991741228251155</v>
      </c>
      <c r="H71" s="7">
        <f>Rankings!Q44</f>
        <v>1</v>
      </c>
      <c r="I71" s="7">
        <f>Rankings!R44</f>
        <v>18.321164287594019</v>
      </c>
      <c r="K71" s="7">
        <f>C71</f>
        <v>5.2481374854495062</v>
      </c>
      <c r="L71" s="7">
        <f>G71</f>
        <v>1.7991741228251155</v>
      </c>
      <c r="M71" s="7">
        <f t="shared" ref="M71:N71" si="78">D71</f>
        <v>4.7362551527399237</v>
      </c>
      <c r="N71" s="7">
        <f t="shared" si="78"/>
        <v>3.3031419158179371</v>
      </c>
      <c r="O71" s="7">
        <f>H71</f>
        <v>1</v>
      </c>
      <c r="P71" s="7">
        <f>F71</f>
        <v>2.2344556107615374</v>
      </c>
      <c r="R71" s="7">
        <f t="shared" ref="R71:W71" si="79">K71/$I71</f>
        <v>0.28645218191745742</v>
      </c>
      <c r="S71" s="7">
        <f t="shared" si="79"/>
        <v>9.8201953466647701E-2</v>
      </c>
      <c r="T71" s="7">
        <f t="shared" si="79"/>
        <v>0.25851278217875207</v>
      </c>
      <c r="U71" s="7">
        <f t="shared" si="79"/>
        <v>0.18029104831807138</v>
      </c>
      <c r="V71" s="7">
        <f t="shared" si="79"/>
        <v>5.4581684018691942E-2</v>
      </c>
      <c r="W71" s="7">
        <f t="shared" si="79"/>
        <v>0.12196035010037955</v>
      </c>
      <c r="X71" s="7">
        <f>SUM(R71:W71)</f>
        <v>1</v>
      </c>
    </row>
    <row r="72" spans="1:24" ht="15.75" customHeight="1" x14ac:dyDescent="0.3">
      <c r="C72" t="s">
        <v>68</v>
      </c>
      <c r="D72" t="s">
        <v>70</v>
      </c>
      <c r="E72" t="s">
        <v>71</v>
      </c>
      <c r="F72" t="s">
        <v>73</v>
      </c>
      <c r="G72" t="s">
        <v>72</v>
      </c>
      <c r="H72" t="s">
        <v>69</v>
      </c>
      <c r="K72" t="s">
        <v>68</v>
      </c>
      <c r="L72" t="s">
        <v>69</v>
      </c>
      <c r="M72" t="s">
        <v>70</v>
      </c>
      <c r="N72" t="s">
        <v>71</v>
      </c>
      <c r="O72" t="s">
        <v>72</v>
      </c>
      <c r="P72" t="s">
        <v>73</v>
      </c>
    </row>
    <row r="73" spans="1:24" ht="15.75" customHeight="1" x14ac:dyDescent="0.3">
      <c r="A73">
        <v>36</v>
      </c>
      <c r="B73" s="16" t="s">
        <v>117</v>
      </c>
      <c r="C73" s="7">
        <f>Rankings!L45</f>
        <v>5.2560073721170255</v>
      </c>
      <c r="D73" s="7">
        <f>Rankings!M45</f>
        <v>4.7433574421490441</v>
      </c>
      <c r="E73" s="7">
        <f>Rankings!N45</f>
        <v>3.3080951687760183</v>
      </c>
      <c r="F73" s="7">
        <f>Rankings!O45</f>
        <v>2.2378063065977365</v>
      </c>
      <c r="G73" s="7">
        <f>Rankings!P45</f>
        <v>1.8243208303594776</v>
      </c>
      <c r="H73" s="7">
        <f>Rankings!Q45</f>
        <v>1</v>
      </c>
      <c r="I73" s="7">
        <f>Rankings!R45</f>
        <v>18.369587119999302</v>
      </c>
      <c r="K73" s="7">
        <f>C73</f>
        <v>5.2560073721170255</v>
      </c>
      <c r="L73" s="7">
        <f>H73</f>
        <v>1</v>
      </c>
      <c r="M73" s="7">
        <f t="shared" ref="M73:N73" si="80">D73</f>
        <v>4.7433574421490441</v>
      </c>
      <c r="N73" s="7">
        <f t="shared" si="80"/>
        <v>3.3080951687760183</v>
      </c>
      <c r="O73" s="7">
        <f>G73</f>
        <v>1.8243208303594776</v>
      </c>
      <c r="P73" s="7">
        <f>F73</f>
        <v>2.2378063065977365</v>
      </c>
      <c r="R73" s="7">
        <f t="shared" ref="R73:W73" si="81">K73/$I73</f>
        <v>0.28612550395292852</v>
      </c>
      <c r="S73" s="7">
        <f t="shared" si="81"/>
        <v>5.4437804914585254E-2</v>
      </c>
      <c r="T73" s="7">
        <f t="shared" si="81"/>
        <v>0.25821796707585576</v>
      </c>
      <c r="U73" s="7">
        <f t="shared" si="81"/>
        <v>0.18008543943671088</v>
      </c>
      <c r="V73" s="7">
        <f t="shared" si="81"/>
        <v>9.9312021464723427E-2</v>
      </c>
      <c r="W73" s="7">
        <f t="shared" si="81"/>
        <v>0.12182126315519613</v>
      </c>
      <c r="X73" s="7">
        <f>SUM(R73:W73)</f>
        <v>0.99999999999999989</v>
      </c>
    </row>
    <row r="74" spans="1:24" ht="15.75" customHeight="1" x14ac:dyDescent="0.3">
      <c r="C74" t="s">
        <v>68</v>
      </c>
      <c r="D74" t="s">
        <v>70</v>
      </c>
      <c r="E74" t="s">
        <v>72</v>
      </c>
      <c r="F74" t="s">
        <v>69</v>
      </c>
      <c r="G74" t="s">
        <v>71</v>
      </c>
      <c r="H74" t="s">
        <v>73</v>
      </c>
      <c r="K74" t="s">
        <v>68</v>
      </c>
      <c r="L74" t="s">
        <v>69</v>
      </c>
      <c r="M74" t="s">
        <v>70</v>
      </c>
      <c r="N74" t="s">
        <v>71</v>
      </c>
      <c r="O74" t="s">
        <v>72</v>
      </c>
      <c r="P74" t="s">
        <v>73</v>
      </c>
    </row>
    <row r="75" spans="1:24" ht="15.75" customHeight="1" x14ac:dyDescent="0.3">
      <c r="A75">
        <v>37</v>
      </c>
      <c r="B75" s="16" t="s">
        <v>118</v>
      </c>
      <c r="C75" s="7">
        <f>Rankings!L46</f>
        <v>6.1009092253254407</v>
      </c>
      <c r="D75" s="7">
        <f>Rankings!M46</f>
        <v>5.5058509490193437</v>
      </c>
      <c r="E75" s="7">
        <f>Rankings!N46</f>
        <v>2.456355426528646</v>
      </c>
      <c r="F75" s="7">
        <f>Rankings!O46</f>
        <v>1.3464492569788988</v>
      </c>
      <c r="G75" s="7">
        <f>Rankings!P46</f>
        <v>1.478275916473532</v>
      </c>
      <c r="H75" s="7">
        <f>Rankings!Q46</f>
        <v>1</v>
      </c>
      <c r="I75" s="7">
        <f>Rankings!R46</f>
        <v>17.887840774325863</v>
      </c>
      <c r="K75" s="7">
        <f>C75</f>
        <v>6.1009092253254407</v>
      </c>
      <c r="L75" s="7">
        <f>F75</f>
        <v>1.3464492569788988</v>
      </c>
      <c r="M75" s="7">
        <f>D75</f>
        <v>5.5058509490193437</v>
      </c>
      <c r="N75" s="7">
        <f>G75</f>
        <v>1.478275916473532</v>
      </c>
      <c r="O75" s="7">
        <f>E75</f>
        <v>2.456355426528646</v>
      </c>
      <c r="P75" s="7">
        <f>H75</f>
        <v>1</v>
      </c>
      <c r="R75" s="7">
        <f t="shared" ref="R75:W75" si="82">K75/$I75</f>
        <v>0.34106459814210666</v>
      </c>
      <c r="S75" s="7">
        <f t="shared" si="82"/>
        <v>7.527175996062288E-2</v>
      </c>
      <c r="T75" s="7">
        <f t="shared" si="82"/>
        <v>0.30779852182728534</v>
      </c>
      <c r="U75" s="7">
        <f t="shared" si="82"/>
        <v>8.2641383894431694E-2</v>
      </c>
      <c r="V75" s="7">
        <f t="shared" si="82"/>
        <v>0.13731983963398278</v>
      </c>
      <c r="W75" s="7">
        <f t="shared" si="82"/>
        <v>5.5903896541570533E-2</v>
      </c>
      <c r="X75" s="7">
        <f>SUM(R75:W75)</f>
        <v>0.99999999999999989</v>
      </c>
    </row>
    <row r="76" spans="1:24" ht="15.75" customHeight="1" x14ac:dyDescent="0.3">
      <c r="C76" t="s">
        <v>68</v>
      </c>
      <c r="D76" t="s">
        <v>70</v>
      </c>
      <c r="E76" t="s">
        <v>72</v>
      </c>
      <c r="F76" t="s">
        <v>69</v>
      </c>
      <c r="G76" t="s">
        <v>73</v>
      </c>
      <c r="H76" t="s">
        <v>71</v>
      </c>
      <c r="K76" t="s">
        <v>68</v>
      </c>
      <c r="L76" t="s">
        <v>69</v>
      </c>
      <c r="M76" t="s">
        <v>70</v>
      </c>
      <c r="N76" t="s">
        <v>71</v>
      </c>
      <c r="O76" t="s">
        <v>72</v>
      </c>
      <c r="P76" t="s">
        <v>73</v>
      </c>
    </row>
    <row r="77" spans="1:24" ht="15.75" customHeight="1" x14ac:dyDescent="0.3">
      <c r="A77">
        <v>38</v>
      </c>
      <c r="B77" s="16" t="s">
        <v>119</v>
      </c>
      <c r="C77" s="7">
        <f>Rankings!L47</f>
        <v>5.3666050688715581</v>
      </c>
      <c r="D77" s="7">
        <f>Rankings!M47</f>
        <v>4.843167882059797</v>
      </c>
      <c r="E77" s="7">
        <f>Rankings!N47</f>
        <v>2.1607090019038284</v>
      </c>
      <c r="F77" s="7">
        <f>Rankings!O47</f>
        <v>1.1843909064383518</v>
      </c>
      <c r="G77" s="7">
        <f>Rankings!P47</f>
        <v>0.88688155974910687</v>
      </c>
      <c r="H77" s="7">
        <f>Rankings!Q47</f>
        <v>1</v>
      </c>
      <c r="I77" s="7">
        <f>Rankings!R47</f>
        <v>15.441754419022644</v>
      </c>
      <c r="K77" s="7">
        <f>C77</f>
        <v>5.3666050688715581</v>
      </c>
      <c r="L77" s="7">
        <f>F77</f>
        <v>1.1843909064383518</v>
      </c>
      <c r="M77" s="7">
        <f>D77</f>
        <v>4.843167882059797</v>
      </c>
      <c r="N77" s="7">
        <f>H77</f>
        <v>1</v>
      </c>
      <c r="O77" s="7">
        <f>E77</f>
        <v>2.1607090019038284</v>
      </c>
      <c r="P77" s="7">
        <f>G77</f>
        <v>0.88688155974910687</v>
      </c>
      <c r="R77" s="7">
        <f t="shared" ref="R77:W77" si="83">K77/$I77</f>
        <v>0.34753855832990427</v>
      </c>
      <c r="S77" s="7">
        <f t="shared" si="83"/>
        <v>7.6700540255924848E-2</v>
      </c>
      <c r="T77" s="7">
        <f t="shared" si="83"/>
        <v>0.31364103784046166</v>
      </c>
      <c r="U77" s="7">
        <f t="shared" si="83"/>
        <v>6.4759480876609682E-2</v>
      </c>
      <c r="V77" s="7">
        <f t="shared" si="83"/>
        <v>0.13992639328870937</v>
      </c>
      <c r="W77" s="7">
        <f t="shared" si="83"/>
        <v>5.7433989408390056E-2</v>
      </c>
      <c r="X77" s="7">
        <f>SUM(R77:W77)</f>
        <v>0.99999999999999989</v>
      </c>
    </row>
    <row r="78" spans="1:24" ht="15.75" customHeight="1" x14ac:dyDescent="0.3">
      <c r="C78" t="s">
        <v>68</v>
      </c>
      <c r="D78" t="s">
        <v>70</v>
      </c>
      <c r="E78" t="s">
        <v>72</v>
      </c>
      <c r="F78" t="s">
        <v>71</v>
      </c>
      <c r="G78" t="s">
        <v>69</v>
      </c>
      <c r="H78" t="s">
        <v>73</v>
      </c>
      <c r="K78" t="s">
        <v>68</v>
      </c>
      <c r="L78" t="s">
        <v>69</v>
      </c>
      <c r="M78" t="s">
        <v>70</v>
      </c>
      <c r="N78" t="s">
        <v>71</v>
      </c>
      <c r="O78" t="s">
        <v>72</v>
      </c>
      <c r="P78" t="s">
        <v>73</v>
      </c>
    </row>
    <row r="79" spans="1:24" ht="15.75" customHeight="1" x14ac:dyDescent="0.3">
      <c r="A79">
        <v>39</v>
      </c>
      <c r="B79" s="16" t="s">
        <v>120</v>
      </c>
      <c r="C79" s="7">
        <f>Rankings!L48</f>
        <v>5.9797285604051531</v>
      </c>
      <c r="D79" s="7">
        <f>Rankings!M48</f>
        <v>5.3964897613156255</v>
      </c>
      <c r="E79" s="7">
        <f>Rankings!N48</f>
        <v>2.4075655211434501</v>
      </c>
      <c r="F79" s="7">
        <f>Rankings!O48</f>
        <v>1.9198984597584763</v>
      </c>
      <c r="G79" s="7">
        <f>Rankings!P48</f>
        <v>1.3354555559520354</v>
      </c>
      <c r="H79" s="7">
        <f>Rankings!Q48</f>
        <v>1</v>
      </c>
      <c r="I79" s="7">
        <f>Rankings!R48</f>
        <v>18.03913785857474</v>
      </c>
      <c r="K79" s="7">
        <f>C79</f>
        <v>5.9797285604051531</v>
      </c>
      <c r="L79" s="7">
        <f>G79</f>
        <v>1.3354555559520354</v>
      </c>
      <c r="M79" s="7">
        <f>D79</f>
        <v>5.3964897613156255</v>
      </c>
      <c r="N79" s="7">
        <f>F79</f>
        <v>1.9198984597584763</v>
      </c>
      <c r="O79" s="7">
        <f>E79</f>
        <v>2.4075655211434501</v>
      </c>
      <c r="P79" s="7">
        <f>H79</f>
        <v>1</v>
      </c>
      <c r="R79" s="7">
        <f t="shared" ref="R79:W79" si="84">K79/$I79</f>
        <v>0.33148638295719568</v>
      </c>
      <c r="S79" s="7">
        <f t="shared" si="84"/>
        <v>7.4031007824314543E-2</v>
      </c>
      <c r="T79" s="7">
        <f t="shared" si="84"/>
        <v>0.29915452742939447</v>
      </c>
      <c r="U79" s="7">
        <f t="shared" si="84"/>
        <v>0.10642961292331773</v>
      </c>
      <c r="V79" s="7">
        <f t="shared" si="84"/>
        <v>0.13346344709035171</v>
      </c>
      <c r="W79" s="7">
        <f t="shared" si="84"/>
        <v>5.543502177542587E-2</v>
      </c>
      <c r="X79" s="7">
        <f>SUM(R79:W79)</f>
        <v>1</v>
      </c>
    </row>
    <row r="80" spans="1:24" ht="15.75" customHeight="1" x14ac:dyDescent="0.3">
      <c r="C80" t="s">
        <v>68</v>
      </c>
      <c r="D80" t="s">
        <v>70</v>
      </c>
      <c r="E80" t="s">
        <v>72</v>
      </c>
      <c r="F80" t="s">
        <v>71</v>
      </c>
      <c r="G80" t="s">
        <v>73</v>
      </c>
      <c r="H80" t="s">
        <v>69</v>
      </c>
      <c r="K80" t="s">
        <v>68</v>
      </c>
      <c r="L80" t="s">
        <v>69</v>
      </c>
      <c r="M80" t="s">
        <v>70</v>
      </c>
      <c r="N80" t="s">
        <v>71</v>
      </c>
      <c r="O80" t="s">
        <v>72</v>
      </c>
      <c r="P80" t="s">
        <v>73</v>
      </c>
    </row>
    <row r="81" spans="1:24" ht="15.75" customHeight="1" x14ac:dyDescent="0.3">
      <c r="A81">
        <v>40</v>
      </c>
      <c r="B81" s="16" t="s">
        <v>121</v>
      </c>
      <c r="C81" s="7">
        <f>Rankings!L49</f>
        <v>5.7181724286443387</v>
      </c>
      <c r="D81" s="7">
        <f>Rankings!M49</f>
        <v>5.1604447681694952</v>
      </c>
      <c r="E81" s="7">
        <f>Rankings!N49</f>
        <v>2.3022574760859125</v>
      </c>
      <c r="F81" s="7">
        <f>Rankings!O49</f>
        <v>1.8359212006847052</v>
      </c>
      <c r="G81" s="7">
        <f>Rankings!P49</f>
        <v>1.2419340531937677</v>
      </c>
      <c r="H81" s="7">
        <f>Rankings!Q49</f>
        <v>1</v>
      </c>
      <c r="I81" s="7">
        <f>Rankings!R49</f>
        <v>17.258729926778219</v>
      </c>
      <c r="K81" s="7">
        <f>C81</f>
        <v>5.7181724286443387</v>
      </c>
      <c r="L81" s="7">
        <f>H81</f>
        <v>1</v>
      </c>
      <c r="M81" s="7">
        <f>D81</f>
        <v>5.1604447681694952</v>
      </c>
      <c r="N81" s="7">
        <f>F81</f>
        <v>1.8359212006847052</v>
      </c>
      <c r="O81" s="7">
        <f>E81</f>
        <v>2.3022574760859125</v>
      </c>
      <c r="P81" s="7">
        <f>G81</f>
        <v>1.2419340531937677</v>
      </c>
      <c r="R81" s="7">
        <f t="shared" ref="R81:W81" si="85">K81/$I81</f>
        <v>0.33132058111484575</v>
      </c>
      <c r="S81" s="7">
        <f t="shared" si="85"/>
        <v>5.7941691204543663E-2</v>
      </c>
      <c r="T81" s="7">
        <f t="shared" si="85"/>
        <v>0.29900489723537976</v>
      </c>
      <c r="U81" s="7">
        <f t="shared" si="85"/>
        <v>0.10637637928594822</v>
      </c>
      <c r="V81" s="7">
        <f t="shared" si="85"/>
        <v>0.13339669175272201</v>
      </c>
      <c r="W81" s="7">
        <f t="shared" si="85"/>
        <v>7.1959759406560589E-2</v>
      </c>
      <c r="X81" s="7">
        <f>SUM(R81:W81)</f>
        <v>1</v>
      </c>
    </row>
    <row r="82" spans="1:24" ht="15.75" customHeight="1" x14ac:dyDescent="0.3">
      <c r="C82" t="s">
        <v>68</v>
      </c>
      <c r="D82" t="s">
        <v>70</v>
      </c>
      <c r="E82" t="s">
        <v>72</v>
      </c>
      <c r="F82" t="s">
        <v>73</v>
      </c>
      <c r="G82" t="s">
        <v>69</v>
      </c>
      <c r="H82" t="s">
        <v>71</v>
      </c>
      <c r="K82" t="s">
        <v>68</v>
      </c>
      <c r="L82" t="s">
        <v>69</v>
      </c>
      <c r="M82" t="s">
        <v>70</v>
      </c>
      <c r="N82" t="s">
        <v>71</v>
      </c>
      <c r="O82" t="s">
        <v>72</v>
      </c>
      <c r="P82" t="s">
        <v>73</v>
      </c>
    </row>
    <row r="83" spans="1:24" ht="15.75" customHeight="1" x14ac:dyDescent="0.3">
      <c r="A83">
        <v>41</v>
      </c>
      <c r="B83" s="16" t="s">
        <v>122</v>
      </c>
      <c r="C83" s="7">
        <f>Rankings!L50</f>
        <v>3.7140417900854681</v>
      </c>
      <c r="D83" s="7">
        <f>Rankings!M50</f>
        <v>3.351789013636532</v>
      </c>
      <c r="E83" s="7">
        <f>Rankings!N50</f>
        <v>1.4953519825471517</v>
      </c>
      <c r="F83" s="7">
        <f>Rankings!O50</f>
        <v>1.1311834039268005</v>
      </c>
      <c r="G83" s="7">
        <f>Rankings!P50</f>
        <v>0.9108240498099236</v>
      </c>
      <c r="H83" s="7">
        <f>Rankings!Q50</f>
        <v>1</v>
      </c>
      <c r="I83" s="7">
        <f>Rankings!R50</f>
        <v>11.603190240005874</v>
      </c>
      <c r="K83" s="7">
        <f>C83</f>
        <v>3.7140417900854681</v>
      </c>
      <c r="L83" s="7">
        <f>G83</f>
        <v>0.9108240498099236</v>
      </c>
      <c r="M83" s="7">
        <f>D83</f>
        <v>3.351789013636532</v>
      </c>
      <c r="N83" s="7">
        <f>H83</f>
        <v>1</v>
      </c>
      <c r="O83" s="7">
        <f t="shared" ref="O83:P83" si="86">E83</f>
        <v>1.4953519825471517</v>
      </c>
      <c r="P83" s="7">
        <f t="shared" si="86"/>
        <v>1.1311834039268005</v>
      </c>
      <c r="R83" s="7">
        <f t="shared" ref="R83:W83" si="87">K83/$I83</f>
        <v>0.32008798556797496</v>
      </c>
      <c r="S83" s="7">
        <f t="shared" si="87"/>
        <v>7.8497726139967389E-2</v>
      </c>
      <c r="T83" s="7">
        <f t="shared" si="87"/>
        <v>0.28886788411691466</v>
      </c>
      <c r="U83" s="7">
        <f t="shared" si="87"/>
        <v>8.6183194390122633E-2</v>
      </c>
      <c r="V83" s="7">
        <f t="shared" si="87"/>
        <v>0.12887421059351645</v>
      </c>
      <c r="W83" s="7">
        <f t="shared" si="87"/>
        <v>9.7488999191504055E-2</v>
      </c>
      <c r="X83" s="7">
        <f>SUM(R83:W83)</f>
        <v>1.0000000000000002</v>
      </c>
    </row>
    <row r="84" spans="1:24" ht="15.75" customHeight="1" x14ac:dyDescent="0.3">
      <c r="C84" t="s">
        <v>68</v>
      </c>
      <c r="D84" t="s">
        <v>70</v>
      </c>
      <c r="E84" t="s">
        <v>72</v>
      </c>
      <c r="F84" t="s">
        <v>73</v>
      </c>
      <c r="G84" t="s">
        <v>71</v>
      </c>
      <c r="H84" t="s">
        <v>69</v>
      </c>
      <c r="K84" t="s">
        <v>68</v>
      </c>
      <c r="L84" t="s">
        <v>69</v>
      </c>
      <c r="M84" t="s">
        <v>70</v>
      </c>
      <c r="N84" t="s">
        <v>71</v>
      </c>
      <c r="O84" t="s">
        <v>72</v>
      </c>
      <c r="P84" t="s">
        <v>73</v>
      </c>
    </row>
    <row r="85" spans="1:24" ht="15.75" customHeight="1" x14ac:dyDescent="0.3">
      <c r="A85">
        <v>42</v>
      </c>
      <c r="B85" s="16" t="s">
        <v>123</v>
      </c>
      <c r="C85" s="7">
        <f>Rankings!L51</f>
        <v>4.1862793681691599</v>
      </c>
      <c r="D85" s="7">
        <f>Rankings!M51</f>
        <v>3.7779664277605716</v>
      </c>
      <c r="E85" s="7">
        <f>Rankings!N51</f>
        <v>1.6854848454852573</v>
      </c>
      <c r="F85" s="7">
        <f>Rankings!O51</f>
        <v>1.2750125101217977</v>
      </c>
      <c r="G85" s="7">
        <f>Rankings!P51</f>
        <v>1.4376356077157479</v>
      </c>
      <c r="H85" s="7">
        <f>Rankings!Q51</f>
        <v>1</v>
      </c>
      <c r="I85" s="7">
        <f>Rankings!R51</f>
        <v>13.362378759252534</v>
      </c>
      <c r="K85" s="7">
        <f>C85</f>
        <v>4.1862793681691599</v>
      </c>
      <c r="L85" s="7">
        <f>H85</f>
        <v>1</v>
      </c>
      <c r="M85" s="7">
        <f>D85</f>
        <v>3.7779664277605716</v>
      </c>
      <c r="N85" s="7">
        <f>G85</f>
        <v>1.4376356077157479</v>
      </c>
      <c r="O85" s="7">
        <f t="shared" ref="O85:P85" si="88">E85</f>
        <v>1.6854848454852573</v>
      </c>
      <c r="P85" s="7">
        <f t="shared" si="88"/>
        <v>1.2750125101217977</v>
      </c>
      <c r="R85" s="7">
        <f t="shared" ref="R85:W85" si="89">K85/$I85</f>
        <v>0.31328848280628535</v>
      </c>
      <c r="S85" s="7">
        <f t="shared" si="89"/>
        <v>7.4836974614835572E-2</v>
      </c>
      <c r="T85" s="7">
        <f t="shared" si="89"/>
        <v>0.28273157765001894</v>
      </c>
      <c r="U85" s="7">
        <f t="shared" si="89"/>
        <v>0.10758829948000714</v>
      </c>
      <c r="V85" s="7">
        <f t="shared" si="89"/>
        <v>0.12613658659527027</v>
      </c>
      <c r="W85" s="7">
        <f t="shared" si="89"/>
        <v>9.5418078853582763E-2</v>
      </c>
      <c r="X85" s="7">
        <f>SUM(R85:W85)</f>
        <v>1</v>
      </c>
    </row>
    <row r="86" spans="1:24" ht="15.75" customHeight="1" x14ac:dyDescent="0.3">
      <c r="C86" t="s">
        <v>68</v>
      </c>
      <c r="D86" t="s">
        <v>70</v>
      </c>
      <c r="E86" t="s">
        <v>73</v>
      </c>
      <c r="F86" t="s">
        <v>69</v>
      </c>
      <c r="G86" t="s">
        <v>71</v>
      </c>
      <c r="H86" t="s">
        <v>72</v>
      </c>
      <c r="K86" t="s">
        <v>68</v>
      </c>
      <c r="L86" t="s">
        <v>69</v>
      </c>
      <c r="M86" t="s">
        <v>70</v>
      </c>
      <c r="N86" t="s">
        <v>71</v>
      </c>
      <c r="O86" t="s">
        <v>72</v>
      </c>
      <c r="P86" t="s">
        <v>73</v>
      </c>
    </row>
    <row r="87" spans="1:24" ht="15.75" customHeight="1" x14ac:dyDescent="0.3">
      <c r="A87">
        <v>43</v>
      </c>
      <c r="B87" s="16" t="s">
        <v>124</v>
      </c>
      <c r="C87" s="7">
        <f>Rankings!L52</f>
        <v>4.7841539160610216</v>
      </c>
      <c r="D87" s="7">
        <f>Rankings!M52</f>
        <v>4.3175266843269711</v>
      </c>
      <c r="E87" s="7">
        <f>Rankings!N52</f>
        <v>2.1431694346345571</v>
      </c>
      <c r="F87" s="7">
        <f>Rankings!O52</f>
        <v>1.7256708833477632</v>
      </c>
      <c r="G87" s="7">
        <f>Rankings!P52</f>
        <v>1.89462595295753</v>
      </c>
      <c r="H87" s="7">
        <f>Rankings!Q52</f>
        <v>1</v>
      </c>
      <c r="I87" s="7">
        <f>Rankings!R52</f>
        <v>15.865146871327845</v>
      </c>
      <c r="K87" s="7">
        <f>C87</f>
        <v>4.7841539160610216</v>
      </c>
      <c r="L87" s="7">
        <f>F87</f>
        <v>1.7256708833477632</v>
      </c>
      <c r="M87" s="7">
        <f>D87</f>
        <v>4.3175266843269711</v>
      </c>
      <c r="N87" s="7">
        <f t="shared" ref="N87:O87" si="90">G87</f>
        <v>1.89462595295753</v>
      </c>
      <c r="O87" s="7">
        <f t="shared" si="90"/>
        <v>1</v>
      </c>
      <c r="P87" s="7">
        <f>E87</f>
        <v>2.1431694346345571</v>
      </c>
      <c r="R87" s="7">
        <f t="shared" ref="R87:W87" si="91">K87/$I87</f>
        <v>0.30155118984162349</v>
      </c>
      <c r="S87" s="7">
        <f t="shared" si="91"/>
        <v>0.10877118865293757</v>
      </c>
      <c r="T87" s="7">
        <f t="shared" si="91"/>
        <v>0.27213909328061658</v>
      </c>
      <c r="U87" s="7">
        <f t="shared" si="91"/>
        <v>0.11942063747178899</v>
      </c>
      <c r="V87" s="7">
        <f t="shared" si="91"/>
        <v>6.3031247558586537E-2</v>
      </c>
      <c r="W87" s="7">
        <f t="shared" si="91"/>
        <v>0.13508664319444671</v>
      </c>
      <c r="X87" s="7">
        <f>SUM(R87:W87)</f>
        <v>0.99999999999999989</v>
      </c>
    </row>
    <row r="88" spans="1:24" ht="15.75" customHeight="1" x14ac:dyDescent="0.3">
      <c r="C88" t="s">
        <v>68</v>
      </c>
      <c r="D88" t="s">
        <v>70</v>
      </c>
      <c r="E88" t="s">
        <v>73</v>
      </c>
      <c r="F88" t="s">
        <v>69</v>
      </c>
      <c r="G88" t="s">
        <v>72</v>
      </c>
      <c r="H88" t="s">
        <v>71</v>
      </c>
      <c r="K88" t="s">
        <v>68</v>
      </c>
      <c r="L88" t="s">
        <v>69</v>
      </c>
      <c r="M88" t="s">
        <v>70</v>
      </c>
      <c r="N88" t="s">
        <v>71</v>
      </c>
      <c r="O88" t="s">
        <v>72</v>
      </c>
      <c r="P88" t="s">
        <v>73</v>
      </c>
    </row>
    <row r="89" spans="1:24" ht="15.75" customHeight="1" x14ac:dyDescent="0.3">
      <c r="A89">
        <v>44</v>
      </c>
      <c r="B89" s="16" t="s">
        <v>125</v>
      </c>
      <c r="C89" s="7">
        <f>Rankings!L53</f>
        <v>6.2548978701493008</v>
      </c>
      <c r="D89" s="7">
        <f>Rankings!M53</f>
        <v>5.6448201575304608</v>
      </c>
      <c r="E89" s="7">
        <f>Rankings!N53</f>
        <v>2.8020222942789181</v>
      </c>
      <c r="F89" s="7">
        <f>Rankings!O53</f>
        <v>2.2561763944496205</v>
      </c>
      <c r="G89" s="7">
        <f>Rankings!P53</f>
        <v>1.25400669441983</v>
      </c>
      <c r="H89" s="7">
        <f>Rankings!Q53</f>
        <v>1</v>
      </c>
      <c r="I89" s="7">
        <f>Rankings!R53</f>
        <v>19.211923410828128</v>
      </c>
      <c r="K89" s="7">
        <f>C89</f>
        <v>6.2548978701493008</v>
      </c>
      <c r="L89" s="7">
        <f>F89</f>
        <v>2.2561763944496205</v>
      </c>
      <c r="M89" s="7">
        <f>D89</f>
        <v>5.6448201575304608</v>
      </c>
      <c r="N89" s="7">
        <f>H89</f>
        <v>1</v>
      </c>
      <c r="O89" s="7">
        <f>G89</f>
        <v>1.25400669441983</v>
      </c>
      <c r="P89" s="7">
        <f>E89</f>
        <v>2.8020222942789181</v>
      </c>
      <c r="R89" s="7">
        <f t="shared" ref="R89:W89" si="92">K89/$I89</f>
        <v>0.32557374586575472</v>
      </c>
      <c r="S89" s="7">
        <f t="shared" si="92"/>
        <v>0.11743625800517223</v>
      </c>
      <c r="T89" s="7">
        <f t="shared" si="92"/>
        <v>0.29381858530359101</v>
      </c>
      <c r="U89" s="7">
        <f t="shared" si="92"/>
        <v>5.2051009085138503E-2</v>
      </c>
      <c r="V89" s="7">
        <f t="shared" si="92"/>
        <v>6.5272313844071075E-2</v>
      </c>
      <c r="W89" s="7">
        <f t="shared" si="92"/>
        <v>0.1458480878962726</v>
      </c>
      <c r="X89" s="7">
        <f>SUM(R89:W89)</f>
        <v>1</v>
      </c>
    </row>
    <row r="90" spans="1:24" ht="15.75" customHeight="1" x14ac:dyDescent="0.3">
      <c r="C90" t="s">
        <v>68</v>
      </c>
      <c r="D90" t="s">
        <v>70</v>
      </c>
      <c r="E90" t="s">
        <v>73</v>
      </c>
      <c r="F90" t="s">
        <v>71</v>
      </c>
      <c r="G90" t="s">
        <v>69</v>
      </c>
      <c r="H90" t="s">
        <v>72</v>
      </c>
      <c r="K90" t="s">
        <v>68</v>
      </c>
      <c r="L90" t="s">
        <v>69</v>
      </c>
      <c r="M90" t="s">
        <v>70</v>
      </c>
      <c r="N90" t="s">
        <v>71</v>
      </c>
      <c r="O90" t="s">
        <v>72</v>
      </c>
      <c r="P90" t="s">
        <v>73</v>
      </c>
    </row>
    <row r="91" spans="1:24" ht="15.75" customHeight="1" x14ac:dyDescent="0.3">
      <c r="A91">
        <v>45</v>
      </c>
      <c r="B91" s="16" t="s">
        <v>126</v>
      </c>
      <c r="C91" s="7">
        <f>Rankings!L54</f>
        <v>5.1207818937286111</v>
      </c>
      <c r="D91" s="7">
        <f>Rankings!M54</f>
        <v>4.6213213158900546</v>
      </c>
      <c r="E91" s="7">
        <f>Rankings!N54</f>
        <v>2.2939695144894339</v>
      </c>
      <c r="F91" s="7">
        <f>Rankings!O54</f>
        <v>2.5865567834541325</v>
      </c>
      <c r="G91" s="7">
        <f>Rankings!P54</f>
        <v>1.7991741228251155</v>
      </c>
      <c r="H91" s="7">
        <f>Rankings!Q54</f>
        <v>1</v>
      </c>
      <c r="I91" s="7">
        <f>Rankings!R54</f>
        <v>17.421803630387345</v>
      </c>
      <c r="K91" s="7">
        <f>C91</f>
        <v>5.1207818937286111</v>
      </c>
      <c r="L91" s="7">
        <f>G91</f>
        <v>1.7991741228251155</v>
      </c>
      <c r="M91" s="7">
        <f>D91</f>
        <v>4.6213213158900546</v>
      </c>
      <c r="N91" s="7">
        <f>F91</f>
        <v>2.5865567834541325</v>
      </c>
      <c r="O91" s="7">
        <f>H91</f>
        <v>1</v>
      </c>
      <c r="P91" s="7">
        <f>E91</f>
        <v>2.2939695144894339</v>
      </c>
      <c r="R91" s="7">
        <f t="shared" ref="R91:W91" si="93">K91/$I91</f>
        <v>0.29392949216789899</v>
      </c>
      <c r="S91" s="7">
        <f t="shared" si="93"/>
        <v>0.10327140409773485</v>
      </c>
      <c r="T91" s="7">
        <f t="shared" si="93"/>
        <v>0.26526078550383175</v>
      </c>
      <c r="U91" s="7">
        <f t="shared" si="93"/>
        <v>0.14846664778970561</v>
      </c>
      <c r="V91" s="7">
        <f t="shared" si="93"/>
        <v>5.7399338278373575E-2</v>
      </c>
      <c r="W91" s="7">
        <f t="shared" si="93"/>
        <v>0.13167233216245541</v>
      </c>
      <c r="X91" s="7">
        <f>SUM(R91:W91)</f>
        <v>1.0000000000000002</v>
      </c>
    </row>
    <row r="92" spans="1:24" ht="15.75" customHeight="1" x14ac:dyDescent="0.3">
      <c r="C92" t="s">
        <v>68</v>
      </c>
      <c r="D92" t="s">
        <v>70</v>
      </c>
      <c r="E92" t="s">
        <v>73</v>
      </c>
      <c r="F92" t="s">
        <v>71</v>
      </c>
      <c r="G92" t="s">
        <v>72</v>
      </c>
      <c r="H92" t="s">
        <v>69</v>
      </c>
      <c r="K92" t="s">
        <v>68</v>
      </c>
      <c r="L92" t="s">
        <v>69</v>
      </c>
      <c r="M92" t="s">
        <v>70</v>
      </c>
      <c r="N92" t="s">
        <v>71</v>
      </c>
      <c r="O92" t="s">
        <v>72</v>
      </c>
      <c r="P92" t="s">
        <v>73</v>
      </c>
    </row>
    <row r="93" spans="1:24" ht="15.75" customHeight="1" x14ac:dyDescent="0.3">
      <c r="A93">
        <v>46</v>
      </c>
      <c r="B93" s="16" t="s">
        <v>127</v>
      </c>
      <c r="C93" s="7">
        <f>Rankings!L55</f>
        <v>6.8428805757074418</v>
      </c>
      <c r="D93" s="7">
        <f>Rankings!M55</f>
        <v>6.1754533824874436</v>
      </c>
      <c r="E93" s="7">
        <f>Rankings!N55</f>
        <v>3.0654223823102549</v>
      </c>
      <c r="F93" s="7">
        <f>Rankings!O55</f>
        <v>3.4564055917200975</v>
      </c>
      <c r="G93" s="7">
        <f>Rankings!P55</f>
        <v>1.8243208303594776</v>
      </c>
      <c r="H93" s="7">
        <f>Rankings!Q55</f>
        <v>1</v>
      </c>
      <c r="I93" s="7">
        <f>Rankings!R55</f>
        <v>22.364482762584718</v>
      </c>
      <c r="K93" s="7">
        <f>C93</f>
        <v>6.8428805757074418</v>
      </c>
      <c r="L93" s="7">
        <f>H93</f>
        <v>1</v>
      </c>
      <c r="M93" s="7">
        <f>D93</f>
        <v>6.1754533824874436</v>
      </c>
      <c r="N93" s="7">
        <f t="shared" ref="N93:O93" si="94">F93</f>
        <v>3.4564055917200975</v>
      </c>
      <c r="O93" s="7">
        <f t="shared" si="94"/>
        <v>1.8243208303594776</v>
      </c>
      <c r="P93" s="7">
        <f>E93</f>
        <v>3.0654223823102549</v>
      </c>
      <c r="R93" s="7">
        <f t="shared" ref="R93:W93" si="95">K93/$I93</f>
        <v>0.30597088465445882</v>
      </c>
      <c r="S93" s="7">
        <f t="shared" si="95"/>
        <v>4.4713754868186704E-2</v>
      </c>
      <c r="T93" s="7">
        <f t="shared" si="95"/>
        <v>0.27612770874445797</v>
      </c>
      <c r="U93" s="7">
        <f t="shared" si="95"/>
        <v>0.15454887235320225</v>
      </c>
      <c r="V93" s="7">
        <f t="shared" si="95"/>
        <v>8.1572234409620498E-2</v>
      </c>
      <c r="W93" s="7">
        <f t="shared" si="95"/>
        <v>0.13706654497007364</v>
      </c>
      <c r="X93" s="7">
        <f>SUM(R93:W93)</f>
        <v>0.99999999999999989</v>
      </c>
    </row>
    <row r="94" spans="1:24" ht="15.75" customHeight="1" x14ac:dyDescent="0.3">
      <c r="C94" t="s">
        <v>68</v>
      </c>
      <c r="D94" t="s">
        <v>70</v>
      </c>
      <c r="E94" t="s">
        <v>73</v>
      </c>
      <c r="F94" t="s">
        <v>72</v>
      </c>
      <c r="G94" t="s">
        <v>69</v>
      </c>
      <c r="H94" t="s">
        <v>71</v>
      </c>
      <c r="K94" t="s">
        <v>68</v>
      </c>
      <c r="L94" t="s">
        <v>69</v>
      </c>
      <c r="M94" t="s">
        <v>70</v>
      </c>
      <c r="N94" t="s">
        <v>71</v>
      </c>
      <c r="O94" t="s">
        <v>72</v>
      </c>
      <c r="P94" t="s">
        <v>73</v>
      </c>
    </row>
    <row r="95" spans="1:24" ht="15.75" customHeight="1" x14ac:dyDescent="0.3">
      <c r="A95">
        <v>47</v>
      </c>
      <c r="B95" s="16" t="s">
        <v>128</v>
      </c>
      <c r="C95" s="7">
        <f>Rankings!L56</f>
        <v>4.549939473005165</v>
      </c>
      <c r="D95" s="7">
        <f>Rankings!M56</f>
        <v>4.1061565809626925</v>
      </c>
      <c r="E95" s="7">
        <f>Rankings!N56</f>
        <v>2.0382478028655377</v>
      </c>
      <c r="F95" s="7">
        <f>Rankings!O56</f>
        <v>1.6616352868606219</v>
      </c>
      <c r="G95" s="7">
        <f>Rankings!P56</f>
        <v>0.9108240498099236</v>
      </c>
      <c r="H95" s="7">
        <f>Rankings!Q56</f>
        <v>1</v>
      </c>
      <c r="I95" s="7">
        <f>Rankings!R56</f>
        <v>14.266803193503941</v>
      </c>
      <c r="K95" s="7">
        <f>C95</f>
        <v>4.549939473005165</v>
      </c>
      <c r="L95" s="7">
        <f>G95</f>
        <v>0.9108240498099236</v>
      </c>
      <c r="M95" s="7">
        <f>D95</f>
        <v>4.1061565809626925</v>
      </c>
      <c r="N95" s="7">
        <f>H95</f>
        <v>1</v>
      </c>
      <c r="O95" s="7">
        <f>F95</f>
        <v>1.6616352868606219</v>
      </c>
      <c r="P95" s="7">
        <f>E95</f>
        <v>2.0382478028655377</v>
      </c>
      <c r="R95" s="7">
        <f t="shared" ref="R95:W95" si="96">K95/$I95</f>
        <v>0.3189179391692229</v>
      </c>
      <c r="S95" s="7">
        <f t="shared" si="96"/>
        <v>6.3842196282951902E-2</v>
      </c>
      <c r="T95" s="7">
        <f t="shared" si="96"/>
        <v>0.28781195936258069</v>
      </c>
      <c r="U95" s="7">
        <f t="shared" si="96"/>
        <v>7.0092787181316618E-2</v>
      </c>
      <c r="V95" s="7">
        <f t="shared" si="96"/>
        <v>0.11646864853488756</v>
      </c>
      <c r="W95" s="7">
        <f t="shared" si="96"/>
        <v>0.14286646946904033</v>
      </c>
      <c r="X95" s="7">
        <f>SUM(R95:W95)</f>
        <v>1</v>
      </c>
    </row>
    <row r="96" spans="1:24" ht="15.75" customHeight="1" x14ac:dyDescent="0.3">
      <c r="C96" t="s">
        <v>68</v>
      </c>
      <c r="D96" t="s">
        <v>70</v>
      </c>
      <c r="E96" t="s">
        <v>73</v>
      </c>
      <c r="F96" t="s">
        <v>72</v>
      </c>
      <c r="G96" t="s">
        <v>71</v>
      </c>
      <c r="H96" t="s">
        <v>69</v>
      </c>
      <c r="K96" t="s">
        <v>68</v>
      </c>
      <c r="L96" t="s">
        <v>69</v>
      </c>
      <c r="M96" t="s">
        <v>70</v>
      </c>
      <c r="N96" t="s">
        <v>71</v>
      </c>
      <c r="O96" t="s">
        <v>72</v>
      </c>
      <c r="P96" t="s">
        <v>73</v>
      </c>
    </row>
    <row r="97" spans="1:24" ht="15.75" customHeight="1" x14ac:dyDescent="0.3">
      <c r="A97">
        <v>48</v>
      </c>
      <c r="B97" s="16" t="s">
        <v>129</v>
      </c>
      <c r="C97" s="7">
        <f>Rankings!L57</f>
        <v>4.9364937199379035</v>
      </c>
      <c r="D97" s="7">
        <f>Rankings!M57</f>
        <v>4.4550078732401222</v>
      </c>
      <c r="E97" s="7">
        <f>Rankings!N57</f>
        <v>2.2114134788428941</v>
      </c>
      <c r="F97" s="7">
        <f>Rankings!O57</f>
        <v>1.8028046762118686</v>
      </c>
      <c r="G97" s="7">
        <f>Rankings!P57</f>
        <v>1.4376356077157479</v>
      </c>
      <c r="H97" s="7">
        <f>Rankings!Q57</f>
        <v>1</v>
      </c>
      <c r="I97" s="7">
        <f>Rankings!R57</f>
        <v>15.843355355948537</v>
      </c>
      <c r="K97" s="7">
        <f>C97</f>
        <v>4.9364937199379035</v>
      </c>
      <c r="L97" s="7">
        <f>H97</f>
        <v>1</v>
      </c>
      <c r="M97" s="7">
        <f>D97</f>
        <v>4.4550078732401222</v>
      </c>
      <c r="N97" s="7">
        <f>G97</f>
        <v>1.4376356077157479</v>
      </c>
      <c r="O97" s="7">
        <f>F97</f>
        <v>1.8028046762118686</v>
      </c>
      <c r="P97" s="7">
        <f>E97</f>
        <v>2.2114134788428941</v>
      </c>
      <c r="R97" s="7">
        <f t="shared" ref="R97:W97" si="97">K97/$I97</f>
        <v>0.31158132914594067</v>
      </c>
      <c r="S97" s="7">
        <f t="shared" si="97"/>
        <v>6.311794298197955E-2</v>
      </c>
      <c r="T97" s="7">
        <f t="shared" si="97"/>
        <v>0.28119093292743996</v>
      </c>
      <c r="U97" s="7">
        <f t="shared" si="97"/>
        <v>9.0740602316666086E-2</v>
      </c>
      <c r="V97" s="7">
        <f t="shared" si="97"/>
        <v>0.11378932276078682</v>
      </c>
      <c r="W97" s="7">
        <f t="shared" si="97"/>
        <v>0.13957986986718682</v>
      </c>
      <c r="X97" s="7">
        <f>SUM(R97:W97)</f>
        <v>0.99999999999999989</v>
      </c>
    </row>
    <row r="98" spans="1:24" ht="15.75" customHeight="1" x14ac:dyDescent="0.3">
      <c r="C98" t="s">
        <v>68</v>
      </c>
      <c r="D98" t="s">
        <v>71</v>
      </c>
      <c r="E98" t="s">
        <v>69</v>
      </c>
      <c r="F98" t="s">
        <v>70</v>
      </c>
      <c r="G98" t="s">
        <v>72</v>
      </c>
      <c r="H98" t="s">
        <v>73</v>
      </c>
      <c r="K98" t="s">
        <v>68</v>
      </c>
      <c r="L98" t="s">
        <v>69</v>
      </c>
      <c r="M98" t="s">
        <v>70</v>
      </c>
      <c r="N98" t="s">
        <v>71</v>
      </c>
      <c r="O98" t="s">
        <v>72</v>
      </c>
      <c r="P98" t="s">
        <v>73</v>
      </c>
    </row>
    <row r="99" spans="1:24" ht="15.75" customHeight="1" x14ac:dyDescent="0.3">
      <c r="A99">
        <v>49</v>
      </c>
      <c r="B99" s="16" t="s">
        <v>130</v>
      </c>
      <c r="C99" s="7">
        <f>Rankings!L58</f>
        <v>7.2648648445884998</v>
      </c>
      <c r="D99" s="7">
        <f>Rankings!M58</f>
        <v>5.793900612397163</v>
      </c>
      <c r="E99" s="7">
        <f>Rankings!N58</f>
        <v>4.0301593681329742</v>
      </c>
      <c r="F99" s="7">
        <f>Rankings!O58</f>
        <v>2.9630818503888054</v>
      </c>
      <c r="G99" s="7">
        <f>Rankings!P58</f>
        <v>1.3219359277692486</v>
      </c>
      <c r="H99" s="7">
        <f>Rankings!Q58</f>
        <v>1</v>
      </c>
      <c r="I99" s="7">
        <f>Rankings!R58</f>
        <v>22.373942603276692</v>
      </c>
      <c r="K99" s="7">
        <f>C99</f>
        <v>7.2648648445884998</v>
      </c>
      <c r="L99" s="7">
        <f t="shared" ref="L99:M99" si="98">E99</f>
        <v>4.0301593681329742</v>
      </c>
      <c r="M99" s="7">
        <f t="shared" si="98"/>
        <v>2.9630818503888054</v>
      </c>
      <c r="N99" s="7">
        <f>D99</f>
        <v>5.793900612397163</v>
      </c>
      <c r="O99" s="7">
        <f t="shared" ref="O99:P99" si="99">G99</f>
        <v>1.3219359277692486</v>
      </c>
      <c r="P99" s="7">
        <f t="shared" si="99"/>
        <v>1</v>
      </c>
      <c r="R99" s="7">
        <f t="shared" ref="R99:W99" si="100">K99/$I99</f>
        <v>0.32470204171903755</v>
      </c>
      <c r="S99" s="7">
        <f t="shared" si="100"/>
        <v>0.1801273668925365</v>
      </c>
      <c r="T99" s="7">
        <f t="shared" si="100"/>
        <v>0.13243449770693783</v>
      </c>
      <c r="U99" s="7">
        <f t="shared" si="100"/>
        <v>0.25895751656878924</v>
      </c>
      <c r="V99" s="7">
        <f t="shared" si="100"/>
        <v>5.9083727495378907E-2</v>
      </c>
      <c r="W99" s="7">
        <f t="shared" si="100"/>
        <v>4.4694849617319961E-2</v>
      </c>
      <c r="X99" s="7">
        <f>SUM(R99:W99)</f>
        <v>1</v>
      </c>
    </row>
    <row r="100" spans="1:24" ht="15.75" customHeight="1" x14ac:dyDescent="0.3">
      <c r="C100" t="s">
        <v>68</v>
      </c>
      <c r="D100" t="s">
        <v>71</v>
      </c>
      <c r="E100" t="s">
        <v>69</v>
      </c>
      <c r="F100" t="s">
        <v>70</v>
      </c>
      <c r="G100" t="s">
        <v>73</v>
      </c>
      <c r="H100" t="s">
        <v>72</v>
      </c>
      <c r="K100" t="s">
        <v>68</v>
      </c>
      <c r="L100" t="s">
        <v>69</v>
      </c>
      <c r="M100" t="s">
        <v>70</v>
      </c>
      <c r="N100" t="s">
        <v>71</v>
      </c>
      <c r="O100" t="s">
        <v>72</v>
      </c>
      <c r="P100" t="s">
        <v>73</v>
      </c>
    </row>
    <row r="101" spans="1:24" ht="15.75" customHeight="1" x14ac:dyDescent="0.3">
      <c r="A101">
        <v>50</v>
      </c>
      <c r="B101" s="16" t="s">
        <v>131</v>
      </c>
      <c r="C101" s="7">
        <f>Rankings!L59</f>
        <v>6.0587591800847553</v>
      </c>
      <c r="D101" s="7">
        <f>Rankings!M59</f>
        <v>4.8320029724996703</v>
      </c>
      <c r="E101" s="7">
        <f>Rankings!N59</f>
        <v>3.3610763023442467</v>
      </c>
      <c r="F101" s="7">
        <f>Rankings!O59</f>
        <v>2.471153936987327</v>
      </c>
      <c r="G101" s="7">
        <f>Rankings!P59</f>
        <v>1.2266517321719024</v>
      </c>
      <c r="H101" s="7">
        <f>Rankings!Q59</f>
        <v>1</v>
      </c>
      <c r="I101" s="7">
        <f>Rankings!R59</f>
        <v>18.9496441240879</v>
      </c>
      <c r="K101" s="7">
        <f>C101</f>
        <v>6.0587591800847553</v>
      </c>
      <c r="L101" s="7">
        <f t="shared" ref="L101:M101" si="101">E101</f>
        <v>3.3610763023442467</v>
      </c>
      <c r="M101" s="7">
        <f t="shared" si="101"/>
        <v>2.471153936987327</v>
      </c>
      <c r="N101" s="7">
        <f>D101</f>
        <v>4.8320029724996703</v>
      </c>
      <c r="O101" s="7">
        <f>H101</f>
        <v>1</v>
      </c>
      <c r="P101" s="7">
        <f>G101</f>
        <v>1.2266517321719024</v>
      </c>
      <c r="R101" s="7">
        <f t="shared" ref="R101:W101" si="102">K101/$I101</f>
        <v>0.31972944401542319</v>
      </c>
      <c r="S101" s="7">
        <f t="shared" si="102"/>
        <v>0.17736883502059039</v>
      </c>
      <c r="T101" s="7">
        <f t="shared" si="102"/>
        <v>0.13040635068423853</v>
      </c>
      <c r="U101" s="7">
        <f t="shared" si="102"/>
        <v>0.2549917529246607</v>
      </c>
      <c r="V101" s="7">
        <f t="shared" si="102"/>
        <v>5.2771439582279374E-2</v>
      </c>
      <c r="W101" s="7">
        <f t="shared" si="102"/>
        <v>6.4732177772807889E-2</v>
      </c>
      <c r="X101" s="7">
        <f>SUM(R101:W101)</f>
        <v>1</v>
      </c>
    </row>
    <row r="102" spans="1:24" ht="15.75" customHeight="1" x14ac:dyDescent="0.3">
      <c r="C102" t="s">
        <v>68</v>
      </c>
      <c r="D102" t="s">
        <v>71</v>
      </c>
      <c r="E102" t="s">
        <v>69</v>
      </c>
      <c r="F102" t="s">
        <v>72</v>
      </c>
      <c r="G102" t="s">
        <v>70</v>
      </c>
      <c r="H102" t="s">
        <v>73</v>
      </c>
      <c r="K102" t="s">
        <v>68</v>
      </c>
      <c r="L102" t="s">
        <v>69</v>
      </c>
      <c r="M102" t="s">
        <v>70</v>
      </c>
      <c r="N102" t="s">
        <v>71</v>
      </c>
      <c r="O102" t="s">
        <v>72</v>
      </c>
      <c r="P102" t="s">
        <v>73</v>
      </c>
    </row>
    <row r="103" spans="1:24" ht="15.75" customHeight="1" x14ac:dyDescent="0.3">
      <c r="A103">
        <v>51</v>
      </c>
      <c r="B103" s="16" t="s">
        <v>132</v>
      </c>
      <c r="C103" s="7">
        <f>Rankings!L60</f>
        <v>12.901620196303973</v>
      </c>
      <c r="D103" s="7">
        <f>Rankings!M60</f>
        <v>10.28934560454514</v>
      </c>
      <c r="E103" s="7">
        <f>Rankings!N60</f>
        <v>7.1571304643002192</v>
      </c>
      <c r="F103" s="7">
        <f>Rankings!O60</f>
        <v>3.9780087838646128</v>
      </c>
      <c r="G103" s="7">
        <f>Rankings!P60</f>
        <v>2.0145521929129111</v>
      </c>
      <c r="H103" s="7">
        <f>Rankings!Q60</f>
        <v>1</v>
      </c>
      <c r="I103" s="7">
        <f>Rankings!R60</f>
        <v>37.340657241926856</v>
      </c>
      <c r="K103" s="7">
        <f>C103</f>
        <v>12.901620196303973</v>
      </c>
      <c r="L103" s="7">
        <f>E103</f>
        <v>7.1571304643002192</v>
      </c>
      <c r="M103" s="7">
        <f>G103</f>
        <v>2.0145521929129111</v>
      </c>
      <c r="N103" s="7">
        <f>D103</f>
        <v>10.28934560454514</v>
      </c>
      <c r="O103" s="7">
        <f>F103</f>
        <v>3.9780087838646128</v>
      </c>
      <c r="P103" s="7">
        <f>H103</f>
        <v>1</v>
      </c>
      <c r="R103" s="7">
        <f t="shared" ref="R103:W103" si="103">K103/$I103</f>
        <v>0.3455113313275528</v>
      </c>
      <c r="S103" s="7">
        <f t="shared" si="103"/>
        <v>0.19167125039952554</v>
      </c>
      <c r="T103" s="7">
        <f t="shared" si="103"/>
        <v>5.3950635626491612E-2</v>
      </c>
      <c r="U103" s="7">
        <f t="shared" si="103"/>
        <v>0.27555341454975923</v>
      </c>
      <c r="V103" s="7">
        <f t="shared" si="103"/>
        <v>0.10653290749789007</v>
      </c>
      <c r="W103" s="7">
        <f t="shared" si="103"/>
        <v>2.678046059878077E-2</v>
      </c>
      <c r="X103" s="7">
        <f>SUM(R103:W103)</f>
        <v>1</v>
      </c>
    </row>
    <row r="104" spans="1:24" ht="15.75" customHeight="1" x14ac:dyDescent="0.3">
      <c r="C104" t="s">
        <v>68</v>
      </c>
      <c r="D104" t="s">
        <v>71</v>
      </c>
      <c r="E104" t="s">
        <v>69</v>
      </c>
      <c r="F104" t="s">
        <v>72</v>
      </c>
      <c r="G104" t="s">
        <v>73</v>
      </c>
      <c r="H104" t="s">
        <v>70</v>
      </c>
      <c r="K104" t="s">
        <v>68</v>
      </c>
      <c r="L104" t="s">
        <v>69</v>
      </c>
      <c r="M104" t="s">
        <v>70</v>
      </c>
      <c r="N104" t="s">
        <v>71</v>
      </c>
      <c r="O104" t="s">
        <v>72</v>
      </c>
      <c r="P104" t="s">
        <v>73</v>
      </c>
    </row>
    <row r="105" spans="1:24" ht="15.75" customHeight="1" x14ac:dyDescent="0.3">
      <c r="A105">
        <v>52</v>
      </c>
      <c r="B105" s="16" t="s">
        <v>133</v>
      </c>
      <c r="C105" s="7">
        <f>Rankings!L61</f>
        <v>6.0161974990648259</v>
      </c>
      <c r="D105" s="7">
        <f>Rankings!M61</f>
        <v>4.7980590306643718</v>
      </c>
      <c r="E105" s="7">
        <f>Rankings!N61</f>
        <v>3.3374653527732137</v>
      </c>
      <c r="F105" s="7">
        <f>Rankings!O61</f>
        <v>1.8549985298435865</v>
      </c>
      <c r="G105" s="7">
        <f>Rankings!P61</f>
        <v>1.4032439022773779</v>
      </c>
      <c r="H105" s="7">
        <f>Rankings!Q61</f>
        <v>1</v>
      </c>
      <c r="I105" s="7">
        <f>Rankings!R61</f>
        <v>18.409964314623377</v>
      </c>
      <c r="K105" s="7">
        <f>C105</f>
        <v>6.0161974990648259</v>
      </c>
      <c r="L105" s="7">
        <f>E105</f>
        <v>3.3374653527732137</v>
      </c>
      <c r="M105" s="7">
        <f>H105</f>
        <v>1</v>
      </c>
      <c r="N105" s="7">
        <f>D105</f>
        <v>4.7980590306643718</v>
      </c>
      <c r="O105" s="7">
        <f t="shared" ref="O105:P105" si="104">F105</f>
        <v>1.8549985298435865</v>
      </c>
      <c r="P105" s="7">
        <f t="shared" si="104"/>
        <v>1.4032439022773779</v>
      </c>
      <c r="R105" s="7">
        <f t="shared" ref="R105:W105" si="105">K105/$I105</f>
        <v>0.32679028575226776</v>
      </c>
      <c r="S105" s="7">
        <f t="shared" si="105"/>
        <v>0.18128581325506443</v>
      </c>
      <c r="T105" s="7">
        <f t="shared" si="105"/>
        <v>5.4318410558008602E-2</v>
      </c>
      <c r="U105" s="7">
        <f t="shared" si="105"/>
        <v>0.26062294030918814</v>
      </c>
      <c r="V105" s="7">
        <f t="shared" si="105"/>
        <v>0.1007605717285463</v>
      </c>
      <c r="W105" s="7">
        <f t="shared" si="105"/>
        <v>7.6221978396924711E-2</v>
      </c>
      <c r="X105" s="7">
        <f>SUM(R105:W105)</f>
        <v>0.99999999999999978</v>
      </c>
    </row>
    <row r="106" spans="1:24" ht="15.75" customHeight="1" x14ac:dyDescent="0.3">
      <c r="C106" t="s">
        <v>68</v>
      </c>
      <c r="D106" t="s">
        <v>71</v>
      </c>
      <c r="E106" t="s">
        <v>69</v>
      </c>
      <c r="F106" t="s">
        <v>73</v>
      </c>
      <c r="G106" t="s">
        <v>70</v>
      </c>
      <c r="H106" t="s">
        <v>72</v>
      </c>
      <c r="K106" t="s">
        <v>68</v>
      </c>
      <c r="L106" t="s">
        <v>69</v>
      </c>
      <c r="M106" t="s">
        <v>70</v>
      </c>
      <c r="N106" t="s">
        <v>71</v>
      </c>
      <c r="O106" t="s">
        <v>72</v>
      </c>
      <c r="P106" t="s">
        <v>73</v>
      </c>
    </row>
    <row r="107" spans="1:24" ht="15.75" customHeight="1" x14ac:dyDescent="0.3">
      <c r="A107">
        <v>53</v>
      </c>
      <c r="B107" s="16" t="s">
        <v>134</v>
      </c>
      <c r="C107" s="7">
        <f>Rankings!L62</f>
        <v>7.5718353937573815</v>
      </c>
      <c r="D107" s="7">
        <f>Rankings!M62</f>
        <v>6.0387168465411865</v>
      </c>
      <c r="E107" s="7">
        <f>Rankings!N62</f>
        <v>4.2004502490975959</v>
      </c>
      <c r="F107" s="7">
        <f>Rankings!O62</f>
        <v>3.1453313667957521</v>
      </c>
      <c r="G107" s="7">
        <f>Rankings!P62</f>
        <v>2.2414716085286912</v>
      </c>
      <c r="H107" s="7">
        <f>Rankings!Q62</f>
        <v>1</v>
      </c>
      <c r="I107" s="7">
        <f>Rankings!R62</f>
        <v>24.197805464720606</v>
      </c>
      <c r="K107" s="7">
        <f>C107</f>
        <v>7.5718353937573815</v>
      </c>
      <c r="L107" s="7">
        <f>E107</f>
        <v>4.2004502490975959</v>
      </c>
      <c r="M107" s="7">
        <f>G107</f>
        <v>2.2414716085286912</v>
      </c>
      <c r="N107" s="7">
        <f>D107</f>
        <v>6.0387168465411865</v>
      </c>
      <c r="O107" s="7">
        <f>H107</f>
        <v>1</v>
      </c>
      <c r="P107" s="7">
        <f>F107</f>
        <v>3.1453313667957521</v>
      </c>
      <c r="R107" s="7">
        <f t="shared" ref="R107:W107" si="106">K107/$I107</f>
        <v>0.31291413615159452</v>
      </c>
      <c r="S107" s="7">
        <f t="shared" si="106"/>
        <v>0.17358806587736553</v>
      </c>
      <c r="T107" s="7">
        <f t="shared" si="106"/>
        <v>9.2631193840973042E-2</v>
      </c>
      <c r="U107" s="7">
        <f t="shared" si="106"/>
        <v>0.24955638457980764</v>
      </c>
      <c r="V107" s="7">
        <f t="shared" si="106"/>
        <v>4.1326061632240098E-2</v>
      </c>
      <c r="W107" s="7">
        <f t="shared" si="106"/>
        <v>0.12998415791801923</v>
      </c>
      <c r="X107" s="7">
        <f>SUM(R107:W107)</f>
        <v>1</v>
      </c>
    </row>
    <row r="108" spans="1:24" ht="15.75" customHeight="1" x14ac:dyDescent="0.3">
      <c r="C108" t="s">
        <v>68</v>
      </c>
      <c r="D108" t="s">
        <v>71</v>
      </c>
      <c r="E108" t="s">
        <v>69</v>
      </c>
      <c r="F108" t="s">
        <v>73</v>
      </c>
      <c r="G108" t="s">
        <v>72</v>
      </c>
      <c r="H108" t="s">
        <v>70</v>
      </c>
      <c r="K108" t="s">
        <v>68</v>
      </c>
      <c r="L108" t="s">
        <v>69</v>
      </c>
      <c r="M108" t="s">
        <v>70</v>
      </c>
      <c r="N108" t="s">
        <v>71</v>
      </c>
      <c r="O108" t="s">
        <v>72</v>
      </c>
      <c r="P108" t="s">
        <v>73</v>
      </c>
    </row>
    <row r="109" spans="1:24" ht="15.75" customHeight="1" x14ac:dyDescent="0.3">
      <c r="A109">
        <v>54</v>
      </c>
      <c r="B109" s="16" t="s">
        <v>135</v>
      </c>
      <c r="C109" s="7">
        <f>Rankings!L63</f>
        <v>5.8310027848706358</v>
      </c>
      <c r="D109" s="7">
        <f>Rankings!M63</f>
        <v>4.6503618895700409</v>
      </c>
      <c r="E109" s="7">
        <f>Rankings!N63</f>
        <v>3.2347292071869154</v>
      </c>
      <c r="F109" s="7">
        <f>Rankings!O63</f>
        <v>2.4221915830668759</v>
      </c>
      <c r="G109" s="7">
        <f>Rankings!P63</f>
        <v>1.9746367445127702</v>
      </c>
      <c r="H109" s="7">
        <f>Rankings!Q63</f>
        <v>1</v>
      </c>
      <c r="I109" s="7">
        <f>Rankings!R63</f>
        <v>19.112922209207241</v>
      </c>
      <c r="K109" s="7">
        <f>C109</f>
        <v>5.8310027848706358</v>
      </c>
      <c r="L109" s="7">
        <f>E109</f>
        <v>3.2347292071869154</v>
      </c>
      <c r="M109" s="7">
        <f>H109</f>
        <v>1</v>
      </c>
      <c r="N109" s="7">
        <f>D109</f>
        <v>4.6503618895700409</v>
      </c>
      <c r="O109" s="7">
        <f>G109</f>
        <v>1.9746367445127702</v>
      </c>
      <c r="P109" s="7">
        <f>F109</f>
        <v>2.4221915830668759</v>
      </c>
      <c r="R109" s="7">
        <f t="shared" ref="R109:W109" si="107">K109/$I109</f>
        <v>0.30508169923182521</v>
      </c>
      <c r="S109" s="7">
        <f t="shared" si="107"/>
        <v>0.16924304780713512</v>
      </c>
      <c r="T109" s="7">
        <f t="shared" si="107"/>
        <v>5.2320623139368576E-2</v>
      </c>
      <c r="U109" s="7">
        <f t="shared" si="107"/>
        <v>0.24330983188587607</v>
      </c>
      <c r="V109" s="7">
        <f t="shared" si="107"/>
        <v>0.10331422494680229</v>
      </c>
      <c r="W109" s="7">
        <f t="shared" si="107"/>
        <v>0.1267305729889926</v>
      </c>
      <c r="X109" s="7">
        <f>SUM(R109:W109)</f>
        <v>0.99999999999999989</v>
      </c>
    </row>
    <row r="110" spans="1:24" ht="15.75" customHeight="1" x14ac:dyDescent="0.3">
      <c r="C110" t="s">
        <v>68</v>
      </c>
      <c r="D110" t="s">
        <v>71</v>
      </c>
      <c r="E110" t="s">
        <v>70</v>
      </c>
      <c r="F110" t="s">
        <v>69</v>
      </c>
      <c r="G110" t="s">
        <v>72</v>
      </c>
      <c r="H110" t="s">
        <v>73</v>
      </c>
      <c r="K110" t="s">
        <v>68</v>
      </c>
      <c r="L110" t="s">
        <v>69</v>
      </c>
      <c r="M110" t="s">
        <v>70</v>
      </c>
      <c r="N110" t="s">
        <v>71</v>
      </c>
      <c r="O110" t="s">
        <v>72</v>
      </c>
      <c r="P110" t="s">
        <v>73</v>
      </c>
    </row>
    <row r="111" spans="1:24" ht="15.75" customHeight="1" x14ac:dyDescent="0.3">
      <c r="A111">
        <v>55</v>
      </c>
      <c r="B111" s="16" t="s">
        <v>136</v>
      </c>
      <c r="C111" s="7">
        <f>Rankings!L64</f>
        <v>10.055114298501753</v>
      </c>
      <c r="D111" s="7">
        <f>Rankings!M64</f>
        <v>8.0191901897815221</v>
      </c>
      <c r="E111" s="7">
        <f>Rankings!N64</f>
        <v>3.5818185882269375</v>
      </c>
      <c r="F111" s="7">
        <f>Rankings!O64</f>
        <v>2.3783929132752433</v>
      </c>
      <c r="G111" s="7">
        <f>Rankings!P64</f>
        <v>1.3219359277692486</v>
      </c>
      <c r="H111" s="7">
        <f>Rankings!Q64</f>
        <v>1</v>
      </c>
      <c r="I111" s="7">
        <f>Rankings!R64</f>
        <v>26.356451917554704</v>
      </c>
      <c r="K111" s="7">
        <f>C111</f>
        <v>10.055114298501753</v>
      </c>
      <c r="L111" s="7">
        <f>F111</f>
        <v>2.3783929132752433</v>
      </c>
      <c r="M111" s="7">
        <f>E111</f>
        <v>3.5818185882269375</v>
      </c>
      <c r="N111" s="7">
        <f>D111</f>
        <v>8.0191901897815221</v>
      </c>
      <c r="O111" s="7">
        <f t="shared" ref="O111:P111" si="108">G111</f>
        <v>1.3219359277692486</v>
      </c>
      <c r="P111" s="7">
        <f t="shared" si="108"/>
        <v>1</v>
      </c>
      <c r="R111" s="7">
        <f t="shared" ref="R111:W111" si="109">K111/$I111</f>
        <v>0.38150485239648468</v>
      </c>
      <c r="S111" s="7">
        <f t="shared" si="109"/>
        <v>9.0239495085114835E-2</v>
      </c>
      <c r="T111" s="7">
        <f t="shared" si="109"/>
        <v>0.13589911872171492</v>
      </c>
      <c r="U111" s="7">
        <f t="shared" si="109"/>
        <v>0.30425909431460096</v>
      </c>
      <c r="V111" s="7">
        <f t="shared" si="109"/>
        <v>5.0156065463757421E-2</v>
      </c>
      <c r="W111" s="7">
        <f t="shared" si="109"/>
        <v>3.7941374018327194E-2</v>
      </c>
      <c r="X111" s="7">
        <f>SUM(R111:W111)</f>
        <v>1</v>
      </c>
    </row>
    <row r="112" spans="1:24" ht="15.75" customHeight="1" x14ac:dyDescent="0.3">
      <c r="C112" t="s">
        <v>68</v>
      </c>
      <c r="D112" t="s">
        <v>71</v>
      </c>
      <c r="E112" t="s">
        <v>70</v>
      </c>
      <c r="F112" t="s">
        <v>69</v>
      </c>
      <c r="G112" t="s">
        <v>73</v>
      </c>
      <c r="H112" t="s">
        <v>72</v>
      </c>
      <c r="K112" t="s">
        <v>68</v>
      </c>
      <c r="L112" t="s">
        <v>69</v>
      </c>
      <c r="M112" t="s">
        <v>70</v>
      </c>
      <c r="N112" t="s">
        <v>71</v>
      </c>
      <c r="O112" t="s">
        <v>72</v>
      </c>
      <c r="P112" t="s">
        <v>73</v>
      </c>
    </row>
    <row r="113" spans="1:24" ht="15.75" customHeight="1" x14ac:dyDescent="0.3">
      <c r="A113">
        <v>56</v>
      </c>
      <c r="B113" s="16" t="s">
        <v>137</v>
      </c>
      <c r="C113" s="7">
        <f>Rankings!L65</f>
        <v>6.925547705870601</v>
      </c>
      <c r="D113" s="7">
        <f>Rankings!M65</f>
        <v>5.5232872121659238</v>
      </c>
      <c r="E113" s="7">
        <f>Rankings!N65</f>
        <v>2.4670088046871763</v>
      </c>
      <c r="F113" s="7">
        <f>Rankings!O65</f>
        <v>1.6381388709471552</v>
      </c>
      <c r="G113" s="7">
        <f>Rankings!P65</f>
        <v>1.2266517321719024</v>
      </c>
      <c r="H113" s="7">
        <f>Rankings!Q65</f>
        <v>1</v>
      </c>
      <c r="I113" s="7">
        <f>Rankings!R65</f>
        <v>18.780634325842758</v>
      </c>
      <c r="K113" s="7">
        <f>C113</f>
        <v>6.925547705870601</v>
      </c>
      <c r="L113" s="7">
        <f>F113</f>
        <v>1.6381388709471552</v>
      </c>
      <c r="M113" s="7">
        <f>E113</f>
        <v>2.4670088046871763</v>
      </c>
      <c r="N113" s="7">
        <f>D113</f>
        <v>5.5232872121659238</v>
      </c>
      <c r="O113" s="7">
        <f>H113</f>
        <v>1</v>
      </c>
      <c r="P113" s="7">
        <f>G113</f>
        <v>1.2266517321719024</v>
      </c>
      <c r="R113" s="7">
        <f t="shared" ref="R113:W113" si="110">K113/$I113</f>
        <v>0.36876005281359553</v>
      </c>
      <c r="S113" s="7">
        <f t="shared" si="110"/>
        <v>8.7224895737042452E-2</v>
      </c>
      <c r="T113" s="7">
        <f t="shared" si="110"/>
        <v>0.13135918424717383</v>
      </c>
      <c r="U113" s="7">
        <f t="shared" si="110"/>
        <v>0.29409481683830574</v>
      </c>
      <c r="V113" s="7">
        <f t="shared" si="110"/>
        <v>5.3246337831303586E-2</v>
      </c>
      <c r="W113" s="7">
        <f t="shared" si="110"/>
        <v>6.5314712532578839E-2</v>
      </c>
      <c r="X113" s="7">
        <f>SUM(R113:W113)</f>
        <v>1</v>
      </c>
    </row>
    <row r="114" spans="1:24" ht="15.75" customHeight="1" x14ac:dyDescent="0.3">
      <c r="C114" t="s">
        <v>68</v>
      </c>
      <c r="D114" t="s">
        <v>71</v>
      </c>
      <c r="E114" t="s">
        <v>70</v>
      </c>
      <c r="F114" t="s">
        <v>72</v>
      </c>
      <c r="G114" t="s">
        <v>69</v>
      </c>
      <c r="H114" t="s">
        <v>73</v>
      </c>
      <c r="K114" t="s">
        <v>68</v>
      </c>
      <c r="L114" t="s">
        <v>69</v>
      </c>
      <c r="M114" t="s">
        <v>70</v>
      </c>
      <c r="N114" t="s">
        <v>71</v>
      </c>
      <c r="O114" t="s">
        <v>72</v>
      </c>
      <c r="P114" t="s">
        <v>73</v>
      </c>
    </row>
    <row r="115" spans="1:24" ht="15.75" customHeight="1" x14ac:dyDescent="0.3">
      <c r="A115">
        <v>57</v>
      </c>
      <c r="B115" s="16" t="s">
        <v>138</v>
      </c>
      <c r="C115" s="7">
        <f>Rankings!L66</f>
        <v>15.330182473552137</v>
      </c>
      <c r="D115" s="7">
        <f>Rankings!M66</f>
        <v>12.22618115020212</v>
      </c>
      <c r="E115" s="7">
        <f>Rankings!N66</f>
        <v>5.460895909742332</v>
      </c>
      <c r="F115" s="7">
        <f>Rankings!O66</f>
        <v>2.436299388742595</v>
      </c>
      <c r="G115" s="7">
        <f>Rankings!P66</f>
        <v>1.3354555559520354</v>
      </c>
      <c r="H115" s="7">
        <f>Rankings!Q66</f>
        <v>1</v>
      </c>
      <c r="I115" s="7">
        <f>Rankings!R66</f>
        <v>37.789014478191227</v>
      </c>
      <c r="K115" s="7">
        <f>C115</f>
        <v>15.330182473552137</v>
      </c>
      <c r="L115" s="7">
        <f>G115</f>
        <v>1.3354555559520354</v>
      </c>
      <c r="M115" s="7">
        <f>E115</f>
        <v>5.460895909742332</v>
      </c>
      <c r="N115" s="7">
        <f>D115</f>
        <v>12.22618115020212</v>
      </c>
      <c r="O115" s="7">
        <f>F115</f>
        <v>2.436299388742595</v>
      </c>
      <c r="P115" s="7">
        <f>H115</f>
        <v>1</v>
      </c>
      <c r="R115" s="7">
        <f t="shared" ref="R115:W115" si="111">K115/$I115</f>
        <v>0.40567828204145101</v>
      </c>
      <c r="S115" s="7">
        <f t="shared" si="111"/>
        <v>3.533978259006338E-2</v>
      </c>
      <c r="T115" s="7">
        <f t="shared" si="111"/>
        <v>0.14451014362636846</v>
      </c>
      <c r="U115" s="7">
        <f t="shared" si="111"/>
        <v>0.32353797311274379</v>
      </c>
      <c r="V115" s="7">
        <f t="shared" si="111"/>
        <v>6.4471101519427837E-2</v>
      </c>
      <c r="W115" s="7">
        <f t="shared" si="111"/>
        <v>2.6462717109945258E-2</v>
      </c>
      <c r="X115" s="7">
        <f>SUM(R115:W115)</f>
        <v>0.99999999999999978</v>
      </c>
    </row>
    <row r="116" spans="1:24" ht="15.75" customHeight="1" x14ac:dyDescent="0.3">
      <c r="C116" t="s">
        <v>68</v>
      </c>
      <c r="D116" t="s">
        <v>71</v>
      </c>
      <c r="E116" t="s">
        <v>70</v>
      </c>
      <c r="F116" t="s">
        <v>72</v>
      </c>
      <c r="G116" t="s">
        <v>73</v>
      </c>
      <c r="H116" t="s">
        <v>69</v>
      </c>
      <c r="K116" t="s">
        <v>68</v>
      </c>
      <c r="L116" t="s">
        <v>69</v>
      </c>
      <c r="M116" t="s">
        <v>70</v>
      </c>
      <c r="N116" t="s">
        <v>71</v>
      </c>
      <c r="O116" t="s">
        <v>72</v>
      </c>
      <c r="P116" t="s">
        <v>73</v>
      </c>
    </row>
    <row r="117" spans="1:24" ht="15.75" customHeight="1" x14ac:dyDescent="0.3">
      <c r="A117">
        <v>58</v>
      </c>
      <c r="B117" s="16" t="s">
        <v>139</v>
      </c>
      <c r="C117" s="7">
        <f>Rankings!L67</f>
        <v>10.330601508551069</v>
      </c>
      <c r="D117" s="7">
        <f>Rankings!M67</f>
        <v>8.2388977203629441</v>
      </c>
      <c r="E117" s="7">
        <f>Rankings!N67</f>
        <v>3.6799522523982584</v>
      </c>
      <c r="F117" s="7">
        <f>Rankings!O67</f>
        <v>1.6417572448369266</v>
      </c>
      <c r="G117" s="7">
        <f>Rankings!P67</f>
        <v>1.2419340531937677</v>
      </c>
      <c r="H117" s="7">
        <f>Rankings!Q67</f>
        <v>1</v>
      </c>
      <c r="I117" s="7">
        <f>Rankings!R67</f>
        <v>26.133142779342965</v>
      </c>
      <c r="K117" s="7">
        <f>C117</f>
        <v>10.330601508551069</v>
      </c>
      <c r="L117" s="7">
        <f>H117</f>
        <v>1</v>
      </c>
      <c r="M117" s="7">
        <f>E117</f>
        <v>3.6799522523982584</v>
      </c>
      <c r="N117" s="7">
        <f>D117</f>
        <v>8.2388977203629441</v>
      </c>
      <c r="O117" s="7">
        <f t="shared" ref="O117:P117" si="112">F117</f>
        <v>1.6417572448369266</v>
      </c>
      <c r="P117" s="7">
        <f t="shared" si="112"/>
        <v>1.2419340531937677</v>
      </c>
      <c r="R117" s="7">
        <f t="shared" ref="R117:W117" si="113">K117/$I117</f>
        <v>0.39530651157337759</v>
      </c>
      <c r="S117" s="7">
        <f t="shared" si="113"/>
        <v>3.8265585140048811E-2</v>
      </c>
      <c r="T117" s="7">
        <f t="shared" si="113"/>
        <v>0.14081552622545995</v>
      </c>
      <c r="U117" s="7">
        <f t="shared" si="113"/>
        <v>0.31526624217870231</v>
      </c>
      <c r="V117" s="7">
        <f t="shared" si="113"/>
        <v>6.2822801631599381E-2</v>
      </c>
      <c r="W117" s="7">
        <f t="shared" si="113"/>
        <v>4.7523333250812025E-2</v>
      </c>
      <c r="X117" s="7">
        <f>SUM(R117:W117)</f>
        <v>1</v>
      </c>
    </row>
    <row r="118" spans="1:24" ht="15.75" customHeight="1" x14ac:dyDescent="0.3">
      <c r="C118" t="s">
        <v>68</v>
      </c>
      <c r="D118" t="s">
        <v>71</v>
      </c>
      <c r="E118" t="s">
        <v>70</v>
      </c>
      <c r="F118" t="s">
        <v>73</v>
      </c>
      <c r="G118" t="s">
        <v>69</v>
      </c>
      <c r="H118" t="s">
        <v>72</v>
      </c>
      <c r="K118" t="s">
        <v>68</v>
      </c>
      <c r="L118" t="s">
        <v>69</v>
      </c>
      <c r="M118" t="s">
        <v>70</v>
      </c>
      <c r="N118" t="s">
        <v>71</v>
      </c>
      <c r="O118" t="s">
        <v>72</v>
      </c>
      <c r="P118" t="s">
        <v>73</v>
      </c>
    </row>
    <row r="119" spans="1:24" ht="15.75" customHeight="1" x14ac:dyDescent="0.3">
      <c r="A119">
        <v>59</v>
      </c>
      <c r="B119" s="16" t="s">
        <v>140</v>
      </c>
      <c r="C119" s="7">
        <f>Rankings!L68</f>
        <v>12.636700158749688</v>
      </c>
      <c r="D119" s="7">
        <f>Rankings!M68</f>
        <v>10.0780656426109</v>
      </c>
      <c r="E119" s="7">
        <f>Rankings!N68</f>
        <v>4.5014274506262133</v>
      </c>
      <c r="F119" s="7">
        <f>Rankings!O68</f>
        <v>2.2344556107615374</v>
      </c>
      <c r="G119" s="7">
        <f>Rankings!P68</f>
        <v>1.7991741228251155</v>
      </c>
      <c r="H119" s="7">
        <f>Rankings!Q68</f>
        <v>1</v>
      </c>
      <c r="I119" s="7">
        <f>Rankings!R68</f>
        <v>32.249822985573452</v>
      </c>
      <c r="K119" s="7">
        <f>C119</f>
        <v>12.636700158749688</v>
      </c>
      <c r="L119" s="7">
        <f>G119</f>
        <v>1.7991741228251155</v>
      </c>
      <c r="M119" s="7">
        <f>E119</f>
        <v>4.5014274506262133</v>
      </c>
      <c r="N119" s="7">
        <f>D119</f>
        <v>10.0780656426109</v>
      </c>
      <c r="O119" s="7">
        <f>H119</f>
        <v>1</v>
      </c>
      <c r="P119" s="7">
        <f>F119</f>
        <v>2.2344556107615374</v>
      </c>
      <c r="R119" s="7">
        <f t="shared" ref="R119:W119" si="114">K119/$I119</f>
        <v>0.3918378145642088</v>
      </c>
      <c r="S119" s="7">
        <f t="shared" si="114"/>
        <v>5.5788651107634084E-2</v>
      </c>
      <c r="T119" s="7">
        <f t="shared" si="114"/>
        <v>0.13957991188478366</v>
      </c>
      <c r="U119" s="7">
        <f t="shared" si="114"/>
        <v>0.31249987471618662</v>
      </c>
      <c r="V119" s="7">
        <f t="shared" si="114"/>
        <v>3.1007922134869928E-2</v>
      </c>
      <c r="W119" s="7">
        <f t="shared" si="114"/>
        <v>6.9285825592316982E-2</v>
      </c>
      <c r="X119" s="7">
        <f>SUM(R119:W119)</f>
        <v>1</v>
      </c>
    </row>
    <row r="120" spans="1:24" ht="15.75" customHeight="1" x14ac:dyDescent="0.3">
      <c r="C120" t="s">
        <v>68</v>
      </c>
      <c r="D120" t="s">
        <v>71</v>
      </c>
      <c r="E120" t="s">
        <v>70</v>
      </c>
      <c r="F120" t="s">
        <v>73</v>
      </c>
      <c r="G120" t="s">
        <v>72</v>
      </c>
      <c r="H120" t="s">
        <v>69</v>
      </c>
      <c r="K120" t="s">
        <v>68</v>
      </c>
      <c r="L120" t="s">
        <v>69</v>
      </c>
      <c r="M120" t="s">
        <v>70</v>
      </c>
      <c r="N120" t="s">
        <v>71</v>
      </c>
      <c r="O120" t="s">
        <v>72</v>
      </c>
      <c r="P120" t="s">
        <v>73</v>
      </c>
    </row>
    <row r="121" spans="1:24" ht="15.75" customHeight="1" x14ac:dyDescent="0.3">
      <c r="A121">
        <v>60</v>
      </c>
      <c r="B121" s="16" t="s">
        <v>141</v>
      </c>
      <c r="C121" s="7">
        <f>Rankings!L69</f>
        <v>12.655649623845926</v>
      </c>
      <c r="D121" s="7">
        <f>Rankings!M69</f>
        <v>10.093178286792776</v>
      </c>
      <c r="E121" s="7">
        <f>Rankings!N69</f>
        <v>4.5081776022708127</v>
      </c>
      <c r="F121" s="7">
        <f>Rankings!O69</f>
        <v>2.2378063065977365</v>
      </c>
      <c r="G121" s="7">
        <f>Rankings!P69</f>
        <v>1.8243208303594776</v>
      </c>
      <c r="H121" s="7">
        <f>Rankings!Q69</f>
        <v>1</v>
      </c>
      <c r="I121" s="7">
        <f>Rankings!R69</f>
        <v>32.319132649866731</v>
      </c>
      <c r="K121" s="7">
        <f>C121</f>
        <v>12.655649623845926</v>
      </c>
      <c r="L121" s="7">
        <f>H121</f>
        <v>1</v>
      </c>
      <c r="M121" s="7">
        <f>E121</f>
        <v>4.5081776022708127</v>
      </c>
      <c r="N121" s="7">
        <f>D121</f>
        <v>10.093178286792776</v>
      </c>
      <c r="O121" s="7">
        <f>G121</f>
        <v>1.8243208303594776</v>
      </c>
      <c r="P121" s="7">
        <f>F121</f>
        <v>2.2378063065977365</v>
      </c>
      <c r="R121" s="7">
        <f t="shared" ref="R121:W121" si="115">K121/$I121</f>
        <v>0.39158382624163995</v>
      </c>
      <c r="S121" s="7">
        <f t="shared" si="115"/>
        <v>3.0941424413632075E-2</v>
      </c>
      <c r="T121" s="7">
        <f t="shared" si="115"/>
        <v>0.13948943652389142</v>
      </c>
      <c r="U121" s="7">
        <f t="shared" si="115"/>
        <v>0.31229731305411118</v>
      </c>
      <c r="V121" s="7">
        <f t="shared" si="115"/>
        <v>5.644708507878228E-2</v>
      </c>
      <c r="W121" s="7">
        <f t="shared" si="115"/>
        <v>6.9240914687943036E-2</v>
      </c>
      <c r="X121" s="7">
        <f>SUM(R121:W121)</f>
        <v>1</v>
      </c>
    </row>
    <row r="122" spans="1:24" ht="15.75" customHeight="1" x14ac:dyDescent="0.3">
      <c r="C122" t="s">
        <v>68</v>
      </c>
      <c r="D122" t="s">
        <v>71</v>
      </c>
      <c r="E122" t="s">
        <v>72</v>
      </c>
      <c r="F122" t="s">
        <v>69</v>
      </c>
      <c r="G122" t="s">
        <v>70</v>
      </c>
      <c r="H122" t="s">
        <v>73</v>
      </c>
      <c r="K122" t="s">
        <v>68</v>
      </c>
      <c r="L122" t="s">
        <v>69</v>
      </c>
      <c r="M122" t="s">
        <v>70</v>
      </c>
      <c r="N122" t="s">
        <v>71</v>
      </c>
      <c r="O122" t="s">
        <v>72</v>
      </c>
      <c r="P122" t="s">
        <v>73</v>
      </c>
    </row>
    <row r="123" spans="1:24" ht="15.75" customHeight="1" x14ac:dyDescent="0.3">
      <c r="A123">
        <v>61</v>
      </c>
      <c r="B123" s="16" t="s">
        <v>142</v>
      </c>
      <c r="C123" s="7">
        <f>Rankings!L70</f>
        <v>11.875127806369013</v>
      </c>
      <c r="D123" s="7">
        <f>Rankings!M70</f>
        <v>9.4706937763428112</v>
      </c>
      <c r="E123" s="7">
        <f>Rankings!N70</f>
        <v>4.9987142641844224</v>
      </c>
      <c r="F123" s="7">
        <f>Rankings!O70</f>
        <v>2.740041214789747</v>
      </c>
      <c r="G123" s="7">
        <f>Rankings!P70</f>
        <v>2.0145521929129111</v>
      </c>
      <c r="H123" s="7">
        <f>Rankings!Q70</f>
        <v>1</v>
      </c>
      <c r="I123" s="7">
        <f>Rankings!R70</f>
        <v>32.099129254598907</v>
      </c>
      <c r="K123" s="7">
        <f>C123</f>
        <v>11.875127806369013</v>
      </c>
      <c r="L123" s="7">
        <f t="shared" ref="L123:M123" si="116">F123</f>
        <v>2.740041214789747</v>
      </c>
      <c r="M123" s="7">
        <f t="shared" si="116"/>
        <v>2.0145521929129111</v>
      </c>
      <c r="N123" s="7">
        <f t="shared" ref="N123:O123" si="117">D123</f>
        <v>9.4706937763428112</v>
      </c>
      <c r="O123" s="7">
        <f t="shared" si="117"/>
        <v>4.9987142641844224</v>
      </c>
      <c r="P123" s="7">
        <f>H123</f>
        <v>1</v>
      </c>
      <c r="R123" s="7">
        <f t="shared" ref="R123:W123" si="118">K123/$I123</f>
        <v>0.36995171153023226</v>
      </c>
      <c r="S123" s="7">
        <f t="shared" si="118"/>
        <v>8.536185492935687E-2</v>
      </c>
      <c r="T123" s="7">
        <f t="shared" si="118"/>
        <v>6.276033773172468E-2</v>
      </c>
      <c r="U123" s="7">
        <f t="shared" si="118"/>
        <v>0.2950451926974289</v>
      </c>
      <c r="V123" s="7">
        <f t="shared" si="118"/>
        <v>0.15572741006574958</v>
      </c>
      <c r="W123" s="7">
        <f t="shared" si="118"/>
        <v>3.1153493045507706E-2</v>
      </c>
      <c r="X123" s="7">
        <f>SUM(R123:W123)</f>
        <v>1</v>
      </c>
    </row>
    <row r="124" spans="1:24" ht="15.75" customHeight="1" x14ac:dyDescent="0.3">
      <c r="C124" t="s">
        <v>68</v>
      </c>
      <c r="D124" t="s">
        <v>71</v>
      </c>
      <c r="E124" t="s">
        <v>72</v>
      </c>
      <c r="F124" t="s">
        <v>69</v>
      </c>
      <c r="G124" t="s">
        <v>73</v>
      </c>
      <c r="H124" t="s">
        <v>70</v>
      </c>
      <c r="K124" t="s">
        <v>68</v>
      </c>
      <c r="L124" t="s">
        <v>69</v>
      </c>
      <c r="M124" t="s">
        <v>70</v>
      </c>
      <c r="N124" t="s">
        <v>71</v>
      </c>
      <c r="O124" t="s">
        <v>72</v>
      </c>
      <c r="P124" t="s">
        <v>73</v>
      </c>
    </row>
    <row r="125" spans="1:24" ht="15.75" customHeight="1" x14ac:dyDescent="0.3">
      <c r="A125">
        <v>62</v>
      </c>
      <c r="B125" s="16" t="s">
        <v>143</v>
      </c>
      <c r="C125" s="7">
        <f>Rankings!L71</f>
        <v>8.1216412146599488</v>
      </c>
      <c r="D125" s="7">
        <f>Rankings!M71</f>
        <v>6.4771999223550143</v>
      </c>
      <c r="E125" s="7">
        <f>Rankings!N71</f>
        <v>3.4187222613751498</v>
      </c>
      <c r="F125" s="7">
        <f>Rankings!O71</f>
        <v>1.8739698656521393</v>
      </c>
      <c r="G125" s="7">
        <f>Rankings!P71</f>
        <v>1.4032439022773779</v>
      </c>
      <c r="H125" s="7">
        <f>Rankings!Q71</f>
        <v>1</v>
      </c>
      <c r="I125" s="7">
        <f>Rankings!R71</f>
        <v>22.29477716631963</v>
      </c>
      <c r="K125" s="7">
        <f>C125</f>
        <v>8.1216412146599488</v>
      </c>
      <c r="L125" s="7">
        <f>F125</f>
        <v>1.8739698656521393</v>
      </c>
      <c r="M125" s="7">
        <f>H125</f>
        <v>1</v>
      </c>
      <c r="N125" s="7">
        <f t="shared" ref="N125:O125" si="119">D125</f>
        <v>6.4771999223550143</v>
      </c>
      <c r="O125" s="7">
        <f t="shared" si="119"/>
        <v>3.4187222613751498</v>
      </c>
      <c r="P125" s="7">
        <f>G125</f>
        <v>1.4032439022773779</v>
      </c>
      <c r="R125" s="7">
        <f t="shared" ref="R125:W125" si="120">K125/$I125</f>
        <v>0.36428447586949581</v>
      </c>
      <c r="S125" s="7">
        <f t="shared" si="120"/>
        <v>8.4054209273870487E-2</v>
      </c>
      <c r="T125" s="7">
        <f t="shared" si="120"/>
        <v>4.4853554379125367E-2</v>
      </c>
      <c r="U125" s="7">
        <f t="shared" si="120"/>
        <v>0.2905254389418172</v>
      </c>
      <c r="V125" s="7">
        <f t="shared" si="120"/>
        <v>0.15334184485771671</v>
      </c>
      <c r="W125" s="7">
        <f t="shared" si="120"/>
        <v>6.294047667797445E-2</v>
      </c>
      <c r="X125" s="7">
        <f>SUM(R125:W125)</f>
        <v>1</v>
      </c>
    </row>
    <row r="126" spans="1:24" ht="15.75" customHeight="1" x14ac:dyDescent="0.3">
      <c r="C126" t="s">
        <v>68</v>
      </c>
      <c r="D126" t="s">
        <v>71</v>
      </c>
      <c r="E126" t="s">
        <v>72</v>
      </c>
      <c r="F126" t="s">
        <v>70</v>
      </c>
      <c r="G126" t="s">
        <v>69</v>
      </c>
      <c r="H126" t="s">
        <v>73</v>
      </c>
      <c r="K126" t="s">
        <v>68</v>
      </c>
      <c r="L126" t="s">
        <v>69</v>
      </c>
      <c r="M126" t="s">
        <v>70</v>
      </c>
      <c r="N126" t="s">
        <v>71</v>
      </c>
      <c r="O126" t="s">
        <v>72</v>
      </c>
      <c r="P126" t="s">
        <v>73</v>
      </c>
    </row>
    <row r="127" spans="1:24" ht="15.75" customHeight="1" x14ac:dyDescent="0.3">
      <c r="A127">
        <v>63</v>
      </c>
      <c r="B127" s="16" t="s">
        <v>144</v>
      </c>
      <c r="C127" s="7">
        <f>Rankings!L72</f>
        <v>9.434450654022557</v>
      </c>
      <c r="D127" s="7">
        <f>Rankings!M72</f>
        <v>7.52419633280436</v>
      </c>
      <c r="E127" s="7">
        <f>Rankings!N72</f>
        <v>3.9713360418498511</v>
      </c>
      <c r="F127" s="7">
        <f>Rankings!O72</f>
        <v>2.0111729678309791</v>
      </c>
      <c r="G127" s="7">
        <f>Rankings!P72</f>
        <v>1.3354555559520354</v>
      </c>
      <c r="H127" s="7">
        <f>Rankings!Q72</f>
        <v>1</v>
      </c>
      <c r="I127" s="7">
        <f>Rankings!R72</f>
        <v>25.276611552459784</v>
      </c>
      <c r="K127" s="7">
        <f>C127</f>
        <v>9.434450654022557</v>
      </c>
      <c r="L127" s="7">
        <f>G127</f>
        <v>1.3354555559520354</v>
      </c>
      <c r="M127" s="7">
        <f>F127</f>
        <v>2.0111729678309791</v>
      </c>
      <c r="N127" s="7">
        <f t="shared" ref="N127:O127" si="121">D127</f>
        <v>7.52419633280436</v>
      </c>
      <c r="O127" s="7">
        <f t="shared" si="121"/>
        <v>3.9713360418498511</v>
      </c>
      <c r="P127" s="7">
        <f>H127</f>
        <v>1</v>
      </c>
      <c r="R127" s="7">
        <f t="shared" ref="R127:W127" si="122">K127/$I127</f>
        <v>0.3732482352091393</v>
      </c>
      <c r="S127" s="7">
        <f t="shared" si="122"/>
        <v>5.2833646360406883E-2</v>
      </c>
      <c r="T127" s="7">
        <f t="shared" si="122"/>
        <v>7.956655755289567E-2</v>
      </c>
      <c r="U127" s="7">
        <f t="shared" si="122"/>
        <v>0.29767424787885172</v>
      </c>
      <c r="V127" s="7">
        <f t="shared" si="122"/>
        <v>0.15711504817833791</v>
      </c>
      <c r="W127" s="7">
        <f t="shared" si="122"/>
        <v>3.9562264820368509E-2</v>
      </c>
      <c r="X127" s="7">
        <f>SUM(R127:W127)</f>
        <v>0.99999999999999989</v>
      </c>
    </row>
    <row r="128" spans="1:24" ht="15.75" customHeight="1" x14ac:dyDescent="0.3">
      <c r="C128" t="s">
        <v>68</v>
      </c>
      <c r="D128" t="s">
        <v>71</v>
      </c>
      <c r="E128" t="s">
        <v>72</v>
      </c>
      <c r="F128" t="s">
        <v>70</v>
      </c>
      <c r="G128" t="s">
        <v>73</v>
      </c>
      <c r="H128" t="s">
        <v>69</v>
      </c>
      <c r="K128" t="s">
        <v>68</v>
      </c>
      <c r="L128" t="s">
        <v>69</v>
      </c>
      <c r="M128" t="s">
        <v>70</v>
      </c>
      <c r="N128" t="s">
        <v>71</v>
      </c>
      <c r="O128" t="s">
        <v>72</v>
      </c>
      <c r="P128" t="s">
        <v>73</v>
      </c>
    </row>
    <row r="129" spans="1:24" ht="15.75" customHeight="1" x14ac:dyDescent="0.3">
      <c r="A129">
        <v>64</v>
      </c>
      <c r="B129" s="16" t="s">
        <v>145</v>
      </c>
      <c r="C129" s="7">
        <f>Rankings!L73</f>
        <v>11.7366526903793</v>
      </c>
      <c r="D129" s="7">
        <f>Rankings!M73</f>
        <v>9.3602566138493923</v>
      </c>
      <c r="E129" s="7">
        <f>Rankings!N73</f>
        <v>4.940424572585389</v>
      </c>
      <c r="F129" s="7">
        <f>Rankings!O73</f>
        <v>2.5019409703147248</v>
      </c>
      <c r="G129" s="7">
        <f>Rankings!P73</f>
        <v>1.2419340531937677</v>
      </c>
      <c r="H129" s="7">
        <f>Rankings!Q73</f>
        <v>1</v>
      </c>
      <c r="I129" s="7">
        <f>Rankings!R73</f>
        <v>30.781208900322572</v>
      </c>
      <c r="K129" s="7">
        <f>C129</f>
        <v>11.7366526903793</v>
      </c>
      <c r="L129" s="7">
        <f>H129</f>
        <v>1</v>
      </c>
      <c r="M129" s="7">
        <f>F129</f>
        <v>2.5019409703147248</v>
      </c>
      <c r="N129" s="7">
        <f t="shared" ref="N129:O129" si="123">D129</f>
        <v>9.3602566138493923</v>
      </c>
      <c r="O129" s="7">
        <f t="shared" si="123"/>
        <v>4.940424572585389</v>
      </c>
      <c r="P129" s="7">
        <f>G129</f>
        <v>1.2419340531937677</v>
      </c>
      <c r="R129" s="7">
        <f t="shared" ref="R129:W129" si="124">K129/$I129</f>
        <v>0.38129277925326399</v>
      </c>
      <c r="S129" s="7">
        <f t="shared" si="124"/>
        <v>3.2487353022366855E-2</v>
      </c>
      <c r="T129" s="7">
        <f t="shared" si="124"/>
        <v>8.1281439543737538E-2</v>
      </c>
      <c r="U129" s="7">
        <f t="shared" si="124"/>
        <v>0.30408996099406937</v>
      </c>
      <c r="V129" s="7">
        <f t="shared" si="124"/>
        <v>0.16050131716995741</v>
      </c>
      <c r="W129" s="7">
        <f t="shared" si="124"/>
        <v>4.0347150016604869E-2</v>
      </c>
      <c r="X129" s="7">
        <f>SUM(R129:W129)</f>
        <v>1</v>
      </c>
    </row>
    <row r="130" spans="1:24" ht="15.75" customHeight="1" x14ac:dyDescent="0.3">
      <c r="C130" t="s">
        <v>68</v>
      </c>
      <c r="D130" t="s">
        <v>71</v>
      </c>
      <c r="E130" t="s">
        <v>72</v>
      </c>
      <c r="F130" t="s">
        <v>73</v>
      </c>
      <c r="G130" t="s">
        <v>69</v>
      </c>
      <c r="H130" t="s">
        <v>70</v>
      </c>
      <c r="K130" t="s">
        <v>68</v>
      </c>
      <c r="L130" t="s">
        <v>69</v>
      </c>
      <c r="M130" t="s">
        <v>70</v>
      </c>
      <c r="N130" t="s">
        <v>71</v>
      </c>
      <c r="O130" t="s">
        <v>72</v>
      </c>
      <c r="P130" t="s">
        <v>73</v>
      </c>
    </row>
    <row r="131" spans="1:24" ht="15.75" customHeight="1" x14ac:dyDescent="0.3">
      <c r="A131">
        <v>65</v>
      </c>
      <c r="B131" s="16" t="s">
        <v>146</v>
      </c>
      <c r="C131" s="7">
        <f>Rankings!L74</f>
        <v>5.3047814142999004</v>
      </c>
      <c r="D131" s="7">
        <f>Rankings!M74</f>
        <v>4.2306879676969693</v>
      </c>
      <c r="E131" s="7">
        <f>Rankings!N74</f>
        <v>2.2329937796391013</v>
      </c>
      <c r="F131" s="7">
        <f>Rankings!O74</f>
        <v>1.6891845759932191</v>
      </c>
      <c r="G131" s="7">
        <f>Rankings!P74</f>
        <v>1.3601242124324544</v>
      </c>
      <c r="H131" s="7">
        <f>Rankings!Q74</f>
        <v>1</v>
      </c>
      <c r="I131" s="7">
        <f>Rankings!R74</f>
        <v>15.817771950061644</v>
      </c>
      <c r="K131" s="7">
        <f>C131</f>
        <v>5.3047814142999004</v>
      </c>
      <c r="L131" s="7">
        <f t="shared" ref="L131:M131" si="125">G131</f>
        <v>1.3601242124324544</v>
      </c>
      <c r="M131" s="7">
        <f t="shared" si="125"/>
        <v>1</v>
      </c>
      <c r="N131" s="7">
        <f t="shared" ref="N131:P131" si="126">D131</f>
        <v>4.2306879676969693</v>
      </c>
      <c r="O131" s="7">
        <f t="shared" si="126"/>
        <v>2.2329937796391013</v>
      </c>
      <c r="P131" s="7">
        <f t="shared" si="126"/>
        <v>1.6891845759932191</v>
      </c>
      <c r="R131" s="7">
        <f t="shared" ref="R131:W131" si="127">K131/$I131</f>
        <v>0.33536843438176051</v>
      </c>
      <c r="S131" s="7">
        <f t="shared" si="127"/>
        <v>8.5987092033347576E-2</v>
      </c>
      <c r="T131" s="7">
        <f t="shared" si="127"/>
        <v>6.3220028911600459E-2</v>
      </c>
      <c r="U131" s="7">
        <f t="shared" si="127"/>
        <v>0.2674642156337626</v>
      </c>
      <c r="V131" s="7">
        <f t="shared" si="127"/>
        <v>0.14116993130820799</v>
      </c>
      <c r="W131" s="7">
        <f t="shared" si="127"/>
        <v>0.10679029773132089</v>
      </c>
      <c r="X131" s="7">
        <f>SUM(R131:W131)</f>
        <v>1</v>
      </c>
    </row>
    <row r="132" spans="1:24" ht="15.75" customHeight="1" x14ac:dyDescent="0.3">
      <c r="C132" t="s">
        <v>68</v>
      </c>
      <c r="D132" t="s">
        <v>71</v>
      </c>
      <c r="E132" t="s">
        <v>72</v>
      </c>
      <c r="F132" t="s">
        <v>73</v>
      </c>
      <c r="G132" t="s">
        <v>70</v>
      </c>
      <c r="H132" t="s">
        <v>69</v>
      </c>
      <c r="K132" t="s">
        <v>68</v>
      </c>
      <c r="L132" t="s">
        <v>69</v>
      </c>
      <c r="M132" t="s">
        <v>70</v>
      </c>
      <c r="N132" t="s">
        <v>71</v>
      </c>
      <c r="O132" t="s">
        <v>72</v>
      </c>
      <c r="P132" t="s">
        <v>73</v>
      </c>
    </row>
    <row r="133" spans="1:24" ht="15.75" customHeight="1" x14ac:dyDescent="0.3">
      <c r="A133">
        <v>66</v>
      </c>
      <c r="B133" s="16" t="s">
        <v>147</v>
      </c>
      <c r="C133" s="7">
        <f>Rankings!L75</f>
        <v>6.6365677698307772</v>
      </c>
      <c r="D133" s="7">
        <f>Rankings!M75</f>
        <v>5.2928189152038945</v>
      </c>
      <c r="E133" s="7">
        <f>Rankings!N75</f>
        <v>2.7935956999542579</v>
      </c>
      <c r="F133" s="7">
        <f>Rankings!O75</f>
        <v>2.113261044858973</v>
      </c>
      <c r="G133" s="7">
        <f>Rankings!P75</f>
        <v>1.5059827029565431</v>
      </c>
      <c r="H133" s="7">
        <f>Rankings!Q75</f>
        <v>1</v>
      </c>
      <c r="I133" s="7">
        <f>Rankings!R75</f>
        <v>19.342226132804448</v>
      </c>
      <c r="K133" s="7">
        <f>C133</f>
        <v>6.6365677698307772</v>
      </c>
      <c r="L133" s="7">
        <f>H133</f>
        <v>1</v>
      </c>
      <c r="M133" s="7">
        <f>G133</f>
        <v>1.5059827029565431</v>
      </c>
      <c r="N133" s="7">
        <f t="shared" ref="N133:P133" si="128">D133</f>
        <v>5.2928189152038945</v>
      </c>
      <c r="O133" s="7">
        <f t="shared" si="128"/>
        <v>2.7935956999542579</v>
      </c>
      <c r="P133" s="7">
        <f t="shared" si="128"/>
        <v>2.113261044858973</v>
      </c>
      <c r="R133" s="7">
        <f t="shared" ref="R133:W133" si="129">K133/$I133</f>
        <v>0.34311292424480277</v>
      </c>
      <c r="S133" s="7">
        <f t="shared" si="129"/>
        <v>5.1700357194356152E-2</v>
      </c>
      <c r="T133" s="7">
        <f t="shared" si="129"/>
        <v>7.7859843671375231E-2</v>
      </c>
      <c r="U133" s="7">
        <f t="shared" si="129"/>
        <v>0.273640628481086</v>
      </c>
      <c r="V133" s="7">
        <f t="shared" si="129"/>
        <v>0.14442989554425253</v>
      </c>
      <c r="W133" s="7">
        <f t="shared" si="129"/>
        <v>0.1092563508641272</v>
      </c>
      <c r="X133" s="7">
        <f>SUM(R133:W133)</f>
        <v>1</v>
      </c>
    </row>
    <row r="134" spans="1:24" ht="15.75" customHeight="1" x14ac:dyDescent="0.3">
      <c r="C134" t="s">
        <v>68</v>
      </c>
      <c r="D134" t="s">
        <v>71</v>
      </c>
      <c r="E134" t="s">
        <v>73</v>
      </c>
      <c r="F134" t="s">
        <v>69</v>
      </c>
      <c r="G134" t="s">
        <v>70</v>
      </c>
      <c r="H134" t="s">
        <v>72</v>
      </c>
      <c r="K134" t="s">
        <v>68</v>
      </c>
      <c r="L134" t="s">
        <v>69</v>
      </c>
      <c r="M134" t="s">
        <v>70</v>
      </c>
      <c r="N134" t="s">
        <v>71</v>
      </c>
      <c r="O134" t="s">
        <v>72</v>
      </c>
      <c r="P134" t="s">
        <v>73</v>
      </c>
    </row>
    <row r="135" spans="1:24" ht="15.75" customHeight="1" x14ac:dyDescent="0.3">
      <c r="A135">
        <v>67</v>
      </c>
      <c r="B135" s="16" t="s">
        <v>148</v>
      </c>
      <c r="C135" s="7">
        <f>Rankings!L76</f>
        <v>7.0181451979629443</v>
      </c>
      <c r="D135" s="7">
        <f>Rankings!M76</f>
        <v>5.5971358903749753</v>
      </c>
      <c r="E135" s="7">
        <f>Rankings!N76</f>
        <v>3.7862592686533763</v>
      </c>
      <c r="F135" s="7">
        <f>Rankings!O76</f>
        <v>3.0486798062397931</v>
      </c>
      <c r="G135" s="7">
        <f>Rankings!P76</f>
        <v>2.2414716085286912</v>
      </c>
      <c r="H135" s="7">
        <f>Rankings!Q76</f>
        <v>1</v>
      </c>
      <c r="I135" s="7">
        <f>Rankings!R76</f>
        <v>22.691691771759782</v>
      </c>
      <c r="K135" s="7">
        <f>C135</f>
        <v>7.0181451979629443</v>
      </c>
      <c r="L135" s="7">
        <f t="shared" ref="L135:M135" si="130">F135</f>
        <v>3.0486798062397931</v>
      </c>
      <c r="M135" s="7">
        <f t="shared" si="130"/>
        <v>2.2414716085286912</v>
      </c>
      <c r="N135" s="7">
        <f>D135</f>
        <v>5.5971358903749753</v>
      </c>
      <c r="O135" s="7">
        <f>H135</f>
        <v>1</v>
      </c>
      <c r="P135" s="7">
        <f>E135</f>
        <v>3.7862592686533763</v>
      </c>
      <c r="R135" s="7">
        <f t="shared" ref="R135:W135" si="131">K135/$I135</f>
        <v>0.30928258979337769</v>
      </c>
      <c r="S135" s="7">
        <f t="shared" si="131"/>
        <v>0.13435224825475242</v>
      </c>
      <c r="T135" s="7">
        <f t="shared" si="131"/>
        <v>9.8779396048303589E-2</v>
      </c>
      <c r="U135" s="7">
        <f t="shared" si="131"/>
        <v>0.24666014093055466</v>
      </c>
      <c r="V135" s="7">
        <f t="shared" si="131"/>
        <v>4.4068992742291604E-2</v>
      </c>
      <c r="W135" s="7">
        <f t="shared" si="131"/>
        <v>0.16685663223071998</v>
      </c>
      <c r="X135" s="7">
        <f>SUM(R135:W135)</f>
        <v>0.99999999999999989</v>
      </c>
    </row>
    <row r="136" spans="1:24" ht="15.75" customHeight="1" x14ac:dyDescent="0.3">
      <c r="C136" t="s">
        <v>68</v>
      </c>
      <c r="D136" t="s">
        <v>71</v>
      </c>
      <c r="E136" t="s">
        <v>73</v>
      </c>
      <c r="F136" t="s">
        <v>69</v>
      </c>
      <c r="G136" t="s">
        <v>72</v>
      </c>
      <c r="H136" t="s">
        <v>70</v>
      </c>
      <c r="K136" t="s">
        <v>68</v>
      </c>
      <c r="L136" t="s">
        <v>69</v>
      </c>
      <c r="M136" t="s">
        <v>70</v>
      </c>
      <c r="N136" t="s">
        <v>71</v>
      </c>
      <c r="O136" t="s">
        <v>72</v>
      </c>
      <c r="P136" t="s">
        <v>73</v>
      </c>
    </row>
    <row r="137" spans="1:24" ht="15.75" customHeight="1" x14ac:dyDescent="0.3">
      <c r="A137">
        <v>68</v>
      </c>
      <c r="B137" s="16" t="s">
        <v>149</v>
      </c>
      <c r="C137" s="7">
        <f>Rankings!L77</f>
        <v>8.1784489144892021</v>
      </c>
      <c r="D137" s="7">
        <f>Rankings!M77</f>
        <v>6.5225053993144062</v>
      </c>
      <c r="E137" s="7">
        <f>Rankings!N77</f>
        <v>4.4122381529924555</v>
      </c>
      <c r="F137" s="7">
        <f>Rankings!O77</f>
        <v>3.5527153327070047</v>
      </c>
      <c r="G137" s="7">
        <f>Rankings!P77</f>
        <v>1.9746367445127702</v>
      </c>
      <c r="H137" s="7">
        <f>Rankings!Q77</f>
        <v>1</v>
      </c>
      <c r="I137" s="7">
        <f>Rankings!R77</f>
        <v>25.640544544015842</v>
      </c>
      <c r="K137" s="7">
        <f>C137</f>
        <v>8.1784489144892021</v>
      </c>
      <c r="L137" s="7">
        <f>F137</f>
        <v>3.5527153327070047</v>
      </c>
      <c r="M137" s="7">
        <f>H137</f>
        <v>1</v>
      </c>
      <c r="N137" s="7">
        <f>D137</f>
        <v>6.5225053993144062</v>
      </c>
      <c r="O137" s="7">
        <f>G137</f>
        <v>1.9746367445127702</v>
      </c>
      <c r="P137" s="7">
        <f>E137</f>
        <v>4.4122381529924555</v>
      </c>
      <c r="R137" s="7">
        <f t="shared" ref="R137:W137" si="132">K137/$I137</f>
        <v>0.31896549234551813</v>
      </c>
      <c r="S137" s="7">
        <f t="shared" si="132"/>
        <v>0.13855849771865164</v>
      </c>
      <c r="T137" s="7">
        <f t="shared" si="132"/>
        <v>3.9000731762281804E-2</v>
      </c>
      <c r="U137" s="7">
        <f t="shared" si="132"/>
        <v>0.2543824834966959</v>
      </c>
      <c r="V137" s="7">
        <f t="shared" si="132"/>
        <v>7.7012278000687925E-2</v>
      </c>
      <c r="W137" s="7">
        <f t="shared" si="132"/>
        <v>0.17208051667616445</v>
      </c>
      <c r="X137" s="7">
        <f>SUM(R137:W137)</f>
        <v>0.99999999999999978</v>
      </c>
    </row>
    <row r="138" spans="1:24" ht="15.75" customHeight="1" x14ac:dyDescent="0.3">
      <c r="C138" t="s">
        <v>68</v>
      </c>
      <c r="D138" t="s">
        <v>71</v>
      </c>
      <c r="E138" t="s">
        <v>73</v>
      </c>
      <c r="F138" t="s">
        <v>70</v>
      </c>
      <c r="G138" t="s">
        <v>69</v>
      </c>
      <c r="H138" t="s">
        <v>72</v>
      </c>
      <c r="K138" t="s">
        <v>68</v>
      </c>
      <c r="L138" t="s">
        <v>69</v>
      </c>
      <c r="M138" t="s">
        <v>70</v>
      </c>
      <c r="N138" t="s">
        <v>71</v>
      </c>
      <c r="O138" t="s">
        <v>72</v>
      </c>
      <c r="P138" t="s">
        <v>73</v>
      </c>
    </row>
    <row r="139" spans="1:24" ht="15.75" customHeight="1" x14ac:dyDescent="0.3">
      <c r="A139">
        <v>69</v>
      </c>
      <c r="B139" s="16" t="s">
        <v>150</v>
      </c>
      <c r="C139" s="7">
        <f>Rankings!L78</f>
        <v>7.047552879174062</v>
      </c>
      <c r="D139" s="7">
        <f>Rankings!M78</f>
        <v>5.6205892079277699</v>
      </c>
      <c r="E139" s="7">
        <f>Rankings!N78</f>
        <v>3.8021245866846298</v>
      </c>
      <c r="F139" s="7">
        <f>Rankings!O78</f>
        <v>2.709525108581635</v>
      </c>
      <c r="G139" s="7">
        <f>Rankings!P78</f>
        <v>1.7991741228251155</v>
      </c>
      <c r="H139" s="7">
        <f>Rankings!Q78</f>
        <v>1</v>
      </c>
      <c r="I139" s="7">
        <f>Rankings!R78</f>
        <v>21.97896590519321</v>
      </c>
      <c r="K139" s="7">
        <f>C139</f>
        <v>7.047552879174062</v>
      </c>
      <c r="L139" s="7">
        <f>G139</f>
        <v>1.7991741228251155</v>
      </c>
      <c r="M139" s="7">
        <f>F139</f>
        <v>2.709525108581635</v>
      </c>
      <c r="N139" s="7">
        <f>D139</f>
        <v>5.6205892079277699</v>
      </c>
      <c r="O139" s="7">
        <f>H139</f>
        <v>1</v>
      </c>
      <c r="P139" s="7">
        <f>E139</f>
        <v>3.8021245866846298</v>
      </c>
      <c r="R139" s="7">
        <f t="shared" ref="R139:W139" si="133">K139/$I139</f>
        <v>0.3206498845111207</v>
      </c>
      <c r="S139" s="7">
        <f t="shared" si="133"/>
        <v>8.185890685603206E-2</v>
      </c>
      <c r="T139" s="7">
        <f t="shared" si="133"/>
        <v>0.12327809780811508</v>
      </c>
      <c r="U139" s="7">
        <f t="shared" si="133"/>
        <v>0.25572582587244164</v>
      </c>
      <c r="V139" s="7">
        <f t="shared" si="133"/>
        <v>4.5498045918698979E-2</v>
      </c>
      <c r="W139" s="7">
        <f t="shared" si="133"/>
        <v>0.17298923903359167</v>
      </c>
      <c r="X139" s="7">
        <f>SUM(R139:W139)</f>
        <v>1.0000000000000002</v>
      </c>
    </row>
    <row r="140" spans="1:24" ht="15.75" customHeight="1" x14ac:dyDescent="0.3">
      <c r="C140" t="s">
        <v>68</v>
      </c>
      <c r="D140" t="s">
        <v>71</v>
      </c>
      <c r="E140" t="s">
        <v>73</v>
      </c>
      <c r="F140" t="s">
        <v>70</v>
      </c>
      <c r="G140" t="s">
        <v>72</v>
      </c>
      <c r="H140" t="s">
        <v>69</v>
      </c>
      <c r="K140" t="s">
        <v>68</v>
      </c>
      <c r="L140" t="s">
        <v>69</v>
      </c>
      <c r="M140" t="s">
        <v>70</v>
      </c>
      <c r="N140" t="s">
        <v>71</v>
      </c>
      <c r="O140" t="s">
        <v>72</v>
      </c>
      <c r="P140" t="s">
        <v>73</v>
      </c>
    </row>
    <row r="141" spans="1:24" ht="15.75" customHeight="1" x14ac:dyDescent="0.3">
      <c r="A141">
        <v>70</v>
      </c>
      <c r="B141" s="16" t="s">
        <v>151</v>
      </c>
      <c r="C141" s="7">
        <f>Rankings!L79</f>
        <v>10.636031687594723</v>
      </c>
      <c r="D141" s="7">
        <f>Rankings!M79</f>
        <v>8.4824854730963999</v>
      </c>
      <c r="E141" s="7">
        <f>Rankings!N79</f>
        <v>5.7380935308285368</v>
      </c>
      <c r="F141" s="7">
        <f>Rankings!O79</f>
        <v>4.0891633460982559</v>
      </c>
      <c r="G141" s="7">
        <f>Rankings!P79</f>
        <v>1.8243208303594776</v>
      </c>
      <c r="H141" s="7">
        <f>Rankings!Q79</f>
        <v>1</v>
      </c>
      <c r="I141" s="7">
        <f>Rankings!R79</f>
        <v>31.770094867977395</v>
      </c>
      <c r="K141" s="7">
        <f>C141</f>
        <v>10.636031687594723</v>
      </c>
      <c r="L141" s="7">
        <f>H141</f>
        <v>1</v>
      </c>
      <c r="M141" s="7">
        <f>F141</f>
        <v>4.0891633460982559</v>
      </c>
      <c r="N141" s="7">
        <f>D141</f>
        <v>8.4824854730963999</v>
      </c>
      <c r="O141" s="7">
        <f>G141</f>
        <v>1.8243208303594776</v>
      </c>
      <c r="P141" s="7">
        <f>E141</f>
        <v>5.7380935308285368</v>
      </c>
      <c r="R141" s="7">
        <f t="shared" ref="R141:W141" si="134">K141/$I141</f>
        <v>0.33478123788403574</v>
      </c>
      <c r="S141" s="7">
        <f t="shared" si="134"/>
        <v>3.1476141451750844E-2</v>
      </c>
      <c r="T141" s="7">
        <f t="shared" si="134"/>
        <v>0.1287110839011035</v>
      </c>
      <c r="U141" s="7">
        <f t="shared" si="134"/>
        <v>0.26699591261360395</v>
      </c>
      <c r="V141" s="7">
        <f t="shared" si="134"/>
        <v>5.742258050977047E-2</v>
      </c>
      <c r="W141" s="7">
        <f t="shared" si="134"/>
        <v>0.18061304363973546</v>
      </c>
      <c r="X141" s="7">
        <f>SUM(R141:W141)</f>
        <v>1</v>
      </c>
    </row>
    <row r="142" spans="1:24" ht="15.75" customHeight="1" x14ac:dyDescent="0.3">
      <c r="C142" t="s">
        <v>68</v>
      </c>
      <c r="D142" t="s">
        <v>71</v>
      </c>
      <c r="E142" t="s">
        <v>73</v>
      </c>
      <c r="F142" t="s">
        <v>72</v>
      </c>
      <c r="G142" t="s">
        <v>69</v>
      </c>
      <c r="H142" t="s">
        <v>70</v>
      </c>
      <c r="K142" t="s">
        <v>68</v>
      </c>
      <c r="L142" t="s">
        <v>69</v>
      </c>
      <c r="M142" t="s">
        <v>70</v>
      </c>
      <c r="N142" t="s">
        <v>71</v>
      </c>
      <c r="O142" t="s">
        <v>72</v>
      </c>
      <c r="P142" t="s">
        <v>73</v>
      </c>
    </row>
    <row r="143" spans="1:24" ht="15.75" customHeight="1" x14ac:dyDescent="0.3">
      <c r="A143">
        <v>71</v>
      </c>
      <c r="B143" s="16" t="s">
        <v>152</v>
      </c>
      <c r="C143" s="7">
        <f>Rankings!L80</f>
        <v>5.6417399619688071</v>
      </c>
      <c r="D143" s="7">
        <f>Rankings!M80</f>
        <v>4.4994203360830891</v>
      </c>
      <c r="E143" s="7">
        <f>Rankings!N80</f>
        <v>3.0436945403376261</v>
      </c>
      <c r="F143" s="7">
        <f>Rankings!O80</f>
        <v>2.4813029326168055</v>
      </c>
      <c r="G143" s="7">
        <f>Rankings!P80</f>
        <v>1.3601242124324544</v>
      </c>
      <c r="H143" s="7">
        <f>Rankings!Q80</f>
        <v>1</v>
      </c>
      <c r="I143" s="7">
        <f>Rankings!R80</f>
        <v>18.026281983438782</v>
      </c>
      <c r="K143" s="7">
        <f>C143</f>
        <v>5.6417399619688071</v>
      </c>
      <c r="L143" s="7">
        <f t="shared" ref="L143:M143" si="135">G143</f>
        <v>1.3601242124324544</v>
      </c>
      <c r="M143" s="7">
        <f t="shared" si="135"/>
        <v>1</v>
      </c>
      <c r="N143" s="7">
        <f>D143</f>
        <v>4.4994203360830891</v>
      </c>
      <c r="O143" s="7">
        <f>F143</f>
        <v>2.4813029326168055</v>
      </c>
      <c r="P143" s="7">
        <f>E143</f>
        <v>3.0436945403376261</v>
      </c>
      <c r="R143" s="7">
        <f t="shared" ref="R143:W143" si="136">K143/$I143</f>
        <v>0.3129730227870629</v>
      </c>
      <c r="S143" s="7">
        <f t="shared" si="136"/>
        <v>7.5452287592196562E-2</v>
      </c>
      <c r="T143" s="7">
        <f t="shared" si="136"/>
        <v>5.5474556590134685E-2</v>
      </c>
      <c r="U143" s="7">
        <f t="shared" si="136"/>
        <v>0.24960334805684414</v>
      </c>
      <c r="V143" s="7">
        <f t="shared" si="136"/>
        <v>0.13764917995271811</v>
      </c>
      <c r="W143" s="7">
        <f t="shared" si="136"/>
        <v>0.16884760502104362</v>
      </c>
      <c r="X143" s="7">
        <f>SUM(R143:W143)</f>
        <v>1</v>
      </c>
    </row>
    <row r="144" spans="1:24" ht="15.75" customHeight="1" x14ac:dyDescent="0.3">
      <c r="C144" t="s">
        <v>68</v>
      </c>
      <c r="D144" t="s">
        <v>71</v>
      </c>
      <c r="E144" t="s">
        <v>73</v>
      </c>
      <c r="F144" t="s">
        <v>72</v>
      </c>
      <c r="G144" t="s">
        <v>70</v>
      </c>
      <c r="H144" t="s">
        <v>69</v>
      </c>
      <c r="K144" t="s">
        <v>68</v>
      </c>
      <c r="L144" t="s">
        <v>69</v>
      </c>
      <c r="M144" t="s">
        <v>70</v>
      </c>
      <c r="N144" t="s">
        <v>71</v>
      </c>
      <c r="O144" t="s">
        <v>72</v>
      </c>
      <c r="P144" t="s">
        <v>73</v>
      </c>
    </row>
    <row r="145" spans="1:24" ht="15.75" customHeight="1" x14ac:dyDescent="0.3">
      <c r="A145">
        <v>72</v>
      </c>
      <c r="B145" s="16" t="s">
        <v>153</v>
      </c>
      <c r="C145" s="7">
        <f>Rankings!L81</f>
        <v>6.761459857935936</v>
      </c>
      <c r="D145" s="7">
        <f>Rankings!M81</f>
        <v>5.3924232934319409</v>
      </c>
      <c r="E145" s="7">
        <f>Rankings!N81</f>
        <v>3.6477786273456418</v>
      </c>
      <c r="F145" s="7">
        <f>Rankings!O81</f>
        <v>2.9737687818586505</v>
      </c>
      <c r="G145" s="7">
        <f>Rankings!P81</f>
        <v>1.5059827029565431</v>
      </c>
      <c r="H145" s="7">
        <f>Rankings!Q81</f>
        <v>1</v>
      </c>
      <c r="I145" s="7">
        <f>Rankings!R81</f>
        <v>21.281413263528712</v>
      </c>
      <c r="K145" s="7">
        <f>C145</f>
        <v>6.761459857935936</v>
      </c>
      <c r="L145" s="7">
        <f>H145</f>
        <v>1</v>
      </c>
      <c r="M145" s="7">
        <f>G145</f>
        <v>1.5059827029565431</v>
      </c>
      <c r="N145" s="7">
        <f>D145</f>
        <v>5.3924232934319409</v>
      </c>
      <c r="O145" s="7">
        <f>F145</f>
        <v>2.9737687818586505</v>
      </c>
      <c r="P145" s="7">
        <f>E145</f>
        <v>3.6477786273456418</v>
      </c>
      <c r="R145" s="7">
        <f t="shared" ref="R145:W145" si="137">K145/$I145</f>
        <v>0.31771667483773142</v>
      </c>
      <c r="S145" s="7">
        <f t="shared" si="137"/>
        <v>4.6989360509894447E-2</v>
      </c>
      <c r="T145" s="7">
        <f t="shared" si="137"/>
        <v>7.0765164150890292E-2</v>
      </c>
      <c r="U145" s="7">
        <f t="shared" si="137"/>
        <v>0.25338652215702578</v>
      </c>
      <c r="V145" s="7">
        <f t="shared" si="137"/>
        <v>0.13973549336382579</v>
      </c>
      <c r="W145" s="7">
        <f t="shared" si="137"/>
        <v>0.17140678498063228</v>
      </c>
      <c r="X145" s="7">
        <f>SUM(R145:W145)</f>
        <v>1</v>
      </c>
    </row>
    <row r="146" spans="1:24" ht="15.75" customHeight="1" x14ac:dyDescent="0.3">
      <c r="C146" t="s">
        <v>68</v>
      </c>
      <c r="D146" t="s">
        <v>72</v>
      </c>
      <c r="E146" t="s">
        <v>69</v>
      </c>
      <c r="F146" t="s">
        <v>70</v>
      </c>
      <c r="G146" t="s">
        <v>71</v>
      </c>
      <c r="H146" t="s">
        <v>73</v>
      </c>
      <c r="K146" t="s">
        <v>68</v>
      </c>
      <c r="L146" t="s">
        <v>69</v>
      </c>
      <c r="M146" t="s">
        <v>70</v>
      </c>
      <c r="N146" t="s">
        <v>71</v>
      </c>
      <c r="O146" t="s">
        <v>72</v>
      </c>
      <c r="P146" t="s">
        <v>73</v>
      </c>
    </row>
    <row r="147" spans="1:24" ht="15.75" customHeight="1" x14ac:dyDescent="0.3">
      <c r="A147">
        <v>73</v>
      </c>
      <c r="B147" s="16" t="s">
        <v>154</v>
      </c>
      <c r="C147" s="7">
        <f>Rankings!L82</f>
        <v>5.7050196168054716</v>
      </c>
      <c r="D147" s="7">
        <f>Rankings!M82</f>
        <v>5.2594841193151893</v>
      </c>
      <c r="E147" s="7">
        <f>Rankings!N82</f>
        <v>2.8829820017342138</v>
      </c>
      <c r="F147" s="7">
        <f>Rankings!O82</f>
        <v>2.1196461142164886</v>
      </c>
      <c r="G147" s="7">
        <f>Rankings!P82</f>
        <v>1.478275916473532</v>
      </c>
      <c r="H147" s="7">
        <f>Rankings!Q82</f>
        <v>1</v>
      </c>
      <c r="I147" s="7">
        <f>Rankings!R82</f>
        <v>18.445407768544896</v>
      </c>
      <c r="K147" s="7">
        <f>C147</f>
        <v>5.7050196168054716</v>
      </c>
      <c r="L147" s="7">
        <f t="shared" ref="L147:N147" si="138">E147</f>
        <v>2.8829820017342138</v>
      </c>
      <c r="M147" s="7">
        <f t="shared" si="138"/>
        <v>2.1196461142164886</v>
      </c>
      <c r="N147" s="7">
        <f t="shared" si="138"/>
        <v>1.478275916473532</v>
      </c>
      <c r="O147" s="7">
        <f>D147</f>
        <v>5.2594841193151893</v>
      </c>
      <c r="P147" s="7">
        <f>H147</f>
        <v>1</v>
      </c>
      <c r="R147" s="7">
        <f t="shared" ref="R147:W147" si="139">K147/$I147</f>
        <v>0.30929213863920579</v>
      </c>
      <c r="S147" s="7">
        <f t="shared" si="139"/>
        <v>0.15629808990455535</v>
      </c>
      <c r="T147" s="7">
        <f t="shared" si="139"/>
        <v>0.11491457065162519</v>
      </c>
      <c r="U147" s="7">
        <f t="shared" si="139"/>
        <v>8.0143303689628798E-2</v>
      </c>
      <c r="V147" s="7">
        <f t="shared" si="139"/>
        <v>0.28513786115827866</v>
      </c>
      <c r="W147" s="7">
        <f t="shared" si="139"/>
        <v>5.4214035956706152E-2</v>
      </c>
      <c r="X147" s="7">
        <f>SUM(R147:W147)</f>
        <v>0.99999999999999989</v>
      </c>
    </row>
    <row r="148" spans="1:24" ht="15.75" customHeight="1" x14ac:dyDescent="0.3">
      <c r="C148" t="s">
        <v>68</v>
      </c>
      <c r="D148" t="s">
        <v>72</v>
      </c>
      <c r="E148" t="s">
        <v>69</v>
      </c>
      <c r="F148" t="s">
        <v>70</v>
      </c>
      <c r="G148" t="s">
        <v>73</v>
      </c>
      <c r="H148" t="s">
        <v>71</v>
      </c>
      <c r="K148" t="s">
        <v>68</v>
      </c>
      <c r="L148" t="s">
        <v>69</v>
      </c>
      <c r="M148" t="s">
        <v>70</v>
      </c>
      <c r="N148" t="s">
        <v>71</v>
      </c>
      <c r="O148" t="s">
        <v>72</v>
      </c>
      <c r="P148" t="s">
        <v>73</v>
      </c>
    </row>
    <row r="149" spans="1:24" ht="15.75" customHeight="1" x14ac:dyDescent="0.3">
      <c r="A149">
        <v>74</v>
      </c>
      <c r="B149" s="16" t="s">
        <v>155</v>
      </c>
      <c r="C149" s="7">
        <f>Rankings!L83</f>
        <v>4.8088134690495243</v>
      </c>
      <c r="D149" s="7">
        <f>Rankings!M83</f>
        <v>4.43326750335999</v>
      </c>
      <c r="E149" s="7">
        <f>Rankings!N83</f>
        <v>2.4300920263495684</v>
      </c>
      <c r="F149" s="7">
        <f>Rankings!O83</f>
        <v>1.7866691910465862</v>
      </c>
      <c r="G149" s="7">
        <f>Rankings!P83</f>
        <v>0.88688155974910687</v>
      </c>
      <c r="H149" s="7">
        <f>Rankings!Q83</f>
        <v>1</v>
      </c>
      <c r="I149" s="7">
        <f>Rankings!R83</f>
        <v>15.345723749554775</v>
      </c>
      <c r="K149" s="7">
        <f>C149</f>
        <v>4.8088134690495243</v>
      </c>
      <c r="L149" s="7">
        <f t="shared" ref="L149:M149" si="140">E149</f>
        <v>2.4300920263495684</v>
      </c>
      <c r="M149" s="7">
        <f t="shared" si="140"/>
        <v>1.7866691910465862</v>
      </c>
      <c r="N149" s="7">
        <f>H149</f>
        <v>1</v>
      </c>
      <c r="O149" s="7">
        <f>D149</f>
        <v>4.43326750335999</v>
      </c>
      <c r="P149" s="7">
        <f>G149</f>
        <v>0.88688155974910687</v>
      </c>
      <c r="R149" s="7">
        <f t="shared" ref="R149:W149" si="141">K149/$I149</f>
        <v>0.31336504863050479</v>
      </c>
      <c r="S149" s="7">
        <f t="shared" si="141"/>
        <v>0.15835629951438898</v>
      </c>
      <c r="T149" s="7">
        <f t="shared" si="141"/>
        <v>0.11642782186134576</v>
      </c>
      <c r="U149" s="7">
        <f t="shared" si="141"/>
        <v>6.5164733597463137E-2</v>
      </c>
      <c r="V149" s="7">
        <f t="shared" si="141"/>
        <v>0.28889269582274424</v>
      </c>
      <c r="W149" s="7">
        <f t="shared" si="141"/>
        <v>5.779340057355313E-2</v>
      </c>
      <c r="X149" s="7">
        <f>SUM(R149:W149)</f>
        <v>1</v>
      </c>
    </row>
    <row r="150" spans="1:24" ht="15.75" customHeight="1" x14ac:dyDescent="0.3">
      <c r="C150" t="s">
        <v>68</v>
      </c>
      <c r="D150" t="s">
        <v>72</v>
      </c>
      <c r="E150" t="s">
        <v>69</v>
      </c>
      <c r="F150" t="s">
        <v>71</v>
      </c>
      <c r="G150" t="s">
        <v>70</v>
      </c>
      <c r="H150" t="s">
        <v>73</v>
      </c>
      <c r="K150" t="s">
        <v>68</v>
      </c>
      <c r="L150" t="s">
        <v>69</v>
      </c>
      <c r="M150" t="s">
        <v>70</v>
      </c>
      <c r="N150" t="s">
        <v>71</v>
      </c>
      <c r="O150" t="s">
        <v>72</v>
      </c>
      <c r="P150" t="s">
        <v>73</v>
      </c>
    </row>
    <row r="151" spans="1:24" ht="15.75" customHeight="1" x14ac:dyDescent="0.3">
      <c r="A151">
        <v>75</v>
      </c>
      <c r="B151" s="16" t="s">
        <v>156</v>
      </c>
      <c r="C151" s="7">
        <f>Rankings!L84</f>
        <v>8.129337451862753</v>
      </c>
      <c r="D151" s="7">
        <f>Rankings!M84</f>
        <v>7.4944740071845146</v>
      </c>
      <c r="E151" s="7">
        <f>Rankings!N84</f>
        <v>4.1080899162389928</v>
      </c>
      <c r="F151" s="7">
        <f>Rankings!O84</f>
        <v>4.5103002243916306</v>
      </c>
      <c r="G151" s="7">
        <f>Rankings!P84</f>
        <v>2.0145521929129111</v>
      </c>
      <c r="H151" s="7">
        <f>Rankings!Q84</f>
        <v>1</v>
      </c>
      <c r="I151" s="7">
        <f>Rankings!R84</f>
        <v>27.256753792590803</v>
      </c>
      <c r="K151" s="7">
        <f>C151</f>
        <v>8.129337451862753</v>
      </c>
      <c r="L151" s="7">
        <f>E151</f>
        <v>4.1080899162389928</v>
      </c>
      <c r="M151" s="7">
        <f>G151</f>
        <v>2.0145521929129111</v>
      </c>
      <c r="N151" s="7">
        <f>F151</f>
        <v>4.5103002243916306</v>
      </c>
      <c r="O151" s="7">
        <f>D151</f>
        <v>7.4944740071845146</v>
      </c>
      <c r="P151" s="7">
        <f>H151</f>
        <v>1</v>
      </c>
      <c r="R151" s="7">
        <f t="shared" ref="R151:W151" si="142">K151/$I151</f>
        <v>0.29825039011331383</v>
      </c>
      <c r="S151" s="7">
        <f t="shared" si="142"/>
        <v>0.1507182384042994</v>
      </c>
      <c r="T151" s="7">
        <f t="shared" si="142"/>
        <v>7.3910202522375443E-2</v>
      </c>
      <c r="U151" s="7">
        <f t="shared" si="142"/>
        <v>0.16547459241524443</v>
      </c>
      <c r="V151" s="7">
        <f t="shared" si="142"/>
        <v>0.27495842183604913</v>
      </c>
      <c r="W151" s="7">
        <f t="shared" si="142"/>
        <v>3.6688154708717724E-2</v>
      </c>
      <c r="X151" s="7">
        <f>SUM(R151:W151)</f>
        <v>1</v>
      </c>
    </row>
    <row r="152" spans="1:24" ht="15.75" customHeight="1" x14ac:dyDescent="0.3">
      <c r="C152" t="s">
        <v>68</v>
      </c>
      <c r="D152" t="s">
        <v>72</v>
      </c>
      <c r="E152" t="s">
        <v>69</v>
      </c>
      <c r="F152" t="s">
        <v>71</v>
      </c>
      <c r="G152" t="s">
        <v>73</v>
      </c>
      <c r="H152" t="s">
        <v>70</v>
      </c>
      <c r="K152" t="s">
        <v>68</v>
      </c>
      <c r="L152" t="s">
        <v>69</v>
      </c>
      <c r="M152" t="s">
        <v>70</v>
      </c>
      <c r="N152" t="s">
        <v>71</v>
      </c>
      <c r="O152" t="s">
        <v>72</v>
      </c>
      <c r="P152" t="s">
        <v>73</v>
      </c>
    </row>
    <row r="153" spans="1:24" ht="15.75" customHeight="1" x14ac:dyDescent="0.3">
      <c r="A153">
        <v>76</v>
      </c>
      <c r="B153" s="16" t="s">
        <v>157</v>
      </c>
      <c r="C153" s="7">
        <f>Rankings!L85</f>
        <v>3.7388527870123567</v>
      </c>
      <c r="D153" s="7">
        <f>Rankings!M85</f>
        <v>3.4468657741022706</v>
      </c>
      <c r="E153" s="7">
        <f>Rankings!N85</f>
        <v>1.889396709581546</v>
      </c>
      <c r="F153" s="7">
        <f>Rankings!O85</f>
        <v>2.0743816656749861</v>
      </c>
      <c r="G153" s="7">
        <f>Rankings!P85</f>
        <v>1.4032439022773779</v>
      </c>
      <c r="H153" s="7">
        <f>Rankings!Q85</f>
        <v>1</v>
      </c>
      <c r="I153" s="7">
        <f>Rankings!R85</f>
        <v>13.552740838648537</v>
      </c>
      <c r="K153" s="7">
        <f>C153</f>
        <v>3.7388527870123567</v>
      </c>
      <c r="L153" s="7">
        <f>E153</f>
        <v>1.889396709581546</v>
      </c>
      <c r="M153" s="7">
        <f>H153</f>
        <v>1</v>
      </c>
      <c r="N153" s="7">
        <f>F153</f>
        <v>2.0743816656749861</v>
      </c>
      <c r="O153" s="7">
        <f>D153</f>
        <v>3.4468657741022706</v>
      </c>
      <c r="P153" s="7">
        <f>G153</f>
        <v>1.4032439022773779</v>
      </c>
      <c r="R153" s="7">
        <f t="shared" ref="R153:W153" si="143">K153/$I153</f>
        <v>0.27587429225756455</v>
      </c>
      <c r="S153" s="7">
        <f t="shared" si="143"/>
        <v>0.13941067213456393</v>
      </c>
      <c r="T153" s="7">
        <f t="shared" si="143"/>
        <v>7.37858129145572E-2</v>
      </c>
      <c r="U153" s="7">
        <f t="shared" si="143"/>
        <v>0.15305993749688207</v>
      </c>
      <c r="V153" s="7">
        <f t="shared" si="143"/>
        <v>0.25432979314950049</v>
      </c>
      <c r="W153" s="7">
        <f t="shared" si="143"/>
        <v>0.10353949204693179</v>
      </c>
      <c r="X153" s="7">
        <f>SUM(R153:W153)</f>
        <v>1</v>
      </c>
    </row>
    <row r="154" spans="1:24" ht="15.75" customHeight="1" x14ac:dyDescent="0.3">
      <c r="C154" t="s">
        <v>68</v>
      </c>
      <c r="D154" t="s">
        <v>72</v>
      </c>
      <c r="E154" t="s">
        <v>69</v>
      </c>
      <c r="F154" t="s">
        <v>73</v>
      </c>
      <c r="G154" t="s">
        <v>70</v>
      </c>
      <c r="H154" t="s">
        <v>71</v>
      </c>
      <c r="K154" t="s">
        <v>68</v>
      </c>
      <c r="L154" t="s">
        <v>69</v>
      </c>
      <c r="M154" t="s">
        <v>70</v>
      </c>
      <c r="N154" t="s">
        <v>71</v>
      </c>
      <c r="O154" t="s">
        <v>72</v>
      </c>
      <c r="P154" t="s">
        <v>73</v>
      </c>
    </row>
    <row r="155" spans="1:24" ht="15.75" customHeight="1" x14ac:dyDescent="0.3">
      <c r="A155">
        <v>77</v>
      </c>
      <c r="B155" s="16" t="s">
        <v>158</v>
      </c>
      <c r="C155" s="7">
        <f>Rankings!L86</f>
        <v>5.3172327572941578</v>
      </c>
      <c r="D155" s="7">
        <f>Rankings!M86</f>
        <v>4.901981609898594</v>
      </c>
      <c r="E155" s="7">
        <f>Rankings!N86</f>
        <v>2.6870172879255403</v>
      </c>
      <c r="F155" s="7">
        <f>Rankings!O86</f>
        <v>2.0120604358188379</v>
      </c>
      <c r="G155" s="7">
        <f>Rankings!P86</f>
        <v>1.4338636587362954</v>
      </c>
      <c r="H155" s="7">
        <f>Rankings!Q86</f>
        <v>1</v>
      </c>
      <c r="I155" s="7">
        <f>Rankings!R86</f>
        <v>17.352155749673425</v>
      </c>
      <c r="K155" s="7">
        <f>C155</f>
        <v>5.3172327572941578</v>
      </c>
      <c r="L155" s="7">
        <f>E155</f>
        <v>2.6870172879255403</v>
      </c>
      <c r="M155" s="7">
        <f t="shared" ref="M155:N155" si="144">G155</f>
        <v>1.4338636587362954</v>
      </c>
      <c r="N155" s="7">
        <f t="shared" si="144"/>
        <v>1</v>
      </c>
      <c r="O155" s="7">
        <f>D155</f>
        <v>4.901981609898594</v>
      </c>
      <c r="P155" s="7">
        <f>F155</f>
        <v>2.0120604358188379</v>
      </c>
      <c r="R155" s="7">
        <f t="shared" ref="R155:W155" si="145">K155/$I155</f>
        <v>0.30643067259203399</v>
      </c>
      <c r="S155" s="7">
        <f t="shared" si="145"/>
        <v>0.15485207294638945</v>
      </c>
      <c r="T155" s="7">
        <f t="shared" si="145"/>
        <v>8.263317131436429E-2</v>
      </c>
      <c r="U155" s="7">
        <f t="shared" si="145"/>
        <v>5.7629727074044991E-2</v>
      </c>
      <c r="V155" s="7">
        <f t="shared" si="145"/>
        <v>0.28249986230044366</v>
      </c>
      <c r="W155" s="7">
        <f t="shared" si="145"/>
        <v>0.11595449377272364</v>
      </c>
      <c r="X155" s="7">
        <f>SUM(R155:W155)</f>
        <v>1</v>
      </c>
    </row>
    <row r="156" spans="1:24" ht="15.75" customHeight="1" x14ac:dyDescent="0.3">
      <c r="C156" t="s">
        <v>68</v>
      </c>
      <c r="D156" t="s">
        <v>72</v>
      </c>
      <c r="E156" t="s">
        <v>69</v>
      </c>
      <c r="F156" t="s">
        <v>73</v>
      </c>
      <c r="G156" t="s">
        <v>71</v>
      </c>
      <c r="H156" t="s">
        <v>70</v>
      </c>
      <c r="K156" t="s">
        <v>68</v>
      </c>
      <c r="L156" t="s">
        <v>69</v>
      </c>
      <c r="M156" t="s">
        <v>70</v>
      </c>
      <c r="N156" t="s">
        <v>71</v>
      </c>
      <c r="O156" t="s">
        <v>72</v>
      </c>
      <c r="P156" t="s">
        <v>73</v>
      </c>
    </row>
    <row r="157" spans="1:24" ht="15.75" customHeight="1" x14ac:dyDescent="0.3">
      <c r="A157">
        <v>78</v>
      </c>
      <c r="B157" s="16" t="s">
        <v>159</v>
      </c>
      <c r="C157" s="7">
        <f>Rankings!L87</f>
        <v>5.2473158096142063</v>
      </c>
      <c r="D157" s="7">
        <f>Rankings!M87</f>
        <v>4.8375248506421542</v>
      </c>
      <c r="E157" s="7">
        <f>Rankings!N87</f>
        <v>2.651685367035431</v>
      </c>
      <c r="F157" s="7">
        <f>Rankings!O87</f>
        <v>1.9856036056138657</v>
      </c>
      <c r="G157" s="7">
        <f>Rankings!P87</f>
        <v>2.2388599512381115</v>
      </c>
      <c r="H157" s="7">
        <f>Rankings!Q87</f>
        <v>1</v>
      </c>
      <c r="I157" s="7">
        <f>Rankings!R87</f>
        <v>17.960989584143768</v>
      </c>
      <c r="K157" s="7">
        <f>C157</f>
        <v>5.2473158096142063</v>
      </c>
      <c r="L157" s="7">
        <f>E157</f>
        <v>2.651685367035431</v>
      </c>
      <c r="M157" s="7">
        <f>H157</f>
        <v>1</v>
      </c>
      <c r="N157" s="7">
        <f>G157</f>
        <v>2.2388599512381115</v>
      </c>
      <c r="O157" s="7">
        <f>D157</f>
        <v>4.8375248506421542</v>
      </c>
      <c r="P157" s="7">
        <f>F157</f>
        <v>1.9856036056138657</v>
      </c>
      <c r="R157" s="7">
        <f t="shared" ref="R157:W157" si="146">K157/$I157</f>
        <v>0.29215070723311459</v>
      </c>
      <c r="S157" s="7">
        <f t="shared" si="146"/>
        <v>0.14763581675791287</v>
      </c>
      <c r="T157" s="7">
        <f t="shared" si="146"/>
        <v>5.5676219582177978E-2</v>
      </c>
      <c r="U157" s="7">
        <f t="shared" si="146"/>
        <v>0.12465125825887739</v>
      </c>
      <c r="V157" s="7">
        <f t="shared" si="146"/>
        <v>0.26933509581859533</v>
      </c>
      <c r="W157" s="7">
        <f t="shared" si="146"/>
        <v>0.11055090234932191</v>
      </c>
      <c r="X157" s="7">
        <f>SUM(R157:W157)</f>
        <v>1</v>
      </c>
    </row>
    <row r="158" spans="1:24" ht="15.75" customHeight="1" x14ac:dyDescent="0.3">
      <c r="C158" t="s">
        <v>68</v>
      </c>
      <c r="D158" t="s">
        <v>72</v>
      </c>
      <c r="E158" t="s">
        <v>70</v>
      </c>
      <c r="F158" t="s">
        <v>69</v>
      </c>
      <c r="G158" t="s">
        <v>71</v>
      </c>
      <c r="H158" t="s">
        <v>73</v>
      </c>
      <c r="K158" t="s">
        <v>68</v>
      </c>
      <c r="L158" t="s">
        <v>69</v>
      </c>
      <c r="M158" t="s">
        <v>70</v>
      </c>
      <c r="N158" t="s">
        <v>71</v>
      </c>
      <c r="O158" t="s">
        <v>72</v>
      </c>
      <c r="P158" t="s">
        <v>73</v>
      </c>
    </row>
    <row r="159" spans="1:24" ht="15.75" customHeight="1" x14ac:dyDescent="0.3">
      <c r="A159">
        <v>79</v>
      </c>
      <c r="B159" s="16" t="s">
        <v>160</v>
      </c>
      <c r="C159" s="7">
        <f>Rankings!L88</f>
        <v>4.3432135438403145</v>
      </c>
      <c r="D159" s="7">
        <f>Rankings!M88</f>
        <v>4.0040287667606247</v>
      </c>
      <c r="E159" s="7">
        <f>Rankings!N88</f>
        <v>2.0277292914189107</v>
      </c>
      <c r="F159" s="7">
        <f>Rankings!O88</f>
        <v>1.3464492569788988</v>
      </c>
      <c r="G159" s="7">
        <f>Rankings!P88</f>
        <v>1.478275916473532</v>
      </c>
      <c r="H159" s="7">
        <f>Rankings!Q88</f>
        <v>1</v>
      </c>
      <c r="I159" s="7">
        <f>Rankings!R88</f>
        <v>14.199696775472281</v>
      </c>
      <c r="K159" s="7">
        <f>C159</f>
        <v>4.3432135438403145</v>
      </c>
      <c r="L159" s="7">
        <f>F159</f>
        <v>1.3464492569788988</v>
      </c>
      <c r="M159" s="7">
        <f>E159</f>
        <v>2.0277292914189107</v>
      </c>
      <c r="N159" s="7">
        <f>G159</f>
        <v>1.478275916473532</v>
      </c>
      <c r="O159" s="7">
        <f>D159</f>
        <v>4.0040287667606247</v>
      </c>
      <c r="P159" s="7">
        <f>H159</f>
        <v>1</v>
      </c>
      <c r="R159" s="7">
        <f t="shared" ref="R159:W159" si="147">K159/$I159</f>
        <v>0.3058666401484379</v>
      </c>
      <c r="S159" s="7">
        <f t="shared" si="147"/>
        <v>9.4822395032031659E-2</v>
      </c>
      <c r="T159" s="7">
        <f t="shared" si="147"/>
        <v>0.1428008867711521</v>
      </c>
      <c r="U159" s="7">
        <f t="shared" si="147"/>
        <v>0.10410616084612585</v>
      </c>
      <c r="V159" s="7">
        <f t="shared" si="147"/>
        <v>0.2819798781673245</v>
      </c>
      <c r="W159" s="7">
        <f t="shared" si="147"/>
        <v>7.0424039034927916E-2</v>
      </c>
      <c r="X159" s="7">
        <f>SUM(R159:W159)</f>
        <v>0.99999999999999989</v>
      </c>
    </row>
    <row r="160" spans="1:24" ht="15.75" customHeight="1" x14ac:dyDescent="0.3">
      <c r="C160" t="s">
        <v>68</v>
      </c>
      <c r="D160" t="s">
        <v>72</v>
      </c>
      <c r="E160" t="s">
        <v>70</v>
      </c>
      <c r="F160" t="s">
        <v>69</v>
      </c>
      <c r="G160" t="s">
        <v>73</v>
      </c>
      <c r="H160" t="s">
        <v>71</v>
      </c>
      <c r="K160" t="s">
        <v>68</v>
      </c>
      <c r="L160" t="s">
        <v>69</v>
      </c>
      <c r="M160" t="s">
        <v>70</v>
      </c>
      <c r="N160" t="s">
        <v>71</v>
      </c>
      <c r="O160" t="s">
        <v>72</v>
      </c>
      <c r="P160" t="s">
        <v>73</v>
      </c>
    </row>
    <row r="161" spans="1:24" ht="15.75" customHeight="1" x14ac:dyDescent="0.3">
      <c r="A161">
        <v>80</v>
      </c>
      <c r="B161" s="16" t="s">
        <v>161</v>
      </c>
      <c r="C161" s="7">
        <f>Rankings!L89</f>
        <v>3.8204652714402094</v>
      </c>
      <c r="D161" s="7">
        <f>Rankings!M89</f>
        <v>3.5221047030836403</v>
      </c>
      <c r="E161" s="7">
        <f>Rankings!N89</f>
        <v>1.783672218635179</v>
      </c>
      <c r="F161" s="7">
        <f>Rankings!O89</f>
        <v>1.1843909064383518</v>
      </c>
      <c r="G161" s="7">
        <f>Rankings!P89</f>
        <v>0.88688155974910687</v>
      </c>
      <c r="H161" s="7">
        <f>Rankings!Q89</f>
        <v>1</v>
      </c>
      <c r="I161" s="7">
        <f>Rankings!R89</f>
        <v>12.197514659346487</v>
      </c>
      <c r="K161" s="7">
        <f>C161</f>
        <v>3.8204652714402094</v>
      </c>
      <c r="L161" s="7">
        <f>F161</f>
        <v>1.1843909064383518</v>
      </c>
      <c r="M161" s="7">
        <f>E161</f>
        <v>1.783672218635179</v>
      </c>
      <c r="N161" s="7">
        <f>H161</f>
        <v>1</v>
      </c>
      <c r="O161" s="7">
        <f>D161</f>
        <v>3.5221047030836403</v>
      </c>
      <c r="P161" s="7">
        <f>G161</f>
        <v>0.88688155974910687</v>
      </c>
      <c r="R161" s="7">
        <f t="shared" ref="R161:W161" si="148">K161/$I161</f>
        <v>0.31321669849461781</v>
      </c>
      <c r="S161" s="7">
        <f t="shared" si="148"/>
        <v>9.7101002910523135E-2</v>
      </c>
      <c r="T161" s="7">
        <f t="shared" si="148"/>
        <v>0.14623243082298076</v>
      </c>
      <c r="U161" s="7">
        <f t="shared" si="148"/>
        <v>8.1983914586545581E-2</v>
      </c>
      <c r="V161" s="7">
        <f t="shared" si="148"/>
        <v>0.28875593114247966</v>
      </c>
      <c r="W161" s="7">
        <f t="shared" si="148"/>
        <v>7.2710022042853095E-2</v>
      </c>
      <c r="X161" s="7">
        <f>SUM(R161:W161)</f>
        <v>1</v>
      </c>
    </row>
    <row r="162" spans="1:24" ht="15.75" customHeight="1" x14ac:dyDescent="0.3">
      <c r="C162" t="s">
        <v>68</v>
      </c>
      <c r="D162" t="s">
        <v>72</v>
      </c>
      <c r="E162" t="s">
        <v>70</v>
      </c>
      <c r="F162" t="s">
        <v>71</v>
      </c>
      <c r="G162" t="s">
        <v>69</v>
      </c>
      <c r="H162" t="s">
        <v>73</v>
      </c>
      <c r="K162" t="s">
        <v>68</v>
      </c>
      <c r="L162" t="s">
        <v>69</v>
      </c>
      <c r="M162" t="s">
        <v>70</v>
      </c>
      <c r="N162" t="s">
        <v>71</v>
      </c>
      <c r="O162" t="s">
        <v>72</v>
      </c>
      <c r="P162" t="s">
        <v>73</v>
      </c>
    </row>
    <row r="163" spans="1:24" ht="15.75" customHeight="1" x14ac:dyDescent="0.3">
      <c r="A163">
        <v>81</v>
      </c>
      <c r="B163" s="16" t="s">
        <v>162</v>
      </c>
      <c r="C163" s="7">
        <f>Rankings!L90</f>
        <v>5.8964052752487079</v>
      </c>
      <c r="D163" s="7">
        <f>Rankings!M90</f>
        <v>5.4359234479866867</v>
      </c>
      <c r="E163" s="7">
        <f>Rankings!N90</f>
        <v>2.752872629911467</v>
      </c>
      <c r="F163" s="7">
        <f>Rankings!O90</f>
        <v>1.9198984597584763</v>
      </c>
      <c r="G163" s="7">
        <f>Rankings!P90</f>
        <v>1.3354555559520354</v>
      </c>
      <c r="H163" s="7">
        <f>Rankings!Q90</f>
        <v>1</v>
      </c>
      <c r="I163" s="7">
        <f>Rankings!R90</f>
        <v>18.340555368857373</v>
      </c>
      <c r="K163" s="7">
        <f>C163</f>
        <v>5.8964052752487079</v>
      </c>
      <c r="L163" s="7">
        <f>G163</f>
        <v>1.3354555559520354</v>
      </c>
      <c r="M163" s="7">
        <f t="shared" ref="M163:N163" si="149">E163</f>
        <v>2.752872629911467</v>
      </c>
      <c r="N163" s="7">
        <f t="shared" si="149"/>
        <v>1.9198984597584763</v>
      </c>
      <c r="O163" s="7">
        <f>D163</f>
        <v>5.4359234479866867</v>
      </c>
      <c r="P163" s="7">
        <f>H163</f>
        <v>1</v>
      </c>
      <c r="R163" s="7">
        <f t="shared" ref="R163:W163" si="150">K163/$I163</f>
        <v>0.32149545947015984</v>
      </c>
      <c r="S163" s="7">
        <f t="shared" si="150"/>
        <v>7.2814346626583912E-2</v>
      </c>
      <c r="T163" s="7">
        <f t="shared" si="150"/>
        <v>0.15009756109053815</v>
      </c>
      <c r="U163" s="7">
        <f t="shared" si="150"/>
        <v>0.10468049746293408</v>
      </c>
      <c r="V163" s="7">
        <f t="shared" si="150"/>
        <v>0.29638815939112684</v>
      </c>
      <c r="W163" s="7">
        <f t="shared" si="150"/>
        <v>5.4523975958657163E-2</v>
      </c>
      <c r="X163" s="7">
        <f>SUM(R163:W163)</f>
        <v>1</v>
      </c>
    </row>
    <row r="164" spans="1:24" ht="15.75" customHeight="1" x14ac:dyDescent="0.3">
      <c r="C164" t="s">
        <v>68</v>
      </c>
      <c r="D164" t="s">
        <v>72</v>
      </c>
      <c r="E164" t="s">
        <v>70</v>
      </c>
      <c r="F164" t="s">
        <v>71</v>
      </c>
      <c r="G164" t="s">
        <v>73</v>
      </c>
      <c r="H164" t="s">
        <v>69</v>
      </c>
      <c r="K164" t="s">
        <v>68</v>
      </c>
      <c r="L164" t="s">
        <v>69</v>
      </c>
      <c r="M164" t="s">
        <v>70</v>
      </c>
      <c r="N164" t="s">
        <v>71</v>
      </c>
      <c r="O164" t="s">
        <v>72</v>
      </c>
      <c r="P164" t="s">
        <v>73</v>
      </c>
    </row>
    <row r="165" spans="1:24" ht="15.75" customHeight="1" x14ac:dyDescent="0.3">
      <c r="A165">
        <v>82</v>
      </c>
      <c r="B165" s="16" t="s">
        <v>163</v>
      </c>
      <c r="C165" s="7">
        <f>Rankings!L91</f>
        <v>5.6384937430597581</v>
      </c>
      <c r="D165" s="7">
        <f>Rankings!M91</f>
        <v>5.1981536068909282</v>
      </c>
      <c r="E165" s="7">
        <f>Rankings!N91</f>
        <v>2.6324606899653036</v>
      </c>
      <c r="F165" s="7">
        <f>Rankings!O91</f>
        <v>1.8359212006847052</v>
      </c>
      <c r="G165" s="7">
        <f>Rankings!P91</f>
        <v>1.2419340531937677</v>
      </c>
      <c r="H165" s="7">
        <f>Rankings!Q91</f>
        <v>1</v>
      </c>
      <c r="I165" s="7">
        <f>Rankings!R91</f>
        <v>17.546963293794462</v>
      </c>
      <c r="K165" s="7">
        <f>C165</f>
        <v>5.6384937430597581</v>
      </c>
      <c r="L165" s="7">
        <f>H165</f>
        <v>1</v>
      </c>
      <c r="M165" s="7">
        <f t="shared" ref="M165:N165" si="151">E165</f>
        <v>2.6324606899653036</v>
      </c>
      <c r="N165" s="7">
        <f t="shared" si="151"/>
        <v>1.8359212006847052</v>
      </c>
      <c r="O165" s="7">
        <f>D165</f>
        <v>5.1981536068909282</v>
      </c>
      <c r="P165" s="7">
        <f>G165</f>
        <v>1.2419340531937677</v>
      </c>
      <c r="R165" s="7">
        <f t="shared" ref="R165:W165" si="152">K165/$I165</f>
        <v>0.32133729629752111</v>
      </c>
      <c r="S165" s="7">
        <f t="shared" si="152"/>
        <v>5.6989918042038255E-2</v>
      </c>
      <c r="T165" s="7">
        <f t="shared" si="152"/>
        <v>0.15002371897001013</v>
      </c>
      <c r="U165" s="7">
        <f t="shared" si="152"/>
        <v>0.10462899875866181</v>
      </c>
      <c r="V165" s="7">
        <f t="shared" si="152"/>
        <v>0.29624234802663951</v>
      </c>
      <c r="W165" s="7">
        <f t="shared" si="152"/>
        <v>7.0777719905129197E-2</v>
      </c>
      <c r="X165" s="7">
        <f>SUM(R165:W165)</f>
        <v>1</v>
      </c>
    </row>
    <row r="166" spans="1:24" ht="15.75" customHeight="1" x14ac:dyDescent="0.3">
      <c r="C166" t="s">
        <v>68</v>
      </c>
      <c r="D166" t="s">
        <v>72</v>
      </c>
      <c r="E166" t="s">
        <v>70</v>
      </c>
      <c r="F166" t="s">
        <v>73</v>
      </c>
      <c r="G166" t="s">
        <v>69</v>
      </c>
      <c r="H166" t="s">
        <v>71</v>
      </c>
      <c r="K166" t="s">
        <v>68</v>
      </c>
      <c r="L166" t="s">
        <v>69</v>
      </c>
      <c r="M166" t="s">
        <v>70</v>
      </c>
      <c r="N166" t="s">
        <v>71</v>
      </c>
      <c r="O166" t="s">
        <v>72</v>
      </c>
      <c r="P166" t="s">
        <v>73</v>
      </c>
    </row>
    <row r="167" spans="1:24" ht="15.75" customHeight="1" x14ac:dyDescent="0.3">
      <c r="A167">
        <v>83</v>
      </c>
      <c r="B167" s="16" t="s">
        <v>164</v>
      </c>
      <c r="C167" s="7">
        <f>Rankings!L92</f>
        <v>4.881044380937948</v>
      </c>
      <c r="D167" s="7">
        <f>Rankings!M92</f>
        <v>4.4998575169826847</v>
      </c>
      <c r="E167" s="7">
        <f>Rankings!N92</f>
        <v>2.2788280069674274</v>
      </c>
      <c r="F167" s="7">
        <f>Rankings!O92</f>
        <v>1.1311834039268005</v>
      </c>
      <c r="G167" s="7">
        <f>Rankings!P92</f>
        <v>0.9108240498099236</v>
      </c>
      <c r="H167" s="7">
        <f>Rankings!Q92</f>
        <v>1</v>
      </c>
      <c r="I167" s="7">
        <f>Rankings!R92</f>
        <v>14.701737358624785</v>
      </c>
      <c r="K167" s="7">
        <f>C167</f>
        <v>4.881044380937948</v>
      </c>
      <c r="L167" s="7">
        <f>G167</f>
        <v>0.9108240498099236</v>
      </c>
      <c r="M167" s="7">
        <f>E167</f>
        <v>2.2788280069674274</v>
      </c>
      <c r="N167" s="7">
        <f>H167</f>
        <v>1</v>
      </c>
      <c r="O167" s="7">
        <f>D167</f>
        <v>4.4998575169826847</v>
      </c>
      <c r="P167" s="7">
        <f>F167</f>
        <v>1.1311834039268005</v>
      </c>
      <c r="R167" s="7">
        <f t="shared" ref="R167:W167" si="153">K167/$I167</f>
        <v>0.33200459659106069</v>
      </c>
      <c r="S167" s="7">
        <f t="shared" si="153"/>
        <v>6.1953497575957445E-2</v>
      </c>
      <c r="T167" s="7">
        <f t="shared" si="153"/>
        <v>0.15500399383958191</v>
      </c>
      <c r="U167" s="7">
        <f t="shared" si="153"/>
        <v>6.8019171857491345E-2</v>
      </c>
      <c r="V167" s="7">
        <f t="shared" si="153"/>
        <v>0.30607658178186947</v>
      </c>
      <c r="W167" s="7">
        <f t="shared" si="153"/>
        <v>7.6942158354039086E-2</v>
      </c>
      <c r="X167" s="7">
        <f>SUM(R167:W167)</f>
        <v>0.99999999999999989</v>
      </c>
    </row>
    <row r="168" spans="1:24" ht="15.75" customHeight="1" x14ac:dyDescent="0.3">
      <c r="C168" t="s">
        <v>68</v>
      </c>
      <c r="D168" t="s">
        <v>72</v>
      </c>
      <c r="E168" t="s">
        <v>70</v>
      </c>
      <c r="F168" t="s">
        <v>73</v>
      </c>
      <c r="G168" t="s">
        <v>71</v>
      </c>
      <c r="H168" t="s">
        <v>69</v>
      </c>
      <c r="K168" t="s">
        <v>68</v>
      </c>
      <c r="L168" t="s">
        <v>69</v>
      </c>
      <c r="M168" t="s">
        <v>70</v>
      </c>
      <c r="N168" t="s">
        <v>71</v>
      </c>
      <c r="O168" t="s">
        <v>72</v>
      </c>
      <c r="P168" t="s">
        <v>73</v>
      </c>
    </row>
    <row r="169" spans="1:24" ht="15.75" customHeight="1" x14ac:dyDescent="0.3">
      <c r="A169">
        <v>84</v>
      </c>
      <c r="B169" s="16" t="s">
        <v>165</v>
      </c>
      <c r="C169" s="7">
        <f>Rankings!L93</f>
        <v>5.5016654474876896</v>
      </c>
      <c r="D169" s="7">
        <f>Rankings!M93</f>
        <v>5.0720109648017795</v>
      </c>
      <c r="E169" s="7">
        <f>Rankings!N93</f>
        <v>2.5685792482572625</v>
      </c>
      <c r="F169" s="7">
        <f>Rankings!O93</f>
        <v>1.2750125101217977</v>
      </c>
      <c r="G169" s="7">
        <f>Rankings!P93</f>
        <v>1.4376356077157479</v>
      </c>
      <c r="H169" s="7">
        <f>Rankings!Q93</f>
        <v>1</v>
      </c>
      <c r="I169" s="7">
        <f>Rankings!R93</f>
        <v>16.854903778384276</v>
      </c>
      <c r="K169" s="7">
        <f>C169</f>
        <v>5.5016654474876896</v>
      </c>
      <c r="L169" s="7">
        <f>H169</f>
        <v>1</v>
      </c>
      <c r="M169" s="7">
        <f>E169</f>
        <v>2.5685792482572625</v>
      </c>
      <c r="N169" s="7">
        <f>G169</f>
        <v>1.4376356077157479</v>
      </c>
      <c r="O169" s="7">
        <f>D169</f>
        <v>5.0720109648017795</v>
      </c>
      <c r="P169" s="7">
        <f>F169</f>
        <v>1.2750125101217977</v>
      </c>
      <c r="R169" s="7">
        <f t="shared" ref="R169:W169" si="154">K169/$I169</f>
        <v>0.32641334058182819</v>
      </c>
      <c r="S169" s="7">
        <f t="shared" si="154"/>
        <v>5.932991449541581E-2</v>
      </c>
      <c r="T169" s="7">
        <f t="shared" si="154"/>
        <v>0.1523935871738028</v>
      </c>
      <c r="U169" s="7">
        <f t="shared" si="154"/>
        <v>8.5294797681340476E-2</v>
      </c>
      <c r="V169" s="7">
        <f t="shared" si="154"/>
        <v>0.30092197686150102</v>
      </c>
      <c r="W169" s="7">
        <f t="shared" si="154"/>
        <v>7.564638320611175E-2</v>
      </c>
      <c r="X169" s="7">
        <f>SUM(R169:W169)</f>
        <v>1.0000000000000002</v>
      </c>
    </row>
    <row r="170" spans="1:24" ht="15.75" customHeight="1" x14ac:dyDescent="0.3">
      <c r="C170" t="s">
        <v>68</v>
      </c>
      <c r="D170" t="s">
        <v>72</v>
      </c>
      <c r="E170" t="s">
        <v>71</v>
      </c>
      <c r="F170" t="s">
        <v>69</v>
      </c>
      <c r="G170" t="s">
        <v>70</v>
      </c>
      <c r="H170" t="s">
        <v>73</v>
      </c>
      <c r="K170" t="s">
        <v>68</v>
      </c>
      <c r="L170" t="s">
        <v>69</v>
      </c>
      <c r="M170" t="s">
        <v>70</v>
      </c>
      <c r="N170" t="s">
        <v>71</v>
      </c>
      <c r="O170" t="s">
        <v>72</v>
      </c>
      <c r="P170" t="s">
        <v>73</v>
      </c>
    </row>
    <row r="171" spans="1:24" ht="15.75" customHeight="1" x14ac:dyDescent="0.3">
      <c r="A171">
        <v>85</v>
      </c>
      <c r="B171" s="16" t="s">
        <v>166</v>
      </c>
      <c r="C171" s="7">
        <f>Rankings!L94</f>
        <v>5.3582104279163678</v>
      </c>
      <c r="D171" s="7">
        <f>Rankings!M94</f>
        <v>4.939759115036205</v>
      </c>
      <c r="E171" s="7">
        <f>Rankings!N94</f>
        <v>3.9391808169904543</v>
      </c>
      <c r="F171" s="7">
        <f>Rankings!O94</f>
        <v>2.740041214789747</v>
      </c>
      <c r="G171" s="7">
        <f>Rankings!P94</f>
        <v>2.0145521929129111</v>
      </c>
      <c r="H171" s="7">
        <f>Rankings!Q94</f>
        <v>1</v>
      </c>
      <c r="I171" s="7">
        <f>Rankings!R94</f>
        <v>19.991743767645687</v>
      </c>
      <c r="K171" s="7">
        <f>C171</f>
        <v>5.3582104279163678</v>
      </c>
      <c r="L171" s="7">
        <f t="shared" ref="L171:M171" si="155">F171</f>
        <v>2.740041214789747</v>
      </c>
      <c r="M171" s="7">
        <f t="shared" si="155"/>
        <v>2.0145521929129111</v>
      </c>
      <c r="N171" s="7">
        <f>E171</f>
        <v>3.9391808169904543</v>
      </c>
      <c r="O171" s="7">
        <f>D171</f>
        <v>4.939759115036205</v>
      </c>
      <c r="P171" s="7">
        <f>H171</f>
        <v>1</v>
      </c>
      <c r="R171" s="7">
        <f t="shared" ref="R171:W171" si="156">K171/$I171</f>
        <v>0.26802116364596512</v>
      </c>
      <c r="S171" s="7">
        <f t="shared" si="156"/>
        <v>0.13705864013844482</v>
      </c>
      <c r="T171" s="7">
        <f t="shared" si="156"/>
        <v>0.10076920834555861</v>
      </c>
      <c r="U171" s="7">
        <f t="shared" si="156"/>
        <v>0.1970403814081271</v>
      </c>
      <c r="V171" s="7">
        <f t="shared" si="156"/>
        <v>0.24708995735682801</v>
      </c>
      <c r="W171" s="7">
        <f t="shared" si="156"/>
        <v>5.0020649105076254E-2</v>
      </c>
      <c r="X171" s="7">
        <f>SUM(R171:W171)</f>
        <v>1</v>
      </c>
    </row>
    <row r="172" spans="1:24" ht="15.75" customHeight="1" x14ac:dyDescent="0.3">
      <c r="C172" t="s">
        <v>68</v>
      </c>
      <c r="D172" t="s">
        <v>72</v>
      </c>
      <c r="E172" t="s">
        <v>71</v>
      </c>
      <c r="F172" t="s">
        <v>69</v>
      </c>
      <c r="G172" t="s">
        <v>73</v>
      </c>
      <c r="H172" t="s">
        <v>70</v>
      </c>
      <c r="K172" t="s">
        <v>68</v>
      </c>
      <c r="L172" t="s">
        <v>69</v>
      </c>
      <c r="M172" t="s">
        <v>70</v>
      </c>
      <c r="N172" t="s">
        <v>71</v>
      </c>
      <c r="O172" t="s">
        <v>72</v>
      </c>
      <c r="P172" t="s">
        <v>73</v>
      </c>
    </row>
    <row r="173" spans="1:24" ht="15.75" customHeight="1" x14ac:dyDescent="0.3">
      <c r="A173">
        <v>86</v>
      </c>
      <c r="B173" s="16" t="s">
        <v>167</v>
      </c>
      <c r="C173" s="7">
        <f>Rankings!L95</f>
        <v>3.6645889928735311</v>
      </c>
      <c r="D173" s="7">
        <f>Rankings!M95</f>
        <v>3.378401636877804</v>
      </c>
      <c r="E173" s="7">
        <f>Rankings!N95</f>
        <v>2.6940858066478115</v>
      </c>
      <c r="F173" s="7">
        <f>Rankings!O95</f>
        <v>1.8739698656521393</v>
      </c>
      <c r="G173" s="7">
        <f>Rankings!P95</f>
        <v>1.4032439022773779</v>
      </c>
      <c r="H173" s="7">
        <f>Rankings!Q95</f>
        <v>1</v>
      </c>
      <c r="I173" s="7">
        <f>Rankings!R95</f>
        <v>14.014290204328663</v>
      </c>
      <c r="K173" s="7">
        <f>C173</f>
        <v>3.6645889928735311</v>
      </c>
      <c r="L173" s="7">
        <f>F173</f>
        <v>1.8739698656521393</v>
      </c>
      <c r="M173" s="7">
        <f>H173</f>
        <v>1</v>
      </c>
      <c r="N173" s="7">
        <f>E173</f>
        <v>2.6940858066478115</v>
      </c>
      <c r="O173" s="7">
        <f>D173</f>
        <v>3.378401636877804</v>
      </c>
      <c r="P173" s="7">
        <f>G173</f>
        <v>1.4032439022773779</v>
      </c>
      <c r="R173" s="7">
        <f t="shared" ref="R173:W173" si="157">K173/$I173</f>
        <v>0.26148944680349429</v>
      </c>
      <c r="S173" s="7">
        <f t="shared" si="157"/>
        <v>0.13371850006883096</v>
      </c>
      <c r="T173" s="7">
        <f t="shared" si="157"/>
        <v>7.1355736567459194E-2</v>
      </c>
      <c r="U173" s="7">
        <f t="shared" si="157"/>
        <v>0.19223847710929204</v>
      </c>
      <c r="V173" s="7">
        <f t="shared" si="157"/>
        <v>0.24106833722012552</v>
      </c>
      <c r="W173" s="7">
        <f t="shared" si="157"/>
        <v>0.10012950223079803</v>
      </c>
      <c r="X173" s="7">
        <f>SUM(R173:W173)</f>
        <v>1</v>
      </c>
    </row>
    <row r="174" spans="1:24" ht="15.75" customHeight="1" x14ac:dyDescent="0.3">
      <c r="C174" t="s">
        <v>68</v>
      </c>
      <c r="D174" t="s">
        <v>72</v>
      </c>
      <c r="E174" t="s">
        <v>71</v>
      </c>
      <c r="F174" t="s">
        <v>70</v>
      </c>
      <c r="G174" t="s">
        <v>69</v>
      </c>
      <c r="H174" t="s">
        <v>73</v>
      </c>
      <c r="K174" t="s">
        <v>68</v>
      </c>
      <c r="L174" t="s">
        <v>69</v>
      </c>
      <c r="M174" t="s">
        <v>70</v>
      </c>
      <c r="N174" t="s">
        <v>71</v>
      </c>
      <c r="O174" t="s">
        <v>72</v>
      </c>
      <c r="P174" t="s">
        <v>73</v>
      </c>
    </row>
    <row r="175" spans="1:24" ht="15.75" customHeight="1" x14ac:dyDescent="0.3">
      <c r="A175">
        <v>87</v>
      </c>
      <c r="B175" s="16" t="s">
        <v>168</v>
      </c>
      <c r="C175" s="7">
        <f>Rankings!L96</f>
        <v>6.1247758548655558</v>
      </c>
      <c r="D175" s="7">
        <f>Rankings!M96</f>
        <v>5.6464593475084817</v>
      </c>
      <c r="E175" s="7">
        <f>Rankings!N96</f>
        <v>4.5027346126894745</v>
      </c>
      <c r="F175" s="7">
        <f>Rankings!O96</f>
        <v>2.0111729678309791</v>
      </c>
      <c r="G175" s="7">
        <f>Rankings!P96</f>
        <v>1.3354555559520354</v>
      </c>
      <c r="H175" s="7">
        <f>Rankings!Q96</f>
        <v>1</v>
      </c>
      <c r="I175" s="7">
        <f>Rankings!R96</f>
        <v>20.620598338846523</v>
      </c>
      <c r="K175" s="7">
        <f>C175</f>
        <v>6.1247758548655558</v>
      </c>
      <c r="L175" s="7">
        <f>G175</f>
        <v>1.3354555559520354</v>
      </c>
      <c r="M175" s="7">
        <f>F175</f>
        <v>2.0111729678309791</v>
      </c>
      <c r="N175" s="7">
        <f>E175</f>
        <v>4.5027346126894745</v>
      </c>
      <c r="O175" s="7">
        <f>D175</f>
        <v>5.6464593475084817</v>
      </c>
      <c r="P175" s="7">
        <f>H175</f>
        <v>1</v>
      </c>
      <c r="R175" s="7">
        <f t="shared" ref="R175:W175" si="158">K175/$I175</f>
        <v>0.29702221798905198</v>
      </c>
      <c r="S175" s="7">
        <f t="shared" si="158"/>
        <v>6.4763181650079035E-2</v>
      </c>
      <c r="T175" s="7">
        <f t="shared" si="158"/>
        <v>9.7532231353451612E-2</v>
      </c>
      <c r="U175" s="7">
        <f t="shared" si="158"/>
        <v>0.21836100673213291</v>
      </c>
      <c r="V175" s="7">
        <f t="shared" si="158"/>
        <v>0.27382616424234824</v>
      </c>
      <c r="W175" s="7">
        <f t="shared" si="158"/>
        <v>4.8495198032936324E-2</v>
      </c>
      <c r="X175" s="7">
        <f>SUM(R175:W175)</f>
        <v>1</v>
      </c>
    </row>
    <row r="176" spans="1:24" ht="15.75" customHeight="1" x14ac:dyDescent="0.3">
      <c r="C176" t="s">
        <v>68</v>
      </c>
      <c r="D176" t="s">
        <v>72</v>
      </c>
      <c r="E176" t="s">
        <v>71</v>
      </c>
      <c r="F176" t="s">
        <v>70</v>
      </c>
      <c r="G176" t="s">
        <v>73</v>
      </c>
      <c r="H176" t="s">
        <v>69</v>
      </c>
      <c r="K176" t="s">
        <v>68</v>
      </c>
      <c r="L176" t="s">
        <v>69</v>
      </c>
      <c r="M176" t="s">
        <v>70</v>
      </c>
      <c r="N176" t="s">
        <v>71</v>
      </c>
      <c r="O176" t="s">
        <v>72</v>
      </c>
      <c r="P176" t="s">
        <v>73</v>
      </c>
    </row>
    <row r="177" spans="1:24" ht="15.75" customHeight="1" x14ac:dyDescent="0.3">
      <c r="A177">
        <v>88</v>
      </c>
      <c r="B177" s="16" t="s">
        <v>169</v>
      </c>
      <c r="C177" s="7">
        <f>Rankings!L97</f>
        <v>7.619348455050611</v>
      </c>
      <c r="D177" s="7">
        <f>Rankings!M97</f>
        <v>7.0243127790166637</v>
      </c>
      <c r="E177" s="7">
        <f>Rankings!N97</f>
        <v>5.601495438799458</v>
      </c>
      <c r="F177" s="7">
        <f>Rankings!O97</f>
        <v>2.5019409703147248</v>
      </c>
      <c r="G177" s="7">
        <f>Rankings!P97</f>
        <v>1.2419340531937677</v>
      </c>
      <c r="H177" s="7">
        <f>Rankings!Q97</f>
        <v>1</v>
      </c>
      <c r="I177" s="7">
        <f>Rankings!R97</f>
        <v>24.989031696375221</v>
      </c>
      <c r="K177" s="7">
        <f>C177</f>
        <v>7.619348455050611</v>
      </c>
      <c r="L177" s="7">
        <f>H177</f>
        <v>1</v>
      </c>
      <c r="M177" s="7">
        <f>F177</f>
        <v>2.5019409703147248</v>
      </c>
      <c r="N177" s="7">
        <f>E177</f>
        <v>5.601495438799458</v>
      </c>
      <c r="O177" s="7">
        <f>D177</f>
        <v>7.0243127790166637</v>
      </c>
      <c r="P177" s="7">
        <f>G177</f>
        <v>1.2419340531937677</v>
      </c>
      <c r="R177" s="7">
        <f t="shared" ref="R177:W177" si="159">K177/$I177</f>
        <v>0.30490771101610287</v>
      </c>
      <c r="S177" s="7">
        <f t="shared" si="159"/>
        <v>4.0017556988614922E-2</v>
      </c>
      <c r="T177" s="7">
        <f t="shared" si="159"/>
        <v>0.10012156536172001</v>
      </c>
      <c r="U177" s="7">
        <f t="shared" si="159"/>
        <v>0.22415816294362384</v>
      </c>
      <c r="V177" s="7">
        <f t="shared" si="159"/>
        <v>0.28109583694015539</v>
      </c>
      <c r="W177" s="7">
        <f t="shared" si="159"/>
        <v>4.9699166749783114E-2</v>
      </c>
      <c r="X177" s="7">
        <f>SUM(R177:W177)</f>
        <v>1.0000000000000002</v>
      </c>
    </row>
    <row r="178" spans="1:24" ht="15.75" customHeight="1" x14ac:dyDescent="0.3">
      <c r="C178" t="s">
        <v>68</v>
      </c>
      <c r="D178" t="s">
        <v>72</v>
      </c>
      <c r="E178" t="s">
        <v>71</v>
      </c>
      <c r="F178" t="s">
        <v>73</v>
      </c>
      <c r="G178" t="s">
        <v>69</v>
      </c>
      <c r="H178" t="s">
        <v>70</v>
      </c>
      <c r="K178" t="s">
        <v>68</v>
      </c>
      <c r="L178" t="s">
        <v>69</v>
      </c>
      <c r="M178" t="s">
        <v>70</v>
      </c>
      <c r="N178" t="s">
        <v>71</v>
      </c>
      <c r="O178" t="s">
        <v>72</v>
      </c>
      <c r="P178" t="s">
        <v>73</v>
      </c>
    </row>
    <row r="179" spans="1:24" ht="15.75" customHeight="1" x14ac:dyDescent="0.3">
      <c r="A179">
        <v>89</v>
      </c>
      <c r="B179" s="16" t="s">
        <v>170</v>
      </c>
      <c r="C179" s="7">
        <f>Rankings!L98</f>
        <v>3.3966160521723725</v>
      </c>
      <c r="D179" s="7">
        <f>Rankings!M98</f>
        <v>3.131356136478082</v>
      </c>
      <c r="E179" s="7">
        <f>Rankings!N98</f>
        <v>2.4970808771693309</v>
      </c>
      <c r="F179" s="7">
        <f>Rankings!O98</f>
        <v>1.6891845759932191</v>
      </c>
      <c r="G179" s="7">
        <f>Rankings!P98</f>
        <v>1.3601242124324544</v>
      </c>
      <c r="H179" s="7">
        <f>Rankings!Q98</f>
        <v>1</v>
      </c>
      <c r="I179" s="7">
        <f>Rankings!R98</f>
        <v>13.074361854245458</v>
      </c>
      <c r="K179" s="7">
        <f>C179</f>
        <v>3.3966160521723725</v>
      </c>
      <c r="L179" s="7">
        <f t="shared" ref="L179:M179" si="160">G179</f>
        <v>1.3601242124324544</v>
      </c>
      <c r="M179" s="7">
        <f t="shared" si="160"/>
        <v>1</v>
      </c>
      <c r="N179" s="7">
        <f>E179</f>
        <v>2.4970808771693309</v>
      </c>
      <c r="O179" s="7">
        <f>D179</f>
        <v>3.131356136478082</v>
      </c>
      <c r="P179" s="7">
        <f>F179</f>
        <v>1.6891845759932191</v>
      </c>
      <c r="R179" s="7">
        <f t="shared" ref="R179:W179" si="161">K179/$I179</f>
        <v>0.25979210993532631</v>
      </c>
      <c r="S179" s="7">
        <f t="shared" si="161"/>
        <v>0.10402987370208053</v>
      </c>
      <c r="T179" s="7">
        <f t="shared" si="161"/>
        <v>7.6485568561442535E-2</v>
      </c>
      <c r="U179" s="7">
        <f t="shared" si="161"/>
        <v>0.19099065063420193</v>
      </c>
      <c r="V179" s="7">
        <f t="shared" si="161"/>
        <v>0.23950355446688817</v>
      </c>
      <c r="W179" s="7">
        <f t="shared" si="161"/>
        <v>0.12919824270006061</v>
      </c>
      <c r="X179" s="7">
        <f>SUM(R179:W179)</f>
        <v>1</v>
      </c>
    </row>
    <row r="180" spans="1:24" ht="15.75" customHeight="1" x14ac:dyDescent="0.3">
      <c r="C180" t="s">
        <v>68</v>
      </c>
      <c r="D180" t="s">
        <v>72</v>
      </c>
      <c r="E180" t="s">
        <v>71</v>
      </c>
      <c r="F180" t="s">
        <v>73</v>
      </c>
      <c r="G180" t="s">
        <v>70</v>
      </c>
      <c r="H180" t="s">
        <v>69</v>
      </c>
      <c r="K180" t="s">
        <v>68</v>
      </c>
      <c r="L180" t="s">
        <v>69</v>
      </c>
      <c r="M180" t="s">
        <v>70</v>
      </c>
      <c r="N180" t="s">
        <v>71</v>
      </c>
      <c r="O180" t="s">
        <v>72</v>
      </c>
      <c r="P180" t="s">
        <v>73</v>
      </c>
    </row>
    <row r="181" spans="1:24" ht="15.75" customHeight="1" x14ac:dyDescent="0.3">
      <c r="A181">
        <v>90</v>
      </c>
      <c r="B181" s="16" t="s">
        <v>171</v>
      </c>
      <c r="C181" s="7">
        <f>Rankings!L99</f>
        <v>4.2493499463656965</v>
      </c>
      <c r="D181" s="7">
        <f>Rankings!M99</f>
        <v>3.9174954796803636</v>
      </c>
      <c r="E181" s="7">
        <f>Rankings!N99</f>
        <v>3.1239829078367118</v>
      </c>
      <c r="F181" s="7">
        <f>Rankings!O99</f>
        <v>2.113261044858973</v>
      </c>
      <c r="G181" s="7">
        <f>Rankings!P99</f>
        <v>1.5059827029565431</v>
      </c>
      <c r="H181" s="7">
        <f>Rankings!Q99</f>
        <v>1</v>
      </c>
      <c r="I181" s="7">
        <f>Rankings!R99</f>
        <v>15.910072081698289</v>
      </c>
      <c r="K181" s="7">
        <f>C181</f>
        <v>4.2493499463656965</v>
      </c>
      <c r="L181" s="7">
        <f>H181</f>
        <v>1</v>
      </c>
      <c r="M181" s="7">
        <f>G181</f>
        <v>1.5059827029565431</v>
      </c>
      <c r="N181" s="7">
        <f>E181</f>
        <v>3.1239829078367118</v>
      </c>
      <c r="O181" s="7">
        <f>D181</f>
        <v>3.9174954796803636</v>
      </c>
      <c r="P181" s="7">
        <f>F181</f>
        <v>2.113261044858973</v>
      </c>
      <c r="R181" s="7">
        <f t="shared" ref="R181:W181" si="162">K181/$I181</f>
        <v>0.26708552447438744</v>
      </c>
      <c r="S181" s="7">
        <f t="shared" si="162"/>
        <v>6.2853266463218746E-2</v>
      </c>
      <c r="T181" s="7">
        <f t="shared" si="162"/>
        <v>9.4655932117926014E-2</v>
      </c>
      <c r="U181" s="7">
        <f t="shared" si="162"/>
        <v>0.19635253013280179</v>
      </c>
      <c r="V181" s="7">
        <f t="shared" si="162"/>
        <v>0.24622738725280485</v>
      </c>
      <c r="W181" s="7">
        <f t="shared" si="162"/>
        <v>0.1328253595588611</v>
      </c>
      <c r="X181" s="7">
        <f>SUM(R181:W181)</f>
        <v>1</v>
      </c>
    </row>
    <row r="182" spans="1:24" ht="15.75" customHeight="1" x14ac:dyDescent="0.3">
      <c r="C182" t="s">
        <v>68</v>
      </c>
      <c r="D182" t="s">
        <v>72</v>
      </c>
      <c r="E182" t="s">
        <v>73</v>
      </c>
      <c r="F182" t="s">
        <v>69</v>
      </c>
      <c r="G182" t="s">
        <v>70</v>
      </c>
      <c r="H182" t="s">
        <v>71</v>
      </c>
      <c r="K182" t="s">
        <v>68</v>
      </c>
      <c r="L182" t="s">
        <v>69</v>
      </c>
      <c r="M182" t="s">
        <v>70</v>
      </c>
      <c r="N182" t="s">
        <v>71</v>
      </c>
      <c r="O182" t="s">
        <v>72</v>
      </c>
      <c r="P182" t="s">
        <v>73</v>
      </c>
    </row>
    <row r="183" spans="1:24" ht="15.75" customHeight="1" x14ac:dyDescent="0.3">
      <c r="A183">
        <v>91</v>
      </c>
      <c r="B183" s="16" t="s">
        <v>172</v>
      </c>
      <c r="C183" s="7">
        <f>Rankings!L100</f>
        <v>3.4730366388860072</v>
      </c>
      <c r="D183" s="7">
        <f>Rankings!M100</f>
        <v>3.2018086308087108</v>
      </c>
      <c r="E183" s="7">
        <f>Rankings!N100</f>
        <v>2.4220603764145552</v>
      </c>
      <c r="F183" s="7">
        <f>Rankings!O100</f>
        <v>1.9502326795742213</v>
      </c>
      <c r="G183" s="7">
        <f>Rankings!P100</f>
        <v>1.4338636587362954</v>
      </c>
      <c r="H183" s="7">
        <f>Rankings!Q100</f>
        <v>1</v>
      </c>
      <c r="I183" s="7">
        <f>Rankings!R100</f>
        <v>13.481001984419787</v>
      </c>
      <c r="K183" s="7">
        <f>C183</f>
        <v>3.4730366388860072</v>
      </c>
      <c r="L183" s="7">
        <f t="shared" ref="L183:N183" si="163">F183</f>
        <v>1.9502326795742213</v>
      </c>
      <c r="M183" s="7">
        <f t="shared" si="163"/>
        <v>1.4338636587362954</v>
      </c>
      <c r="N183" s="7">
        <f t="shared" si="163"/>
        <v>1</v>
      </c>
      <c r="O183" s="7">
        <f t="shared" ref="O183:P183" si="164">D183</f>
        <v>3.2018086308087108</v>
      </c>
      <c r="P183" s="7">
        <f t="shared" si="164"/>
        <v>2.4220603764145552</v>
      </c>
      <c r="R183" s="7">
        <f t="shared" ref="R183:W183" si="165">K183/$I183</f>
        <v>0.25762451803655634</v>
      </c>
      <c r="S183" s="7">
        <f t="shared" si="165"/>
        <v>0.14466526166438792</v>
      </c>
      <c r="T183" s="7">
        <f t="shared" si="165"/>
        <v>0.10636180162227073</v>
      </c>
      <c r="U183" s="7">
        <f t="shared" si="165"/>
        <v>7.4178462487856339E-2</v>
      </c>
      <c r="V183" s="7">
        <f t="shared" si="165"/>
        <v>0.2375052414137386</v>
      </c>
      <c r="W183" s="7">
        <f t="shared" si="165"/>
        <v>0.17966471477519028</v>
      </c>
      <c r="X183" s="7">
        <f>SUM(R183:W183)</f>
        <v>1.0000000000000002</v>
      </c>
    </row>
    <row r="184" spans="1:24" ht="15.75" customHeight="1" x14ac:dyDescent="0.3">
      <c r="C184" t="s">
        <v>68</v>
      </c>
      <c r="D184" t="s">
        <v>72</v>
      </c>
      <c r="E184" t="s">
        <v>73</v>
      </c>
      <c r="F184" t="s">
        <v>69</v>
      </c>
      <c r="G184" t="s">
        <v>71</v>
      </c>
      <c r="H184" t="s">
        <v>70</v>
      </c>
      <c r="K184" t="s">
        <v>68</v>
      </c>
      <c r="L184" t="s">
        <v>69</v>
      </c>
      <c r="M184" t="s">
        <v>70</v>
      </c>
      <c r="N184" t="s">
        <v>71</v>
      </c>
      <c r="O184" t="s">
        <v>72</v>
      </c>
      <c r="P184" t="s">
        <v>73</v>
      </c>
    </row>
    <row r="185" spans="1:24" ht="15.75" customHeight="1" x14ac:dyDescent="0.3">
      <c r="A185">
        <v>92</v>
      </c>
      <c r="B185" s="16" t="s">
        <v>173</v>
      </c>
      <c r="C185" s="7">
        <f>Rankings!L101</f>
        <v>3.6314858187955394</v>
      </c>
      <c r="D185" s="7">
        <f>Rankings!M101</f>
        <v>3.3478836667293295</v>
      </c>
      <c r="E185" s="7">
        <f>Rankings!N101</f>
        <v>2.5325612205569175</v>
      </c>
      <c r="F185" s="7">
        <f>Rankings!O101</f>
        <v>2.039207487743945</v>
      </c>
      <c r="G185" s="7">
        <f>Rankings!P101</f>
        <v>2.2388599512381115</v>
      </c>
      <c r="H185" s="7">
        <f>Rankings!Q101</f>
        <v>1</v>
      </c>
      <c r="I185" s="7">
        <f>Rankings!R101</f>
        <v>14.789998145063844</v>
      </c>
      <c r="K185" s="7">
        <f>C185</f>
        <v>3.6314858187955394</v>
      </c>
      <c r="L185" s="7">
        <f>F185</f>
        <v>2.039207487743945</v>
      </c>
      <c r="M185" s="7">
        <f>H185</f>
        <v>1</v>
      </c>
      <c r="N185" s="7">
        <f>G185</f>
        <v>2.2388599512381115</v>
      </c>
      <c r="O185" s="7">
        <f t="shared" ref="O185:P185" si="166">D185</f>
        <v>3.3478836667293295</v>
      </c>
      <c r="P185" s="7">
        <f t="shared" si="166"/>
        <v>2.5325612205569175</v>
      </c>
      <c r="R185" s="7">
        <f t="shared" ref="R185:W185" si="167">K185/$I185</f>
        <v>0.24553659731239022</v>
      </c>
      <c r="S185" s="7">
        <f t="shared" si="167"/>
        <v>0.13787746744407331</v>
      </c>
      <c r="T185" s="7">
        <f t="shared" si="167"/>
        <v>6.7613260677368614E-2</v>
      </c>
      <c r="U185" s="7">
        <f t="shared" si="167"/>
        <v>0.15137662150318323</v>
      </c>
      <c r="V185" s="7">
        <f t="shared" si="167"/>
        <v>0.22636133107607484</v>
      </c>
      <c r="W185" s="7">
        <f t="shared" si="167"/>
        <v>0.1712347219869097</v>
      </c>
      <c r="X185" s="7">
        <f>SUM(R185:W185)</f>
        <v>0.99999999999999989</v>
      </c>
    </row>
    <row r="186" spans="1:24" ht="15.75" customHeight="1" x14ac:dyDescent="0.3">
      <c r="C186" t="s">
        <v>68</v>
      </c>
      <c r="D186" t="s">
        <v>72</v>
      </c>
      <c r="E186" t="s">
        <v>73</v>
      </c>
      <c r="F186" t="s">
        <v>70</v>
      </c>
      <c r="G186" t="s">
        <v>69</v>
      </c>
      <c r="H186" t="s">
        <v>71</v>
      </c>
      <c r="K186" t="s">
        <v>68</v>
      </c>
      <c r="L186" t="s">
        <v>69</v>
      </c>
      <c r="M186" t="s">
        <v>70</v>
      </c>
      <c r="N186" t="s">
        <v>71</v>
      </c>
      <c r="O186" t="s">
        <v>72</v>
      </c>
      <c r="P186" t="s">
        <v>73</v>
      </c>
    </row>
    <row r="187" spans="1:24" ht="15.75" customHeight="1" x14ac:dyDescent="0.3">
      <c r="A187">
        <v>93</v>
      </c>
      <c r="B187" s="16" t="s">
        <v>174</v>
      </c>
      <c r="C187" s="7">
        <f>Rankings!L102</f>
        <v>2.7600187784545853</v>
      </c>
      <c r="D187" s="7">
        <f>Rankings!M102</f>
        <v>2.5444741489639253</v>
      </c>
      <c r="E187" s="7">
        <f>Rankings!N102</f>
        <v>1.9248089831840005</v>
      </c>
      <c r="F187" s="7">
        <f>Rankings!O102</f>
        <v>1.3716852644505737</v>
      </c>
      <c r="G187" s="7">
        <f>Rankings!P102</f>
        <v>0.9108240498099236</v>
      </c>
      <c r="H187" s="7">
        <f>Rankings!Q102</f>
        <v>1</v>
      </c>
      <c r="I187" s="7">
        <f>Rankings!R102</f>
        <v>10.511811224863008</v>
      </c>
      <c r="K187" s="7">
        <f>C187</f>
        <v>2.7600187784545853</v>
      </c>
      <c r="L187" s="7">
        <f>G187</f>
        <v>0.9108240498099236</v>
      </c>
      <c r="M187" s="7">
        <f>F187</f>
        <v>1.3716852644505737</v>
      </c>
      <c r="N187" s="7">
        <f>H187</f>
        <v>1</v>
      </c>
      <c r="O187" s="7">
        <f t="shared" ref="O187:P187" si="168">D187</f>
        <v>2.5444741489639253</v>
      </c>
      <c r="P187" s="7">
        <f t="shared" si="168"/>
        <v>1.9248089831840005</v>
      </c>
      <c r="R187" s="7">
        <f t="shared" ref="R187:W187" si="169">K187/$I187</f>
        <v>0.26256357914100142</v>
      </c>
      <c r="S187" s="7">
        <f t="shared" si="169"/>
        <v>8.6647679484159842E-2</v>
      </c>
      <c r="T187" s="7">
        <f t="shared" si="169"/>
        <v>0.13048990655446724</v>
      </c>
      <c r="U187" s="7">
        <f t="shared" si="169"/>
        <v>9.5131084321106826E-2</v>
      </c>
      <c r="V187" s="7">
        <f t="shared" si="169"/>
        <v>0.24205858481796369</v>
      </c>
      <c r="W187" s="7">
        <f t="shared" si="169"/>
        <v>0.18310916568130103</v>
      </c>
      <c r="X187" s="7">
        <f>SUM(R187:W187)</f>
        <v>1</v>
      </c>
    </row>
    <row r="188" spans="1:24" ht="15.75" customHeight="1" x14ac:dyDescent="0.3">
      <c r="C188" t="s">
        <v>68</v>
      </c>
      <c r="D188" t="s">
        <v>72</v>
      </c>
      <c r="E188" t="s">
        <v>73</v>
      </c>
      <c r="F188" t="s">
        <v>70</v>
      </c>
      <c r="G188" t="s">
        <v>71</v>
      </c>
      <c r="H188" t="s">
        <v>69</v>
      </c>
      <c r="K188" t="s">
        <v>68</v>
      </c>
      <c r="L188" t="s">
        <v>69</v>
      </c>
      <c r="M188" t="s">
        <v>70</v>
      </c>
      <c r="N188" t="s">
        <v>71</v>
      </c>
      <c r="O188" t="s">
        <v>72</v>
      </c>
      <c r="P188" t="s">
        <v>73</v>
      </c>
    </row>
    <row r="189" spans="1:24" ht="15.75" customHeight="1" x14ac:dyDescent="0.3">
      <c r="A189">
        <v>94</v>
      </c>
      <c r="B189" s="16" t="s">
        <v>175</v>
      </c>
      <c r="C189" s="7">
        <f>Rankings!L103</f>
        <v>4.1477659529536171</v>
      </c>
      <c r="D189" s="7">
        <f>Rankings!M103</f>
        <v>3.8238447236770705</v>
      </c>
      <c r="E189" s="7">
        <f>Rankings!N103</f>
        <v>2.8926097274092277</v>
      </c>
      <c r="F189" s="7">
        <f>Rankings!O103</f>
        <v>2.0613734524088798</v>
      </c>
      <c r="G189" s="7">
        <f>Rankings!P103</f>
        <v>1.4376356077157479</v>
      </c>
      <c r="H189" s="7">
        <f>Rankings!Q103</f>
        <v>1</v>
      </c>
      <c r="I189" s="7">
        <f>Rankings!R103</f>
        <v>15.363229464164544</v>
      </c>
      <c r="K189" s="7">
        <f>C189</f>
        <v>4.1477659529536171</v>
      </c>
      <c r="L189" s="7">
        <f>H189</f>
        <v>1</v>
      </c>
      <c r="M189" s="7">
        <f t="shared" ref="M189:N189" si="170">F189</f>
        <v>2.0613734524088798</v>
      </c>
      <c r="N189" s="7">
        <f t="shared" si="170"/>
        <v>1.4376356077157479</v>
      </c>
      <c r="O189" s="7">
        <f t="shared" ref="O189:P189" si="171">D189</f>
        <v>3.8238447236770705</v>
      </c>
      <c r="P189" s="7">
        <f t="shared" si="171"/>
        <v>2.8926097274092277</v>
      </c>
      <c r="R189" s="7">
        <f t="shared" ref="R189:W189" si="172">K189/$I189</f>
        <v>0.26998008215840796</v>
      </c>
      <c r="S189" s="7">
        <f t="shared" si="172"/>
        <v>6.5090481290574168E-2</v>
      </c>
      <c r="T189" s="7">
        <f t="shared" si="172"/>
        <v>0.13417579013690648</v>
      </c>
      <c r="U189" s="7">
        <f t="shared" si="172"/>
        <v>9.3576393626685114E-2</v>
      </c>
      <c r="V189" s="7">
        <f t="shared" si="172"/>
        <v>0.24889589344456309</v>
      </c>
      <c r="W189" s="7">
        <f t="shared" si="172"/>
        <v>0.18828135934286316</v>
      </c>
      <c r="X189" s="7">
        <f>SUM(R189:W189)</f>
        <v>1</v>
      </c>
    </row>
    <row r="190" spans="1:24" ht="15.75" customHeight="1" x14ac:dyDescent="0.3">
      <c r="C190" t="s">
        <v>68</v>
      </c>
      <c r="D190" t="s">
        <v>72</v>
      </c>
      <c r="E190" t="s">
        <v>73</v>
      </c>
      <c r="F190" t="s">
        <v>71</v>
      </c>
      <c r="G190" t="s">
        <v>69</v>
      </c>
      <c r="H190" t="s">
        <v>70</v>
      </c>
      <c r="K190" t="s">
        <v>68</v>
      </c>
      <c r="L190" t="s">
        <v>69</v>
      </c>
      <c r="M190" t="s">
        <v>70</v>
      </c>
      <c r="N190" t="s">
        <v>71</v>
      </c>
      <c r="O190" t="s">
        <v>72</v>
      </c>
      <c r="P190" t="s">
        <v>73</v>
      </c>
    </row>
    <row r="191" spans="1:24" ht="15.75" customHeight="1" x14ac:dyDescent="0.3">
      <c r="A191">
        <v>95</v>
      </c>
      <c r="B191" s="16" t="s">
        <v>176</v>
      </c>
      <c r="C191" s="7">
        <f>Rankings!L104</f>
        <v>2.4866657797117995</v>
      </c>
      <c r="D191" s="7">
        <f>Rankings!M104</f>
        <v>2.2924687480324728</v>
      </c>
      <c r="E191" s="7">
        <f>Rankings!N104</f>
        <v>1.734175386170937</v>
      </c>
      <c r="F191" s="7">
        <f>Rankings!O104</f>
        <v>1.9553629987092347</v>
      </c>
      <c r="G191" s="7">
        <f>Rankings!P104</f>
        <v>1.3601242124324544</v>
      </c>
      <c r="H191" s="7">
        <f>Rankings!Q104</f>
        <v>1</v>
      </c>
      <c r="I191" s="7">
        <f>Rankings!R104</f>
        <v>10.8287971250569</v>
      </c>
      <c r="K191" s="7">
        <f>C191</f>
        <v>2.4866657797117995</v>
      </c>
      <c r="L191" s="7">
        <f t="shared" ref="L191:M191" si="173">G191</f>
        <v>1.3601242124324544</v>
      </c>
      <c r="M191" s="7">
        <f t="shared" si="173"/>
        <v>1</v>
      </c>
      <c r="N191" s="7">
        <f>F191</f>
        <v>1.9553629987092347</v>
      </c>
      <c r="O191" s="7">
        <f t="shared" ref="O191:P191" si="174">D191</f>
        <v>2.2924687480324728</v>
      </c>
      <c r="P191" s="7">
        <f t="shared" si="174"/>
        <v>1.734175386170937</v>
      </c>
      <c r="R191" s="7">
        <f t="shared" ref="R191:W191" si="175">K191/$I191</f>
        <v>0.22963453382627974</v>
      </c>
      <c r="S191" s="7">
        <f t="shared" si="175"/>
        <v>0.12560252045771961</v>
      </c>
      <c r="T191" s="7">
        <f t="shared" si="175"/>
        <v>9.2346360214477244E-2</v>
      </c>
      <c r="U191" s="7">
        <f t="shared" si="175"/>
        <v>0.18057065582886339</v>
      </c>
      <c r="V191" s="7">
        <f t="shared" si="175"/>
        <v>0.21170114478623839</v>
      </c>
      <c r="W191" s="7">
        <f t="shared" si="175"/>
        <v>0.16014478488642153</v>
      </c>
      <c r="X191" s="7">
        <f>SUM(R191:W191)</f>
        <v>0.99999999999999978</v>
      </c>
    </row>
    <row r="192" spans="1:24" ht="15.75" customHeight="1" x14ac:dyDescent="0.3">
      <c r="C192" t="s">
        <v>68</v>
      </c>
      <c r="D192" t="s">
        <v>72</v>
      </c>
      <c r="E192" t="s">
        <v>73</v>
      </c>
      <c r="F192" t="s">
        <v>71</v>
      </c>
      <c r="G192" t="s">
        <v>70</v>
      </c>
      <c r="H192" t="s">
        <v>69</v>
      </c>
      <c r="K192" t="s">
        <v>68</v>
      </c>
      <c r="L192" t="s">
        <v>69</v>
      </c>
      <c r="M192" t="s">
        <v>70</v>
      </c>
      <c r="N192" t="s">
        <v>71</v>
      </c>
      <c r="O192" t="s">
        <v>72</v>
      </c>
      <c r="P192" t="s">
        <v>73</v>
      </c>
    </row>
    <row r="193" spans="1:24" ht="15.75" customHeight="1" x14ac:dyDescent="0.3">
      <c r="A193">
        <v>96</v>
      </c>
      <c r="B193" s="16" t="s">
        <v>177</v>
      </c>
      <c r="C193" s="7">
        <f>Rankings!L105</f>
        <v>4.2878238597082881</v>
      </c>
      <c r="D193" s="7">
        <f>Rankings!M105</f>
        <v>3.9529647593366852</v>
      </c>
      <c r="E193" s="7">
        <f>Rankings!N105</f>
        <v>2.9902846849826275</v>
      </c>
      <c r="F193" s="7">
        <f>Rankings!O105</f>
        <v>3.3716843609067255</v>
      </c>
      <c r="G193" s="7">
        <f>Rankings!P105</f>
        <v>1.5059827029565431</v>
      </c>
      <c r="H193" s="7">
        <f>Rankings!Q105</f>
        <v>1</v>
      </c>
      <c r="I193" s="7">
        <f>Rankings!R105</f>
        <v>17.108740367890871</v>
      </c>
      <c r="K193" s="7">
        <f>C193</f>
        <v>4.2878238597082881</v>
      </c>
      <c r="L193" s="7">
        <f>H193</f>
        <v>1</v>
      </c>
      <c r="M193" s="7">
        <f>G193</f>
        <v>1.5059827029565431</v>
      </c>
      <c r="N193" s="7">
        <f>F193</f>
        <v>3.3716843609067255</v>
      </c>
      <c r="O193" s="7">
        <f t="shared" ref="O193:P193" si="176">D193</f>
        <v>3.9529647593366852</v>
      </c>
      <c r="P193" s="7">
        <f t="shared" si="176"/>
        <v>2.9902846849826275</v>
      </c>
      <c r="R193" s="7">
        <f t="shared" ref="R193:W193" si="177">K193/$I193</f>
        <v>0.25062183232118812</v>
      </c>
      <c r="S193" s="7">
        <f t="shared" si="177"/>
        <v>5.8449656637303796E-2</v>
      </c>
      <c r="T193" s="7">
        <f t="shared" si="177"/>
        <v>8.8024171889528616E-2</v>
      </c>
      <c r="U193" s="7">
        <f t="shared" si="177"/>
        <v>0.19707379318436519</v>
      </c>
      <c r="V193" s="7">
        <f t="shared" si="177"/>
        <v>0.23104943288259147</v>
      </c>
      <c r="W193" s="7">
        <f t="shared" si="177"/>
        <v>0.17478111308502273</v>
      </c>
      <c r="X193" s="7">
        <f>SUM(R193:W193)</f>
        <v>0.99999999999999989</v>
      </c>
    </row>
    <row r="194" spans="1:24" ht="15.75" customHeight="1" x14ac:dyDescent="0.3">
      <c r="C194" t="s">
        <v>68</v>
      </c>
      <c r="D194" t="s">
        <v>73</v>
      </c>
      <c r="E194" t="s">
        <v>69</v>
      </c>
      <c r="F194" t="s">
        <v>70</v>
      </c>
      <c r="G194" t="s">
        <v>71</v>
      </c>
      <c r="H194" t="s">
        <v>72</v>
      </c>
      <c r="K194" t="s">
        <v>68</v>
      </c>
      <c r="L194" t="s">
        <v>69</v>
      </c>
      <c r="M194" t="s">
        <v>70</v>
      </c>
      <c r="N194" t="s">
        <v>71</v>
      </c>
      <c r="O194" t="s">
        <v>72</v>
      </c>
      <c r="P194" t="s">
        <v>73</v>
      </c>
    </row>
    <row r="195" spans="1:24" ht="15.75" customHeight="1" x14ac:dyDescent="0.3">
      <c r="A195">
        <v>97</v>
      </c>
      <c r="B195" s="16" t="s">
        <v>178</v>
      </c>
      <c r="C195" s="7">
        <f>Rankings!L106</f>
        <v>5.329343675138114</v>
      </c>
      <c r="D195" s="7">
        <f>Rankings!M106</f>
        <v>4.5888984487851001</v>
      </c>
      <c r="E195" s="7">
        <f>Rankings!N106</f>
        <v>3.6949614490272262</v>
      </c>
      <c r="F195" s="7">
        <f>Rankings!O106</f>
        <v>2.7166353008444242</v>
      </c>
      <c r="G195" s="7">
        <f>Rankings!P106</f>
        <v>1.89462595295753</v>
      </c>
      <c r="H195" s="7">
        <f>Rankings!Q106</f>
        <v>1</v>
      </c>
      <c r="I195" s="7">
        <f>Rankings!R106</f>
        <v>19.224464826752392</v>
      </c>
      <c r="K195" s="7">
        <f>C195</f>
        <v>5.329343675138114</v>
      </c>
      <c r="L195" s="7">
        <f t="shared" ref="L195:O195" si="178">E195</f>
        <v>3.6949614490272262</v>
      </c>
      <c r="M195" s="7">
        <f t="shared" si="178"/>
        <v>2.7166353008444242</v>
      </c>
      <c r="N195" s="7">
        <f t="shared" si="178"/>
        <v>1.89462595295753</v>
      </c>
      <c r="O195" s="7">
        <f t="shared" si="178"/>
        <v>1</v>
      </c>
      <c r="P195" s="7">
        <f>D195</f>
        <v>4.5888984487851001</v>
      </c>
      <c r="R195" s="7">
        <f t="shared" ref="R195:W195" si="179">K195/$I195</f>
        <v>0.27721675079984037</v>
      </c>
      <c r="S195" s="7">
        <f t="shared" si="179"/>
        <v>0.19220100441419777</v>
      </c>
      <c r="T195" s="7">
        <f t="shared" si="179"/>
        <v>0.14131136160752872</v>
      </c>
      <c r="U195" s="7">
        <f t="shared" si="179"/>
        <v>9.8552858039564525E-2</v>
      </c>
      <c r="V195" s="7">
        <f t="shared" si="179"/>
        <v>5.201705269883089E-2</v>
      </c>
      <c r="W195" s="7">
        <f t="shared" si="179"/>
        <v>0.23870097244003788</v>
      </c>
      <c r="X195" s="7">
        <f>SUM(R195:W195)</f>
        <v>1.0000000000000002</v>
      </c>
    </row>
    <row r="196" spans="1:24" ht="15.75" customHeight="1" x14ac:dyDescent="0.3">
      <c r="C196" t="s">
        <v>68</v>
      </c>
      <c r="D196" t="s">
        <v>73</v>
      </c>
      <c r="E196" t="s">
        <v>69</v>
      </c>
      <c r="F196" t="s">
        <v>70</v>
      </c>
      <c r="G196" t="s">
        <v>72</v>
      </c>
      <c r="H196" t="s">
        <v>71</v>
      </c>
      <c r="K196" t="s">
        <v>68</v>
      </c>
      <c r="L196" t="s">
        <v>69</v>
      </c>
      <c r="M196" t="s">
        <v>70</v>
      </c>
      <c r="N196" t="s">
        <v>71</v>
      </c>
      <c r="O196" t="s">
        <v>72</v>
      </c>
      <c r="P196" t="s">
        <v>73</v>
      </c>
    </row>
    <row r="197" spans="1:24" ht="15.75" customHeight="1" x14ac:dyDescent="0.3">
      <c r="A197">
        <v>98</v>
      </c>
      <c r="B197" s="16" t="s">
        <v>179</v>
      </c>
      <c r="C197" s="7">
        <f>Rankings!L107</f>
        <v>5.5141107564470087</v>
      </c>
      <c r="D197" s="7">
        <f>Rankings!M107</f>
        <v>4.7479944697004637</v>
      </c>
      <c r="E197" s="7">
        <f>Rankings!N107</f>
        <v>3.8230648861672507</v>
      </c>
      <c r="F197" s="7">
        <f>Rankings!O107</f>
        <v>2.8108204024469634</v>
      </c>
      <c r="G197" s="7">
        <f>Rankings!P107</f>
        <v>1.25400669441983</v>
      </c>
      <c r="H197" s="7">
        <f>Rankings!Q107</f>
        <v>1</v>
      </c>
      <c r="I197" s="7">
        <f>Rankings!R107</f>
        <v>19.149997209181514</v>
      </c>
      <c r="K197" s="7">
        <f>C197</f>
        <v>5.5141107564470087</v>
      </c>
      <c r="L197" s="7">
        <f t="shared" ref="L197:M197" si="180">E197</f>
        <v>3.8230648861672507</v>
      </c>
      <c r="M197" s="7">
        <f t="shared" si="180"/>
        <v>2.8108204024469634</v>
      </c>
      <c r="N197" s="7">
        <f>H197</f>
        <v>1</v>
      </c>
      <c r="O197" s="7">
        <f>G197</f>
        <v>1.25400669441983</v>
      </c>
      <c r="P197" s="7">
        <f>D197</f>
        <v>4.7479944697004637</v>
      </c>
      <c r="R197" s="7">
        <f t="shared" ref="R197:W197" si="181">K197/$I197</f>
        <v>0.28794316240439211</v>
      </c>
      <c r="S197" s="7">
        <f t="shared" si="181"/>
        <v>0.19963788215772024</v>
      </c>
      <c r="T197" s="7">
        <f t="shared" si="181"/>
        <v>0.14677915467785596</v>
      </c>
      <c r="U197" s="7">
        <f t="shared" si="181"/>
        <v>5.2219328758990498E-2</v>
      </c>
      <c r="V197" s="7">
        <f t="shared" si="181"/>
        <v>6.5483387841884039E-2</v>
      </c>
      <c r="W197" s="7">
        <f t="shared" si="181"/>
        <v>0.24793708415915727</v>
      </c>
      <c r="X197" s="7">
        <f>SUM(R197:W197)</f>
        <v>1</v>
      </c>
    </row>
    <row r="198" spans="1:24" ht="15.75" customHeight="1" x14ac:dyDescent="0.3">
      <c r="C198" t="s">
        <v>68</v>
      </c>
      <c r="D198" t="s">
        <v>73</v>
      </c>
      <c r="E198" t="s">
        <v>69</v>
      </c>
      <c r="F198" t="s">
        <v>71</v>
      </c>
      <c r="G198" t="s">
        <v>70</v>
      </c>
      <c r="H198" t="s">
        <v>72</v>
      </c>
      <c r="K198" t="s">
        <v>68</v>
      </c>
      <c r="L198" t="s">
        <v>69</v>
      </c>
      <c r="M198" t="s">
        <v>70</v>
      </c>
      <c r="N198" t="s">
        <v>71</v>
      </c>
      <c r="O198" t="s">
        <v>72</v>
      </c>
      <c r="P198" t="s">
        <v>73</v>
      </c>
    </row>
    <row r="199" spans="1:24" ht="15.75" customHeight="1" x14ac:dyDescent="0.3">
      <c r="A199">
        <v>99</v>
      </c>
      <c r="B199" s="16" t="s">
        <v>180</v>
      </c>
      <c r="C199" s="7">
        <f>Rankings!L108</f>
        <v>6.592626555060348</v>
      </c>
      <c r="D199" s="7">
        <f>Rankings!M108</f>
        <v>5.6766640727390989</v>
      </c>
      <c r="E199" s="7">
        <f>Rankings!N108</f>
        <v>4.5708256876771713</v>
      </c>
      <c r="F199" s="7">
        <f>Rankings!O108</f>
        <v>5.0183410161721573</v>
      </c>
      <c r="G199" s="7">
        <f>Rankings!P108</f>
        <v>2.2414716085286912</v>
      </c>
      <c r="H199" s="7">
        <f>Rankings!Q108</f>
        <v>1</v>
      </c>
      <c r="I199" s="7">
        <f>Rankings!R108</f>
        <v>25.099928940177467</v>
      </c>
      <c r="K199" s="7">
        <f>C199</f>
        <v>6.592626555060348</v>
      </c>
      <c r="L199" s="7">
        <f>E199</f>
        <v>4.5708256876771713</v>
      </c>
      <c r="M199" s="7">
        <f>G199</f>
        <v>2.2414716085286912</v>
      </c>
      <c r="N199" s="7">
        <f>F199</f>
        <v>5.0183410161721573</v>
      </c>
      <c r="O199" s="7">
        <f>H199</f>
        <v>1</v>
      </c>
      <c r="P199" s="7">
        <f>D199</f>
        <v>5.6766640727390989</v>
      </c>
      <c r="R199" s="7">
        <f t="shared" ref="R199:W199" si="182">K199/$I199</f>
        <v>0.26265518801957755</v>
      </c>
      <c r="S199" s="7">
        <f t="shared" si="182"/>
        <v>0.18210512462290873</v>
      </c>
      <c r="T199" s="7">
        <f t="shared" si="182"/>
        <v>8.9301910530143636E-2</v>
      </c>
      <c r="U199" s="7">
        <f t="shared" si="182"/>
        <v>0.1999344710549876</v>
      </c>
      <c r="V199" s="7">
        <f t="shared" si="182"/>
        <v>3.9840750242097281E-2</v>
      </c>
      <c r="W199" s="7">
        <f t="shared" si="182"/>
        <v>0.22616255553028519</v>
      </c>
      <c r="X199" s="7">
        <f>SUM(R199:W199)</f>
        <v>1</v>
      </c>
    </row>
    <row r="200" spans="1:24" ht="15.75" customHeight="1" x14ac:dyDescent="0.3">
      <c r="C200" t="s">
        <v>68</v>
      </c>
      <c r="D200" t="s">
        <v>73</v>
      </c>
      <c r="E200" t="s">
        <v>69</v>
      </c>
      <c r="F200" t="s">
        <v>71</v>
      </c>
      <c r="G200" t="s">
        <v>72</v>
      </c>
      <c r="H200" t="s">
        <v>70</v>
      </c>
      <c r="K200" t="s">
        <v>68</v>
      </c>
      <c r="L200" t="s">
        <v>69</v>
      </c>
      <c r="M200" t="s">
        <v>70</v>
      </c>
      <c r="N200" t="s">
        <v>71</v>
      </c>
      <c r="O200" t="s">
        <v>72</v>
      </c>
      <c r="P200" t="s">
        <v>73</v>
      </c>
    </row>
    <row r="201" spans="1:24" ht="15.75" customHeight="1" x14ac:dyDescent="0.3">
      <c r="A201">
        <v>100</v>
      </c>
      <c r="B201" s="16" t="s">
        <v>181</v>
      </c>
      <c r="C201" s="7">
        <f>Rankings!L109</f>
        <v>4.9148356718036501</v>
      </c>
      <c r="D201" s="7">
        <f>Rankings!M109</f>
        <v>4.2319811153460556</v>
      </c>
      <c r="E201" s="7">
        <f>Rankings!N109</f>
        <v>3.4075731351943035</v>
      </c>
      <c r="F201" s="7">
        <f>Rankings!O109</f>
        <v>3.741198023817462</v>
      </c>
      <c r="G201" s="7">
        <f>Rankings!P109</f>
        <v>1.9746367445127702</v>
      </c>
      <c r="H201" s="7">
        <f>Rankings!Q109</f>
        <v>1</v>
      </c>
      <c r="I201" s="7">
        <f>Rankings!R109</f>
        <v>19.270224690674244</v>
      </c>
      <c r="K201" s="7">
        <f>C201</f>
        <v>4.9148356718036501</v>
      </c>
      <c r="L201" s="7">
        <f>E201</f>
        <v>3.4075731351943035</v>
      </c>
      <c r="M201" s="7">
        <f>H201</f>
        <v>1</v>
      </c>
      <c r="N201" s="7">
        <f t="shared" ref="N201:O201" si="183">F201</f>
        <v>3.741198023817462</v>
      </c>
      <c r="O201" s="7">
        <f t="shared" si="183"/>
        <v>1.9746367445127702</v>
      </c>
      <c r="P201" s="7">
        <f>D201</f>
        <v>4.2319811153460556</v>
      </c>
      <c r="R201" s="7">
        <f t="shared" ref="R201:W201" si="184">K201/$I201</f>
        <v>0.25504817669210506</v>
      </c>
      <c r="S201" s="7">
        <f t="shared" si="184"/>
        <v>0.17683100170821497</v>
      </c>
      <c r="T201" s="7">
        <f t="shared" si="184"/>
        <v>5.189353087740313E-2</v>
      </c>
      <c r="U201" s="7">
        <f t="shared" si="184"/>
        <v>0.19414397516745102</v>
      </c>
      <c r="V201" s="7">
        <f t="shared" si="184"/>
        <v>0.10247087287302822</v>
      </c>
      <c r="W201" s="7">
        <f t="shared" si="184"/>
        <v>0.21961244268179747</v>
      </c>
      <c r="X201" s="7">
        <f>SUM(R201:W201)</f>
        <v>0.99999999999999989</v>
      </c>
    </row>
    <row r="202" spans="1:24" ht="15.75" customHeight="1" x14ac:dyDescent="0.3">
      <c r="C202" t="s">
        <v>68</v>
      </c>
      <c r="D202" t="s">
        <v>73</v>
      </c>
      <c r="E202" t="s">
        <v>69</v>
      </c>
      <c r="F202" t="s">
        <v>72</v>
      </c>
      <c r="G202" t="s">
        <v>70</v>
      </c>
      <c r="H202" t="s">
        <v>71</v>
      </c>
      <c r="K202" t="s">
        <v>68</v>
      </c>
      <c r="L202" t="s">
        <v>69</v>
      </c>
      <c r="M202" t="s">
        <v>70</v>
      </c>
      <c r="N202" t="s">
        <v>71</v>
      </c>
      <c r="O202" t="s">
        <v>72</v>
      </c>
      <c r="P202" t="s">
        <v>73</v>
      </c>
    </row>
    <row r="203" spans="1:24" ht="15.75" customHeight="1" x14ac:dyDescent="0.3">
      <c r="A203">
        <v>101</v>
      </c>
      <c r="B203" s="16" t="s">
        <v>182</v>
      </c>
      <c r="C203" s="7">
        <f>Rankings!L110</f>
        <v>7.3473729332947864</v>
      </c>
      <c r="D203" s="7">
        <f>Rankings!M110</f>
        <v>6.3265479412656367</v>
      </c>
      <c r="E203" s="7">
        <f>Rankings!N110</f>
        <v>5.0941094054038007</v>
      </c>
      <c r="F203" s="7">
        <f>Rankings!O110</f>
        <v>2.8313598671622078</v>
      </c>
      <c r="G203" s="7">
        <f>Rankings!P110</f>
        <v>1.4338636587362954</v>
      </c>
      <c r="H203" s="7">
        <f>Rankings!Q110</f>
        <v>1</v>
      </c>
      <c r="I203" s="7">
        <f>Rankings!R110</f>
        <v>24.033253805862724</v>
      </c>
      <c r="K203" s="7">
        <f>C203</f>
        <v>7.3473729332947864</v>
      </c>
      <c r="L203" s="7">
        <f>E203</f>
        <v>5.0941094054038007</v>
      </c>
      <c r="M203" s="7">
        <f t="shared" ref="M203:N203" si="185">G203</f>
        <v>1.4338636587362954</v>
      </c>
      <c r="N203" s="7">
        <f t="shared" si="185"/>
        <v>1</v>
      </c>
      <c r="O203" s="7">
        <f>F203</f>
        <v>2.8313598671622078</v>
      </c>
      <c r="P203" s="7">
        <f>D203</f>
        <v>6.3265479412656367</v>
      </c>
      <c r="R203" s="7">
        <f t="shared" ref="R203:W203" si="186">K203/$I203</f>
        <v>0.30571694505645558</v>
      </c>
      <c r="S203" s="7">
        <f t="shared" si="186"/>
        <v>0.21196087082312312</v>
      </c>
      <c r="T203" s="7">
        <f t="shared" si="186"/>
        <v>5.9661653404022873E-2</v>
      </c>
      <c r="U203" s="7">
        <f t="shared" si="186"/>
        <v>4.1609014246587694E-2</v>
      </c>
      <c r="V203" s="7">
        <f t="shared" si="186"/>
        <v>0.11781009304996894</v>
      </c>
      <c r="W203" s="7">
        <f t="shared" si="186"/>
        <v>0.26324142341984191</v>
      </c>
      <c r="X203" s="7">
        <f>SUM(R203:W203)</f>
        <v>1</v>
      </c>
    </row>
    <row r="204" spans="1:24" ht="15.75" customHeight="1" x14ac:dyDescent="0.3">
      <c r="C204" t="s">
        <v>68</v>
      </c>
      <c r="D204" t="s">
        <v>73</v>
      </c>
      <c r="E204" t="s">
        <v>69</v>
      </c>
      <c r="F204" t="s">
        <v>72</v>
      </c>
      <c r="G204" t="s">
        <v>71</v>
      </c>
      <c r="H204" t="s">
        <v>70</v>
      </c>
      <c r="K204" t="s">
        <v>68</v>
      </c>
      <c r="L204" t="s">
        <v>69</v>
      </c>
      <c r="M204" t="s">
        <v>70</v>
      </c>
      <c r="N204" t="s">
        <v>71</v>
      </c>
      <c r="O204" t="s">
        <v>72</v>
      </c>
      <c r="P204" t="s">
        <v>73</v>
      </c>
    </row>
    <row r="205" spans="1:24" ht="15.75" customHeight="1" x14ac:dyDescent="0.3">
      <c r="A205">
        <v>102</v>
      </c>
      <c r="B205" s="16" t="s">
        <v>183</v>
      </c>
      <c r="C205" s="7">
        <f>Rankings!L111</f>
        <v>7.2855743544596967</v>
      </c>
      <c r="D205" s="7">
        <f>Rankings!M111</f>
        <v>6.2733354971374</v>
      </c>
      <c r="E205" s="7">
        <f>Rankings!N111</f>
        <v>5.0512629724620552</v>
      </c>
      <c r="F205" s="7">
        <f>Rankings!O111</f>
        <v>2.8075453667210462</v>
      </c>
      <c r="G205" s="7">
        <f>Rankings!P111</f>
        <v>2.2388599512381115</v>
      </c>
      <c r="H205" s="7">
        <f>Rankings!Q111</f>
        <v>1</v>
      </c>
      <c r="I205" s="7">
        <f>Rankings!R111</f>
        <v>24.656578142018311</v>
      </c>
      <c r="K205" s="7">
        <f>C205</f>
        <v>7.2855743544596967</v>
      </c>
      <c r="L205" s="7">
        <f>E205</f>
        <v>5.0512629724620552</v>
      </c>
      <c r="M205" s="7">
        <f>H205</f>
        <v>1</v>
      </c>
      <c r="N205" s="7">
        <f>G205</f>
        <v>2.2388599512381115</v>
      </c>
      <c r="O205" s="7">
        <f>F205</f>
        <v>2.8075453667210462</v>
      </c>
      <c r="P205" s="7">
        <f>D205</f>
        <v>6.2733354971374</v>
      </c>
      <c r="R205" s="7">
        <f t="shared" ref="R205:W205" si="187">K205/$I205</f>
        <v>0.29548197290377626</v>
      </c>
      <c r="S205" s="7">
        <f t="shared" si="187"/>
        <v>0.20486471980692186</v>
      </c>
      <c r="T205" s="7">
        <f t="shared" si="187"/>
        <v>4.0557128172455444E-2</v>
      </c>
      <c r="U205" s="7">
        <f t="shared" si="187"/>
        <v>9.0801730002541436E-2</v>
      </c>
      <c r="V205" s="7">
        <f t="shared" si="187"/>
        <v>0.11386597728808889</v>
      </c>
      <c r="W205" s="7">
        <f t="shared" si="187"/>
        <v>0.25442847182621603</v>
      </c>
      <c r="X205" s="7">
        <f>SUM(R205:W205)</f>
        <v>1</v>
      </c>
    </row>
    <row r="206" spans="1:24" ht="15.75" customHeight="1" x14ac:dyDescent="0.3">
      <c r="C206" t="s">
        <v>68</v>
      </c>
      <c r="D206" t="s">
        <v>73</v>
      </c>
      <c r="E206" t="s">
        <v>70</v>
      </c>
      <c r="F206" t="s">
        <v>69</v>
      </c>
      <c r="G206" t="s">
        <v>71</v>
      </c>
      <c r="H206" t="s">
        <v>72</v>
      </c>
      <c r="K206" t="s">
        <v>68</v>
      </c>
      <c r="L206" t="s">
        <v>69</v>
      </c>
      <c r="M206" t="s">
        <v>70</v>
      </c>
      <c r="N206" t="s">
        <v>71</v>
      </c>
      <c r="O206" t="s">
        <v>72</v>
      </c>
      <c r="P206" t="s">
        <v>73</v>
      </c>
    </row>
    <row r="207" spans="1:24" ht="15.75" customHeight="1" x14ac:dyDescent="0.3">
      <c r="A207">
        <v>103</v>
      </c>
      <c r="B207" s="16" t="s">
        <v>184</v>
      </c>
      <c r="C207" s="7">
        <f>Rankings!L112</f>
        <v>4.2352241423336601</v>
      </c>
      <c r="D207" s="7">
        <f>Rankings!M112</f>
        <v>3.6467930540262015</v>
      </c>
      <c r="E207" s="7">
        <f>Rankings!N112</f>
        <v>2.5988305013174697</v>
      </c>
      <c r="F207" s="7">
        <f>Rankings!O112</f>
        <v>1.7256708833477632</v>
      </c>
      <c r="G207" s="7">
        <f>Rankings!P112</f>
        <v>1.89462595295753</v>
      </c>
      <c r="H207" s="7">
        <f>Rankings!Q112</f>
        <v>1</v>
      </c>
      <c r="I207" s="7">
        <f>Rankings!R112</f>
        <v>15.101144533982623</v>
      </c>
      <c r="K207" s="7">
        <f>C207</f>
        <v>4.2352241423336601</v>
      </c>
      <c r="L207" s="7">
        <f>F207</f>
        <v>1.7256708833477632</v>
      </c>
      <c r="M207" s="7">
        <f>E207</f>
        <v>2.5988305013174697</v>
      </c>
      <c r="N207" s="7">
        <f t="shared" ref="N207:O207" si="188">G207</f>
        <v>1.89462595295753</v>
      </c>
      <c r="O207" s="7">
        <f t="shared" si="188"/>
        <v>1</v>
      </c>
      <c r="P207" s="7">
        <f>D207</f>
        <v>3.6467930540262015</v>
      </c>
      <c r="R207" s="7">
        <f t="shared" ref="R207:W207" si="189">K207/$I207</f>
        <v>0.28045716222389566</v>
      </c>
      <c r="S207" s="7">
        <f t="shared" si="189"/>
        <v>0.1142741783223402</v>
      </c>
      <c r="T207" s="7">
        <f t="shared" si="189"/>
        <v>0.17209493594801589</v>
      </c>
      <c r="U207" s="7">
        <f t="shared" si="189"/>
        <v>0.12546240774624653</v>
      </c>
      <c r="V207" s="7">
        <f t="shared" si="189"/>
        <v>6.6220146277632522E-2</v>
      </c>
      <c r="W207" s="7">
        <f t="shared" si="189"/>
        <v>0.24149116948186927</v>
      </c>
      <c r="X207" s="7">
        <f>SUM(R207:W207)</f>
        <v>1</v>
      </c>
    </row>
    <row r="208" spans="1:24" ht="15.75" customHeight="1" x14ac:dyDescent="0.3">
      <c r="C208" t="s">
        <v>68</v>
      </c>
      <c r="D208" t="s">
        <v>73</v>
      </c>
      <c r="E208" t="s">
        <v>70</v>
      </c>
      <c r="F208" t="s">
        <v>69</v>
      </c>
      <c r="G208" t="s">
        <v>72</v>
      </c>
      <c r="H208" t="s">
        <v>71</v>
      </c>
      <c r="K208" t="s">
        <v>68</v>
      </c>
      <c r="L208" t="s">
        <v>69</v>
      </c>
      <c r="M208" t="s">
        <v>70</v>
      </c>
      <c r="N208" t="s">
        <v>71</v>
      </c>
      <c r="O208" t="s">
        <v>72</v>
      </c>
      <c r="P208" t="s">
        <v>73</v>
      </c>
    </row>
    <row r="209" spans="1:24" ht="15.75" customHeight="1" x14ac:dyDescent="0.3">
      <c r="A209">
        <v>104</v>
      </c>
      <c r="B209" s="16" t="s">
        <v>185</v>
      </c>
      <c r="C209" s="7">
        <f>Rankings!L113</f>
        <v>5.5372161791355348</v>
      </c>
      <c r="D209" s="7">
        <f>Rankings!M113</f>
        <v>4.767889684720755</v>
      </c>
      <c r="E209" s="7">
        <f>Rankings!N113</f>
        <v>3.397762624859987</v>
      </c>
      <c r="F209" s="7">
        <f>Rankings!O113</f>
        <v>2.2561763944496205</v>
      </c>
      <c r="G209" s="7">
        <f>Rankings!P113</f>
        <v>1.25400669441983</v>
      </c>
      <c r="H209" s="7">
        <f>Rankings!Q113</f>
        <v>1</v>
      </c>
      <c r="I209" s="7">
        <f>Rankings!R113</f>
        <v>18.213051577585727</v>
      </c>
      <c r="K209" s="7">
        <f>C209</f>
        <v>5.5372161791355348</v>
      </c>
      <c r="L209" s="7">
        <f>F209</f>
        <v>2.2561763944496205</v>
      </c>
      <c r="M209" s="7">
        <f>E209</f>
        <v>3.397762624859987</v>
      </c>
      <c r="N209" s="7">
        <f>H209</f>
        <v>1</v>
      </c>
      <c r="O209" s="7">
        <f>G209</f>
        <v>1.25400669441983</v>
      </c>
      <c r="P209" s="7">
        <f>D209</f>
        <v>4.767889684720755</v>
      </c>
      <c r="R209" s="7">
        <f t="shared" ref="R209:W209" si="190">K209/$I209</f>
        <v>0.30402462517319317</v>
      </c>
      <c r="S209" s="7">
        <f t="shared" si="190"/>
        <v>0.12387690139889744</v>
      </c>
      <c r="T209" s="7">
        <f t="shared" si="190"/>
        <v>0.18655647080259272</v>
      </c>
      <c r="U209" s="7">
        <f t="shared" si="190"/>
        <v>5.4905681002445021E-2</v>
      </c>
      <c r="V209" s="7">
        <f t="shared" si="190"/>
        <v>6.8852091538745747E-2</v>
      </c>
      <c r="W209" s="7">
        <f t="shared" si="190"/>
        <v>0.26178423008412594</v>
      </c>
      <c r="X209" s="7">
        <f>SUM(R209:W209)</f>
        <v>1</v>
      </c>
    </row>
    <row r="210" spans="1:24" ht="15.75" customHeight="1" x14ac:dyDescent="0.3">
      <c r="C210" t="s">
        <v>68</v>
      </c>
      <c r="D210" t="s">
        <v>73</v>
      </c>
      <c r="E210" t="s">
        <v>70</v>
      </c>
      <c r="F210" t="s">
        <v>71</v>
      </c>
      <c r="G210" t="s">
        <v>69</v>
      </c>
      <c r="H210" t="s">
        <v>72</v>
      </c>
      <c r="K210" t="s">
        <v>68</v>
      </c>
      <c r="L210" t="s">
        <v>69</v>
      </c>
      <c r="M210" t="s">
        <v>70</v>
      </c>
      <c r="N210" t="s">
        <v>71</v>
      </c>
      <c r="O210" t="s">
        <v>72</v>
      </c>
      <c r="P210" t="s">
        <v>73</v>
      </c>
    </row>
    <row r="211" spans="1:24" ht="15.75" customHeight="1" x14ac:dyDescent="0.3">
      <c r="A211">
        <v>105</v>
      </c>
      <c r="B211" s="16" t="s">
        <v>186</v>
      </c>
      <c r="C211" s="7">
        <f>Rankings!L114</f>
        <v>6.0440537669645549</v>
      </c>
      <c r="D211" s="7">
        <f>Rankings!M114</f>
        <v>5.2043085689868933</v>
      </c>
      <c r="E211" s="7">
        <f>Rankings!N114</f>
        <v>3.708769773052726</v>
      </c>
      <c r="F211" s="7">
        <f>Rankings!O114</f>
        <v>2.5865567834541325</v>
      </c>
      <c r="G211" s="7">
        <f>Rankings!P114</f>
        <v>1.7991741228251155</v>
      </c>
      <c r="H211" s="7">
        <f>Rankings!Q114</f>
        <v>1</v>
      </c>
      <c r="I211" s="7">
        <f>Rankings!R114</f>
        <v>20.34286301528342</v>
      </c>
      <c r="K211" s="7">
        <f>C211</f>
        <v>6.0440537669645549</v>
      </c>
      <c r="L211" s="7">
        <f>G211</f>
        <v>1.7991741228251155</v>
      </c>
      <c r="M211" s="7">
        <f t="shared" ref="M211:N211" si="191">E211</f>
        <v>3.708769773052726</v>
      </c>
      <c r="N211" s="7">
        <f t="shared" si="191"/>
        <v>2.5865567834541325</v>
      </c>
      <c r="O211" s="7">
        <f>H211</f>
        <v>1</v>
      </c>
      <c r="P211" s="7">
        <f>D211</f>
        <v>5.2043085689868933</v>
      </c>
      <c r="R211" s="7">
        <f t="shared" ref="R211:W211" si="192">K211/$I211</f>
        <v>0.297109298844696</v>
      </c>
      <c r="S211" s="7">
        <f t="shared" si="192"/>
        <v>8.8442522641646426E-2</v>
      </c>
      <c r="T211" s="7">
        <f t="shared" si="192"/>
        <v>0.18231306823756119</v>
      </c>
      <c r="U211" s="7">
        <f t="shared" si="192"/>
        <v>0.12714811978583715</v>
      </c>
      <c r="V211" s="7">
        <f t="shared" si="192"/>
        <v>4.9157289180422073E-2</v>
      </c>
      <c r="W211" s="7">
        <f t="shared" si="192"/>
        <v>0.25582970130983729</v>
      </c>
      <c r="X211" s="7">
        <f>SUM(R211:W211)</f>
        <v>1</v>
      </c>
    </row>
    <row r="212" spans="1:24" ht="15.75" customHeight="1" x14ac:dyDescent="0.3">
      <c r="C212" t="s">
        <v>68</v>
      </c>
      <c r="D212" t="s">
        <v>73</v>
      </c>
      <c r="E212" t="s">
        <v>70</v>
      </c>
      <c r="F212" t="s">
        <v>71</v>
      </c>
      <c r="G212" t="s">
        <v>72</v>
      </c>
      <c r="H212" t="s">
        <v>69</v>
      </c>
      <c r="K212" t="s">
        <v>68</v>
      </c>
      <c r="L212" t="s">
        <v>69</v>
      </c>
      <c r="M212" t="s">
        <v>70</v>
      </c>
      <c r="N212" t="s">
        <v>71</v>
      </c>
      <c r="O212" t="s">
        <v>72</v>
      </c>
      <c r="P212" t="s">
        <v>73</v>
      </c>
    </row>
    <row r="213" spans="1:24" ht="15.75" customHeight="1" x14ac:dyDescent="0.3">
      <c r="A213">
        <v>106</v>
      </c>
      <c r="B213" s="16" t="s">
        <v>187</v>
      </c>
      <c r="C213" s="7">
        <f>Rankings!L115</f>
        <v>8.0766451254533855</v>
      </c>
      <c r="D213" s="7">
        <f>Rankings!M115</f>
        <v>6.9544969412430078</v>
      </c>
      <c r="E213" s="7">
        <f>Rankings!N115</f>
        <v>4.9560143678203694</v>
      </c>
      <c r="F213" s="7">
        <f>Rankings!O115</f>
        <v>3.4564055917200975</v>
      </c>
      <c r="G213" s="7">
        <f>Rankings!P115</f>
        <v>1.8243208303594776</v>
      </c>
      <c r="H213" s="7">
        <f>Rankings!Q115</f>
        <v>1</v>
      </c>
      <c r="I213" s="7">
        <f>Rankings!R115</f>
        <v>26.267882856596341</v>
      </c>
      <c r="K213" s="7">
        <f>C213</f>
        <v>8.0766451254533855</v>
      </c>
      <c r="L213" s="7">
        <f>H213</f>
        <v>1</v>
      </c>
      <c r="M213" s="7">
        <f t="shared" ref="M213:O213" si="193">E213</f>
        <v>4.9560143678203694</v>
      </c>
      <c r="N213" s="7">
        <f t="shared" si="193"/>
        <v>3.4564055917200975</v>
      </c>
      <c r="O213" s="7">
        <f t="shared" si="193"/>
        <v>1.8243208303594776</v>
      </c>
      <c r="P213" s="7">
        <f>D213</f>
        <v>6.9544969412430078</v>
      </c>
      <c r="R213" s="7">
        <f t="shared" ref="R213:W213" si="194">K213/$I213</f>
        <v>0.30747225307597237</v>
      </c>
      <c r="S213" s="7">
        <f t="shared" si="194"/>
        <v>3.8069303318401311E-2</v>
      </c>
      <c r="T213" s="7">
        <f t="shared" si="194"/>
        <v>0.18867201421890856</v>
      </c>
      <c r="U213" s="7">
        <f t="shared" si="194"/>
        <v>0.13158295286261076</v>
      </c>
      <c r="V213" s="7">
        <f t="shared" si="194"/>
        <v>6.9450623041032694E-2</v>
      </c>
      <c r="W213" s="7">
        <f t="shared" si="194"/>
        <v>0.2647528534830742</v>
      </c>
      <c r="X213" s="7">
        <f>SUM(R213:W213)</f>
        <v>0.99999999999999989</v>
      </c>
    </row>
    <row r="214" spans="1:24" ht="15.75" customHeight="1" x14ac:dyDescent="0.3">
      <c r="C214" t="s">
        <v>68</v>
      </c>
      <c r="D214" t="s">
        <v>73</v>
      </c>
      <c r="E214" t="s">
        <v>70</v>
      </c>
      <c r="F214" t="s">
        <v>72</v>
      </c>
      <c r="G214" t="s">
        <v>69</v>
      </c>
      <c r="H214" t="s">
        <v>71</v>
      </c>
      <c r="K214" t="s">
        <v>68</v>
      </c>
      <c r="L214" t="s">
        <v>69</v>
      </c>
      <c r="M214" t="s">
        <v>70</v>
      </c>
      <c r="N214" t="s">
        <v>71</v>
      </c>
      <c r="O214" t="s">
        <v>72</v>
      </c>
      <c r="P214" t="s">
        <v>73</v>
      </c>
    </row>
    <row r="215" spans="1:24" ht="15.75" customHeight="1" x14ac:dyDescent="0.3">
      <c r="A215">
        <v>107</v>
      </c>
      <c r="B215" s="16" t="s">
        <v>188</v>
      </c>
      <c r="C215" s="7">
        <f>Rankings!L116</f>
        <v>6.0697023310747928</v>
      </c>
      <c r="D215" s="7">
        <f>Rankings!M116</f>
        <v>5.2263935879373715</v>
      </c>
      <c r="E215" s="7">
        <f>Rankings!N116</f>
        <v>3.7245083192275117</v>
      </c>
      <c r="F215" s="7">
        <f>Rankings!O116</f>
        <v>1.6616352868606219</v>
      </c>
      <c r="G215" s="7">
        <f>Rankings!P116</f>
        <v>0.9108240498099236</v>
      </c>
      <c r="H215" s="7">
        <f>Rankings!Q116</f>
        <v>1</v>
      </c>
      <c r="I215" s="7">
        <f>Rankings!R116</f>
        <v>18.593063574910222</v>
      </c>
      <c r="K215" s="7">
        <f>C215</f>
        <v>6.0697023310747928</v>
      </c>
      <c r="L215" s="7">
        <f>G215</f>
        <v>0.9108240498099236</v>
      </c>
      <c r="M215" s="7">
        <f>E215</f>
        <v>3.7245083192275117</v>
      </c>
      <c r="N215" s="7">
        <f>H215</f>
        <v>1</v>
      </c>
      <c r="O215" s="7">
        <f>F215</f>
        <v>1.6616352868606219</v>
      </c>
      <c r="P215" s="7">
        <f>D215</f>
        <v>5.2263935879373715</v>
      </c>
      <c r="R215" s="7">
        <f t="shared" ref="R215:W215" si="195">K215/$I215</f>
        <v>0.32644982396904976</v>
      </c>
      <c r="S215" s="7">
        <f t="shared" si="195"/>
        <v>4.8987303579115613E-2</v>
      </c>
      <c r="T215" s="7">
        <f t="shared" si="195"/>
        <v>0.20031708621990746</v>
      </c>
      <c r="U215" s="7">
        <f t="shared" si="195"/>
        <v>5.3783498129346262E-2</v>
      </c>
      <c r="V215" s="7">
        <f t="shared" si="195"/>
        <v>8.9368558342523996E-2</v>
      </c>
      <c r="W215" s="7">
        <f t="shared" si="195"/>
        <v>0.28109372976005692</v>
      </c>
      <c r="X215" s="7">
        <f>SUM(R215:W215)</f>
        <v>1</v>
      </c>
    </row>
    <row r="216" spans="1:24" ht="15.75" customHeight="1" x14ac:dyDescent="0.3">
      <c r="C216" t="s">
        <v>68</v>
      </c>
      <c r="D216" t="s">
        <v>73</v>
      </c>
      <c r="E216" t="s">
        <v>70</v>
      </c>
      <c r="F216" t="s">
        <v>72</v>
      </c>
      <c r="G216" t="s">
        <v>71</v>
      </c>
      <c r="H216" t="s">
        <v>69</v>
      </c>
      <c r="K216" t="s">
        <v>68</v>
      </c>
      <c r="L216" t="s">
        <v>69</v>
      </c>
      <c r="M216" t="s">
        <v>70</v>
      </c>
      <c r="N216" t="s">
        <v>71</v>
      </c>
      <c r="O216" t="s">
        <v>72</v>
      </c>
      <c r="P216" t="s">
        <v>73</v>
      </c>
    </row>
    <row r="217" spans="1:24" ht="15.75" customHeight="1" x14ac:dyDescent="0.3">
      <c r="A217">
        <v>108</v>
      </c>
      <c r="B217" s="16" t="s">
        <v>189</v>
      </c>
      <c r="C217" s="7">
        <f>Rankings!L117</f>
        <v>6.5853727543001881</v>
      </c>
      <c r="D217" s="7">
        <f>Rankings!M117</f>
        <v>5.6704180962952497</v>
      </c>
      <c r="E217" s="7">
        <f>Rankings!N117</f>
        <v>4.0409354974516631</v>
      </c>
      <c r="F217" s="7">
        <f>Rankings!O117</f>
        <v>1.8028046762118686</v>
      </c>
      <c r="G217" s="7">
        <f>Rankings!P117</f>
        <v>1.4376356077157479</v>
      </c>
      <c r="H217" s="7">
        <f>Rankings!Q117</f>
        <v>1</v>
      </c>
      <c r="I217" s="7">
        <f>Rankings!R117</f>
        <v>20.537166631974717</v>
      </c>
      <c r="K217" s="7">
        <f>C217</f>
        <v>6.5853727543001881</v>
      </c>
      <c r="L217" s="7">
        <f>H217</f>
        <v>1</v>
      </c>
      <c r="M217" s="7">
        <f>E217</f>
        <v>4.0409354974516631</v>
      </c>
      <c r="N217" s="7">
        <f>G217</f>
        <v>1.4376356077157479</v>
      </c>
      <c r="O217" s="7">
        <f>F217</f>
        <v>1.8028046762118686</v>
      </c>
      <c r="P217" s="7">
        <f>D217</f>
        <v>5.6704180962952497</v>
      </c>
      <c r="R217" s="7">
        <f t="shared" ref="R217:W217" si="196">K217/$I217</f>
        <v>0.3206563433169643</v>
      </c>
      <c r="S217" s="7">
        <f t="shared" si="196"/>
        <v>4.8692208517365797E-2</v>
      </c>
      <c r="T217" s="7">
        <f t="shared" si="196"/>
        <v>0.19676207384714167</v>
      </c>
      <c r="U217" s="7">
        <f t="shared" si="196"/>
        <v>7.0001652782885102E-2</v>
      </c>
      <c r="V217" s="7">
        <f t="shared" si="196"/>
        <v>8.778254121019044E-2</v>
      </c>
      <c r="W217" s="7">
        <f t="shared" si="196"/>
        <v>0.27610518032545273</v>
      </c>
      <c r="X217" s="7">
        <f>SUM(R217:W217)</f>
        <v>1</v>
      </c>
    </row>
    <row r="218" spans="1:24" ht="15.75" customHeight="1" x14ac:dyDescent="0.3">
      <c r="C218" t="s">
        <v>68</v>
      </c>
      <c r="D218" t="s">
        <v>73</v>
      </c>
      <c r="E218" t="s">
        <v>71</v>
      </c>
      <c r="F218" t="s">
        <v>69</v>
      </c>
      <c r="G218" t="s">
        <v>70</v>
      </c>
      <c r="H218" t="s">
        <v>72</v>
      </c>
      <c r="K218" t="s">
        <v>68</v>
      </c>
      <c r="L218" t="s">
        <v>69</v>
      </c>
      <c r="M218" t="s">
        <v>70</v>
      </c>
      <c r="N218" t="s">
        <v>71</v>
      </c>
      <c r="O218" t="s">
        <v>72</v>
      </c>
      <c r="P218" t="s">
        <v>73</v>
      </c>
    </row>
    <row r="219" spans="1:24" ht="15.75" customHeight="1" x14ac:dyDescent="0.3">
      <c r="A219">
        <v>109</v>
      </c>
      <c r="B219" s="16" t="s">
        <v>190</v>
      </c>
      <c r="C219" s="7">
        <f>Rankings!L118</f>
        <v>4.5143116814717912</v>
      </c>
      <c r="D219" s="7">
        <f>Rankings!M118</f>
        <v>3.8871048923114344</v>
      </c>
      <c r="E219" s="7">
        <f>Rankings!N118</f>
        <v>4.3828906459742738</v>
      </c>
      <c r="F219" s="7">
        <f>Rankings!O118</f>
        <v>3.0486798062397931</v>
      </c>
      <c r="G219" s="7">
        <f>Rankings!P118</f>
        <v>2.2414716085286912</v>
      </c>
      <c r="H219" s="7">
        <f>Rankings!Q118</f>
        <v>1</v>
      </c>
      <c r="I219" s="7">
        <f>Rankings!R118</f>
        <v>19.074458634525985</v>
      </c>
      <c r="K219" s="7">
        <f>C219</f>
        <v>4.5143116814717912</v>
      </c>
      <c r="L219" s="7">
        <f t="shared" ref="L219:M219" si="197">F219</f>
        <v>3.0486798062397931</v>
      </c>
      <c r="M219" s="7">
        <f t="shared" si="197"/>
        <v>2.2414716085286912</v>
      </c>
      <c r="N219" s="7">
        <f>E219</f>
        <v>4.3828906459742738</v>
      </c>
      <c r="O219" s="7">
        <f>H219</f>
        <v>1</v>
      </c>
      <c r="P219" s="7">
        <f>D219</f>
        <v>3.8871048923114344</v>
      </c>
      <c r="R219" s="7">
        <f t="shared" ref="R219:W219" si="198">K219/$I219</f>
        <v>0.23666787970069039</v>
      </c>
      <c r="S219" s="7">
        <f t="shared" si="198"/>
        <v>0.1598304761699233</v>
      </c>
      <c r="T219" s="7">
        <f t="shared" si="198"/>
        <v>0.11751167629321257</v>
      </c>
      <c r="U219" s="7">
        <f t="shared" si="198"/>
        <v>0.22977798374004504</v>
      </c>
      <c r="V219" s="7">
        <f t="shared" si="198"/>
        <v>5.2426127480752524E-2</v>
      </c>
      <c r="W219" s="7">
        <f t="shared" si="198"/>
        <v>0.20378585661537607</v>
      </c>
      <c r="X219" s="7">
        <f>SUM(R219:W219)</f>
        <v>0.99999999999999978</v>
      </c>
    </row>
    <row r="220" spans="1:24" ht="15.75" customHeight="1" x14ac:dyDescent="0.3">
      <c r="C220" t="s">
        <v>68</v>
      </c>
      <c r="D220" t="s">
        <v>73</v>
      </c>
      <c r="E220" t="s">
        <v>71</v>
      </c>
      <c r="F220" t="s">
        <v>69</v>
      </c>
      <c r="G220" t="s">
        <v>72</v>
      </c>
      <c r="H220" t="s">
        <v>70</v>
      </c>
      <c r="K220" t="s">
        <v>68</v>
      </c>
      <c r="L220" t="s">
        <v>69</v>
      </c>
      <c r="M220" t="s">
        <v>70</v>
      </c>
      <c r="N220" t="s">
        <v>71</v>
      </c>
      <c r="O220" t="s">
        <v>72</v>
      </c>
      <c r="P220" t="s">
        <v>73</v>
      </c>
    </row>
    <row r="221" spans="1:24" ht="15.75" customHeight="1" x14ac:dyDescent="0.3">
      <c r="A221">
        <v>110</v>
      </c>
      <c r="B221" s="16" t="s">
        <v>191</v>
      </c>
      <c r="C221" s="7">
        <f>Rankings!L119</f>
        <v>5.2606588250290356</v>
      </c>
      <c r="D221" s="7">
        <f>Rankings!M119</f>
        <v>4.5297564941029558</v>
      </c>
      <c r="E221" s="7">
        <f>Rankings!N119</f>
        <v>5.1075100663772908</v>
      </c>
      <c r="F221" s="7">
        <f>Rankings!O119</f>
        <v>3.5527153327070047</v>
      </c>
      <c r="G221" s="7">
        <f>Rankings!P119</f>
        <v>1.9746367445127702</v>
      </c>
      <c r="H221" s="7">
        <f>Rankings!Q119</f>
        <v>1</v>
      </c>
      <c r="I221" s="7">
        <f>Rankings!R119</f>
        <v>21.42527746272906</v>
      </c>
      <c r="K221" s="7">
        <f>C221</f>
        <v>5.2606588250290356</v>
      </c>
      <c r="L221" s="7">
        <f>F221</f>
        <v>3.5527153327070047</v>
      </c>
      <c r="M221" s="7">
        <f>H221</f>
        <v>1</v>
      </c>
      <c r="N221" s="7">
        <f>E221</f>
        <v>5.1075100663772908</v>
      </c>
      <c r="O221" s="7">
        <f>G221</f>
        <v>1.9746367445127702</v>
      </c>
      <c r="P221" s="7">
        <f>D221</f>
        <v>4.5297564941029558</v>
      </c>
      <c r="R221" s="7">
        <f t="shared" ref="R221:W221" si="199">K221/$I221</f>
        <v>0.24553515510734281</v>
      </c>
      <c r="S221" s="7">
        <f t="shared" si="199"/>
        <v>0.1658188716056177</v>
      </c>
      <c r="T221" s="7">
        <f t="shared" si="199"/>
        <v>4.667384129515139E-2</v>
      </c>
      <c r="U221" s="7">
        <f t="shared" si="199"/>
        <v>0.23838711425148182</v>
      </c>
      <c r="V221" s="7">
        <f t="shared" si="199"/>
        <v>9.2163882028963431E-2</v>
      </c>
      <c r="W221" s="7">
        <f t="shared" si="199"/>
        <v>0.21142113571144272</v>
      </c>
      <c r="X221" s="7">
        <f>SUM(R221:W221)</f>
        <v>0.99999999999999989</v>
      </c>
    </row>
    <row r="222" spans="1:24" ht="15.75" customHeight="1" x14ac:dyDescent="0.3">
      <c r="C222" t="s">
        <v>68</v>
      </c>
      <c r="D222" t="s">
        <v>73</v>
      </c>
      <c r="E222" t="s">
        <v>71</v>
      </c>
      <c r="F222" t="s">
        <v>70</v>
      </c>
      <c r="G222" t="s">
        <v>69</v>
      </c>
      <c r="H222" t="s">
        <v>72</v>
      </c>
      <c r="K222" t="s">
        <v>68</v>
      </c>
      <c r="L222" t="s">
        <v>69</v>
      </c>
      <c r="M222" t="s">
        <v>70</v>
      </c>
      <c r="N222" t="s">
        <v>71</v>
      </c>
      <c r="O222" t="s">
        <v>72</v>
      </c>
      <c r="P222" t="s">
        <v>73</v>
      </c>
    </row>
    <row r="223" spans="1:24" ht="15.75" customHeight="1" x14ac:dyDescent="0.3">
      <c r="A223">
        <v>111</v>
      </c>
      <c r="B223" s="16" t="s">
        <v>192</v>
      </c>
      <c r="C223" s="7">
        <f>Rankings!L120</f>
        <v>6.2481437586650133</v>
      </c>
      <c r="D223" s="7">
        <f>Rankings!M120</f>
        <v>5.3800428251009951</v>
      </c>
      <c r="E223" s="7">
        <f>Rankings!N120</f>
        <v>6.0662472524775177</v>
      </c>
      <c r="F223" s="7">
        <f>Rankings!O120</f>
        <v>2.709525108581635</v>
      </c>
      <c r="G223" s="7">
        <f>Rankings!P120</f>
        <v>1.7991741228251155</v>
      </c>
      <c r="H223" s="7">
        <f>Rankings!Q120</f>
        <v>1</v>
      </c>
      <c r="I223" s="7">
        <f>Rankings!R120</f>
        <v>23.203133067650274</v>
      </c>
      <c r="K223" s="7">
        <f>C223</f>
        <v>6.2481437586650133</v>
      </c>
      <c r="L223" s="7">
        <f>G223</f>
        <v>1.7991741228251155</v>
      </c>
      <c r="M223" s="7">
        <f>F223</f>
        <v>2.709525108581635</v>
      </c>
      <c r="N223" s="7">
        <f>E223</f>
        <v>6.0662472524775177</v>
      </c>
      <c r="O223" s="7">
        <f>H223</f>
        <v>1</v>
      </c>
      <c r="P223" s="7">
        <f>D223</f>
        <v>5.3800428251009951</v>
      </c>
      <c r="R223" s="7">
        <f t="shared" ref="R223:W223" si="200">K223/$I223</f>
        <v>0.26928017610587912</v>
      </c>
      <c r="S223" s="7">
        <f t="shared" si="200"/>
        <v>7.7540137255581135E-2</v>
      </c>
      <c r="T223" s="7">
        <f t="shared" si="200"/>
        <v>0.11677410549178142</v>
      </c>
      <c r="U223" s="7">
        <f t="shared" si="200"/>
        <v>0.26144086812720385</v>
      </c>
      <c r="V223" s="7">
        <f t="shared" si="200"/>
        <v>4.3097628112739504E-2</v>
      </c>
      <c r="W223" s="7">
        <f t="shared" si="200"/>
        <v>0.2318670849068151</v>
      </c>
      <c r="X223" s="7">
        <f>SUM(R223:W223)</f>
        <v>1.0000000000000002</v>
      </c>
    </row>
    <row r="224" spans="1:24" ht="15.75" customHeight="1" x14ac:dyDescent="0.3">
      <c r="C224" t="s">
        <v>68</v>
      </c>
      <c r="D224" t="s">
        <v>73</v>
      </c>
      <c r="E224" t="s">
        <v>71</v>
      </c>
      <c r="F224" t="s">
        <v>70</v>
      </c>
      <c r="G224" t="s">
        <v>72</v>
      </c>
      <c r="H224" t="s">
        <v>69</v>
      </c>
      <c r="K224" t="s">
        <v>68</v>
      </c>
      <c r="L224" t="s">
        <v>69</v>
      </c>
      <c r="M224" t="s">
        <v>70</v>
      </c>
      <c r="N224" t="s">
        <v>71</v>
      </c>
      <c r="O224" t="s">
        <v>72</v>
      </c>
      <c r="P224" t="s">
        <v>73</v>
      </c>
    </row>
    <row r="225" spans="1:24" ht="15.75" customHeight="1" x14ac:dyDescent="0.3">
      <c r="A225">
        <v>112</v>
      </c>
      <c r="B225" s="16" t="s">
        <v>193</v>
      </c>
      <c r="C225" s="7">
        <f>Rankings!L121</f>
        <v>9.4295787694176934</v>
      </c>
      <c r="D225" s="7">
        <f>Rankings!M121</f>
        <v>8.1194574839567561</v>
      </c>
      <c r="E225" s="7">
        <f>Rankings!N121</f>
        <v>9.155064049650214</v>
      </c>
      <c r="F225" s="7">
        <f>Rankings!O121</f>
        <v>4.0891633460982559</v>
      </c>
      <c r="G225" s="7">
        <f>Rankings!P121</f>
        <v>1.8243208303594776</v>
      </c>
      <c r="H225" s="7">
        <f>Rankings!Q121</f>
        <v>1</v>
      </c>
      <c r="I225" s="7">
        <f>Rankings!R121</f>
        <v>33.617584479482396</v>
      </c>
      <c r="K225" s="7">
        <f>C225</f>
        <v>9.4295787694176934</v>
      </c>
      <c r="L225" s="7">
        <f>H225</f>
        <v>1</v>
      </c>
      <c r="M225" s="7">
        <f>F225</f>
        <v>4.0891633460982559</v>
      </c>
      <c r="N225" s="7">
        <f>E225</f>
        <v>9.155064049650214</v>
      </c>
      <c r="O225" s="7">
        <f>G225</f>
        <v>1.8243208303594776</v>
      </c>
      <c r="P225" s="7">
        <f>D225</f>
        <v>8.1194574839567561</v>
      </c>
      <c r="R225" s="7">
        <f t="shared" ref="R225:W225" si="201">K225/$I225</f>
        <v>0.28049542866986138</v>
      </c>
      <c r="S225" s="7">
        <f t="shared" si="201"/>
        <v>2.974633708767278E-2</v>
      </c>
      <c r="T225" s="7">
        <f t="shared" si="201"/>
        <v>0.12163763129959468</v>
      </c>
      <c r="U225" s="7">
        <f t="shared" si="201"/>
        <v>0.27232962128012989</v>
      </c>
      <c r="V225" s="7">
        <f t="shared" si="201"/>
        <v>5.4266862375936128E-2</v>
      </c>
      <c r="W225" s="7">
        <f t="shared" si="201"/>
        <v>0.24152411928680517</v>
      </c>
      <c r="X225" s="7">
        <f>SUM(R225:W225)</f>
        <v>1</v>
      </c>
    </row>
    <row r="226" spans="1:24" ht="15.75" customHeight="1" x14ac:dyDescent="0.3">
      <c r="C226" t="s">
        <v>68</v>
      </c>
      <c r="D226" t="s">
        <v>73</v>
      </c>
      <c r="E226" t="s">
        <v>71</v>
      </c>
      <c r="F226" t="s">
        <v>72</v>
      </c>
      <c r="G226" t="s">
        <v>69</v>
      </c>
      <c r="H226" t="s">
        <v>70</v>
      </c>
      <c r="K226" t="s">
        <v>68</v>
      </c>
      <c r="L226" t="s">
        <v>69</v>
      </c>
      <c r="M226" t="s">
        <v>70</v>
      </c>
      <c r="N226" t="s">
        <v>71</v>
      </c>
      <c r="O226" t="s">
        <v>72</v>
      </c>
      <c r="P226" t="s">
        <v>73</v>
      </c>
    </row>
    <row r="227" spans="1:24" ht="15.75" customHeight="1" x14ac:dyDescent="0.3">
      <c r="A227">
        <v>113</v>
      </c>
      <c r="B227" s="16" t="s">
        <v>194</v>
      </c>
      <c r="C227" s="7">
        <f>Rankings!L122</f>
        <v>4.8421047079667856</v>
      </c>
      <c r="D227" s="7">
        <f>Rankings!M122</f>
        <v>4.1693552035125538</v>
      </c>
      <c r="E227" s="7">
        <f>Rankings!N122</f>
        <v>4.701140933285429</v>
      </c>
      <c r="F227" s="7">
        <f>Rankings!O122</f>
        <v>2.4813029326168055</v>
      </c>
      <c r="G227" s="7">
        <f>Rankings!P122</f>
        <v>1.3601242124324544</v>
      </c>
      <c r="H227" s="7">
        <f>Rankings!Q122</f>
        <v>1</v>
      </c>
      <c r="I227" s="7">
        <f>Rankings!R122</f>
        <v>18.554027989814028</v>
      </c>
      <c r="K227" s="7">
        <f>C227</f>
        <v>4.8421047079667856</v>
      </c>
      <c r="L227" s="7">
        <f t="shared" ref="L227:M227" si="202">G227</f>
        <v>1.3601242124324544</v>
      </c>
      <c r="M227" s="7">
        <f t="shared" si="202"/>
        <v>1</v>
      </c>
      <c r="N227" s="7">
        <f t="shared" ref="N227:O227" si="203">E227</f>
        <v>4.701140933285429</v>
      </c>
      <c r="O227" s="7">
        <f t="shared" si="203"/>
        <v>2.4813029326168055</v>
      </c>
      <c r="P227" s="7">
        <f>D227</f>
        <v>4.1693552035125538</v>
      </c>
      <c r="R227" s="7">
        <f t="shared" ref="R227:W227" si="204">K227/$I227</f>
        <v>0.26097323506383907</v>
      </c>
      <c r="S227" s="7">
        <f t="shared" si="204"/>
        <v>7.3306142104514915E-2</v>
      </c>
      <c r="T227" s="7">
        <f t="shared" si="204"/>
        <v>5.3896652551617893E-2</v>
      </c>
      <c r="U227" s="7">
        <f t="shared" si="204"/>
        <v>0.25337575947747343</v>
      </c>
      <c r="V227" s="7">
        <f t="shared" si="204"/>
        <v>0.1337339220345585</v>
      </c>
      <c r="W227" s="7">
        <f t="shared" si="204"/>
        <v>0.22471428876799621</v>
      </c>
      <c r="X227" s="7">
        <f>SUM(R227:W227)</f>
        <v>1</v>
      </c>
    </row>
    <row r="228" spans="1:24" ht="15.75" customHeight="1" x14ac:dyDescent="0.3">
      <c r="C228" t="s">
        <v>68</v>
      </c>
      <c r="D228" t="s">
        <v>73</v>
      </c>
      <c r="E228" t="s">
        <v>71</v>
      </c>
      <c r="F228" t="s">
        <v>72</v>
      </c>
      <c r="G228" t="s">
        <v>70</v>
      </c>
      <c r="H228" t="s">
        <v>69</v>
      </c>
      <c r="K228" t="s">
        <v>68</v>
      </c>
      <c r="L228" t="s">
        <v>69</v>
      </c>
      <c r="M228" t="s">
        <v>70</v>
      </c>
      <c r="N228" t="s">
        <v>71</v>
      </c>
      <c r="O228" t="s">
        <v>72</v>
      </c>
      <c r="P228" t="s">
        <v>73</v>
      </c>
    </row>
    <row r="229" spans="1:24" ht="15.75" customHeight="1" x14ac:dyDescent="0.3">
      <c r="A229">
        <v>114</v>
      </c>
      <c r="B229" s="16" t="s">
        <v>195</v>
      </c>
      <c r="C229" s="7">
        <f>Rankings!L123</f>
        <v>5.803120461336329</v>
      </c>
      <c r="D229" s="7">
        <f>Rankings!M123</f>
        <v>4.9968499136902107</v>
      </c>
      <c r="E229" s="7">
        <f>Rankings!N123</f>
        <v>5.634179512204299</v>
      </c>
      <c r="F229" s="7">
        <f>Rankings!O123</f>
        <v>2.9737687818586505</v>
      </c>
      <c r="G229" s="7">
        <f>Rankings!P123</f>
        <v>1.5059827029565431</v>
      </c>
      <c r="H229" s="7">
        <f>Rankings!Q123</f>
        <v>1</v>
      </c>
      <c r="I229" s="7">
        <f>Rankings!R123</f>
        <v>21.913901372046034</v>
      </c>
      <c r="K229" s="7">
        <f>C229</f>
        <v>5.803120461336329</v>
      </c>
      <c r="L229" s="7">
        <f>H229</f>
        <v>1</v>
      </c>
      <c r="M229" s="7">
        <f>G229</f>
        <v>1.5059827029565431</v>
      </c>
      <c r="N229" s="7">
        <f t="shared" ref="N229:O229" si="205">E229</f>
        <v>5.634179512204299</v>
      </c>
      <c r="O229" s="7">
        <f t="shared" si="205"/>
        <v>2.9737687818586505</v>
      </c>
      <c r="P229" s="7">
        <f>D229</f>
        <v>4.9968499136902107</v>
      </c>
      <c r="R229" s="7">
        <f t="shared" ref="R229:W229" si="206">K229/$I229</f>
        <v>0.26481457421994908</v>
      </c>
      <c r="S229" s="7">
        <f t="shared" si="206"/>
        <v>4.563313410160854E-2</v>
      </c>
      <c r="T229" s="7">
        <f t="shared" si="206"/>
        <v>6.8722710638718834E-2</v>
      </c>
      <c r="U229" s="7">
        <f t="shared" si="206"/>
        <v>0.25710526923295418</v>
      </c>
      <c r="V229" s="7">
        <f t="shared" si="206"/>
        <v>0.13570238960973285</v>
      </c>
      <c r="W229" s="7">
        <f t="shared" si="206"/>
        <v>0.22802192219703643</v>
      </c>
      <c r="X229" s="7">
        <f>SUM(R229:W229)</f>
        <v>0.99999999999999989</v>
      </c>
    </row>
    <row r="230" spans="1:24" ht="15.75" customHeight="1" x14ac:dyDescent="0.3">
      <c r="C230" t="s">
        <v>68</v>
      </c>
      <c r="D230" t="s">
        <v>73</v>
      </c>
      <c r="E230" t="s">
        <v>72</v>
      </c>
      <c r="F230" t="s">
        <v>69</v>
      </c>
      <c r="G230" t="s">
        <v>70</v>
      </c>
      <c r="H230" t="s">
        <v>71</v>
      </c>
      <c r="K230" t="s">
        <v>68</v>
      </c>
      <c r="L230" t="s">
        <v>69</v>
      </c>
      <c r="M230" t="s">
        <v>70</v>
      </c>
      <c r="N230" t="s">
        <v>71</v>
      </c>
      <c r="O230" t="s">
        <v>72</v>
      </c>
      <c r="P230" t="s">
        <v>73</v>
      </c>
    </row>
    <row r="231" spans="1:24" ht="15.75" customHeight="1" x14ac:dyDescent="0.3">
      <c r="A231">
        <v>115</v>
      </c>
      <c r="B231" s="16" t="s">
        <v>196</v>
      </c>
      <c r="C231" s="7">
        <f>Rankings!L124</f>
        <v>5.0684387622473883</v>
      </c>
      <c r="D231" s="7">
        <f>Rankings!M124</f>
        <v>4.364242989684195</v>
      </c>
      <c r="E231" s="7">
        <f>Rankings!N124</f>
        <v>3.5578501013950321</v>
      </c>
      <c r="F231" s="7">
        <f>Rankings!O124</f>
        <v>1.9502326795742213</v>
      </c>
      <c r="G231" s="7">
        <f>Rankings!P124</f>
        <v>1.4338636587362954</v>
      </c>
      <c r="H231" s="7">
        <f>Rankings!Q124</f>
        <v>1</v>
      </c>
      <c r="I231" s="7">
        <f>Rankings!R124</f>
        <v>17.374628191637132</v>
      </c>
      <c r="K231" s="7">
        <f>C231</f>
        <v>5.0684387622473883</v>
      </c>
      <c r="L231" s="7">
        <f t="shared" ref="L231:N231" si="207">F231</f>
        <v>1.9502326795742213</v>
      </c>
      <c r="M231" s="7">
        <f t="shared" si="207"/>
        <v>1.4338636587362954</v>
      </c>
      <c r="N231" s="7">
        <f t="shared" si="207"/>
        <v>1</v>
      </c>
      <c r="O231" s="7">
        <f>E231</f>
        <v>3.5578501013950321</v>
      </c>
      <c r="P231" s="7">
        <f>D231</f>
        <v>4.364242989684195</v>
      </c>
      <c r="R231" s="7">
        <f t="shared" ref="R231:W231" si="208">K231/$I231</f>
        <v>0.29171494816142091</v>
      </c>
      <c r="S231" s="7">
        <f t="shared" si="208"/>
        <v>0.11224600941463138</v>
      </c>
      <c r="T231" s="7">
        <f t="shared" si="208"/>
        <v>8.2526293105164225E-2</v>
      </c>
      <c r="U231" s="7">
        <f t="shared" si="208"/>
        <v>5.7555188460454446E-2</v>
      </c>
      <c r="V231" s="7">
        <f t="shared" si="208"/>
        <v>0.20477273309983804</v>
      </c>
      <c r="W231" s="7">
        <f t="shared" si="208"/>
        <v>0.25118482775849099</v>
      </c>
      <c r="X231" s="7">
        <f>SUM(R231:W231)</f>
        <v>1</v>
      </c>
    </row>
    <row r="232" spans="1:24" ht="15.75" customHeight="1" x14ac:dyDescent="0.3">
      <c r="C232" t="s">
        <v>68</v>
      </c>
      <c r="D232" t="s">
        <v>73</v>
      </c>
      <c r="E232" t="s">
        <v>72</v>
      </c>
      <c r="F232" t="s">
        <v>69</v>
      </c>
      <c r="G232" t="s">
        <v>71</v>
      </c>
      <c r="H232" t="s">
        <v>70</v>
      </c>
      <c r="K232" t="s">
        <v>68</v>
      </c>
      <c r="L232" t="s">
        <v>69</v>
      </c>
      <c r="M232" t="s">
        <v>70</v>
      </c>
      <c r="N232" t="s">
        <v>71</v>
      </c>
      <c r="O232" t="s">
        <v>72</v>
      </c>
      <c r="P232" t="s">
        <v>73</v>
      </c>
    </row>
    <row r="233" spans="1:24" ht="15.75" customHeight="1" x14ac:dyDescent="0.3">
      <c r="A233">
        <v>116</v>
      </c>
      <c r="B233" s="16" t="s">
        <v>197</v>
      </c>
      <c r="C233" s="7">
        <f>Rankings!L125</f>
        <v>5.2996744354642935</v>
      </c>
      <c r="D233" s="7">
        <f>Rankings!M125</f>
        <v>4.563351376534726</v>
      </c>
      <c r="E233" s="7">
        <f>Rankings!N125</f>
        <v>3.7201686973162973</v>
      </c>
      <c r="F233" s="7">
        <f>Rankings!O125</f>
        <v>2.039207487743945</v>
      </c>
      <c r="G233" s="7">
        <f>Rankings!P125</f>
        <v>2.2388599512381115</v>
      </c>
      <c r="H233" s="7">
        <f>Rankings!Q125</f>
        <v>1</v>
      </c>
      <c r="I233" s="7">
        <f>Rankings!R125</f>
        <v>18.861261948297372</v>
      </c>
      <c r="K233" s="7">
        <f>C233</f>
        <v>5.2996744354642935</v>
      </c>
      <c r="L233" s="7">
        <f>F233</f>
        <v>2.039207487743945</v>
      </c>
      <c r="M233" s="7">
        <f>H233</f>
        <v>1</v>
      </c>
      <c r="N233" s="7">
        <f>G233</f>
        <v>2.2388599512381115</v>
      </c>
      <c r="O233" s="7">
        <f>E233</f>
        <v>3.7201686973162973</v>
      </c>
      <c r="P233" s="7">
        <f>D233</f>
        <v>4.563351376534726</v>
      </c>
      <c r="R233" s="7">
        <f t="shared" ref="R233:W233" si="209">K233/$I233</f>
        <v>0.28098196451498314</v>
      </c>
      <c r="S233" s="7">
        <f t="shared" si="209"/>
        <v>0.10811617448152915</v>
      </c>
      <c r="T233" s="7">
        <f t="shared" si="209"/>
        <v>5.3018721798213035E-2</v>
      </c>
      <c r="U233" s="7">
        <f t="shared" si="209"/>
        <v>0.11870149289985424</v>
      </c>
      <c r="V233" s="7">
        <f t="shared" si="209"/>
        <v>0.19723858920543338</v>
      </c>
      <c r="W233" s="7">
        <f t="shared" si="209"/>
        <v>0.24194305709998715</v>
      </c>
      <c r="X233" s="7">
        <f>SUM(R233:W233)</f>
        <v>1</v>
      </c>
    </row>
    <row r="234" spans="1:24" ht="15.75" customHeight="1" x14ac:dyDescent="0.3">
      <c r="C234" t="s">
        <v>68</v>
      </c>
      <c r="D234" t="s">
        <v>73</v>
      </c>
      <c r="E234" t="s">
        <v>72</v>
      </c>
      <c r="F234" t="s">
        <v>70</v>
      </c>
      <c r="G234" t="s">
        <v>69</v>
      </c>
      <c r="H234" t="s">
        <v>71</v>
      </c>
      <c r="K234" t="s">
        <v>68</v>
      </c>
      <c r="L234" t="s">
        <v>69</v>
      </c>
      <c r="M234" t="s">
        <v>70</v>
      </c>
      <c r="N234" t="s">
        <v>71</v>
      </c>
      <c r="O234" t="s">
        <v>72</v>
      </c>
      <c r="P234" t="s">
        <v>73</v>
      </c>
    </row>
    <row r="235" spans="1:24" ht="15.75" customHeight="1" x14ac:dyDescent="0.3">
      <c r="A235">
        <v>117</v>
      </c>
      <c r="B235" s="16" t="s">
        <v>198</v>
      </c>
      <c r="C235" s="7">
        <f>Rankings!L126</f>
        <v>3.8585865355261419</v>
      </c>
      <c r="D235" s="7">
        <f>Rankings!M126</f>
        <v>3.3224845021690417</v>
      </c>
      <c r="E235" s="7">
        <f>Rankings!N126</f>
        <v>2.7085801250908195</v>
      </c>
      <c r="F235" s="7">
        <f>Rankings!O126</f>
        <v>1.3716852644505737</v>
      </c>
      <c r="G235" s="7">
        <f>Rankings!P126</f>
        <v>0.9108240498099236</v>
      </c>
      <c r="H235" s="7">
        <f>Rankings!Q126</f>
        <v>1</v>
      </c>
      <c r="I235" s="7">
        <f>Rankings!R126</f>
        <v>13.172160477046498</v>
      </c>
      <c r="K235" s="7">
        <f>C235</f>
        <v>3.8585865355261419</v>
      </c>
      <c r="L235" s="7">
        <f>G235</f>
        <v>0.9108240498099236</v>
      </c>
      <c r="M235" s="7">
        <f>F235</f>
        <v>1.3716852644505737</v>
      </c>
      <c r="N235" s="7">
        <f>H235</f>
        <v>1</v>
      </c>
      <c r="O235" s="7">
        <f>E235</f>
        <v>2.7085801250908195</v>
      </c>
      <c r="P235" s="7">
        <f>D235</f>
        <v>3.3224845021690417</v>
      </c>
      <c r="R235" s="7">
        <f t="shared" ref="R235:W235" si="210">K235/$I235</f>
        <v>0.29293497769405602</v>
      </c>
      <c r="S235" s="7">
        <f t="shared" si="210"/>
        <v>6.9147658153505223E-2</v>
      </c>
      <c r="T235" s="7">
        <f t="shared" si="210"/>
        <v>0.10413517712913084</v>
      </c>
      <c r="U235" s="7">
        <f t="shared" si="210"/>
        <v>7.5917690324421486E-2</v>
      </c>
      <c r="V235" s="7">
        <f t="shared" si="210"/>
        <v>0.20562914715552763</v>
      </c>
      <c r="W235" s="7">
        <f t="shared" si="210"/>
        <v>0.25223534954335897</v>
      </c>
      <c r="X235" s="7">
        <f>SUM(R235:W235)</f>
        <v>1.0000000000000002</v>
      </c>
    </row>
    <row r="236" spans="1:24" ht="15.75" customHeight="1" x14ac:dyDescent="0.3">
      <c r="C236" t="s">
        <v>68</v>
      </c>
      <c r="D236" t="s">
        <v>73</v>
      </c>
      <c r="E236" t="s">
        <v>72</v>
      </c>
      <c r="F236" t="s">
        <v>70</v>
      </c>
      <c r="G236" t="s">
        <v>71</v>
      </c>
      <c r="H236" t="s">
        <v>69</v>
      </c>
      <c r="K236" t="s">
        <v>68</v>
      </c>
      <c r="L236" t="s">
        <v>69</v>
      </c>
      <c r="M236" t="s">
        <v>70</v>
      </c>
      <c r="N236" t="s">
        <v>71</v>
      </c>
      <c r="O236" t="s">
        <v>72</v>
      </c>
      <c r="P236" t="s">
        <v>73</v>
      </c>
    </row>
    <row r="237" spans="1:24" ht="15.75" customHeight="1" x14ac:dyDescent="0.3">
      <c r="A237">
        <v>118</v>
      </c>
      <c r="B237" s="16" t="s">
        <v>199</v>
      </c>
      <c r="C237" s="7">
        <f>Rankings!L127</f>
        <v>5.798697452175297</v>
      </c>
      <c r="D237" s="7">
        <f>Rankings!M127</f>
        <v>4.9930414259822955</v>
      </c>
      <c r="E237" s="7">
        <f>Rankings!N127</f>
        <v>4.0704637632897196</v>
      </c>
      <c r="F237" s="7">
        <f>Rankings!O127</f>
        <v>2.0613734524088798</v>
      </c>
      <c r="G237" s="7">
        <f>Rankings!P127</f>
        <v>1.4376356077157479</v>
      </c>
      <c r="H237" s="7">
        <f>Rankings!Q127</f>
        <v>1</v>
      </c>
      <c r="I237" s="7">
        <f>Rankings!R127</f>
        <v>19.361211701571939</v>
      </c>
      <c r="K237" s="7">
        <f>C237</f>
        <v>5.798697452175297</v>
      </c>
      <c r="L237" s="7">
        <f>H237</f>
        <v>1</v>
      </c>
      <c r="M237" s="7">
        <f t="shared" ref="M237:N237" si="211">F237</f>
        <v>2.0613734524088798</v>
      </c>
      <c r="N237" s="7">
        <f t="shared" si="211"/>
        <v>1.4376356077157479</v>
      </c>
      <c r="O237" s="7">
        <f>E237</f>
        <v>4.0704637632897196</v>
      </c>
      <c r="P237" s="7">
        <f>D237</f>
        <v>4.9930414259822955</v>
      </c>
      <c r="R237" s="7">
        <f t="shared" ref="R237:W237" si="212">K237/$I237</f>
        <v>0.29950075137624266</v>
      </c>
      <c r="S237" s="7">
        <f t="shared" si="212"/>
        <v>5.1649659918692477E-2</v>
      </c>
      <c r="T237" s="7">
        <f t="shared" si="212"/>
        <v>0.10646923778233966</v>
      </c>
      <c r="U237" s="7">
        <f t="shared" si="212"/>
        <v>7.4253390225521174E-2</v>
      </c>
      <c r="V237" s="7">
        <f t="shared" si="212"/>
        <v>0.21023806908527518</v>
      </c>
      <c r="W237" s="7">
        <f t="shared" si="212"/>
        <v>0.25788889161192891</v>
      </c>
      <c r="X237" s="7">
        <f>SUM(R237:W237)</f>
        <v>1</v>
      </c>
    </row>
    <row r="238" spans="1:24" ht="15.75" customHeight="1" x14ac:dyDescent="0.3">
      <c r="C238" t="s">
        <v>68</v>
      </c>
      <c r="D238" t="s">
        <v>73</v>
      </c>
      <c r="E238" t="s">
        <v>72</v>
      </c>
      <c r="F238" t="s">
        <v>71</v>
      </c>
      <c r="G238" t="s">
        <v>69</v>
      </c>
      <c r="H238" t="s">
        <v>70</v>
      </c>
      <c r="K238" t="s">
        <v>68</v>
      </c>
      <c r="L238" t="s">
        <v>69</v>
      </c>
      <c r="M238" t="s">
        <v>70</v>
      </c>
      <c r="N238" t="s">
        <v>71</v>
      </c>
      <c r="O238" t="s">
        <v>72</v>
      </c>
      <c r="P238" t="s">
        <v>73</v>
      </c>
    </row>
    <row r="239" spans="1:24" ht="15.75" customHeight="1" x14ac:dyDescent="0.3">
      <c r="A239">
        <v>119</v>
      </c>
      <c r="B239" s="16" t="s">
        <v>200</v>
      </c>
      <c r="C239" s="7">
        <f>Rankings!L128</f>
        <v>3.4931224091527575</v>
      </c>
      <c r="D239" s="7">
        <f>Rankings!M128</f>
        <v>3.0077970162737055</v>
      </c>
      <c r="E239" s="7">
        <f>Rankings!N128</f>
        <v>2.4520382904022138</v>
      </c>
      <c r="F239" s="7">
        <f>Rankings!O128</f>
        <v>1.9553629987092347</v>
      </c>
      <c r="G239" s="7">
        <f>Rankings!P128</f>
        <v>1.3601242124324544</v>
      </c>
      <c r="H239" s="7">
        <f>Rankings!Q128</f>
        <v>1</v>
      </c>
      <c r="I239" s="7">
        <f>Rankings!R128</f>
        <v>13.268444926970368</v>
      </c>
      <c r="K239" s="7">
        <f>C239</f>
        <v>3.4931224091527575</v>
      </c>
      <c r="L239" s="7">
        <f t="shared" ref="L239:M239" si="213">G239</f>
        <v>1.3601242124324544</v>
      </c>
      <c r="M239" s="7">
        <f t="shared" si="213"/>
        <v>1</v>
      </c>
      <c r="N239" s="7">
        <f>F239</f>
        <v>1.9553629987092347</v>
      </c>
      <c r="O239" s="7">
        <f>E239</f>
        <v>2.4520382904022138</v>
      </c>
      <c r="P239" s="7">
        <f>D239</f>
        <v>3.0077970162737055</v>
      </c>
      <c r="R239" s="7">
        <f t="shared" ref="R239:W239" si="214">K239/$I239</f>
        <v>0.26326539608665012</v>
      </c>
      <c r="S239" s="7">
        <f t="shared" si="214"/>
        <v>0.10250818539162573</v>
      </c>
      <c r="T239" s="7">
        <f t="shared" si="214"/>
        <v>7.5366782279612146E-2</v>
      </c>
      <c r="U239" s="7">
        <f t="shared" si="214"/>
        <v>0.14736941740132842</v>
      </c>
      <c r="V239" s="7">
        <f t="shared" si="214"/>
        <v>0.18480223597401602</v>
      </c>
      <c r="W239" s="7">
        <f t="shared" si="214"/>
        <v>0.22668798286676739</v>
      </c>
      <c r="X239" s="7">
        <f>SUM(R239:W239)</f>
        <v>0.99999999999999978</v>
      </c>
    </row>
    <row r="240" spans="1:24" ht="15.75" customHeight="1" x14ac:dyDescent="0.3">
      <c r="C240" t="s">
        <v>68</v>
      </c>
      <c r="D240" t="s">
        <v>73</v>
      </c>
      <c r="E240" t="s">
        <v>72</v>
      </c>
      <c r="F240" t="s">
        <v>71</v>
      </c>
      <c r="G240" t="s">
        <v>70</v>
      </c>
      <c r="H240" t="s">
        <v>69</v>
      </c>
      <c r="K240" t="s">
        <v>68</v>
      </c>
      <c r="L240" t="s">
        <v>69</v>
      </c>
      <c r="M240" t="s">
        <v>70</v>
      </c>
      <c r="N240" t="s">
        <v>71</v>
      </c>
      <c r="O240" t="s">
        <v>72</v>
      </c>
      <c r="P240" t="s">
        <v>73</v>
      </c>
    </row>
    <row r="241" spans="1:24" ht="15.75" customHeight="1" x14ac:dyDescent="0.3">
      <c r="A241">
        <v>120</v>
      </c>
      <c r="B241" s="16" t="s">
        <v>201</v>
      </c>
      <c r="C241" s="7">
        <f>Rankings!L129</f>
        <v>6.0232837613516388</v>
      </c>
      <c r="D241" s="7">
        <f>Rankings!M129</f>
        <v>5.1864242942340741</v>
      </c>
      <c r="E241" s="7">
        <f>Rankings!N129</f>
        <v>4.2281147600476805</v>
      </c>
      <c r="F241" s="7">
        <f>Rankings!O129</f>
        <v>3.3716843609067255</v>
      </c>
      <c r="G241" s="7">
        <f>Rankings!P129</f>
        <v>1.5059827029565431</v>
      </c>
      <c r="H241" s="7">
        <f>Rankings!Q129</f>
        <v>1</v>
      </c>
      <c r="I241" s="7">
        <f>Rankings!R129</f>
        <v>21.315489879496663</v>
      </c>
      <c r="K241" s="7">
        <f>C241</f>
        <v>6.0232837613516388</v>
      </c>
      <c r="L241" s="7">
        <f>H241</f>
        <v>1</v>
      </c>
      <c r="M241" s="7">
        <f>G241</f>
        <v>1.5059827029565431</v>
      </c>
      <c r="N241" s="7">
        <f>F241</f>
        <v>3.3716843609067255</v>
      </c>
      <c r="O241" s="7">
        <f>E241</f>
        <v>4.2281147600476805</v>
      </c>
      <c r="P241" s="7">
        <f>D241</f>
        <v>5.1864242942340741</v>
      </c>
      <c r="R241" s="7">
        <f t="shared" ref="R241:W241" si="215">K241/$I241</f>
        <v>0.28257777772892878</v>
      </c>
      <c r="S241" s="7">
        <f t="shared" si="215"/>
        <v>4.6914239628238541E-2</v>
      </c>
      <c r="T241" s="7">
        <f t="shared" si="215"/>
        <v>7.0652033402485659E-2</v>
      </c>
      <c r="U241" s="7">
        <f t="shared" si="215"/>
        <v>0.15818000805836246</v>
      </c>
      <c r="V241" s="7">
        <f t="shared" si="215"/>
        <v>0.19835878902856921</v>
      </c>
      <c r="W241" s="7">
        <f t="shared" si="215"/>
        <v>0.24331715215341532</v>
      </c>
      <c r="X241" s="7">
        <f>SUM(R241:W241)</f>
        <v>0.99999999999999989</v>
      </c>
    </row>
    <row r="242" spans="1:24" ht="15.75" customHeight="1" x14ac:dyDescent="0.3">
      <c r="C242" t="s">
        <v>69</v>
      </c>
      <c r="D242" t="s">
        <v>68</v>
      </c>
      <c r="E242" t="s">
        <v>70</v>
      </c>
      <c r="F242" t="s">
        <v>71</v>
      </c>
      <c r="G242" t="s">
        <v>72</v>
      </c>
      <c r="H242" t="s">
        <v>73</v>
      </c>
      <c r="K242" t="s">
        <v>68</v>
      </c>
      <c r="L242" t="s">
        <v>69</v>
      </c>
      <c r="M242" t="s">
        <v>70</v>
      </c>
      <c r="N242" t="s">
        <v>71</v>
      </c>
      <c r="O242" t="s">
        <v>72</v>
      </c>
      <c r="P242" t="s">
        <v>73</v>
      </c>
    </row>
    <row r="243" spans="1:24" ht="15.75" customHeight="1" x14ac:dyDescent="0.3">
      <c r="A243">
        <v>121</v>
      </c>
      <c r="B243" s="16" t="s">
        <v>202</v>
      </c>
      <c r="C243" s="7">
        <f>Rankings!L130</f>
        <v>6.9400205492183735</v>
      </c>
      <c r="D243" s="7">
        <f>Rankings!M130</f>
        <v>3.9793474343433797</v>
      </c>
      <c r="E243" s="7">
        <f>Rankings!N130</f>
        <v>3.5912178068324656</v>
      </c>
      <c r="F243" s="7">
        <f>Rankings!O130</f>
        <v>2.5045741168986093</v>
      </c>
      <c r="G243" s="7">
        <f>Rankings!P130</f>
        <v>1.3219359277692486</v>
      </c>
      <c r="H243" s="7">
        <f>Rankings!Q130</f>
        <v>1</v>
      </c>
      <c r="I243" s="7">
        <f>Rankings!R130</f>
        <v>19.337095835062076</v>
      </c>
      <c r="K243" s="7">
        <f>D243</f>
        <v>3.9793474343433797</v>
      </c>
      <c r="L243" s="7">
        <f>C243</f>
        <v>6.9400205492183735</v>
      </c>
      <c r="M243" s="7">
        <f t="shared" ref="M243:P243" si="216">E243</f>
        <v>3.5912178068324656</v>
      </c>
      <c r="N243" s="7">
        <f t="shared" si="216"/>
        <v>2.5045741168986093</v>
      </c>
      <c r="O243" s="7">
        <f t="shared" si="216"/>
        <v>1.3219359277692486</v>
      </c>
      <c r="P243" s="7">
        <f t="shared" si="216"/>
        <v>1</v>
      </c>
      <c r="R243" s="7">
        <f t="shared" ref="R243:W243" si="217">K243/$I243</f>
        <v>0.20578826667073841</v>
      </c>
      <c r="S243" s="7">
        <f t="shared" si="217"/>
        <v>0.35889673446385412</v>
      </c>
      <c r="T243" s="7">
        <f t="shared" si="217"/>
        <v>0.18571650249159233</v>
      </c>
      <c r="U243" s="7">
        <f t="shared" si="217"/>
        <v>0.12952173057741734</v>
      </c>
      <c r="V243" s="7">
        <f t="shared" si="217"/>
        <v>6.8362692052873347E-2</v>
      </c>
      <c r="W243" s="7">
        <f t="shared" si="217"/>
        <v>5.1714073743524464E-2</v>
      </c>
      <c r="X243" s="7">
        <f>SUM(R243:W243)</f>
        <v>1</v>
      </c>
    </row>
    <row r="244" spans="1:24" ht="15.75" customHeight="1" x14ac:dyDescent="0.3">
      <c r="C244" t="s">
        <v>69</v>
      </c>
      <c r="D244" t="s">
        <v>68</v>
      </c>
      <c r="E244" t="s">
        <v>70</v>
      </c>
      <c r="F244" t="s">
        <v>71</v>
      </c>
      <c r="G244" t="s">
        <v>73</v>
      </c>
      <c r="H244" t="s">
        <v>72</v>
      </c>
      <c r="K244" t="s">
        <v>68</v>
      </c>
      <c r="L244" t="s">
        <v>69</v>
      </c>
      <c r="M244" t="s">
        <v>70</v>
      </c>
      <c r="N244" t="s">
        <v>71</v>
      </c>
      <c r="O244" t="s">
        <v>72</v>
      </c>
      <c r="P244" t="s">
        <v>73</v>
      </c>
    </row>
    <row r="245" spans="1:24" ht="15.75" customHeight="1" x14ac:dyDescent="0.3">
      <c r="A245">
        <v>122</v>
      </c>
      <c r="B245" s="16" t="s">
        <v>203</v>
      </c>
      <c r="C245" s="7">
        <f>Rankings!L131</f>
        <v>5.0246249012064492</v>
      </c>
      <c r="D245" s="7">
        <f>Rankings!M131</f>
        <v>2.8810762255459985</v>
      </c>
      <c r="E245" s="7">
        <f>Rankings!N131</f>
        <v>2.6000675775950977</v>
      </c>
      <c r="F245" s="7">
        <f>Rankings!O131</f>
        <v>1.8133297135702644</v>
      </c>
      <c r="G245" s="7">
        <f>Rankings!P131</f>
        <v>1.2266517321719024</v>
      </c>
      <c r="H245" s="7">
        <f>Rankings!Q131</f>
        <v>1</v>
      </c>
      <c r="I245" s="7">
        <f>Rankings!R131</f>
        <v>14.545750150089711</v>
      </c>
      <c r="K245" s="7">
        <f>D245</f>
        <v>2.8810762255459985</v>
      </c>
      <c r="L245" s="7">
        <f>C245</f>
        <v>5.0246249012064492</v>
      </c>
      <c r="M245" s="7">
        <f t="shared" ref="M245:N245" si="218">E245</f>
        <v>2.6000675775950977</v>
      </c>
      <c r="N245" s="7">
        <f t="shared" si="218"/>
        <v>1.8133297135702644</v>
      </c>
      <c r="O245" s="7">
        <f>H245</f>
        <v>1</v>
      </c>
      <c r="P245" s="7">
        <f>G245</f>
        <v>1.2266517321719024</v>
      </c>
      <c r="R245" s="7">
        <f t="shared" ref="R245:W245" si="219">K245/$I245</f>
        <v>0.19806996516630182</v>
      </c>
      <c r="S245" s="7">
        <f t="shared" si="219"/>
        <v>0.34543594172593839</v>
      </c>
      <c r="T245" s="7">
        <f t="shared" si="219"/>
        <v>0.17875101323523432</v>
      </c>
      <c r="U245" s="7">
        <f t="shared" si="219"/>
        <v>0.12466388428644092</v>
      </c>
      <c r="V245" s="7">
        <f t="shared" si="219"/>
        <v>6.8748602834610942E-2</v>
      </c>
      <c r="W245" s="7">
        <f t="shared" si="219"/>
        <v>8.4330592751473671E-2</v>
      </c>
      <c r="X245" s="7">
        <f>SUM(R245:W245)</f>
        <v>1</v>
      </c>
    </row>
    <row r="246" spans="1:24" ht="15.75" customHeight="1" x14ac:dyDescent="0.3">
      <c r="C246" t="s">
        <v>69</v>
      </c>
      <c r="D246" t="s">
        <v>68</v>
      </c>
      <c r="E246" t="s">
        <v>70</v>
      </c>
      <c r="F246" t="s">
        <v>72</v>
      </c>
      <c r="G246" t="s">
        <v>71</v>
      </c>
      <c r="H246" t="s">
        <v>73</v>
      </c>
      <c r="K246" t="s">
        <v>68</v>
      </c>
      <c r="L246" t="s">
        <v>69</v>
      </c>
      <c r="M246" t="s">
        <v>70</v>
      </c>
      <c r="N246" t="s">
        <v>71</v>
      </c>
      <c r="O246" t="s">
        <v>72</v>
      </c>
      <c r="P246" t="s">
        <v>73</v>
      </c>
    </row>
    <row r="247" spans="1:24" ht="15.75" customHeight="1" x14ac:dyDescent="0.3">
      <c r="A247">
        <v>123</v>
      </c>
      <c r="B247" s="16" t="s">
        <v>204</v>
      </c>
      <c r="C247" s="7">
        <f>Rankings!L132</f>
        <v>8.0298532685746391</v>
      </c>
      <c r="D247" s="7">
        <f>Rankings!M132</f>
        <v>4.6042480387259213</v>
      </c>
      <c r="E247" s="7">
        <f>Rankings!N132</f>
        <v>4.1551681064697865</v>
      </c>
      <c r="F247" s="7">
        <f>Rankings!O132</f>
        <v>1.8537678954574186</v>
      </c>
      <c r="G247" s="7">
        <f>Rankings!P132</f>
        <v>1.478275916473532</v>
      </c>
      <c r="H247" s="7">
        <f>Rankings!Q132</f>
        <v>1</v>
      </c>
      <c r="I247" s="7">
        <f>Rankings!R132</f>
        <v>21.1213132257013</v>
      </c>
      <c r="K247" s="7">
        <f>D247</f>
        <v>4.6042480387259213</v>
      </c>
      <c r="L247" s="7">
        <f>C247</f>
        <v>8.0298532685746391</v>
      </c>
      <c r="M247" s="7">
        <f>E247</f>
        <v>4.1551681064697865</v>
      </c>
      <c r="N247" s="7">
        <f>G247</f>
        <v>1.478275916473532</v>
      </c>
      <c r="O247" s="7">
        <f>F247</f>
        <v>1.8537678954574186</v>
      </c>
      <c r="P247" s="7">
        <f>H247</f>
        <v>1</v>
      </c>
      <c r="R247" s="7">
        <f t="shared" ref="R247:W247" si="220">K247/$I247</f>
        <v>0.21799061400800018</v>
      </c>
      <c r="S247" s="7">
        <f t="shared" si="220"/>
        <v>0.38017774665656567</v>
      </c>
      <c r="T247" s="7">
        <f t="shared" si="220"/>
        <v>0.19672868169075791</v>
      </c>
      <c r="U247" s="7">
        <f t="shared" si="220"/>
        <v>6.9989772921633664E-2</v>
      </c>
      <c r="V247" s="7">
        <f t="shared" si="220"/>
        <v>8.7767643784652363E-2</v>
      </c>
      <c r="W247" s="7">
        <f t="shared" si="220"/>
        <v>4.7345540938390045E-2</v>
      </c>
      <c r="X247" s="7">
        <f>SUM(R247:W247)</f>
        <v>0.99999999999999978</v>
      </c>
    </row>
    <row r="248" spans="1:24" ht="15.75" customHeight="1" x14ac:dyDescent="0.3">
      <c r="C248" t="s">
        <v>69</v>
      </c>
      <c r="D248" t="s">
        <v>68</v>
      </c>
      <c r="E248" t="s">
        <v>70</v>
      </c>
      <c r="F248" t="s">
        <v>72</v>
      </c>
      <c r="G248" t="s">
        <v>73</v>
      </c>
      <c r="H248" t="s">
        <v>71</v>
      </c>
      <c r="K248" t="s">
        <v>68</v>
      </c>
      <c r="L248" t="s">
        <v>69</v>
      </c>
      <c r="M248" t="s">
        <v>70</v>
      </c>
      <c r="N248" t="s">
        <v>71</v>
      </c>
      <c r="O248" t="s">
        <v>72</v>
      </c>
      <c r="P248" t="s">
        <v>73</v>
      </c>
    </row>
    <row r="249" spans="1:24" ht="15.75" customHeight="1" x14ac:dyDescent="0.3">
      <c r="A249">
        <v>124</v>
      </c>
      <c r="B249" s="16" t="s">
        <v>205</v>
      </c>
      <c r="C249" s="7">
        <f>Rankings!L133</f>
        <v>5.0784161237502241</v>
      </c>
      <c r="D249" s="7">
        <f>Rankings!M133</f>
        <v>2.9119196447983913</v>
      </c>
      <c r="E249" s="7">
        <f>Rankings!N133</f>
        <v>2.6279026531370935</v>
      </c>
      <c r="F249" s="7">
        <f>Rankings!O133</f>
        <v>1.172400597508374</v>
      </c>
      <c r="G249" s="7">
        <f>Rankings!P133</f>
        <v>0.88688155974910687</v>
      </c>
      <c r="H249" s="7">
        <f>Rankings!Q133</f>
        <v>1</v>
      </c>
      <c r="I249" s="7">
        <f>Rankings!R133</f>
        <v>13.677520578943188</v>
      </c>
      <c r="K249" s="7">
        <f>D249</f>
        <v>2.9119196447983913</v>
      </c>
      <c r="L249" s="7">
        <f>C249</f>
        <v>5.0784161237502241</v>
      </c>
      <c r="M249" s="7">
        <f>E249</f>
        <v>2.6279026531370935</v>
      </c>
      <c r="N249" s="7">
        <f>H249</f>
        <v>1</v>
      </c>
      <c r="O249" s="7">
        <f t="shared" ref="O249:P249" si="221">F249</f>
        <v>1.172400597508374</v>
      </c>
      <c r="P249" s="7">
        <f t="shared" si="221"/>
        <v>0.88688155974910687</v>
      </c>
      <c r="R249" s="7">
        <f t="shared" ref="R249:W249" si="222">K249/$I249</f>
        <v>0.21289820972971876</v>
      </c>
      <c r="S249" s="7">
        <f t="shared" si="222"/>
        <v>0.37129654416814006</v>
      </c>
      <c r="T249" s="7">
        <f t="shared" si="222"/>
        <v>0.19213297015124228</v>
      </c>
      <c r="U249" s="7">
        <f t="shared" si="222"/>
        <v>7.3112666453561737E-2</v>
      </c>
      <c r="V249" s="7">
        <f t="shared" si="222"/>
        <v>8.5717333835586232E-2</v>
      </c>
      <c r="W249" s="7">
        <f t="shared" si="222"/>
        <v>6.4842275661751034E-2</v>
      </c>
      <c r="X249" s="7">
        <f>SUM(R249:W249)</f>
        <v>1</v>
      </c>
    </row>
    <row r="250" spans="1:24" ht="15.75" customHeight="1" x14ac:dyDescent="0.3">
      <c r="C250" t="s">
        <v>69</v>
      </c>
      <c r="D250" t="s">
        <v>68</v>
      </c>
      <c r="E250" t="s">
        <v>70</v>
      </c>
      <c r="F250" t="s">
        <v>73</v>
      </c>
      <c r="G250" t="s">
        <v>71</v>
      </c>
      <c r="H250" t="s">
        <v>72</v>
      </c>
      <c r="K250" t="s">
        <v>68</v>
      </c>
      <c r="L250" t="s">
        <v>69</v>
      </c>
      <c r="M250" t="s">
        <v>70</v>
      </c>
      <c r="N250" t="s">
        <v>71</v>
      </c>
      <c r="O250" t="s">
        <v>72</v>
      </c>
      <c r="P250" t="s">
        <v>73</v>
      </c>
    </row>
    <row r="251" spans="1:24" ht="15.75" customHeight="1" x14ac:dyDescent="0.3">
      <c r="A251">
        <v>125</v>
      </c>
      <c r="B251" s="16" t="s">
        <v>206</v>
      </c>
      <c r="C251" s="7">
        <f>Rankings!L134</f>
        <v>6.5416400134980606</v>
      </c>
      <c r="D251" s="7">
        <f>Rankings!M134</f>
        <v>3.7509194993728543</v>
      </c>
      <c r="E251" s="7">
        <f>Rankings!N134</f>
        <v>3.3850698187064974</v>
      </c>
      <c r="F251" s="7">
        <f>Rankings!O134</f>
        <v>1.6803088203001122</v>
      </c>
      <c r="G251" s="7">
        <f>Rankings!P134</f>
        <v>1.89462595295753</v>
      </c>
      <c r="H251" s="7">
        <f>Rankings!Q134</f>
        <v>1</v>
      </c>
      <c r="I251" s="7">
        <f>Rankings!R134</f>
        <v>18.252564104835056</v>
      </c>
      <c r="K251" s="7">
        <f>D251</f>
        <v>3.7509194993728543</v>
      </c>
      <c r="L251" s="7">
        <f>C251</f>
        <v>6.5416400134980606</v>
      </c>
      <c r="M251" s="7">
        <f>E251</f>
        <v>3.3850698187064974</v>
      </c>
      <c r="N251" s="7">
        <f t="shared" ref="N251:O251" si="223">G251</f>
        <v>1.89462595295753</v>
      </c>
      <c r="O251" s="7">
        <f t="shared" si="223"/>
        <v>1</v>
      </c>
      <c r="P251" s="7">
        <f>F251</f>
        <v>1.6803088203001122</v>
      </c>
      <c r="R251" s="7">
        <f t="shared" ref="R251:W251" si="224">K251/$I251</f>
        <v>0.20550096292384726</v>
      </c>
      <c r="S251" s="7">
        <f t="shared" si="224"/>
        <v>0.35839567394069294</v>
      </c>
      <c r="T251" s="7">
        <f t="shared" si="224"/>
        <v>0.18545722120268029</v>
      </c>
      <c r="U251" s="7">
        <f t="shared" si="224"/>
        <v>0.10380053684926649</v>
      </c>
      <c r="V251" s="7">
        <f t="shared" si="224"/>
        <v>5.4786823059840818E-2</v>
      </c>
      <c r="W251" s="7">
        <f t="shared" si="224"/>
        <v>9.2058782023672112E-2</v>
      </c>
      <c r="X251" s="7">
        <f>SUM(R251:W251)</f>
        <v>0.99999999999999989</v>
      </c>
    </row>
    <row r="252" spans="1:24" ht="15.75" customHeight="1" x14ac:dyDescent="0.3">
      <c r="C252" t="s">
        <v>69</v>
      </c>
      <c r="D252" t="s">
        <v>68</v>
      </c>
      <c r="E252" t="s">
        <v>70</v>
      </c>
      <c r="F252" t="s">
        <v>73</v>
      </c>
      <c r="G252" t="s">
        <v>72</v>
      </c>
      <c r="H252" t="s">
        <v>71</v>
      </c>
      <c r="K252" t="s">
        <v>68</v>
      </c>
      <c r="L252" t="s">
        <v>69</v>
      </c>
      <c r="M252" t="s">
        <v>70</v>
      </c>
      <c r="N252" t="s">
        <v>71</v>
      </c>
      <c r="O252" t="s">
        <v>72</v>
      </c>
      <c r="P252" t="s">
        <v>73</v>
      </c>
    </row>
    <row r="253" spans="1:24" ht="15.75" customHeight="1" x14ac:dyDescent="0.3">
      <c r="A253">
        <v>126</v>
      </c>
      <c r="B253" s="16" t="s">
        <v>207</v>
      </c>
      <c r="C253" s="7">
        <f>Rankings!L135</f>
        <v>5.9885084337045482</v>
      </c>
      <c r="D253" s="7">
        <f>Rankings!M135</f>
        <v>3.4337586614048003</v>
      </c>
      <c r="E253" s="7">
        <f>Rankings!N135</f>
        <v>3.098843579924027</v>
      </c>
      <c r="F253" s="7">
        <f>Rankings!O135</f>
        <v>1.5382294838652459</v>
      </c>
      <c r="G253" s="7">
        <f>Rankings!P135</f>
        <v>1.25400669441983</v>
      </c>
      <c r="H253" s="7">
        <f>Rankings!Q135</f>
        <v>1</v>
      </c>
      <c r="I253" s="7">
        <f>Rankings!R135</f>
        <v>16.31334685331845</v>
      </c>
      <c r="K253" s="7">
        <f>D253</f>
        <v>3.4337586614048003</v>
      </c>
      <c r="L253" s="7">
        <f>C253</f>
        <v>5.9885084337045482</v>
      </c>
      <c r="M253" s="7">
        <f>E253</f>
        <v>3.098843579924027</v>
      </c>
      <c r="N253" s="7">
        <f>H253</f>
        <v>1</v>
      </c>
      <c r="O253" s="7">
        <f>G253</f>
        <v>1.25400669441983</v>
      </c>
      <c r="P253" s="7">
        <f>F253</f>
        <v>1.5382294838652459</v>
      </c>
      <c r="R253" s="7">
        <f t="shared" ref="R253:W253" si="225">K253/$I253</f>
        <v>0.21048768792078418</v>
      </c>
      <c r="S253" s="7">
        <f t="shared" si="225"/>
        <v>0.36709257073672591</v>
      </c>
      <c r="T253" s="7">
        <f t="shared" si="225"/>
        <v>0.18995756099513464</v>
      </c>
      <c r="U253" s="7">
        <f t="shared" si="225"/>
        <v>6.1299499666837565E-2</v>
      </c>
      <c r="V253" s="7">
        <f t="shared" si="225"/>
        <v>7.6869982946800447E-2</v>
      </c>
      <c r="W253" s="7">
        <f t="shared" si="225"/>
        <v>9.4292697733717373E-2</v>
      </c>
      <c r="X253" s="7">
        <f>SUM(R253:W253)</f>
        <v>1</v>
      </c>
    </row>
    <row r="254" spans="1:24" ht="15.75" customHeight="1" x14ac:dyDescent="0.3">
      <c r="C254" t="s">
        <v>69</v>
      </c>
      <c r="D254" t="s">
        <v>68</v>
      </c>
      <c r="E254" t="s">
        <v>71</v>
      </c>
      <c r="F254" t="s">
        <v>70</v>
      </c>
      <c r="G254" t="s">
        <v>72</v>
      </c>
      <c r="H254" t="s">
        <v>73</v>
      </c>
      <c r="K254" t="s">
        <v>68</v>
      </c>
      <c r="L254" t="s">
        <v>69</v>
      </c>
      <c r="M254" t="s">
        <v>70</v>
      </c>
      <c r="N254" t="s">
        <v>71</v>
      </c>
      <c r="O254" t="s">
        <v>72</v>
      </c>
      <c r="P254" t="s">
        <v>73</v>
      </c>
    </row>
    <row r="255" spans="1:24" ht="15.75" customHeight="1" x14ac:dyDescent="0.3">
      <c r="A255">
        <v>127</v>
      </c>
      <c r="B255" s="16" t="s">
        <v>208</v>
      </c>
      <c r="C255" s="7">
        <f>Rankings!L136</f>
        <v>14.506945239048585</v>
      </c>
      <c r="D255" s="7">
        <f>Rankings!M136</f>
        <v>8.3181562515214154</v>
      </c>
      <c r="E255" s="7">
        <f>Rankings!N136</f>
        <v>6.633925287076015</v>
      </c>
      <c r="F255" s="7">
        <f>Rankings!O136</f>
        <v>2.9630818503888054</v>
      </c>
      <c r="G255" s="7">
        <f>Rankings!P136</f>
        <v>1.3219359277692486</v>
      </c>
      <c r="H255" s="7">
        <f>Rankings!Q136</f>
        <v>1</v>
      </c>
      <c r="I255" s="7">
        <f>Rankings!R136</f>
        <v>34.744044555804066</v>
      </c>
      <c r="K255" s="7">
        <f>D255</f>
        <v>8.3181562515214154</v>
      </c>
      <c r="L255" s="7">
        <f>C255</f>
        <v>14.506945239048585</v>
      </c>
      <c r="M255" s="7">
        <f>F255</f>
        <v>2.9630818503888054</v>
      </c>
      <c r="N255" s="7">
        <f>E255</f>
        <v>6.633925287076015</v>
      </c>
      <c r="O255" s="7">
        <f t="shared" ref="O255:P255" si="226">G255</f>
        <v>1.3219359277692486</v>
      </c>
      <c r="P255" s="7">
        <f t="shared" si="226"/>
        <v>1</v>
      </c>
      <c r="R255" s="7">
        <f t="shared" ref="R255:W255" si="227">K255/$I255</f>
        <v>0.23941243334987175</v>
      </c>
      <c r="S255" s="7">
        <f t="shared" si="227"/>
        <v>0.41753760750992269</v>
      </c>
      <c r="T255" s="7">
        <f t="shared" si="227"/>
        <v>8.5283158258378886E-2</v>
      </c>
      <c r="U255" s="7">
        <f t="shared" si="227"/>
        <v>0.19093704753978633</v>
      </c>
      <c r="V255" s="7">
        <f t="shared" si="227"/>
        <v>3.8047842289806656E-2</v>
      </c>
      <c r="W255" s="7">
        <f t="shared" si="227"/>
        <v>2.878191105223378E-2</v>
      </c>
      <c r="X255" s="7">
        <f>SUM(R255:W255)</f>
        <v>1</v>
      </c>
    </row>
    <row r="256" spans="1:24" ht="15.75" customHeight="1" x14ac:dyDescent="0.3">
      <c r="C256" t="s">
        <v>69</v>
      </c>
      <c r="D256" t="s">
        <v>68</v>
      </c>
      <c r="E256" t="s">
        <v>71</v>
      </c>
      <c r="F256" t="s">
        <v>70</v>
      </c>
      <c r="G256" t="s">
        <v>73</v>
      </c>
      <c r="H256" t="s">
        <v>72</v>
      </c>
      <c r="K256" t="s">
        <v>68</v>
      </c>
      <c r="L256" t="s">
        <v>69</v>
      </c>
      <c r="M256" t="s">
        <v>70</v>
      </c>
      <c r="N256" t="s">
        <v>71</v>
      </c>
      <c r="O256" t="s">
        <v>72</v>
      </c>
      <c r="P256" t="s">
        <v>73</v>
      </c>
    </row>
    <row r="257" spans="1:24" ht="15.75" customHeight="1" x14ac:dyDescent="0.3">
      <c r="A257">
        <v>128</v>
      </c>
      <c r="B257" s="16" t="s">
        <v>209</v>
      </c>
      <c r="C257" s="7">
        <f>Rankings!L137</f>
        <v>12.098516561879821</v>
      </c>
      <c r="D257" s="7">
        <f>Rankings!M137</f>
        <v>6.9371841910899876</v>
      </c>
      <c r="E257" s="7">
        <f>Rankings!N137</f>
        <v>5.5325675828653136</v>
      </c>
      <c r="F257" s="7">
        <f>Rankings!O137</f>
        <v>2.471153936987327</v>
      </c>
      <c r="G257" s="7">
        <f>Rankings!P137</f>
        <v>1.2266517321719024</v>
      </c>
      <c r="H257" s="7">
        <f>Rankings!Q137</f>
        <v>1</v>
      </c>
      <c r="I257" s="7">
        <f>Rankings!R137</f>
        <v>29.266074004994351</v>
      </c>
      <c r="K257" s="7">
        <f>D257</f>
        <v>6.9371841910899876</v>
      </c>
      <c r="L257" s="7">
        <f>C257</f>
        <v>12.098516561879821</v>
      </c>
      <c r="M257" s="7">
        <f>F257</f>
        <v>2.471153936987327</v>
      </c>
      <c r="N257" s="7">
        <f>E257</f>
        <v>5.5325675828653136</v>
      </c>
      <c r="O257" s="7">
        <f>H257</f>
        <v>1</v>
      </c>
      <c r="P257" s="7">
        <f>G257</f>
        <v>1.2266517321719024</v>
      </c>
      <c r="R257" s="7">
        <f t="shared" ref="R257:W257" si="228">K257/$I257</f>
        <v>0.23703842851986687</v>
      </c>
      <c r="S257" s="7">
        <f t="shared" si="228"/>
        <v>0.4133973200441976</v>
      </c>
      <c r="T257" s="7">
        <f t="shared" si="228"/>
        <v>8.4437493616862189E-2</v>
      </c>
      <c r="U257" s="7">
        <f t="shared" si="228"/>
        <v>0.18904372284171642</v>
      </c>
      <c r="V257" s="7">
        <f t="shared" si="228"/>
        <v>3.4169256861352387E-2</v>
      </c>
      <c r="W257" s="7">
        <f t="shared" si="228"/>
        <v>4.1913778116004566E-2</v>
      </c>
      <c r="X257" s="7">
        <f>SUM(R257:W257)</f>
        <v>1</v>
      </c>
    </row>
    <row r="258" spans="1:24" ht="15.75" customHeight="1" x14ac:dyDescent="0.3">
      <c r="C258" t="s">
        <v>69</v>
      </c>
      <c r="D258" t="s">
        <v>68</v>
      </c>
      <c r="E258" t="s">
        <v>71</v>
      </c>
      <c r="F258" t="s">
        <v>72</v>
      </c>
      <c r="G258" t="s">
        <v>70</v>
      </c>
      <c r="H258" t="s">
        <v>73</v>
      </c>
      <c r="K258" t="s">
        <v>68</v>
      </c>
      <c r="L258" t="s">
        <v>69</v>
      </c>
      <c r="M258" t="s">
        <v>70</v>
      </c>
      <c r="N258" t="s">
        <v>71</v>
      </c>
      <c r="O258" t="s">
        <v>72</v>
      </c>
      <c r="P258" t="s">
        <v>73</v>
      </c>
    </row>
    <row r="259" spans="1:24" ht="15.75" customHeight="1" x14ac:dyDescent="0.3">
      <c r="A259">
        <v>129</v>
      </c>
      <c r="B259" s="16" t="s">
        <v>210</v>
      </c>
      <c r="C259" s="7">
        <f>Rankings!L138</f>
        <v>16.481419569628262</v>
      </c>
      <c r="D259" s="7">
        <f>Rankings!M138</f>
        <v>9.450302663170584</v>
      </c>
      <c r="E259" s="7">
        <f>Rankings!N138</f>
        <v>7.5368386830029177</v>
      </c>
      <c r="F259" s="7">
        <f>Rankings!O138</f>
        <v>3.9780087838646128</v>
      </c>
      <c r="G259" s="7">
        <f>Rankings!P138</f>
        <v>2.0145521929129111</v>
      </c>
      <c r="H259" s="7">
        <f>Rankings!Q138</f>
        <v>1</v>
      </c>
      <c r="I259" s="7">
        <f>Rankings!R138</f>
        <v>40.461121892579285</v>
      </c>
      <c r="K259" s="7">
        <f>D259</f>
        <v>9.450302663170584</v>
      </c>
      <c r="L259" s="7">
        <f>C259</f>
        <v>16.481419569628262</v>
      </c>
      <c r="M259" s="7">
        <f>G259</f>
        <v>2.0145521929129111</v>
      </c>
      <c r="N259" s="7">
        <f t="shared" ref="N259:O259" si="229">E259</f>
        <v>7.5368386830029177</v>
      </c>
      <c r="O259" s="7">
        <f t="shared" si="229"/>
        <v>3.9780087838646128</v>
      </c>
      <c r="P259" s="7">
        <f>H259</f>
        <v>1</v>
      </c>
      <c r="R259" s="7">
        <f t="shared" ref="R259:W259" si="230">K259/$I259</f>
        <v>0.23356501800074414</v>
      </c>
      <c r="S259" s="7">
        <f t="shared" si="230"/>
        <v>0.40733965838577041</v>
      </c>
      <c r="T259" s="7">
        <f t="shared" si="230"/>
        <v>4.9789825360289558E-2</v>
      </c>
      <c r="U259" s="7">
        <f t="shared" si="230"/>
        <v>0.18627359624413184</v>
      </c>
      <c r="V259" s="7">
        <f t="shared" si="230"/>
        <v>9.831681865930153E-2</v>
      </c>
      <c r="W259" s="7">
        <f t="shared" si="230"/>
        <v>2.4715083349762568E-2</v>
      </c>
      <c r="X259" s="7">
        <f>SUM(R259:W259)</f>
        <v>1</v>
      </c>
    </row>
    <row r="260" spans="1:24" ht="15.75" customHeight="1" x14ac:dyDescent="0.3">
      <c r="C260" t="s">
        <v>69</v>
      </c>
      <c r="D260" t="s">
        <v>68</v>
      </c>
      <c r="E260" t="s">
        <v>71</v>
      </c>
      <c r="F260" t="s">
        <v>72</v>
      </c>
      <c r="G260" t="s">
        <v>73</v>
      </c>
      <c r="H260" t="s">
        <v>70</v>
      </c>
      <c r="K260" t="s">
        <v>68</v>
      </c>
      <c r="L260" t="s">
        <v>69</v>
      </c>
      <c r="M260" t="s">
        <v>70</v>
      </c>
      <c r="N260" t="s">
        <v>71</v>
      </c>
      <c r="O260" t="s">
        <v>72</v>
      </c>
      <c r="P260" t="s">
        <v>73</v>
      </c>
    </row>
    <row r="261" spans="1:24" ht="15.75" customHeight="1" x14ac:dyDescent="0.3">
      <c r="A261">
        <v>130</v>
      </c>
      <c r="B261" s="16" t="s">
        <v>211</v>
      </c>
      <c r="C261" s="7">
        <f>Rankings!L139</f>
        <v>7.6855056719342469</v>
      </c>
      <c r="D261" s="7">
        <f>Rankings!M139</f>
        <v>4.4068021211677113</v>
      </c>
      <c r="E261" s="7">
        <f>Rankings!N139</f>
        <v>3.5145283573397221</v>
      </c>
      <c r="F261" s="7">
        <f>Rankings!O139</f>
        <v>1.8549985298435865</v>
      </c>
      <c r="G261" s="7">
        <f>Rankings!P139</f>
        <v>1.4032439022773779</v>
      </c>
      <c r="H261" s="7">
        <f>Rankings!Q139</f>
        <v>1</v>
      </c>
      <c r="I261" s="7">
        <f>Rankings!R139</f>
        <v>19.865078582562646</v>
      </c>
      <c r="K261" s="7">
        <f>D261</f>
        <v>4.4068021211677113</v>
      </c>
      <c r="L261" s="7">
        <f>C261</f>
        <v>7.6855056719342469</v>
      </c>
      <c r="M261" s="7">
        <f>H261</f>
        <v>1</v>
      </c>
      <c r="N261" s="7">
        <f t="shared" ref="N261:P261" si="231">E261</f>
        <v>3.5145283573397221</v>
      </c>
      <c r="O261" s="7">
        <f t="shared" si="231"/>
        <v>1.8549985298435865</v>
      </c>
      <c r="P261" s="7">
        <f t="shared" si="231"/>
        <v>1.4032439022773779</v>
      </c>
      <c r="R261" s="7">
        <f t="shared" ref="R261:W261" si="232">K261/$I261</f>
        <v>0.2218366316977953</v>
      </c>
      <c r="S261" s="7">
        <f t="shared" si="232"/>
        <v>0.38688523883718751</v>
      </c>
      <c r="T261" s="7">
        <f t="shared" si="232"/>
        <v>5.0339594471968986E-2</v>
      </c>
      <c r="U261" s="7">
        <f t="shared" si="232"/>
        <v>0.17691993226871691</v>
      </c>
      <c r="V261" s="7">
        <f t="shared" si="232"/>
        <v>9.3379873738424796E-2</v>
      </c>
      <c r="W261" s="7">
        <f t="shared" si="232"/>
        <v>7.0638728985906479E-2</v>
      </c>
      <c r="X261" s="7">
        <f>SUM(R261:W261)</f>
        <v>1</v>
      </c>
    </row>
    <row r="262" spans="1:24" ht="15.75" customHeight="1" x14ac:dyDescent="0.3">
      <c r="C262" t="s">
        <v>69</v>
      </c>
      <c r="D262" t="s">
        <v>68</v>
      </c>
      <c r="E262" t="s">
        <v>71</v>
      </c>
      <c r="F262" t="s">
        <v>73</v>
      </c>
      <c r="G262" t="s">
        <v>70</v>
      </c>
      <c r="H262" t="s">
        <v>72</v>
      </c>
      <c r="K262" t="s">
        <v>68</v>
      </c>
      <c r="L262" t="s">
        <v>69</v>
      </c>
      <c r="M262" t="s">
        <v>70</v>
      </c>
      <c r="N262" t="s">
        <v>71</v>
      </c>
      <c r="O262" t="s">
        <v>72</v>
      </c>
      <c r="P262" t="s">
        <v>73</v>
      </c>
    </row>
    <row r="263" spans="1:24" ht="15.75" customHeight="1" x14ac:dyDescent="0.3">
      <c r="A263">
        <v>131</v>
      </c>
      <c r="B263" s="16" t="s">
        <v>212</v>
      </c>
      <c r="C263" s="7">
        <f>Rankings!L140</f>
        <v>10.167807212565569</v>
      </c>
      <c r="D263" s="7">
        <f>Rankings!M140</f>
        <v>5.8301322391297381</v>
      </c>
      <c r="E263" s="7">
        <f>Rankings!N140</f>
        <v>4.649667608862937</v>
      </c>
      <c r="F263" s="7">
        <f>Rankings!O140</f>
        <v>3.1453313667957521</v>
      </c>
      <c r="G263" s="7">
        <f>Rankings!P140</f>
        <v>2.2414716085286912</v>
      </c>
      <c r="H263" s="7">
        <f>Rankings!Q140</f>
        <v>1</v>
      </c>
      <c r="I263" s="7">
        <f>Rankings!R140</f>
        <v>27.034410035882686</v>
      </c>
      <c r="K263" s="7">
        <f>D263</f>
        <v>5.8301322391297381</v>
      </c>
      <c r="L263" s="7">
        <f>C263</f>
        <v>10.167807212565569</v>
      </c>
      <c r="M263" s="7">
        <f>G263</f>
        <v>2.2414716085286912</v>
      </c>
      <c r="N263" s="7">
        <f>E263</f>
        <v>4.649667608862937</v>
      </c>
      <c r="O263" s="7">
        <f>H263</f>
        <v>1</v>
      </c>
      <c r="P263" s="7">
        <f>F263</f>
        <v>3.1453313667957521</v>
      </c>
      <c r="R263" s="7">
        <f t="shared" ref="R263:W263" si="233">K263/$I263</f>
        <v>0.21565598181692969</v>
      </c>
      <c r="S263" s="7">
        <f t="shared" si="233"/>
        <v>0.37610612545529459</v>
      </c>
      <c r="T263" s="7">
        <f t="shared" si="233"/>
        <v>8.2911800388970683E-2</v>
      </c>
      <c r="U263" s="7">
        <f t="shared" si="233"/>
        <v>0.17199071859498499</v>
      </c>
      <c r="V263" s="7">
        <f t="shared" si="233"/>
        <v>3.6989895421157819E-2</v>
      </c>
      <c r="W263" s="7">
        <f t="shared" si="233"/>
        <v>0.11634547832266226</v>
      </c>
      <c r="X263" s="7">
        <f>SUM(R263:W263)</f>
        <v>1.0000000000000002</v>
      </c>
    </row>
    <row r="264" spans="1:24" ht="15.75" customHeight="1" x14ac:dyDescent="0.3">
      <c r="C264" t="s">
        <v>69</v>
      </c>
      <c r="D264" t="s">
        <v>68</v>
      </c>
      <c r="E264" t="s">
        <v>71</v>
      </c>
      <c r="F264" t="s">
        <v>73</v>
      </c>
      <c r="G264" t="s">
        <v>72</v>
      </c>
      <c r="H264" t="s">
        <v>70</v>
      </c>
      <c r="K264" t="s">
        <v>68</v>
      </c>
      <c r="L264" t="s">
        <v>69</v>
      </c>
      <c r="M264" t="s">
        <v>70</v>
      </c>
      <c r="N264" t="s">
        <v>71</v>
      </c>
      <c r="O264" t="s">
        <v>72</v>
      </c>
      <c r="P264" t="s">
        <v>73</v>
      </c>
    </row>
    <row r="265" spans="1:24" ht="15.75" customHeight="1" x14ac:dyDescent="0.3">
      <c r="A265">
        <v>132</v>
      </c>
      <c r="B265" s="16" t="s">
        <v>213</v>
      </c>
      <c r="C265" s="7">
        <f>Rankings!L141</f>
        <v>7.8301374883793873</v>
      </c>
      <c r="D265" s="7">
        <f>Rankings!M141</f>
        <v>4.4897327470374311</v>
      </c>
      <c r="E265" s="7">
        <f>Rankings!N141</f>
        <v>3.580667482332661</v>
      </c>
      <c r="F265" s="7">
        <f>Rankings!O141</f>
        <v>2.4221915830668759</v>
      </c>
      <c r="G265" s="7">
        <f>Rankings!P141</f>
        <v>1.9746367445127702</v>
      </c>
      <c r="H265" s="7">
        <f>Rankings!Q141</f>
        <v>1</v>
      </c>
      <c r="I265" s="7">
        <f>Rankings!R141</f>
        <v>21.297366045329127</v>
      </c>
      <c r="K265" s="7">
        <f>D265</f>
        <v>4.4897327470374311</v>
      </c>
      <c r="L265" s="7">
        <f>C265</f>
        <v>7.8301374883793873</v>
      </c>
      <c r="M265" s="7">
        <f>H265</f>
        <v>1</v>
      </c>
      <c r="N265" s="7">
        <f>E265</f>
        <v>3.580667482332661</v>
      </c>
      <c r="O265" s="7">
        <f>G265</f>
        <v>1.9746367445127702</v>
      </c>
      <c r="P265" s="7">
        <f>F265</f>
        <v>2.4221915830668759</v>
      </c>
      <c r="R265" s="7">
        <f t="shared" ref="R265:W265" si="234">K265/$I265</f>
        <v>0.21081164391322021</v>
      </c>
      <c r="S265" s="7">
        <f t="shared" si="234"/>
        <v>0.36765755313186577</v>
      </c>
      <c r="T265" s="7">
        <f t="shared" si="234"/>
        <v>4.6954163151988311E-2</v>
      </c>
      <c r="U265" s="7">
        <f t="shared" si="234"/>
        <v>0.168127245158467</v>
      </c>
      <c r="V265" s="7">
        <f t="shared" si="234"/>
        <v>9.2717415867763678E-2</v>
      </c>
      <c r="W265" s="7">
        <f t="shared" si="234"/>
        <v>0.11373197877669494</v>
      </c>
      <c r="X265" s="7">
        <f>SUM(R265:W265)</f>
        <v>0.99999999999999989</v>
      </c>
    </row>
    <row r="266" spans="1:24" ht="15.75" customHeight="1" x14ac:dyDescent="0.3">
      <c r="C266" t="s">
        <v>69</v>
      </c>
      <c r="D266" t="s">
        <v>68</v>
      </c>
      <c r="E266" t="s">
        <v>72</v>
      </c>
      <c r="F266" t="s">
        <v>70</v>
      </c>
      <c r="G266" t="s">
        <v>71</v>
      </c>
      <c r="H266" t="s">
        <v>73</v>
      </c>
      <c r="K266" t="s">
        <v>68</v>
      </c>
      <c r="L266" t="s">
        <v>69</v>
      </c>
      <c r="M266" t="s">
        <v>70</v>
      </c>
      <c r="N266" t="s">
        <v>71</v>
      </c>
      <c r="O266" t="s">
        <v>72</v>
      </c>
      <c r="P266" t="s">
        <v>73</v>
      </c>
    </row>
    <row r="267" spans="1:24" ht="15.75" customHeight="1" x14ac:dyDescent="0.3">
      <c r="A267">
        <v>133</v>
      </c>
      <c r="B267" s="16" t="s">
        <v>214</v>
      </c>
      <c r="C267" s="7">
        <f>Rankings!L142</f>
        <v>7.9179629466472949</v>
      </c>
      <c r="D267" s="7">
        <f>Rankings!M142</f>
        <v>4.5400911011013525</v>
      </c>
      <c r="E267" s="7">
        <f>Rankings!N142</f>
        <v>4.1855311024955908</v>
      </c>
      <c r="F267" s="7">
        <f>Rankings!O142</f>
        <v>2.1196461142164886</v>
      </c>
      <c r="G267" s="7">
        <f>Rankings!P142</f>
        <v>1.478275916473532</v>
      </c>
      <c r="H267" s="7">
        <f>Rankings!Q142</f>
        <v>1</v>
      </c>
      <c r="I267" s="7">
        <f>Rankings!R142</f>
        <v>21.24150718093426</v>
      </c>
      <c r="K267" s="7">
        <f>D267</f>
        <v>4.5400911011013525</v>
      </c>
      <c r="L267" s="7">
        <f>C267</f>
        <v>7.9179629466472949</v>
      </c>
      <c r="M267" s="7">
        <f t="shared" ref="M267:N267" si="235">F267</f>
        <v>2.1196461142164886</v>
      </c>
      <c r="N267" s="7">
        <f t="shared" si="235"/>
        <v>1.478275916473532</v>
      </c>
      <c r="O267" s="7">
        <f>E267</f>
        <v>4.1855311024955908</v>
      </c>
      <c r="P267" s="7">
        <f>H267</f>
        <v>1</v>
      </c>
      <c r="R267" s="7">
        <f t="shared" ref="R267:W267" si="236">K267/$I267</f>
        <v>0.21373676841426781</v>
      </c>
      <c r="S267" s="7">
        <f t="shared" si="236"/>
        <v>0.37275899865308149</v>
      </c>
      <c r="T267" s="7">
        <f t="shared" si="236"/>
        <v>9.9787933886302541E-2</v>
      </c>
      <c r="U267" s="7">
        <f t="shared" si="236"/>
        <v>6.9593739459334975E-2</v>
      </c>
      <c r="V267" s="7">
        <f t="shared" si="236"/>
        <v>0.197044920910904</v>
      </c>
      <c r="W267" s="7">
        <f t="shared" si="236"/>
        <v>4.7077638676109104E-2</v>
      </c>
      <c r="X267" s="7">
        <f>SUM(R267:W267)</f>
        <v>1</v>
      </c>
    </row>
    <row r="268" spans="1:24" ht="15.75" customHeight="1" x14ac:dyDescent="0.3">
      <c r="C268" t="s">
        <v>69</v>
      </c>
      <c r="D268" t="s">
        <v>68</v>
      </c>
      <c r="E268" t="s">
        <v>72</v>
      </c>
      <c r="F268" t="s">
        <v>70</v>
      </c>
      <c r="G268" t="s">
        <v>73</v>
      </c>
      <c r="H268" t="s">
        <v>71</v>
      </c>
      <c r="K268" t="s">
        <v>68</v>
      </c>
      <c r="L268" t="s">
        <v>69</v>
      </c>
      <c r="M268" t="s">
        <v>70</v>
      </c>
      <c r="N268" t="s">
        <v>71</v>
      </c>
      <c r="O268" t="s">
        <v>72</v>
      </c>
      <c r="P268" t="s">
        <v>73</v>
      </c>
    </row>
    <row r="269" spans="1:24" ht="15.75" customHeight="1" x14ac:dyDescent="0.3">
      <c r="A269">
        <v>134</v>
      </c>
      <c r="B269" s="16" t="s">
        <v>215</v>
      </c>
      <c r="C269" s="7">
        <f>Rankings!L143</f>
        <v>6.6741237406284766</v>
      </c>
      <c r="D269" s="7">
        <f>Rankings!M143</f>
        <v>3.8268845164660732</v>
      </c>
      <c r="E269" s="7">
        <f>Rankings!N143</f>
        <v>3.5280226349294956</v>
      </c>
      <c r="F269" s="7">
        <f>Rankings!O143</f>
        <v>1.7866691910465862</v>
      </c>
      <c r="G269" s="7">
        <f>Rankings!P143</f>
        <v>0.88688155974910687</v>
      </c>
      <c r="H269" s="7">
        <f>Rankings!Q143</f>
        <v>1</v>
      </c>
      <c r="I269" s="7">
        <f>Rankings!R143</f>
        <v>17.702581642819741</v>
      </c>
      <c r="K269" s="7">
        <f>D269</f>
        <v>3.8268845164660732</v>
      </c>
      <c r="L269" s="7">
        <f>C269</f>
        <v>6.6741237406284766</v>
      </c>
      <c r="M269" s="7">
        <f>F269</f>
        <v>1.7866691910465862</v>
      </c>
      <c r="N269" s="7">
        <f>H269</f>
        <v>1</v>
      </c>
      <c r="O269" s="7">
        <f>E269</f>
        <v>3.5280226349294956</v>
      </c>
      <c r="P269" s="7">
        <f>G269</f>
        <v>0.88688155974910687</v>
      </c>
      <c r="R269" s="7">
        <f t="shared" ref="R269:W269" si="237">K269/$I269</f>
        <v>0.21617663421528563</v>
      </c>
      <c r="S269" s="7">
        <f t="shared" si="237"/>
        <v>0.37701414829150276</v>
      </c>
      <c r="T269" s="7">
        <f t="shared" si="237"/>
        <v>0.10092704143925067</v>
      </c>
      <c r="U269" s="7">
        <f t="shared" si="237"/>
        <v>5.6488935917751025E-2</v>
      </c>
      <c r="V269" s="7">
        <f t="shared" si="237"/>
        <v>0.19929424454090738</v>
      </c>
      <c r="W269" s="7">
        <f t="shared" si="237"/>
        <v>5.0098995595302377E-2</v>
      </c>
      <c r="X269" s="7">
        <f>SUM(R269:W269)</f>
        <v>0.99999999999999989</v>
      </c>
    </row>
    <row r="270" spans="1:24" ht="15.75" customHeight="1" x14ac:dyDescent="0.3">
      <c r="C270" t="s">
        <v>69</v>
      </c>
      <c r="D270" t="s">
        <v>68</v>
      </c>
      <c r="E270" t="s">
        <v>72</v>
      </c>
      <c r="F270" t="s">
        <v>71</v>
      </c>
      <c r="G270" t="s">
        <v>70</v>
      </c>
      <c r="H270" t="s">
        <v>73</v>
      </c>
      <c r="K270" t="s">
        <v>68</v>
      </c>
      <c r="L270" t="s">
        <v>69</v>
      </c>
      <c r="M270" t="s">
        <v>70</v>
      </c>
      <c r="N270" t="s">
        <v>71</v>
      </c>
      <c r="O270" t="s">
        <v>72</v>
      </c>
      <c r="P270" t="s">
        <v>73</v>
      </c>
    </row>
    <row r="271" spans="1:24" ht="15.75" customHeight="1" x14ac:dyDescent="0.3">
      <c r="A271">
        <v>135</v>
      </c>
      <c r="B271" s="16" t="s">
        <v>216</v>
      </c>
      <c r="C271" s="7">
        <f>Rankings!L144</f>
        <v>10.699616155279587</v>
      </c>
      <c r="D271" s="7">
        <f>Rankings!M144</f>
        <v>6.1350668624124065</v>
      </c>
      <c r="E271" s="7">
        <f>Rankings!N144</f>
        <v>5.6559466752303669</v>
      </c>
      <c r="F271" s="7">
        <f>Rankings!O144</f>
        <v>4.5103002243916306</v>
      </c>
      <c r="G271" s="7">
        <f>Rankings!P144</f>
        <v>2.0145521929129111</v>
      </c>
      <c r="H271" s="7">
        <f>Rankings!Q144</f>
        <v>1</v>
      </c>
      <c r="I271" s="7">
        <f>Rankings!R144</f>
        <v>30.015482110226905</v>
      </c>
      <c r="K271" s="7">
        <f>D271</f>
        <v>6.1350668624124065</v>
      </c>
      <c r="L271" s="7">
        <f>C271</f>
        <v>10.699616155279587</v>
      </c>
      <c r="M271" s="7">
        <f>G271</f>
        <v>2.0145521929129111</v>
      </c>
      <c r="N271" s="7">
        <f>F271</f>
        <v>4.5103002243916306</v>
      </c>
      <c r="O271" s="7">
        <f>E271</f>
        <v>5.6559466752303669</v>
      </c>
      <c r="P271" s="7">
        <f>H271</f>
        <v>1</v>
      </c>
      <c r="R271" s="7">
        <f t="shared" ref="R271:W271" si="238">K271/$I271</f>
        <v>0.204396745648875</v>
      </c>
      <c r="S271" s="7">
        <f t="shared" si="238"/>
        <v>0.35646990829555936</v>
      </c>
      <c r="T271" s="7">
        <f t="shared" si="238"/>
        <v>6.7117102617735763E-2</v>
      </c>
      <c r="U271" s="7">
        <f t="shared" si="238"/>
        <v>0.15026579309398722</v>
      </c>
      <c r="V271" s="7">
        <f t="shared" si="238"/>
        <v>0.18843431048216502</v>
      </c>
      <c r="W271" s="7">
        <f t="shared" si="238"/>
        <v>3.331613986167755E-2</v>
      </c>
      <c r="X271" s="7">
        <f>SUM(R271:W271)</f>
        <v>0.99999999999999989</v>
      </c>
    </row>
    <row r="272" spans="1:24" ht="15.75" customHeight="1" x14ac:dyDescent="0.3">
      <c r="C272" t="s">
        <v>69</v>
      </c>
      <c r="D272" t="s">
        <v>68</v>
      </c>
      <c r="E272" t="s">
        <v>72</v>
      </c>
      <c r="F272" t="s">
        <v>71</v>
      </c>
      <c r="G272" t="s">
        <v>73</v>
      </c>
      <c r="H272" t="s">
        <v>70</v>
      </c>
      <c r="K272" t="s">
        <v>68</v>
      </c>
      <c r="L272" t="s">
        <v>69</v>
      </c>
      <c r="M272" t="s">
        <v>70</v>
      </c>
      <c r="N272" t="s">
        <v>71</v>
      </c>
      <c r="O272" t="s">
        <v>72</v>
      </c>
      <c r="P272" t="s">
        <v>73</v>
      </c>
    </row>
    <row r="273" spans="1:24" ht="15.75" customHeight="1" x14ac:dyDescent="0.3">
      <c r="A273">
        <v>136</v>
      </c>
      <c r="B273" s="16" t="s">
        <v>217</v>
      </c>
      <c r="C273" s="7">
        <f>Rankings!L145</f>
        <v>4.920977868001156</v>
      </c>
      <c r="D273" s="7">
        <f>Rankings!M145</f>
        <v>2.8216459179932003</v>
      </c>
      <c r="E273" s="7">
        <f>Rankings!N145</f>
        <v>2.6012884955381903</v>
      </c>
      <c r="F273" s="7">
        <f>Rankings!O145</f>
        <v>2.0743816656749861</v>
      </c>
      <c r="G273" s="7">
        <f>Rankings!P145</f>
        <v>1.4032439022773779</v>
      </c>
      <c r="H273" s="7">
        <f>Rankings!Q145</f>
        <v>1</v>
      </c>
      <c r="I273" s="7">
        <f>Rankings!R145</f>
        <v>14.82153784948491</v>
      </c>
      <c r="K273" s="7">
        <f>D273</f>
        <v>2.8216459179932003</v>
      </c>
      <c r="L273" s="7">
        <f>C273</f>
        <v>4.920977868001156</v>
      </c>
      <c r="M273" s="7">
        <f>H273</f>
        <v>1</v>
      </c>
      <c r="N273" s="7">
        <f>F273</f>
        <v>2.0743816656749861</v>
      </c>
      <c r="O273" s="7">
        <f>E273</f>
        <v>2.6012884955381903</v>
      </c>
      <c r="P273" s="7">
        <f>G273</f>
        <v>1.4032439022773779</v>
      </c>
      <c r="R273" s="7">
        <f t="shared" ref="R273:W273" si="239">K273/$I273</f>
        <v>0.19037470650127311</v>
      </c>
      <c r="S273" s="7">
        <f t="shared" si="239"/>
        <v>0.33201533592360483</v>
      </c>
      <c r="T273" s="7">
        <f t="shared" si="239"/>
        <v>6.7469382067850192E-2</v>
      </c>
      <c r="U273" s="7">
        <f t="shared" si="239"/>
        <v>0.1399572491559691</v>
      </c>
      <c r="V273" s="7">
        <f t="shared" si="239"/>
        <v>0.17550732737416935</v>
      </c>
      <c r="W273" s="7">
        <f t="shared" si="239"/>
        <v>9.4675998977133441E-2</v>
      </c>
      <c r="X273" s="7">
        <f>SUM(R273:W273)</f>
        <v>1.0000000000000002</v>
      </c>
    </row>
    <row r="274" spans="1:24" ht="15.75" customHeight="1" x14ac:dyDescent="0.3">
      <c r="C274" t="s">
        <v>69</v>
      </c>
      <c r="D274" t="s">
        <v>68</v>
      </c>
      <c r="E274" t="s">
        <v>72</v>
      </c>
      <c r="F274" t="s">
        <v>73</v>
      </c>
      <c r="G274" t="s">
        <v>70</v>
      </c>
      <c r="H274" t="s">
        <v>71</v>
      </c>
      <c r="K274" t="s">
        <v>68</v>
      </c>
      <c r="L274" t="s">
        <v>69</v>
      </c>
      <c r="M274" t="s">
        <v>70</v>
      </c>
      <c r="N274" t="s">
        <v>71</v>
      </c>
      <c r="O274" t="s">
        <v>72</v>
      </c>
      <c r="P274" t="s">
        <v>73</v>
      </c>
    </row>
    <row r="275" spans="1:24" ht="15.75" customHeight="1" x14ac:dyDescent="0.3">
      <c r="A275">
        <v>137</v>
      </c>
      <c r="B275" s="16" t="s">
        <v>218</v>
      </c>
      <c r="C275" s="7">
        <f>Rankings!L146</f>
        <v>5.0316951260312299</v>
      </c>
      <c r="D275" s="7">
        <f>Rankings!M146</f>
        <v>2.8851302309797275</v>
      </c>
      <c r="E275" s="7">
        <f>Rankings!N146</f>
        <v>2.6598149789519741</v>
      </c>
      <c r="F275" s="7">
        <f>Rankings!O146</f>
        <v>2.0120604358188379</v>
      </c>
      <c r="G275" s="7">
        <f>Rankings!P146</f>
        <v>1.4338636587362954</v>
      </c>
      <c r="H275" s="7">
        <f>Rankings!Q146</f>
        <v>1</v>
      </c>
      <c r="I275" s="7">
        <f>Rankings!R146</f>
        <v>15.022564430518067</v>
      </c>
      <c r="K275" s="7">
        <f>D275</f>
        <v>2.8851302309797275</v>
      </c>
      <c r="L275" s="7">
        <f>C275</f>
        <v>5.0316951260312299</v>
      </c>
      <c r="M275" s="7">
        <f t="shared" ref="M275:N275" si="240">G275</f>
        <v>1.4338636587362954</v>
      </c>
      <c r="N275" s="7">
        <f t="shared" si="240"/>
        <v>1</v>
      </c>
      <c r="O275" s="7">
        <f t="shared" ref="O275:P275" si="241">E275</f>
        <v>2.6598149789519741</v>
      </c>
      <c r="P275" s="7">
        <f t="shared" si="241"/>
        <v>2.0120604358188379</v>
      </c>
      <c r="R275" s="7">
        <f t="shared" ref="R275:W275" si="242">K275/$I275</f>
        <v>0.1920531107936963</v>
      </c>
      <c r="S275" s="7">
        <f t="shared" si="242"/>
        <v>0.33494248930025772</v>
      </c>
      <c r="T275" s="7">
        <f t="shared" si="242"/>
        <v>9.5447329606616796E-2</v>
      </c>
      <c r="U275" s="7">
        <f t="shared" si="242"/>
        <v>6.6566530942514593E-2</v>
      </c>
      <c r="V275" s="7">
        <f t="shared" si="242"/>
        <v>0.17705465609777038</v>
      </c>
      <c r="W275" s="7">
        <f t="shared" si="242"/>
        <v>0.13393588325914407</v>
      </c>
      <c r="X275" s="7">
        <f>SUM(R275:W275)</f>
        <v>0.99999999999999989</v>
      </c>
    </row>
    <row r="276" spans="1:24" ht="15.75" customHeight="1" x14ac:dyDescent="0.3">
      <c r="C276" t="s">
        <v>69</v>
      </c>
      <c r="D276" t="s">
        <v>68</v>
      </c>
      <c r="E276" t="s">
        <v>72</v>
      </c>
      <c r="F276" t="s">
        <v>73</v>
      </c>
      <c r="G276" t="s">
        <v>71</v>
      </c>
      <c r="H276" t="s">
        <v>70</v>
      </c>
      <c r="K276" t="s">
        <v>68</v>
      </c>
      <c r="L276" t="s">
        <v>69</v>
      </c>
      <c r="M276" t="s">
        <v>70</v>
      </c>
      <c r="N276" t="s">
        <v>71</v>
      </c>
      <c r="O276" t="s">
        <v>72</v>
      </c>
      <c r="P276" t="s">
        <v>73</v>
      </c>
    </row>
    <row r="277" spans="1:24" ht="15.75" customHeight="1" x14ac:dyDescent="0.3">
      <c r="A277">
        <v>138</v>
      </c>
      <c r="B277" s="16" t="s">
        <v>219</v>
      </c>
      <c r="C277" s="7">
        <f>Rankings!L147</f>
        <v>4.965532747793115</v>
      </c>
      <c r="D277" s="7">
        <f>Rankings!M147</f>
        <v>2.8471932986284894</v>
      </c>
      <c r="E277" s="7">
        <f>Rankings!N147</f>
        <v>2.6248407445691311</v>
      </c>
      <c r="F277" s="7">
        <f>Rankings!O147</f>
        <v>1.9856036056138657</v>
      </c>
      <c r="G277" s="7">
        <f>Rankings!P147</f>
        <v>2.2388599512381115</v>
      </c>
      <c r="H277" s="7">
        <f>Rankings!Q147</f>
        <v>1</v>
      </c>
      <c r="I277" s="7">
        <f>Rankings!R147</f>
        <v>15.662030347842713</v>
      </c>
      <c r="K277" s="7">
        <f>D277</f>
        <v>2.8471932986284894</v>
      </c>
      <c r="L277" s="7">
        <f>C277</f>
        <v>4.965532747793115</v>
      </c>
      <c r="M277" s="7">
        <f>H277</f>
        <v>1</v>
      </c>
      <c r="N277" s="7">
        <f>G277</f>
        <v>2.2388599512381115</v>
      </c>
      <c r="O277" s="7">
        <f t="shared" ref="O277:P277" si="243">E277</f>
        <v>2.6248407445691311</v>
      </c>
      <c r="P277" s="7">
        <f t="shared" si="243"/>
        <v>1.9856036056138657</v>
      </c>
      <c r="R277" s="7">
        <f t="shared" ref="R277:W277" si="244">K277/$I277</f>
        <v>0.18178954039765743</v>
      </c>
      <c r="S277" s="7">
        <f t="shared" si="244"/>
        <v>0.3170427229108943</v>
      </c>
      <c r="T277" s="7">
        <f t="shared" si="244"/>
        <v>6.3848682309426114E-2</v>
      </c>
      <c r="U277" s="7">
        <f t="shared" si="244"/>
        <v>0.14294825776189943</v>
      </c>
      <c r="V277" s="7">
        <f t="shared" si="244"/>
        <v>0.16759262281283197</v>
      </c>
      <c r="W277" s="7">
        <f t="shared" si="244"/>
        <v>0.12677817380729076</v>
      </c>
      <c r="X277" s="7">
        <f>SUM(R277:W277)</f>
        <v>1</v>
      </c>
    </row>
    <row r="278" spans="1:24" ht="15.75" customHeight="1" x14ac:dyDescent="0.3">
      <c r="C278" t="s">
        <v>69</v>
      </c>
      <c r="D278" t="s">
        <v>68</v>
      </c>
      <c r="E278" t="s">
        <v>73</v>
      </c>
      <c r="F278" t="s">
        <v>70</v>
      </c>
      <c r="G278" t="s">
        <v>71</v>
      </c>
      <c r="H278" t="s">
        <v>72</v>
      </c>
      <c r="K278" t="s">
        <v>68</v>
      </c>
      <c r="L278" t="s">
        <v>69</v>
      </c>
      <c r="M278" t="s">
        <v>70</v>
      </c>
      <c r="N278" t="s">
        <v>71</v>
      </c>
      <c r="O278" t="s">
        <v>72</v>
      </c>
      <c r="P278" t="s">
        <v>73</v>
      </c>
    </row>
    <row r="279" spans="1:24" ht="15.75" customHeight="1" x14ac:dyDescent="0.3">
      <c r="A279">
        <v>139</v>
      </c>
      <c r="B279" s="16" t="s">
        <v>220</v>
      </c>
      <c r="C279" s="7">
        <f>Rankings!L148</f>
        <v>7.7210911900252928</v>
      </c>
      <c r="D279" s="7">
        <f>Rankings!M148</f>
        <v>4.4272065477988889</v>
      </c>
      <c r="E279" s="7">
        <f>Rankings!N148</f>
        <v>3.8121019206214086</v>
      </c>
      <c r="F279" s="7">
        <f>Rankings!O148</f>
        <v>2.7166353008444242</v>
      </c>
      <c r="G279" s="7">
        <f>Rankings!P148</f>
        <v>1.89462595295753</v>
      </c>
      <c r="H279" s="7">
        <f>Rankings!Q148</f>
        <v>1</v>
      </c>
      <c r="I279" s="7">
        <f>Rankings!R148</f>
        <v>21.571660912247545</v>
      </c>
      <c r="K279" s="7">
        <f>D279</f>
        <v>4.4272065477988889</v>
      </c>
      <c r="L279" s="7">
        <f>C279</f>
        <v>7.7210911900252928</v>
      </c>
      <c r="M279" s="7">
        <f t="shared" ref="M279:O279" si="245">F279</f>
        <v>2.7166353008444242</v>
      </c>
      <c r="N279" s="7">
        <f t="shared" si="245"/>
        <v>1.89462595295753</v>
      </c>
      <c r="O279" s="7">
        <f t="shared" si="245"/>
        <v>1</v>
      </c>
      <c r="P279" s="7">
        <f>E279</f>
        <v>3.8121019206214086</v>
      </c>
      <c r="R279" s="7">
        <f t="shared" ref="R279:W279" si="246">K279/$I279</f>
        <v>0.20523253011479028</v>
      </c>
      <c r="S279" s="7">
        <f t="shared" si="246"/>
        <v>0.3579275245162768</v>
      </c>
      <c r="T279" s="7">
        <f t="shared" si="246"/>
        <v>0.12593537938017674</v>
      </c>
      <c r="U279" s="7">
        <f t="shared" si="246"/>
        <v>8.7829396200170912E-2</v>
      </c>
      <c r="V279" s="7">
        <f t="shared" si="246"/>
        <v>4.6357116592363974E-2</v>
      </c>
      <c r="W279" s="7">
        <f t="shared" si="246"/>
        <v>0.17671805319622128</v>
      </c>
      <c r="X279" s="7">
        <f>SUM(R279:W279)</f>
        <v>1</v>
      </c>
    </row>
    <row r="280" spans="1:24" ht="15.75" customHeight="1" x14ac:dyDescent="0.3">
      <c r="C280" t="s">
        <v>69</v>
      </c>
      <c r="D280" t="s">
        <v>68</v>
      </c>
      <c r="E280" t="s">
        <v>73</v>
      </c>
      <c r="F280" t="s">
        <v>70</v>
      </c>
      <c r="G280" t="s">
        <v>72</v>
      </c>
      <c r="H280" t="s">
        <v>71</v>
      </c>
      <c r="K280" t="s">
        <v>68</v>
      </c>
      <c r="L280" t="s">
        <v>69</v>
      </c>
      <c r="M280" t="s">
        <v>70</v>
      </c>
      <c r="N280" t="s">
        <v>71</v>
      </c>
      <c r="O280" t="s">
        <v>72</v>
      </c>
      <c r="P280" t="s">
        <v>73</v>
      </c>
    </row>
    <row r="281" spans="1:24" ht="15.75" customHeight="1" x14ac:dyDescent="0.3">
      <c r="A281">
        <v>140</v>
      </c>
      <c r="B281" s="16" t="s">
        <v>221</v>
      </c>
      <c r="C281" s="7">
        <f>Rankings!L149</f>
        <v>7.9887795904480363</v>
      </c>
      <c r="D281" s="7">
        <f>Rankings!M149</f>
        <v>4.5806967488539421</v>
      </c>
      <c r="E281" s="7">
        <f>Rankings!N149</f>
        <v>3.9442665901305469</v>
      </c>
      <c r="F281" s="7">
        <f>Rankings!O149</f>
        <v>2.8108204024469634</v>
      </c>
      <c r="G281" s="7">
        <f>Rankings!P149</f>
        <v>1.25400669441983</v>
      </c>
      <c r="H281" s="7">
        <f>Rankings!Q149</f>
        <v>1</v>
      </c>
      <c r="I281" s="7">
        <f>Rankings!R149</f>
        <v>21.578570026299317</v>
      </c>
      <c r="K281" s="7">
        <f>D281</f>
        <v>4.5806967488539421</v>
      </c>
      <c r="L281" s="7">
        <f>C281</f>
        <v>7.9887795904480363</v>
      </c>
      <c r="M281" s="7">
        <f>F281</f>
        <v>2.8108204024469634</v>
      </c>
      <c r="N281" s="7">
        <f>H281</f>
        <v>1</v>
      </c>
      <c r="O281" s="7">
        <f>G281</f>
        <v>1.25400669441983</v>
      </c>
      <c r="P281" s="7">
        <f>E281</f>
        <v>3.9442665901305469</v>
      </c>
      <c r="R281" s="7">
        <f t="shared" ref="R281:W281" si="247">K281/$I281</f>
        <v>0.21227990285135323</v>
      </c>
      <c r="S281" s="7">
        <f t="shared" si="247"/>
        <v>0.37021821097095636</v>
      </c>
      <c r="T281" s="7">
        <f t="shared" si="247"/>
        <v>0.13025980864446621</v>
      </c>
      <c r="U281" s="7">
        <f t="shared" si="247"/>
        <v>4.6342273782796074E-2</v>
      </c>
      <c r="V281" s="7">
        <f t="shared" si="247"/>
        <v>5.8113521558262854E-2</v>
      </c>
      <c r="W281" s="7">
        <f t="shared" si="247"/>
        <v>0.18278628219216531</v>
      </c>
      <c r="X281" s="7">
        <f>SUM(R281:W281)</f>
        <v>1</v>
      </c>
    </row>
    <row r="282" spans="1:24" ht="15.75" customHeight="1" x14ac:dyDescent="0.3">
      <c r="C282" t="s">
        <v>69</v>
      </c>
      <c r="D282" t="s">
        <v>68</v>
      </c>
      <c r="E282" t="s">
        <v>73</v>
      </c>
      <c r="F282" t="s">
        <v>71</v>
      </c>
      <c r="G282" t="s">
        <v>70</v>
      </c>
      <c r="H282" t="s">
        <v>72</v>
      </c>
      <c r="K282" t="s">
        <v>68</v>
      </c>
      <c r="L282" t="s">
        <v>69</v>
      </c>
      <c r="M282" t="s">
        <v>70</v>
      </c>
      <c r="N282" t="s">
        <v>71</v>
      </c>
      <c r="O282" t="s">
        <v>72</v>
      </c>
      <c r="P282" t="s">
        <v>73</v>
      </c>
    </row>
    <row r="283" spans="1:24" ht="15.75" customHeight="1" x14ac:dyDescent="0.3">
      <c r="A283">
        <v>141</v>
      </c>
      <c r="B283" s="16" t="s">
        <v>222</v>
      </c>
      <c r="C283" s="7">
        <f>Rankings!L150</f>
        <v>9.0144653418969494</v>
      </c>
      <c r="D283" s="7">
        <f>Rankings!M150</f>
        <v>5.1688160396434331</v>
      </c>
      <c r="E283" s="7">
        <f>Rankings!N150</f>
        <v>4.4506741077756802</v>
      </c>
      <c r="F283" s="7">
        <f>Rankings!O150</f>
        <v>5.0183410161721573</v>
      </c>
      <c r="G283" s="7">
        <f>Rankings!P150</f>
        <v>2.2414716085286912</v>
      </c>
      <c r="H283" s="7">
        <f>Rankings!Q150</f>
        <v>1</v>
      </c>
      <c r="I283" s="7">
        <f>Rankings!R150</f>
        <v>26.893768114016911</v>
      </c>
      <c r="K283" s="7">
        <f>D283</f>
        <v>5.1688160396434331</v>
      </c>
      <c r="L283" s="7">
        <f>C283</f>
        <v>9.0144653418969494</v>
      </c>
      <c r="M283" s="7">
        <f>G283</f>
        <v>2.2414716085286912</v>
      </c>
      <c r="N283" s="7">
        <f>F283</f>
        <v>5.0183410161721573</v>
      </c>
      <c r="O283" s="7">
        <f>H283</f>
        <v>1</v>
      </c>
      <c r="P283" s="7">
        <f>E283</f>
        <v>4.4506741077756802</v>
      </c>
      <c r="R283" s="7">
        <f t="shared" ref="R283:W283" si="248">K283/$I283</f>
        <v>0.19219382043193381</v>
      </c>
      <c r="S283" s="7">
        <f t="shared" si="248"/>
        <v>0.33518788827507778</v>
      </c>
      <c r="T283" s="7">
        <f t="shared" si="248"/>
        <v>8.3345390613390705E-2</v>
      </c>
      <c r="U283" s="7">
        <f t="shared" si="248"/>
        <v>0.18659865716461727</v>
      </c>
      <c r="V283" s="7">
        <f t="shared" si="248"/>
        <v>3.7183335401735858E-2</v>
      </c>
      <c r="W283" s="7">
        <f t="shared" si="248"/>
        <v>0.1654909081132446</v>
      </c>
      <c r="X283" s="7">
        <f>SUM(R283:W283)</f>
        <v>1</v>
      </c>
    </row>
    <row r="284" spans="1:24" ht="15.75" customHeight="1" x14ac:dyDescent="0.3">
      <c r="C284" t="s">
        <v>69</v>
      </c>
      <c r="D284" t="s">
        <v>68</v>
      </c>
      <c r="E284" t="s">
        <v>73</v>
      </c>
      <c r="F284" t="s">
        <v>71</v>
      </c>
      <c r="G284" t="s">
        <v>72</v>
      </c>
      <c r="H284" t="s">
        <v>70</v>
      </c>
      <c r="K284" t="s">
        <v>68</v>
      </c>
      <c r="L284" t="s">
        <v>69</v>
      </c>
      <c r="M284" t="s">
        <v>70</v>
      </c>
      <c r="N284" t="s">
        <v>71</v>
      </c>
      <c r="O284" t="s">
        <v>72</v>
      </c>
      <c r="P284" t="s">
        <v>73</v>
      </c>
    </row>
    <row r="285" spans="1:24" ht="15.75" customHeight="1" x14ac:dyDescent="0.3">
      <c r="A285">
        <v>142</v>
      </c>
      <c r="B285" s="16" t="s">
        <v>223</v>
      </c>
      <c r="C285" s="7">
        <f>Rankings!L151</f>
        <v>6.7203284540037567</v>
      </c>
      <c r="D285" s="7">
        <f>Rankings!M151</f>
        <v>3.8533778973315238</v>
      </c>
      <c r="E285" s="7">
        <f>Rankings!N151</f>
        <v>3.3179995386935071</v>
      </c>
      <c r="F285" s="7">
        <f>Rankings!O151</f>
        <v>3.741198023817462</v>
      </c>
      <c r="G285" s="7">
        <f>Rankings!P151</f>
        <v>1.9746367445127702</v>
      </c>
      <c r="H285" s="7">
        <f>Rankings!Q151</f>
        <v>1</v>
      </c>
      <c r="I285" s="7">
        <f>Rankings!R151</f>
        <v>20.607540658359021</v>
      </c>
      <c r="K285" s="7">
        <f>D285</f>
        <v>3.8533778973315238</v>
      </c>
      <c r="L285" s="7">
        <f>C285</f>
        <v>6.7203284540037567</v>
      </c>
      <c r="M285" s="7">
        <f>H285</f>
        <v>1</v>
      </c>
      <c r="N285" s="7">
        <f t="shared" ref="N285:O285" si="249">F285</f>
        <v>3.741198023817462</v>
      </c>
      <c r="O285" s="7">
        <f t="shared" si="249"/>
        <v>1.9746367445127702</v>
      </c>
      <c r="P285" s="7">
        <f>E285</f>
        <v>3.3179995386935071</v>
      </c>
      <c r="R285" s="7">
        <f t="shared" ref="R285:W285" si="250">K285/$I285</f>
        <v>0.18698873199934612</v>
      </c>
      <c r="S285" s="7">
        <f t="shared" si="250"/>
        <v>0.32611016352782468</v>
      </c>
      <c r="T285" s="7">
        <f t="shared" si="250"/>
        <v>4.8525926338248947E-2</v>
      </c>
      <c r="U285" s="7">
        <f t="shared" si="250"/>
        <v>0.18154509972056868</v>
      </c>
      <c r="V285" s="7">
        <f t="shared" si="250"/>
        <v>9.5821077209026384E-2</v>
      </c>
      <c r="W285" s="7">
        <f t="shared" si="250"/>
        <v>0.1610090012049851</v>
      </c>
      <c r="X285" s="7">
        <f>SUM(R285:W285)</f>
        <v>0.99999999999999989</v>
      </c>
    </row>
    <row r="286" spans="1:24" ht="15.75" customHeight="1" x14ac:dyDescent="0.3">
      <c r="C286" t="s">
        <v>69</v>
      </c>
      <c r="D286" t="s">
        <v>68</v>
      </c>
      <c r="E286" t="s">
        <v>73</v>
      </c>
      <c r="F286" t="s">
        <v>72</v>
      </c>
      <c r="G286" t="s">
        <v>70</v>
      </c>
      <c r="H286" t="s">
        <v>71</v>
      </c>
      <c r="K286" t="s">
        <v>68</v>
      </c>
      <c r="L286" t="s">
        <v>69</v>
      </c>
      <c r="M286" t="s">
        <v>70</v>
      </c>
      <c r="N286" t="s">
        <v>71</v>
      </c>
      <c r="O286" t="s">
        <v>72</v>
      </c>
      <c r="P286" t="s">
        <v>73</v>
      </c>
    </row>
    <row r="287" spans="1:24" ht="15.75" customHeight="1" x14ac:dyDescent="0.3">
      <c r="A287">
        <v>143</v>
      </c>
      <c r="B287" s="16" t="s">
        <v>224</v>
      </c>
      <c r="C287" s="7">
        <f>Rankings!L152</f>
        <v>7.034456147812068</v>
      </c>
      <c r="D287" s="7">
        <f>Rankings!M152</f>
        <v>4.03349598539008</v>
      </c>
      <c r="E287" s="7">
        <f>Rankings!N152</f>
        <v>3.4730924854565299</v>
      </c>
      <c r="F287" s="7">
        <f>Rankings!O152</f>
        <v>2.8313598671622078</v>
      </c>
      <c r="G287" s="7">
        <f>Rankings!P152</f>
        <v>1.4338636587362954</v>
      </c>
      <c r="H287" s="7">
        <f>Rankings!Q152</f>
        <v>1</v>
      </c>
      <c r="I287" s="7">
        <f>Rankings!R152</f>
        <v>19.806268144557183</v>
      </c>
      <c r="K287" s="7">
        <f>D287</f>
        <v>4.03349598539008</v>
      </c>
      <c r="L287" s="7">
        <f>C287</f>
        <v>7.034456147812068</v>
      </c>
      <c r="M287" s="7">
        <f t="shared" ref="M287:N287" si="251">G287</f>
        <v>1.4338636587362954</v>
      </c>
      <c r="N287" s="7">
        <f t="shared" si="251"/>
        <v>1</v>
      </c>
      <c r="O287" s="7">
        <f>F287</f>
        <v>2.8313598671622078</v>
      </c>
      <c r="P287" s="7">
        <f>E287</f>
        <v>3.4730924854565299</v>
      </c>
      <c r="R287" s="7">
        <f t="shared" ref="R287:W287" si="252">K287/$I287</f>
        <v>0.20364744917878413</v>
      </c>
      <c r="S287" s="7">
        <f t="shared" si="252"/>
        <v>0.35516312797901584</v>
      </c>
      <c r="T287" s="7">
        <f t="shared" si="252"/>
        <v>7.2394438380373294E-2</v>
      </c>
      <c r="U287" s="7">
        <f t="shared" si="252"/>
        <v>5.0489067031782194E-2</v>
      </c>
      <c r="V287" s="7">
        <f t="shared" si="252"/>
        <v>0.14295271812425064</v>
      </c>
      <c r="W287" s="7">
        <f t="shared" si="252"/>
        <v>0.17535319930579377</v>
      </c>
      <c r="X287" s="7">
        <f>SUM(R287:W287)</f>
        <v>1</v>
      </c>
    </row>
    <row r="288" spans="1:24" ht="15.75" customHeight="1" x14ac:dyDescent="0.3">
      <c r="C288" t="s">
        <v>69</v>
      </c>
      <c r="D288" t="s">
        <v>68</v>
      </c>
      <c r="E288" t="s">
        <v>73</v>
      </c>
      <c r="F288" t="s">
        <v>72</v>
      </c>
      <c r="G288" t="s">
        <v>71</v>
      </c>
      <c r="H288" t="s">
        <v>70</v>
      </c>
      <c r="K288" t="s">
        <v>68</v>
      </c>
      <c r="L288" t="s">
        <v>69</v>
      </c>
      <c r="M288" t="s">
        <v>70</v>
      </c>
      <c r="N288" t="s">
        <v>71</v>
      </c>
      <c r="O288" t="s">
        <v>72</v>
      </c>
      <c r="P288" t="s">
        <v>73</v>
      </c>
    </row>
    <row r="289" spans="1:24" ht="15.75" customHeight="1" x14ac:dyDescent="0.3">
      <c r="A289">
        <v>144</v>
      </c>
      <c r="B289" s="16" t="s">
        <v>225</v>
      </c>
      <c r="C289" s="7">
        <f>Rankings!L153</f>
        <v>6.9752895046105783</v>
      </c>
      <c r="D289" s="7">
        <f>Rankings!M153</f>
        <v>3.9995703466757861</v>
      </c>
      <c r="E289" s="7">
        <f>Rankings!N153</f>
        <v>3.4438803872395698</v>
      </c>
      <c r="F289" s="7">
        <f>Rankings!O153</f>
        <v>2.8075453667210462</v>
      </c>
      <c r="G289" s="7">
        <f>Rankings!P153</f>
        <v>2.2388599512381115</v>
      </c>
      <c r="H289" s="7">
        <f>Rankings!Q153</f>
        <v>1</v>
      </c>
      <c r="I289" s="7">
        <f>Rankings!R153</f>
        <v>20.465145556485094</v>
      </c>
      <c r="K289" s="7">
        <f>D289</f>
        <v>3.9995703466757861</v>
      </c>
      <c r="L289" s="7">
        <f>C289</f>
        <v>6.9752895046105783</v>
      </c>
      <c r="M289" s="7">
        <f>H289</f>
        <v>1</v>
      </c>
      <c r="N289" s="7">
        <f>G289</f>
        <v>2.2388599512381115</v>
      </c>
      <c r="O289" s="7">
        <f>F289</f>
        <v>2.8075453667210462</v>
      </c>
      <c r="P289" s="7">
        <f>E289</f>
        <v>3.4438803872395698</v>
      </c>
      <c r="R289" s="7">
        <f t="shared" ref="R289:W289" si="253">K289/$I289</f>
        <v>0.19543327144371975</v>
      </c>
      <c r="S289" s="7">
        <f t="shared" si="253"/>
        <v>0.34083752228188841</v>
      </c>
      <c r="T289" s="7">
        <f t="shared" si="253"/>
        <v>4.8863566459370483E-2</v>
      </c>
      <c r="U289" s="7">
        <f t="shared" si="253"/>
        <v>0.10939868202054644</v>
      </c>
      <c r="V289" s="7">
        <f t="shared" si="253"/>
        <v>0.13718667961447154</v>
      </c>
      <c r="W289" s="7">
        <f t="shared" si="253"/>
        <v>0.1682802781800033</v>
      </c>
      <c r="X289" s="7">
        <f>SUM(R289:W289)</f>
        <v>1</v>
      </c>
    </row>
    <row r="290" spans="1:24" ht="15.75" customHeight="1" x14ac:dyDescent="0.3">
      <c r="C290" t="s">
        <v>69</v>
      </c>
      <c r="D290" t="s">
        <v>70</v>
      </c>
      <c r="E290" t="s">
        <v>68</v>
      </c>
      <c r="F290" t="s">
        <v>71</v>
      </c>
      <c r="G290" t="s">
        <v>72</v>
      </c>
      <c r="H290" t="s">
        <v>73</v>
      </c>
      <c r="K290" t="s">
        <v>68</v>
      </c>
      <c r="L290" t="s">
        <v>69</v>
      </c>
      <c r="M290" t="s">
        <v>70</v>
      </c>
      <c r="N290" t="s">
        <v>71</v>
      </c>
      <c r="O290" t="s">
        <v>72</v>
      </c>
      <c r="P290" t="s">
        <v>73</v>
      </c>
    </row>
    <row r="291" spans="1:24" ht="15.75" customHeight="1" x14ac:dyDescent="0.3">
      <c r="A291">
        <v>145</v>
      </c>
      <c r="B291" s="16" t="s">
        <v>226</v>
      </c>
      <c r="C291" s="7">
        <f>Rankings!L154</f>
        <v>7.2706890262615094</v>
      </c>
      <c r="D291" s="7">
        <f>Rankings!M154</f>
        <v>5.3456066437186394</v>
      </c>
      <c r="E291" s="7">
        <f>Rankings!N154</f>
        <v>3.1404391738426547</v>
      </c>
      <c r="F291" s="7">
        <f>Rankings!O154</f>
        <v>2.5045741168986093</v>
      </c>
      <c r="G291" s="7">
        <f>Rankings!P154</f>
        <v>1.3219359277692486</v>
      </c>
      <c r="H291" s="7">
        <f>Rankings!Q154</f>
        <v>1</v>
      </c>
      <c r="I291" s="7">
        <f>Rankings!R154</f>
        <v>20.583244888490661</v>
      </c>
      <c r="K291" s="7">
        <f>E291</f>
        <v>3.1404391738426547</v>
      </c>
      <c r="L291" s="7">
        <f t="shared" ref="L291:M291" si="254">C291</f>
        <v>7.2706890262615094</v>
      </c>
      <c r="M291" s="7">
        <f t="shared" si="254"/>
        <v>5.3456066437186394</v>
      </c>
      <c r="N291" s="7">
        <f t="shared" ref="N291:P291" si="255">F291</f>
        <v>2.5045741168986093</v>
      </c>
      <c r="O291" s="7">
        <f t="shared" si="255"/>
        <v>1.3219359277692486</v>
      </c>
      <c r="P291" s="7">
        <f t="shared" si="255"/>
        <v>1</v>
      </c>
      <c r="R291" s="7">
        <f t="shared" ref="R291:W291" si="256">K291/$I291</f>
        <v>0.15257259926002553</v>
      </c>
      <c r="S291" s="7">
        <f t="shared" si="256"/>
        <v>0.35323337334080845</v>
      </c>
      <c r="T291" s="7">
        <f t="shared" si="256"/>
        <v>0.25970670186738593</v>
      </c>
      <c r="U291" s="7">
        <f t="shared" si="256"/>
        <v>0.1216802370309974</v>
      </c>
      <c r="V291" s="7">
        <f t="shared" si="256"/>
        <v>6.4223883791443545E-2</v>
      </c>
      <c r="W291" s="7">
        <f t="shared" si="256"/>
        <v>4.8583204709339127E-2</v>
      </c>
      <c r="X291" s="7">
        <f>SUM(R291:W291)</f>
        <v>0.99999999999999989</v>
      </c>
    </row>
    <row r="292" spans="1:24" ht="15.75" customHeight="1" x14ac:dyDescent="0.3">
      <c r="C292" t="s">
        <v>69</v>
      </c>
      <c r="D292" t="s">
        <v>70</v>
      </c>
      <c r="E292" t="s">
        <v>68</v>
      </c>
      <c r="F292" t="s">
        <v>71</v>
      </c>
      <c r="G292" t="s">
        <v>73</v>
      </c>
      <c r="H292" t="s">
        <v>72</v>
      </c>
      <c r="K292" t="s">
        <v>68</v>
      </c>
      <c r="L292" t="s">
        <v>69</v>
      </c>
      <c r="M292" t="s">
        <v>70</v>
      </c>
      <c r="N292" t="s">
        <v>71</v>
      </c>
      <c r="O292" t="s">
        <v>72</v>
      </c>
      <c r="P292" t="s">
        <v>73</v>
      </c>
    </row>
    <row r="293" spans="1:24" ht="15.75" customHeight="1" x14ac:dyDescent="0.3">
      <c r="A293">
        <v>146</v>
      </c>
      <c r="B293" s="16" t="s">
        <v>227</v>
      </c>
      <c r="C293" s="7">
        <f>Rankings!L155</f>
        <v>5.2640312620394978</v>
      </c>
      <c r="D293" s="7">
        <f>Rankings!M155</f>
        <v>3.8702577411112133</v>
      </c>
      <c r="E293" s="7">
        <f>Rankings!N155</f>
        <v>2.273700598104309</v>
      </c>
      <c r="F293" s="7">
        <f>Rankings!O155</f>
        <v>1.8133297135702644</v>
      </c>
      <c r="G293" s="7">
        <f>Rankings!P155</f>
        <v>1.2266517321719024</v>
      </c>
      <c r="H293" s="7">
        <f>Rankings!Q155</f>
        <v>1</v>
      </c>
      <c r="I293" s="7">
        <f>Rankings!R155</f>
        <v>15.447971046997186</v>
      </c>
      <c r="K293" s="7">
        <f>E293</f>
        <v>2.273700598104309</v>
      </c>
      <c r="L293" s="7">
        <f t="shared" ref="L293:M293" si="257">C293</f>
        <v>5.2640312620394978</v>
      </c>
      <c r="M293" s="7">
        <f t="shared" si="257"/>
        <v>3.8702577411112133</v>
      </c>
      <c r="N293" s="7">
        <f>F293</f>
        <v>1.8133297135702644</v>
      </c>
      <c r="O293" s="7">
        <f>H293</f>
        <v>1</v>
      </c>
      <c r="P293" s="7">
        <f>G293</f>
        <v>1.2266517321719024</v>
      </c>
      <c r="R293" s="7">
        <f t="shared" ref="R293:W293" si="258">K293/$I293</f>
        <v>0.14718441607555166</v>
      </c>
      <c r="S293" s="7">
        <f t="shared" si="258"/>
        <v>0.34075874728304423</v>
      </c>
      <c r="T293" s="7">
        <f t="shared" si="258"/>
        <v>0.25053502038143211</v>
      </c>
      <c r="U293" s="7">
        <f t="shared" si="258"/>
        <v>0.11738303418964162</v>
      </c>
      <c r="V293" s="7">
        <f t="shared" si="258"/>
        <v>6.4733420133796946E-2</v>
      </c>
      <c r="W293" s="7">
        <f t="shared" si="258"/>
        <v>7.9405361936533539E-2</v>
      </c>
      <c r="X293" s="7">
        <f>SUM(R293:W293)</f>
        <v>1</v>
      </c>
    </row>
    <row r="294" spans="1:24" ht="15.75" customHeight="1" x14ac:dyDescent="0.3">
      <c r="C294" t="s">
        <v>69</v>
      </c>
      <c r="D294" t="s">
        <v>70</v>
      </c>
      <c r="E294" t="s">
        <v>68</v>
      </c>
      <c r="F294" t="s">
        <v>72</v>
      </c>
      <c r="G294" t="s">
        <v>71</v>
      </c>
      <c r="H294" t="s">
        <v>73</v>
      </c>
      <c r="K294" t="s">
        <v>68</v>
      </c>
      <c r="L294" t="s">
        <v>69</v>
      </c>
      <c r="M294" t="s">
        <v>70</v>
      </c>
      <c r="N294" t="s">
        <v>71</v>
      </c>
      <c r="O294" t="s">
        <v>72</v>
      </c>
      <c r="P294" t="s">
        <v>73</v>
      </c>
    </row>
    <row r="295" spans="1:24" ht="15.75" customHeight="1" x14ac:dyDescent="0.3">
      <c r="A295">
        <v>147</v>
      </c>
      <c r="B295" s="16" t="s">
        <v>228</v>
      </c>
      <c r="C295" s="7">
        <f>Rankings!L156</f>
        <v>4.6553735447764133</v>
      </c>
      <c r="D295" s="7">
        <f>Rankings!M156</f>
        <v>3.4227561734605949</v>
      </c>
      <c r="E295" s="7">
        <f>Rankings!N156</f>
        <v>2.0108021944109957</v>
      </c>
      <c r="F295" s="7">
        <f>Rankings!O156</f>
        <v>1.8537678954574186</v>
      </c>
      <c r="G295" s="7">
        <f>Rankings!P156</f>
        <v>1.478275916473532</v>
      </c>
      <c r="H295" s="7">
        <f>Rankings!Q156</f>
        <v>1</v>
      </c>
      <c r="I295" s="7">
        <f>Rankings!R156</f>
        <v>14.420975724578954</v>
      </c>
      <c r="K295" s="7">
        <f>E295</f>
        <v>2.0108021944109957</v>
      </c>
      <c r="L295" s="7">
        <f t="shared" ref="L295:M295" si="259">C295</f>
        <v>4.6553735447764133</v>
      </c>
      <c r="M295" s="7">
        <f t="shared" si="259"/>
        <v>3.4227561734605949</v>
      </c>
      <c r="N295" s="7">
        <f>G295</f>
        <v>1.478275916473532</v>
      </c>
      <c r="O295" s="7">
        <f>F295</f>
        <v>1.8537678954574186</v>
      </c>
      <c r="P295" s="7">
        <f>H295</f>
        <v>1</v>
      </c>
      <c r="R295" s="7">
        <f t="shared" ref="R295:W295" si="260">K295/$I295</f>
        <v>0.13943593227078294</v>
      </c>
      <c r="S295" s="7">
        <f t="shared" si="260"/>
        <v>0.32281959512918712</v>
      </c>
      <c r="T295" s="7">
        <f t="shared" si="260"/>
        <v>0.23734567194554573</v>
      </c>
      <c r="U295" s="7">
        <f t="shared" si="260"/>
        <v>0.10250873066473405</v>
      </c>
      <c r="V295" s="7">
        <f t="shared" si="260"/>
        <v>0.12854663449005582</v>
      </c>
      <c r="W295" s="7">
        <f t="shared" si="260"/>
        <v>6.9343435499694447E-2</v>
      </c>
      <c r="X295" s="7">
        <f>SUM(R295:W295)</f>
        <v>1.0000000000000002</v>
      </c>
    </row>
    <row r="296" spans="1:24" ht="15.75" customHeight="1" x14ac:dyDescent="0.3">
      <c r="C296" t="s">
        <v>69</v>
      </c>
      <c r="D296" t="s">
        <v>70</v>
      </c>
      <c r="E296" t="s">
        <v>68</v>
      </c>
      <c r="F296" t="s">
        <v>72</v>
      </c>
      <c r="G296" t="s">
        <v>73</v>
      </c>
      <c r="H296" t="s">
        <v>71</v>
      </c>
      <c r="K296" t="s">
        <v>68</v>
      </c>
      <c r="L296" t="s">
        <v>69</v>
      </c>
      <c r="M296" t="s">
        <v>70</v>
      </c>
      <c r="N296" t="s">
        <v>71</v>
      </c>
      <c r="O296" t="s">
        <v>72</v>
      </c>
      <c r="P296" t="s">
        <v>73</v>
      </c>
    </row>
    <row r="297" spans="1:24" ht="15.75" customHeight="1" x14ac:dyDescent="0.3">
      <c r="A297">
        <v>148</v>
      </c>
      <c r="B297" s="16" t="s">
        <v>229</v>
      </c>
      <c r="C297" s="7">
        <f>Rankings!L157</f>
        <v>2.944253559949471</v>
      </c>
      <c r="D297" s="7">
        <f>Rankings!M157</f>
        <v>2.1646946161512335</v>
      </c>
      <c r="E297" s="7">
        <f>Rankings!N157</f>
        <v>1.2717156770140818</v>
      </c>
      <c r="F297" s="7">
        <f>Rankings!O157</f>
        <v>1.172400597508374</v>
      </c>
      <c r="G297" s="7">
        <f>Rankings!P157</f>
        <v>0.88688155974910687</v>
      </c>
      <c r="H297" s="7">
        <f>Rankings!Q157</f>
        <v>1</v>
      </c>
      <c r="I297" s="7">
        <f>Rankings!R157</f>
        <v>9.4399460103722674</v>
      </c>
      <c r="K297" s="7">
        <f>E297</f>
        <v>1.2717156770140818</v>
      </c>
      <c r="L297" s="7">
        <f t="shared" ref="L297:M297" si="261">C297</f>
        <v>2.944253559949471</v>
      </c>
      <c r="M297" s="7">
        <f t="shared" si="261"/>
        <v>2.1646946161512335</v>
      </c>
      <c r="N297" s="7">
        <f>H297</f>
        <v>1</v>
      </c>
      <c r="O297" s="7">
        <f t="shared" ref="O297:P297" si="262">F297</f>
        <v>1.172400597508374</v>
      </c>
      <c r="P297" s="7">
        <f t="shared" si="262"/>
        <v>0.88688155974910687</v>
      </c>
      <c r="R297" s="7">
        <f t="shared" ref="R297:W297" si="263">K297/$I297</f>
        <v>0.13471641422702707</v>
      </c>
      <c r="S297" s="7">
        <f t="shared" si="263"/>
        <v>0.31189305073508183</v>
      </c>
      <c r="T297" s="7">
        <f t="shared" si="263"/>
        <v>0.22931218184645824</v>
      </c>
      <c r="U297" s="7">
        <f t="shared" si="263"/>
        <v>0.10593280924501439</v>
      </c>
      <c r="V297" s="7">
        <f t="shared" si="263"/>
        <v>0.12419568885459548</v>
      </c>
      <c r="W297" s="7">
        <f t="shared" si="263"/>
        <v>9.3949855091822965E-2</v>
      </c>
      <c r="X297" s="7">
        <f>SUM(R297:W297)</f>
        <v>1</v>
      </c>
    </row>
    <row r="298" spans="1:24" ht="15.75" customHeight="1" x14ac:dyDescent="0.3">
      <c r="C298" t="s">
        <v>69</v>
      </c>
      <c r="D298" t="s">
        <v>70</v>
      </c>
      <c r="E298" t="s">
        <v>68</v>
      </c>
      <c r="F298" t="s">
        <v>73</v>
      </c>
      <c r="G298" t="s">
        <v>71</v>
      </c>
      <c r="H298" t="s">
        <v>72</v>
      </c>
      <c r="K298" t="s">
        <v>68</v>
      </c>
      <c r="L298" t="s">
        <v>69</v>
      </c>
      <c r="M298" t="s">
        <v>70</v>
      </c>
      <c r="N298" t="s">
        <v>71</v>
      </c>
      <c r="O298" t="s">
        <v>72</v>
      </c>
      <c r="P298" t="s">
        <v>73</v>
      </c>
    </row>
    <row r="299" spans="1:24" ht="15.75" customHeight="1" x14ac:dyDescent="0.3">
      <c r="A299">
        <v>149</v>
      </c>
      <c r="B299" s="16" t="s">
        <v>230</v>
      </c>
      <c r="C299" s="7">
        <f>Rankings!L158</f>
        <v>4.5179307675695961</v>
      </c>
      <c r="D299" s="7">
        <f>Rankings!M158</f>
        <v>3.321704537183189</v>
      </c>
      <c r="E299" s="7">
        <f>Rankings!N158</f>
        <v>1.9514363378679667</v>
      </c>
      <c r="F299" s="7">
        <f>Rankings!O158</f>
        <v>1.6803088203001122</v>
      </c>
      <c r="G299" s="7">
        <f>Rankings!P158</f>
        <v>1.89462595295753</v>
      </c>
      <c r="H299" s="7">
        <f>Rankings!Q158</f>
        <v>1</v>
      </c>
      <c r="I299" s="7">
        <f>Rankings!R158</f>
        <v>14.366006415878394</v>
      </c>
      <c r="K299" s="7">
        <f>E299</f>
        <v>1.9514363378679667</v>
      </c>
      <c r="L299" s="7">
        <f t="shared" ref="L299:M299" si="264">C299</f>
        <v>4.5179307675695961</v>
      </c>
      <c r="M299" s="7">
        <f t="shared" si="264"/>
        <v>3.321704537183189</v>
      </c>
      <c r="N299" s="7">
        <f t="shared" ref="N299:O299" si="265">G299</f>
        <v>1.89462595295753</v>
      </c>
      <c r="O299" s="7">
        <f t="shared" si="265"/>
        <v>1</v>
      </c>
      <c r="P299" s="7">
        <f>F299</f>
        <v>1.6803088203001122</v>
      </c>
      <c r="R299" s="7">
        <f t="shared" ref="R299:W299" si="266">K299/$I299</f>
        <v>0.13583707826491656</v>
      </c>
      <c r="S299" s="7">
        <f t="shared" si="266"/>
        <v>0.314487592221596</v>
      </c>
      <c r="T299" s="7">
        <f t="shared" si="266"/>
        <v>0.23121975871539294</v>
      </c>
      <c r="U299" s="7">
        <f t="shared" si="266"/>
        <v>0.13188257739210296</v>
      </c>
      <c r="V299" s="7">
        <f t="shared" si="266"/>
        <v>6.9608767464751004E-2</v>
      </c>
      <c r="W299" s="7">
        <f t="shared" si="266"/>
        <v>0.11696422594124058</v>
      </c>
      <c r="X299" s="7">
        <f>SUM(R299:W299)</f>
        <v>1</v>
      </c>
    </row>
    <row r="300" spans="1:24" ht="15.75" customHeight="1" x14ac:dyDescent="0.3">
      <c r="C300" t="s">
        <v>69</v>
      </c>
      <c r="D300" t="s">
        <v>70</v>
      </c>
      <c r="E300" t="s">
        <v>68</v>
      </c>
      <c r="F300" t="s">
        <v>73</v>
      </c>
      <c r="G300" t="s">
        <v>72</v>
      </c>
      <c r="H300" t="s">
        <v>71</v>
      </c>
      <c r="K300" t="s">
        <v>68</v>
      </c>
      <c r="L300" t="s">
        <v>69</v>
      </c>
      <c r="M300" t="s">
        <v>70</v>
      </c>
      <c r="N300" t="s">
        <v>71</v>
      </c>
      <c r="O300" t="s">
        <v>72</v>
      </c>
      <c r="P300" t="s">
        <v>73</v>
      </c>
    </row>
    <row r="301" spans="1:24" ht="15.75" customHeight="1" x14ac:dyDescent="0.3">
      <c r="A301">
        <v>150</v>
      </c>
      <c r="B301" s="16" t="s">
        <v>231</v>
      </c>
      <c r="C301" s="7">
        <f>Rankings!L159</f>
        <v>4.1359149156261976</v>
      </c>
      <c r="D301" s="7">
        <f>Rankings!M159</f>
        <v>3.0408361808584394</v>
      </c>
      <c r="E301" s="7">
        <f>Rankings!N159</f>
        <v>1.7864316812063141</v>
      </c>
      <c r="F301" s="7">
        <f>Rankings!O159</f>
        <v>1.5382294838652459</v>
      </c>
      <c r="G301" s="7">
        <f>Rankings!P159</f>
        <v>1.25400669441983</v>
      </c>
      <c r="H301" s="7">
        <f>Rankings!Q159</f>
        <v>1</v>
      </c>
      <c r="I301" s="7">
        <f>Rankings!R159</f>
        <v>12.755418955976028</v>
      </c>
      <c r="K301" s="7">
        <f>E301</f>
        <v>1.7864316812063141</v>
      </c>
      <c r="L301" s="7">
        <f t="shared" ref="L301:M301" si="267">C301</f>
        <v>4.1359149156261976</v>
      </c>
      <c r="M301" s="7">
        <f t="shared" si="267"/>
        <v>3.0408361808584394</v>
      </c>
      <c r="N301" s="7">
        <f>H301</f>
        <v>1</v>
      </c>
      <c r="O301" s="7">
        <f>G301</f>
        <v>1.25400669441983</v>
      </c>
      <c r="P301" s="7">
        <f>F301</f>
        <v>1.5382294838652459</v>
      </c>
      <c r="R301" s="7">
        <f t="shared" ref="R301:W301" si="268">K301/$I301</f>
        <v>0.1400527640347991</v>
      </c>
      <c r="S301" s="7">
        <f t="shared" si="268"/>
        <v>0.32424767307925112</v>
      </c>
      <c r="T301" s="7">
        <f t="shared" si="268"/>
        <v>0.23839563336598837</v>
      </c>
      <c r="U301" s="7">
        <f t="shared" si="268"/>
        <v>7.8398052110353542E-2</v>
      </c>
      <c r="V301" s="7">
        <f t="shared" si="268"/>
        <v>9.831168217585802E-2</v>
      </c>
      <c r="W301" s="7">
        <f t="shared" si="268"/>
        <v>0.12059419523374978</v>
      </c>
      <c r="X301" s="7">
        <f>SUM(R301:W301)</f>
        <v>1</v>
      </c>
    </row>
    <row r="302" spans="1:24" ht="15.75" customHeight="1" x14ac:dyDescent="0.3">
      <c r="C302" t="s">
        <v>69</v>
      </c>
      <c r="D302" t="s">
        <v>70</v>
      </c>
      <c r="E302" t="s">
        <v>71</v>
      </c>
      <c r="F302" t="s">
        <v>68</v>
      </c>
      <c r="G302" t="s">
        <v>72</v>
      </c>
      <c r="H302" t="s">
        <v>73</v>
      </c>
      <c r="K302" t="s">
        <v>68</v>
      </c>
      <c r="L302" t="s">
        <v>69</v>
      </c>
      <c r="M302" t="s">
        <v>70</v>
      </c>
      <c r="N302" t="s">
        <v>71</v>
      </c>
      <c r="O302" t="s">
        <v>72</v>
      </c>
      <c r="P302" t="s">
        <v>73</v>
      </c>
    </row>
    <row r="303" spans="1:24" ht="15.75" customHeight="1" x14ac:dyDescent="0.3">
      <c r="A303">
        <v>151</v>
      </c>
      <c r="B303" s="16" t="s">
        <v>232</v>
      </c>
      <c r="C303" s="7">
        <f>Rankings!L160</f>
        <v>8.1464533415946487</v>
      </c>
      <c r="D303" s="7">
        <f>Rankings!M160</f>
        <v>5.9894921854420069</v>
      </c>
      <c r="E303" s="7">
        <f>Rankings!N160</f>
        <v>4.1771699484459459</v>
      </c>
      <c r="F303" s="7">
        <f>Rankings!O160</f>
        <v>1.4339182758223568</v>
      </c>
      <c r="G303" s="7">
        <f>Rankings!P160</f>
        <v>1.3219359277692486</v>
      </c>
      <c r="H303" s="7">
        <f>Rankings!Q160</f>
        <v>1</v>
      </c>
      <c r="I303" s="7">
        <f>Rankings!R160</f>
        <v>22.068969679074208</v>
      </c>
      <c r="K303" s="7">
        <f>F303</f>
        <v>1.4339182758223568</v>
      </c>
      <c r="L303" s="7">
        <f t="shared" ref="L303:N303" si="269">C303</f>
        <v>8.1464533415946487</v>
      </c>
      <c r="M303" s="7">
        <f t="shared" si="269"/>
        <v>5.9894921854420069</v>
      </c>
      <c r="N303" s="7">
        <f t="shared" si="269"/>
        <v>4.1771699484459459</v>
      </c>
      <c r="O303" s="7">
        <f t="shared" ref="O303:P303" si="270">G303</f>
        <v>1.3219359277692486</v>
      </c>
      <c r="P303" s="7">
        <f t="shared" si="270"/>
        <v>1</v>
      </c>
      <c r="R303" s="7">
        <f t="shared" ref="R303:W303" si="271">K303/$I303</f>
        <v>6.4974409620128196E-2</v>
      </c>
      <c r="S303" s="7">
        <f t="shared" si="271"/>
        <v>0.36913609742819636</v>
      </c>
      <c r="T303" s="7">
        <f t="shared" si="271"/>
        <v>0.27139881347162492</v>
      </c>
      <c r="U303" s="7">
        <f t="shared" si="271"/>
        <v>0.18927797759433859</v>
      </c>
      <c r="V303" s="7">
        <f t="shared" si="271"/>
        <v>5.9900210430879695E-2</v>
      </c>
      <c r="W303" s="7">
        <f t="shared" si="271"/>
        <v>4.5312491454832154E-2</v>
      </c>
      <c r="X303" s="7">
        <f>SUM(R303:W303)</f>
        <v>0.99999999999999989</v>
      </c>
    </row>
    <row r="304" spans="1:24" ht="15.75" customHeight="1" x14ac:dyDescent="0.3">
      <c r="C304" t="s">
        <v>69</v>
      </c>
      <c r="D304" t="s">
        <v>70</v>
      </c>
      <c r="E304" t="s">
        <v>71</v>
      </c>
      <c r="F304" t="s">
        <v>68</v>
      </c>
      <c r="G304" t="s">
        <v>73</v>
      </c>
      <c r="H304" t="s">
        <v>72</v>
      </c>
      <c r="K304" t="s">
        <v>68</v>
      </c>
      <c r="L304" t="s">
        <v>69</v>
      </c>
      <c r="M304" t="s">
        <v>70</v>
      </c>
      <c r="N304" t="s">
        <v>71</v>
      </c>
      <c r="O304" t="s">
        <v>72</v>
      </c>
      <c r="P304" t="s">
        <v>73</v>
      </c>
    </row>
    <row r="305" spans="1:24" ht="15.75" customHeight="1" x14ac:dyDescent="0.3">
      <c r="A305">
        <v>152</v>
      </c>
      <c r="B305" s="16" t="s">
        <v>233</v>
      </c>
      <c r="C305" s="7">
        <f>Rankings!L161</f>
        <v>8.0933949029063719</v>
      </c>
      <c r="D305" s="7">
        <f>Rankings!M161</f>
        <v>5.9504821904700114</v>
      </c>
      <c r="E305" s="7">
        <f>Rankings!N161</f>
        <v>4.1499637390310467</v>
      </c>
      <c r="F305" s="7">
        <f>Rankings!O161</f>
        <v>1.4245790625805328</v>
      </c>
      <c r="G305" s="7">
        <f>Rankings!P161</f>
        <v>1.2266517321719024</v>
      </c>
      <c r="H305" s="7">
        <f>Rankings!Q161</f>
        <v>1</v>
      </c>
      <c r="I305" s="7">
        <f>Rankings!R161</f>
        <v>21.845071627159868</v>
      </c>
      <c r="K305" s="7">
        <f>F305</f>
        <v>1.4245790625805328</v>
      </c>
      <c r="L305" s="7">
        <f t="shared" ref="L305:N305" si="272">C305</f>
        <v>8.0933949029063719</v>
      </c>
      <c r="M305" s="7">
        <f t="shared" si="272"/>
        <v>5.9504821904700114</v>
      </c>
      <c r="N305" s="7">
        <f t="shared" si="272"/>
        <v>4.1499637390310467</v>
      </c>
      <c r="O305" s="7">
        <f>H305</f>
        <v>1</v>
      </c>
      <c r="P305" s="7">
        <f>G305</f>
        <v>1.2266517321719024</v>
      </c>
      <c r="R305" s="7">
        <f t="shared" ref="R305:W305" si="273">K305/$I305</f>
        <v>6.5212835503334343E-2</v>
      </c>
      <c r="S305" s="7">
        <f t="shared" si="273"/>
        <v>0.37049065533133319</v>
      </c>
      <c r="T305" s="7">
        <f t="shared" si="273"/>
        <v>0.27239472097092171</v>
      </c>
      <c r="U305" s="7">
        <f t="shared" si="273"/>
        <v>0.18997253979572296</v>
      </c>
      <c r="V305" s="7">
        <f t="shared" si="273"/>
        <v>4.5776915593021217E-2</v>
      </c>
      <c r="W305" s="7">
        <f t="shared" si="273"/>
        <v>5.6152332805666449E-2</v>
      </c>
      <c r="X305" s="7">
        <f>SUM(R305:W305)</f>
        <v>0.99999999999999978</v>
      </c>
    </row>
    <row r="306" spans="1:24" ht="15.75" customHeight="1" x14ac:dyDescent="0.3">
      <c r="C306" t="s">
        <v>69</v>
      </c>
      <c r="D306" t="s">
        <v>70</v>
      </c>
      <c r="E306" t="s">
        <v>71</v>
      </c>
      <c r="F306" t="s">
        <v>72</v>
      </c>
      <c r="G306" t="s">
        <v>68</v>
      </c>
      <c r="H306" t="s">
        <v>73</v>
      </c>
      <c r="K306" t="s">
        <v>68</v>
      </c>
      <c r="L306" t="s">
        <v>69</v>
      </c>
      <c r="M306" t="s">
        <v>70</v>
      </c>
      <c r="N306" t="s">
        <v>71</v>
      </c>
      <c r="O306" t="s">
        <v>72</v>
      </c>
      <c r="P306" t="s">
        <v>73</v>
      </c>
    </row>
    <row r="307" spans="1:24" ht="15.75" customHeight="1" x14ac:dyDescent="0.3">
      <c r="A307">
        <v>153</v>
      </c>
      <c r="B307" s="16" t="s">
        <v>234</v>
      </c>
      <c r="C307" s="7">
        <f>Rankings!L162</f>
        <v>6.5678097031817018</v>
      </c>
      <c r="D307" s="7">
        <f>Rankings!M162</f>
        <v>4.8288308105594195</v>
      </c>
      <c r="E307" s="7">
        <f>Rankings!N162</f>
        <v>3.367705695822715</v>
      </c>
      <c r="F307" s="7">
        <f>Rankings!O162</f>
        <v>1.7775042564817045</v>
      </c>
      <c r="G307" s="7">
        <f>Rankings!P162</f>
        <v>1.1613557664474019</v>
      </c>
      <c r="H307" s="7">
        <f>Rankings!Q162</f>
        <v>1</v>
      </c>
      <c r="I307" s="7">
        <f>Rankings!R162</f>
        <v>18.703206232492946</v>
      </c>
      <c r="K307" s="7">
        <f>G307</f>
        <v>1.1613557664474019</v>
      </c>
      <c r="L307" s="7">
        <f t="shared" ref="L307:O307" si="274">C307</f>
        <v>6.5678097031817018</v>
      </c>
      <c r="M307" s="7">
        <f t="shared" si="274"/>
        <v>4.8288308105594195</v>
      </c>
      <c r="N307" s="7">
        <f t="shared" si="274"/>
        <v>3.367705695822715</v>
      </c>
      <c r="O307" s="7">
        <f t="shared" si="274"/>
        <v>1.7775042564817045</v>
      </c>
      <c r="P307" s="7">
        <f>H307</f>
        <v>1</v>
      </c>
      <c r="R307" s="7">
        <f t="shared" ref="R307:W307" si="275">K307/$I307</f>
        <v>6.209394004487781E-2</v>
      </c>
      <c r="S307" s="7">
        <f t="shared" si="275"/>
        <v>0.35115956171041374</v>
      </c>
      <c r="T307" s="7">
        <f t="shared" si="275"/>
        <v>0.25818197963140282</v>
      </c>
      <c r="U307" s="7">
        <f t="shared" si="275"/>
        <v>0.18006034120353248</v>
      </c>
      <c r="V307" s="7">
        <f t="shared" si="275"/>
        <v>9.5037408794309247E-2</v>
      </c>
      <c r="W307" s="7">
        <f t="shared" si="275"/>
        <v>5.3466768615463761E-2</v>
      </c>
      <c r="X307" s="7">
        <f>SUM(R307:W307)</f>
        <v>0.99999999999999967</v>
      </c>
    </row>
    <row r="308" spans="1:24" ht="15.75" customHeight="1" x14ac:dyDescent="0.3">
      <c r="C308" t="s">
        <v>69</v>
      </c>
      <c r="D308" t="s">
        <v>70</v>
      </c>
      <c r="E308" t="s">
        <v>71</v>
      </c>
      <c r="F308" t="s">
        <v>72</v>
      </c>
      <c r="G308" t="s">
        <v>73</v>
      </c>
      <c r="H308" t="s">
        <v>68</v>
      </c>
      <c r="K308" t="s">
        <v>68</v>
      </c>
      <c r="L308" t="s">
        <v>69</v>
      </c>
      <c r="M308" t="s">
        <v>70</v>
      </c>
      <c r="N308" t="s">
        <v>71</v>
      </c>
      <c r="O308" t="s">
        <v>72</v>
      </c>
      <c r="P308" t="s">
        <v>73</v>
      </c>
    </row>
    <row r="309" spans="1:24" ht="15.75" customHeight="1" x14ac:dyDescent="0.3">
      <c r="A309">
        <v>154</v>
      </c>
      <c r="B309" s="16" t="s">
        <v>235</v>
      </c>
      <c r="C309" s="7">
        <f>Rankings!L163</f>
        <v>8.0093796979926886</v>
      </c>
      <c r="D309" s="7">
        <f>Rankings!M163</f>
        <v>5.8887119461454667</v>
      </c>
      <c r="E309" s="7">
        <f>Rankings!N163</f>
        <v>4.106884158941134</v>
      </c>
      <c r="F309" s="7">
        <f>Rankings!O163</f>
        <v>2.1676490562848283</v>
      </c>
      <c r="G309" s="7">
        <f>Rankings!P163</f>
        <v>1.6397534939100344</v>
      </c>
      <c r="H309" s="7">
        <f>Rankings!Q163</f>
        <v>1</v>
      </c>
      <c r="I309" s="7">
        <f>Rankings!R163</f>
        <v>22.812378353274156</v>
      </c>
      <c r="K309" s="7">
        <f>H309</f>
        <v>1</v>
      </c>
      <c r="L309" s="7">
        <f t="shared" ref="L309:P309" si="276">C309</f>
        <v>8.0093796979926886</v>
      </c>
      <c r="M309" s="7">
        <f t="shared" si="276"/>
        <v>5.8887119461454667</v>
      </c>
      <c r="N309" s="7">
        <f t="shared" si="276"/>
        <v>4.106884158941134</v>
      </c>
      <c r="O309" s="7">
        <f t="shared" si="276"/>
        <v>2.1676490562848283</v>
      </c>
      <c r="P309" s="7">
        <f t="shared" si="276"/>
        <v>1.6397534939100344</v>
      </c>
      <c r="R309" s="7">
        <f t="shared" ref="R309:W309" si="277">K309/$I309</f>
        <v>4.3835850191239471E-2</v>
      </c>
      <c r="S309" s="7">
        <f t="shared" si="277"/>
        <v>0.35109796856596232</v>
      </c>
      <c r="T309" s="7">
        <f t="shared" si="277"/>
        <v>0.25813669469059491</v>
      </c>
      <c r="U309" s="7">
        <f t="shared" si="277"/>
        <v>0.18002875874411806</v>
      </c>
      <c r="V309" s="7">
        <f t="shared" si="277"/>
        <v>9.5020739298483342E-2</v>
      </c>
      <c r="W309" s="7">
        <f t="shared" si="277"/>
        <v>7.1879988509601769E-2</v>
      </c>
      <c r="X309" s="7">
        <f>SUM(R309:W309)</f>
        <v>0.99999999999999989</v>
      </c>
    </row>
    <row r="310" spans="1:24" ht="15.75" customHeight="1" x14ac:dyDescent="0.3">
      <c r="C310" t="s">
        <v>69</v>
      </c>
      <c r="D310" t="s">
        <v>70</v>
      </c>
      <c r="E310" t="s">
        <v>71</v>
      </c>
      <c r="F310" t="s">
        <v>73</v>
      </c>
      <c r="G310" t="s">
        <v>68</v>
      </c>
      <c r="H310" t="s">
        <v>72</v>
      </c>
      <c r="K310" t="s">
        <v>68</v>
      </c>
      <c r="L310" t="s">
        <v>69</v>
      </c>
      <c r="M310" t="s">
        <v>70</v>
      </c>
      <c r="N310" t="s">
        <v>71</v>
      </c>
      <c r="O310" t="s">
        <v>72</v>
      </c>
      <c r="P310" t="s">
        <v>73</v>
      </c>
    </row>
    <row r="311" spans="1:24" ht="15.75" customHeight="1" x14ac:dyDescent="0.3">
      <c r="A311">
        <v>155</v>
      </c>
      <c r="B311" s="16" t="s">
        <v>236</v>
      </c>
      <c r="C311" s="7">
        <f>Rankings!L164</f>
        <v>5.1278402865348589</v>
      </c>
      <c r="D311" s="7">
        <f>Rankings!M164</f>
        <v>3.7701264632030917</v>
      </c>
      <c r="E311" s="7">
        <f>Rankings!N164</f>
        <v>2.6293479440896155</v>
      </c>
      <c r="F311" s="7">
        <f>Rankings!O164</f>
        <v>1.7786584458211274</v>
      </c>
      <c r="G311" s="7">
        <f>Rankings!P164</f>
        <v>1.0847108741813811</v>
      </c>
      <c r="H311" s="7">
        <f>Rankings!Q164</f>
        <v>1</v>
      </c>
      <c r="I311" s="7">
        <f>Rankings!R164</f>
        <v>15.390684013830075</v>
      </c>
      <c r="K311" s="7">
        <f>G311</f>
        <v>1.0847108741813811</v>
      </c>
      <c r="L311" s="7">
        <f t="shared" ref="L311:N311" si="278">C311</f>
        <v>5.1278402865348589</v>
      </c>
      <c r="M311" s="7">
        <f t="shared" si="278"/>
        <v>3.7701264632030917</v>
      </c>
      <c r="N311" s="7">
        <f t="shared" si="278"/>
        <v>2.6293479440896155</v>
      </c>
      <c r="O311" s="7">
        <f>H311</f>
        <v>1</v>
      </c>
      <c r="P311" s="7">
        <f>F311</f>
        <v>1.7786584458211274</v>
      </c>
      <c r="R311" s="7">
        <f t="shared" ref="R311:W311" si="279">K311/$I311</f>
        <v>7.0478405846462672E-2</v>
      </c>
      <c r="S311" s="7">
        <f t="shared" si="279"/>
        <v>0.33317819285529998</v>
      </c>
      <c r="T311" s="7">
        <f t="shared" si="279"/>
        <v>0.2449615923382778</v>
      </c>
      <c r="U311" s="7">
        <f t="shared" si="279"/>
        <v>0.17084022657647199</v>
      </c>
      <c r="V311" s="7">
        <f t="shared" si="279"/>
        <v>6.4974370151540992E-2</v>
      </c>
      <c r="W311" s="7">
        <f t="shared" si="279"/>
        <v>0.11556721223194656</v>
      </c>
      <c r="X311" s="7">
        <f>SUM(R311:W311)</f>
        <v>0.99999999999999989</v>
      </c>
    </row>
    <row r="312" spans="1:24" ht="15.75" customHeight="1" x14ac:dyDescent="0.3">
      <c r="C312" t="s">
        <v>69</v>
      </c>
      <c r="D312" t="s">
        <v>70</v>
      </c>
      <c r="E312" t="s">
        <v>71</v>
      </c>
      <c r="F312" t="s">
        <v>73</v>
      </c>
      <c r="G312" t="s">
        <v>72</v>
      </c>
      <c r="H312" t="s">
        <v>68</v>
      </c>
      <c r="K312" t="s">
        <v>68</v>
      </c>
      <c r="L312" t="s">
        <v>69</v>
      </c>
      <c r="M312" t="s">
        <v>70</v>
      </c>
      <c r="N312" t="s">
        <v>71</v>
      </c>
      <c r="O312" t="s">
        <v>72</v>
      </c>
      <c r="P312" t="s">
        <v>73</v>
      </c>
    </row>
    <row r="313" spans="1:24" ht="15.75" customHeight="1" x14ac:dyDescent="0.3">
      <c r="A313">
        <v>156</v>
      </c>
      <c r="B313" s="16" t="s">
        <v>237</v>
      </c>
      <c r="C313" s="7">
        <f>Rankings!L165</f>
        <v>5.4126329407820997</v>
      </c>
      <c r="D313" s="7">
        <f>Rankings!M165</f>
        <v>3.9795137027243368</v>
      </c>
      <c r="E313" s="7">
        <f>Rankings!N165</f>
        <v>2.7753780343603904</v>
      </c>
      <c r="F313" s="7">
        <f>Rankings!O165</f>
        <v>1.8774425013844043</v>
      </c>
      <c r="G313" s="7">
        <f>Rankings!P165</f>
        <v>1.530542412441888</v>
      </c>
      <c r="H313" s="7">
        <f>Rankings!Q165</f>
        <v>1</v>
      </c>
      <c r="I313" s="7">
        <f>Rankings!R165</f>
        <v>16.57550959169312</v>
      </c>
      <c r="K313" s="7">
        <f>H313</f>
        <v>1</v>
      </c>
      <c r="L313" s="7">
        <f t="shared" ref="L313:N313" si="280">C313</f>
        <v>5.4126329407820997</v>
      </c>
      <c r="M313" s="7">
        <f t="shared" si="280"/>
        <v>3.9795137027243368</v>
      </c>
      <c r="N313" s="7">
        <f t="shared" si="280"/>
        <v>2.7753780343603904</v>
      </c>
      <c r="O313" s="7">
        <f>G313</f>
        <v>1.530542412441888</v>
      </c>
      <c r="P313" s="7">
        <f>F313</f>
        <v>1.8774425013844043</v>
      </c>
      <c r="R313" s="7">
        <f t="shared" ref="R313:W313" si="281">K313/$I313</f>
        <v>6.0329970217093888E-2</v>
      </c>
      <c r="S313" s="7">
        <f t="shared" si="281"/>
        <v>0.32654398411344537</v>
      </c>
      <c r="T313" s="7">
        <f t="shared" si="281"/>
        <v>0.24008394316387627</v>
      </c>
      <c r="U313" s="7">
        <f t="shared" si="281"/>
        <v>0.16743847415413893</v>
      </c>
      <c r="V313" s="7">
        <f t="shared" si="281"/>
        <v>9.2337578158618136E-2</v>
      </c>
      <c r="W313" s="7">
        <f t="shared" si="281"/>
        <v>0.11326605019282736</v>
      </c>
      <c r="X313" s="7">
        <f>SUM(R313:W313)</f>
        <v>0.99999999999999989</v>
      </c>
    </row>
    <row r="314" spans="1:24" ht="15.75" customHeight="1" x14ac:dyDescent="0.3">
      <c r="C314" t="s">
        <v>69</v>
      </c>
      <c r="D314" t="s">
        <v>70</v>
      </c>
      <c r="E314" t="s">
        <v>72</v>
      </c>
      <c r="F314" t="s">
        <v>68</v>
      </c>
      <c r="G314" t="s">
        <v>71</v>
      </c>
      <c r="H314" t="s">
        <v>73</v>
      </c>
      <c r="K314" t="s">
        <v>68</v>
      </c>
      <c r="L314" t="s">
        <v>69</v>
      </c>
      <c r="M314" t="s">
        <v>70</v>
      </c>
      <c r="N314" t="s">
        <v>71</v>
      </c>
      <c r="O314" t="s">
        <v>72</v>
      </c>
      <c r="P314" t="s">
        <v>73</v>
      </c>
    </row>
    <row r="315" spans="1:24" ht="15.75" customHeight="1" x14ac:dyDescent="0.3">
      <c r="A315">
        <v>157</v>
      </c>
      <c r="B315" s="16" t="s">
        <v>238</v>
      </c>
      <c r="C315" s="7">
        <f>Rankings!L166</f>
        <v>8.6490654270527099</v>
      </c>
      <c r="D315" s="7">
        <f>Rankings!M166</f>
        <v>6.3590261448141341</v>
      </c>
      <c r="E315" s="7">
        <f>Rankings!N166</f>
        <v>2.8369871474697006</v>
      </c>
      <c r="F315" s="7">
        <f>Rankings!O166</f>
        <v>1.8535828373050172</v>
      </c>
      <c r="G315" s="7">
        <f>Rankings!P166</f>
        <v>1.478275916473532</v>
      </c>
      <c r="H315" s="7">
        <f>Rankings!Q166</f>
        <v>1</v>
      </c>
      <c r="I315" s="7">
        <f>Rankings!R166</f>
        <v>22.176937473115093</v>
      </c>
      <c r="K315" s="7">
        <f>F315</f>
        <v>1.8535828373050172</v>
      </c>
      <c r="L315" s="7">
        <f t="shared" ref="L315:M315" si="282">C315</f>
        <v>8.6490654270527099</v>
      </c>
      <c r="M315" s="7">
        <f t="shared" si="282"/>
        <v>6.3590261448141341</v>
      </c>
      <c r="N315" s="7">
        <f>G315</f>
        <v>1.478275916473532</v>
      </c>
      <c r="O315" s="7">
        <f>E315</f>
        <v>2.8369871474697006</v>
      </c>
      <c r="P315" s="7">
        <f>H315</f>
        <v>1</v>
      </c>
      <c r="R315" s="7">
        <f t="shared" ref="R315:W315" si="283">K315/$I315</f>
        <v>8.3581551309873131E-2</v>
      </c>
      <c r="S315" s="7">
        <f t="shared" si="283"/>
        <v>0.39000269706030855</v>
      </c>
      <c r="T315" s="7">
        <f t="shared" si="283"/>
        <v>0.28674050023918435</v>
      </c>
      <c r="U315" s="7">
        <f t="shared" si="283"/>
        <v>6.6658253343845744E-2</v>
      </c>
      <c r="V315" s="7">
        <f t="shared" si="283"/>
        <v>0.12792510917744865</v>
      </c>
      <c r="W315" s="7">
        <f t="shared" si="283"/>
        <v>4.5091888869339659E-2</v>
      </c>
      <c r="X315" s="7">
        <f>SUM(R315:W315)</f>
        <v>1.0000000000000002</v>
      </c>
    </row>
    <row r="316" spans="1:24" ht="15.75" customHeight="1" x14ac:dyDescent="0.3">
      <c r="C316" t="s">
        <v>69</v>
      </c>
      <c r="D316" t="s">
        <v>70</v>
      </c>
      <c r="E316" t="s">
        <v>72</v>
      </c>
      <c r="F316" t="s">
        <v>68</v>
      </c>
      <c r="G316" t="s">
        <v>73</v>
      </c>
      <c r="H316" t="s">
        <v>71</v>
      </c>
      <c r="K316" t="s">
        <v>68</v>
      </c>
      <c r="L316" t="s">
        <v>69</v>
      </c>
      <c r="M316" t="s">
        <v>70</v>
      </c>
      <c r="N316" t="s">
        <v>71</v>
      </c>
      <c r="O316" t="s">
        <v>72</v>
      </c>
      <c r="P316" t="s">
        <v>73</v>
      </c>
    </row>
    <row r="317" spans="1:24" ht="15.75" customHeight="1" x14ac:dyDescent="0.3">
      <c r="A317">
        <v>158</v>
      </c>
      <c r="B317" s="16" t="s">
        <v>239</v>
      </c>
      <c r="C317" s="7">
        <f>Rankings!L167</f>
        <v>4.8060478290828215</v>
      </c>
      <c r="D317" s="7">
        <f>Rankings!M167</f>
        <v>3.533535970577022</v>
      </c>
      <c r="E317" s="7">
        <f>Rankings!N167</f>
        <v>1.5764357474491706</v>
      </c>
      <c r="F317" s="7">
        <f>Rankings!O167</f>
        <v>1.0299850135704913</v>
      </c>
      <c r="G317" s="7">
        <f>Rankings!P167</f>
        <v>0.88688155974910687</v>
      </c>
      <c r="H317" s="7">
        <f>Rankings!Q167</f>
        <v>1</v>
      </c>
      <c r="I317" s="7">
        <f>Rankings!R167</f>
        <v>12.832886120428611</v>
      </c>
      <c r="K317" s="7">
        <f>F317</f>
        <v>1.0299850135704913</v>
      </c>
      <c r="L317" s="7">
        <f t="shared" ref="L317:M317" si="284">C317</f>
        <v>4.8060478290828215</v>
      </c>
      <c r="M317" s="7">
        <f t="shared" si="284"/>
        <v>3.533535970577022</v>
      </c>
      <c r="N317" s="7">
        <f>H317</f>
        <v>1</v>
      </c>
      <c r="O317" s="7">
        <f>E317</f>
        <v>1.5764357474491706</v>
      </c>
      <c r="P317" s="7">
        <f>G317</f>
        <v>0.88688155974910687</v>
      </c>
      <c r="R317" s="7">
        <f t="shared" ref="R317:W317" si="285">K317/$I317</f>
        <v>8.0261369414855399E-2</v>
      </c>
      <c r="S317" s="7">
        <f t="shared" si="285"/>
        <v>0.37451028427908328</v>
      </c>
      <c r="T317" s="7">
        <f t="shared" si="285"/>
        <v>0.27535006057226696</v>
      </c>
      <c r="U317" s="7">
        <f t="shared" si="285"/>
        <v>7.7924793426484534E-2</v>
      </c>
      <c r="V317" s="7">
        <f t="shared" si="285"/>
        <v>0.12284342997010235</v>
      </c>
      <c r="W317" s="7">
        <f t="shared" si="285"/>
        <v>6.9110062337207553E-2</v>
      </c>
      <c r="X317" s="7">
        <f>SUM(R317:W317)</f>
        <v>1</v>
      </c>
    </row>
    <row r="318" spans="1:24" ht="15.75" customHeight="1" x14ac:dyDescent="0.3">
      <c r="C318" t="s">
        <v>69</v>
      </c>
      <c r="D318" t="s">
        <v>70</v>
      </c>
      <c r="E318" t="s">
        <v>72</v>
      </c>
      <c r="F318" t="s">
        <v>71</v>
      </c>
      <c r="G318" t="s">
        <v>68</v>
      </c>
      <c r="H318" t="s">
        <v>73</v>
      </c>
      <c r="K318" t="s">
        <v>68</v>
      </c>
      <c r="L318" t="s">
        <v>69</v>
      </c>
      <c r="M318" t="s">
        <v>70</v>
      </c>
      <c r="N318" t="s">
        <v>71</v>
      </c>
      <c r="O318" t="s">
        <v>72</v>
      </c>
      <c r="P318" t="s">
        <v>73</v>
      </c>
    </row>
    <row r="319" spans="1:24" ht="15.75" customHeight="1" x14ac:dyDescent="0.3">
      <c r="A319">
        <v>159</v>
      </c>
      <c r="B319" s="16" t="s">
        <v>240</v>
      </c>
      <c r="C319" s="7">
        <f>Rankings!L168</f>
        <v>12.93405473896445</v>
      </c>
      <c r="D319" s="7">
        <f>Rankings!M168</f>
        <v>9.5094658419712328</v>
      </c>
      <c r="E319" s="7">
        <f>Rankings!N168</f>
        <v>4.2425100571375403</v>
      </c>
      <c r="F319" s="7">
        <f>Rankings!O168</f>
        <v>3.3831638028857181</v>
      </c>
      <c r="G319" s="7">
        <f>Rankings!P168</f>
        <v>1.1613557664474019</v>
      </c>
      <c r="H319" s="7">
        <f>Rankings!Q168</f>
        <v>1</v>
      </c>
      <c r="I319" s="7">
        <f>Rankings!R168</f>
        <v>32.230550207406345</v>
      </c>
      <c r="K319" s="7">
        <f>G319</f>
        <v>1.1613557664474019</v>
      </c>
      <c r="L319" s="7">
        <f t="shared" ref="L319:M319" si="286">C319</f>
        <v>12.93405473896445</v>
      </c>
      <c r="M319" s="7">
        <f t="shared" si="286"/>
        <v>9.5094658419712328</v>
      </c>
      <c r="N319" s="7">
        <f>F319</f>
        <v>3.3831638028857181</v>
      </c>
      <c r="O319" s="7">
        <f>E319</f>
        <v>4.2425100571375403</v>
      </c>
      <c r="P319" s="7">
        <f>H319</f>
        <v>1</v>
      </c>
      <c r="R319" s="7">
        <f t="shared" ref="R319:W319" si="287">K319/$I319</f>
        <v>3.6032762673115358E-2</v>
      </c>
      <c r="S319" s="7">
        <f t="shared" si="287"/>
        <v>0.40129798144098389</v>
      </c>
      <c r="T319" s="7">
        <f t="shared" si="287"/>
        <v>0.29504509792035838</v>
      </c>
      <c r="U319" s="7">
        <f t="shared" si="287"/>
        <v>0.10496760933694181</v>
      </c>
      <c r="V319" s="7">
        <f t="shared" si="287"/>
        <v>0.13163008480577046</v>
      </c>
      <c r="W319" s="7">
        <f t="shared" si="287"/>
        <v>3.1026463822830034E-2</v>
      </c>
      <c r="X319" s="7">
        <f>SUM(R319:W319)</f>
        <v>0.99999999999999989</v>
      </c>
    </row>
    <row r="320" spans="1:24" ht="15.75" customHeight="1" x14ac:dyDescent="0.3">
      <c r="C320" t="s">
        <v>69</v>
      </c>
      <c r="D320" t="s">
        <v>70</v>
      </c>
      <c r="E320" t="s">
        <v>72</v>
      </c>
      <c r="F320" t="s">
        <v>71</v>
      </c>
      <c r="G320" t="s">
        <v>73</v>
      </c>
      <c r="H320" t="s">
        <v>68</v>
      </c>
      <c r="K320" t="s">
        <v>68</v>
      </c>
      <c r="L320" t="s">
        <v>69</v>
      </c>
      <c r="M320" t="s">
        <v>70</v>
      </c>
      <c r="N320" t="s">
        <v>71</v>
      </c>
      <c r="O320" t="s">
        <v>72</v>
      </c>
      <c r="P320" t="s">
        <v>73</v>
      </c>
    </row>
    <row r="321" spans="1:24" ht="15.75" customHeight="1" x14ac:dyDescent="0.3">
      <c r="A321">
        <v>160</v>
      </c>
      <c r="B321" s="16" t="s">
        <v>241</v>
      </c>
      <c r="C321" s="7">
        <f>Rankings!L169</f>
        <v>9.2671402470739643</v>
      </c>
      <c r="D321" s="7">
        <f>Rankings!M169</f>
        <v>6.8134514203673744</v>
      </c>
      <c r="E321" s="7">
        <f>Rankings!N169</f>
        <v>3.0397223834745537</v>
      </c>
      <c r="F321" s="7">
        <f>Rankings!O169</f>
        <v>2.4240080990005324</v>
      </c>
      <c r="G321" s="7">
        <f>Rankings!P169</f>
        <v>1.6397534939100344</v>
      </c>
      <c r="H321" s="7">
        <f>Rankings!Q169</f>
        <v>1</v>
      </c>
      <c r="I321" s="7">
        <f>Rankings!R169</f>
        <v>24.184075643826461</v>
      </c>
      <c r="K321" s="7">
        <f>H321</f>
        <v>1</v>
      </c>
      <c r="L321" s="7">
        <f t="shared" ref="L321:M321" si="288">C321</f>
        <v>9.2671402470739643</v>
      </c>
      <c r="M321" s="7">
        <f t="shared" si="288"/>
        <v>6.8134514203673744</v>
      </c>
      <c r="N321" s="7">
        <f>F321</f>
        <v>2.4240080990005324</v>
      </c>
      <c r="O321" s="7">
        <f>E321</f>
        <v>3.0397223834745537</v>
      </c>
      <c r="P321" s="7">
        <f>G321</f>
        <v>1.6397534939100344</v>
      </c>
      <c r="R321" s="7">
        <f t="shared" ref="R321:W321" si="289">K321/$I321</f>
        <v>4.1349523327978546E-2</v>
      </c>
      <c r="S321" s="7">
        <f t="shared" si="289"/>
        <v>0.38319183183003375</v>
      </c>
      <c r="T321" s="7">
        <f t="shared" si="289"/>
        <v>0.28173296845052931</v>
      </c>
      <c r="U321" s="7">
        <f t="shared" si="289"/>
        <v>0.10023157943683145</v>
      </c>
      <c r="V321" s="7">
        <f t="shared" si="289"/>
        <v>0.12569107160605961</v>
      </c>
      <c r="W321" s="7">
        <f t="shared" si="289"/>
        <v>6.7803025348567289E-2</v>
      </c>
      <c r="X321" s="7">
        <f>SUM(R321:W321)</f>
        <v>1</v>
      </c>
    </row>
    <row r="322" spans="1:24" ht="15.75" customHeight="1" x14ac:dyDescent="0.3">
      <c r="C322" t="s">
        <v>69</v>
      </c>
      <c r="D322" t="s">
        <v>70</v>
      </c>
      <c r="E322" t="s">
        <v>72</v>
      </c>
      <c r="F322" t="s">
        <v>73</v>
      </c>
      <c r="G322" t="s">
        <v>68</v>
      </c>
      <c r="H322" t="s">
        <v>71</v>
      </c>
      <c r="K322" t="s">
        <v>68</v>
      </c>
      <c r="L322" t="s">
        <v>69</v>
      </c>
      <c r="M322" t="s">
        <v>70</v>
      </c>
      <c r="N322" t="s">
        <v>71</v>
      </c>
      <c r="O322" t="s">
        <v>72</v>
      </c>
      <c r="P322" t="s">
        <v>73</v>
      </c>
    </row>
    <row r="323" spans="1:24" ht="15.75" customHeight="1" x14ac:dyDescent="0.3">
      <c r="A323">
        <v>161</v>
      </c>
      <c r="B323" s="16" t="s">
        <v>242</v>
      </c>
      <c r="C323" s="7">
        <f>Rankings!L170</f>
        <v>8.2862357107487234</v>
      </c>
      <c r="D323" s="7">
        <f>Rankings!M170</f>
        <v>6.0922639528117575</v>
      </c>
      <c r="E323" s="7">
        <f>Rankings!N170</f>
        <v>2.717975070320314</v>
      </c>
      <c r="F323" s="7">
        <f>Rankings!O170</f>
        <v>2.0560565858186979</v>
      </c>
      <c r="G323" s="7">
        <f>Rankings!P170</f>
        <v>1.2538815092968505</v>
      </c>
      <c r="H323" s="7">
        <f>Rankings!Q170</f>
        <v>1</v>
      </c>
      <c r="I323" s="7">
        <f>Rankings!R170</f>
        <v>21.406412828996345</v>
      </c>
      <c r="K323" s="7">
        <f>G323</f>
        <v>1.2538815092968505</v>
      </c>
      <c r="L323" s="7">
        <f t="shared" ref="L323:M323" si="290">C323</f>
        <v>8.2862357107487234</v>
      </c>
      <c r="M323" s="7">
        <f t="shared" si="290"/>
        <v>6.0922639528117575</v>
      </c>
      <c r="N323" s="7">
        <f>H323</f>
        <v>1</v>
      </c>
      <c r="O323" s="7">
        <f t="shared" ref="O323:P323" si="291">E323</f>
        <v>2.717975070320314</v>
      </c>
      <c r="P323" s="7">
        <f t="shared" si="291"/>
        <v>2.0560565858186979</v>
      </c>
      <c r="R323" s="7">
        <f t="shared" ref="R323:W323" si="292">K323/$I323</f>
        <v>5.8575041008196778E-2</v>
      </c>
      <c r="S323" s="7">
        <f t="shared" si="292"/>
        <v>0.38709127853147313</v>
      </c>
      <c r="T323" s="7">
        <f t="shared" si="292"/>
        <v>0.28459994682338363</v>
      </c>
      <c r="U323" s="7">
        <f t="shared" si="292"/>
        <v>4.6714973124569313E-2</v>
      </c>
      <c r="V323" s="7">
        <f t="shared" si="292"/>
        <v>0.12697013236326285</v>
      </c>
      <c r="W323" s="7">
        <f t="shared" si="292"/>
        <v>9.6048628149114204E-2</v>
      </c>
      <c r="X323" s="7">
        <f>SUM(R323:W323)</f>
        <v>0.99999999999999978</v>
      </c>
    </row>
    <row r="324" spans="1:24" ht="15.75" customHeight="1" x14ac:dyDescent="0.3">
      <c r="C324" t="s">
        <v>69</v>
      </c>
      <c r="D324" t="s">
        <v>70</v>
      </c>
      <c r="E324" t="s">
        <v>72</v>
      </c>
      <c r="F324" t="s">
        <v>73</v>
      </c>
      <c r="G324" t="s">
        <v>71</v>
      </c>
      <c r="H324" t="s">
        <v>68</v>
      </c>
      <c r="K324" t="s">
        <v>68</v>
      </c>
      <c r="L324" t="s">
        <v>69</v>
      </c>
      <c r="M324" t="s">
        <v>70</v>
      </c>
      <c r="N324" t="s">
        <v>71</v>
      </c>
      <c r="O324" t="s">
        <v>72</v>
      </c>
      <c r="P324" t="s">
        <v>73</v>
      </c>
    </row>
    <row r="325" spans="1:24" ht="15.75" customHeight="1" x14ac:dyDescent="0.3">
      <c r="A325">
        <v>162</v>
      </c>
      <c r="B325" s="16" t="s">
        <v>243</v>
      </c>
      <c r="C325" s="7">
        <f>Rankings!L171</f>
        <v>10.412274048340535</v>
      </c>
      <c r="D325" s="7">
        <f>Rankings!M171</f>
        <v>7.6553846723448595</v>
      </c>
      <c r="E325" s="7">
        <f>Rankings!N171</f>
        <v>3.4153386744746137</v>
      </c>
      <c r="F325" s="7">
        <f>Rankings!O171</f>
        <v>2.5835886616970591</v>
      </c>
      <c r="G325" s="7">
        <f>Rankings!P171</f>
        <v>2.9131157743633094</v>
      </c>
      <c r="H325" s="7">
        <f>Rankings!Q171</f>
        <v>1</v>
      </c>
      <c r="I325" s="7">
        <f>Rankings!R171</f>
        <v>27.979701831220378</v>
      </c>
      <c r="K325" s="7">
        <f>H325</f>
        <v>1</v>
      </c>
      <c r="L325" s="7">
        <f t="shared" ref="L325:M325" si="293">C325</f>
        <v>10.412274048340535</v>
      </c>
      <c r="M325" s="7">
        <f t="shared" si="293"/>
        <v>7.6553846723448595</v>
      </c>
      <c r="N325" s="7">
        <f>G325</f>
        <v>2.9131157743633094</v>
      </c>
      <c r="O325" s="7">
        <f t="shared" ref="O325:P325" si="294">E325</f>
        <v>3.4153386744746137</v>
      </c>
      <c r="P325" s="7">
        <f t="shared" si="294"/>
        <v>2.5835886616970591</v>
      </c>
      <c r="R325" s="7">
        <f t="shared" ref="R325:W325" si="295">K325/$I325</f>
        <v>3.5740195018239169E-2</v>
      </c>
      <c r="S325" s="7">
        <f t="shared" si="295"/>
        <v>0.37213670507104141</v>
      </c>
      <c r="T325" s="7">
        <f t="shared" si="295"/>
        <v>0.27360494112924427</v>
      </c>
      <c r="U325" s="7">
        <f t="shared" si="295"/>
        <v>0.1041153258864535</v>
      </c>
      <c r="V325" s="7">
        <f t="shared" si="295"/>
        <v>0.12206487027905717</v>
      </c>
      <c r="W325" s="7">
        <f t="shared" si="295"/>
        <v>9.2337962615964442E-2</v>
      </c>
      <c r="X325" s="7">
        <f>SUM(R325:W325)</f>
        <v>1</v>
      </c>
    </row>
    <row r="326" spans="1:24" ht="15.75" customHeight="1" x14ac:dyDescent="0.3">
      <c r="C326" t="s">
        <v>69</v>
      </c>
      <c r="D326" t="s">
        <v>70</v>
      </c>
      <c r="E326" t="s">
        <v>73</v>
      </c>
      <c r="F326" t="s">
        <v>68</v>
      </c>
      <c r="G326" t="s">
        <v>71</v>
      </c>
      <c r="H326" t="s">
        <v>72</v>
      </c>
      <c r="K326" t="s">
        <v>68</v>
      </c>
      <c r="L326" t="s">
        <v>69</v>
      </c>
      <c r="M326" t="s">
        <v>70</v>
      </c>
      <c r="N326" t="s">
        <v>71</v>
      </c>
      <c r="O326" t="s">
        <v>72</v>
      </c>
      <c r="P326" t="s">
        <v>73</v>
      </c>
    </row>
    <row r="327" spans="1:24" ht="15.75" customHeight="1" x14ac:dyDescent="0.3">
      <c r="A327">
        <v>163</v>
      </c>
      <c r="B327" s="16" t="s">
        <v>244</v>
      </c>
      <c r="C327" s="7">
        <f>Rankings!L172</f>
        <v>10.673715931470689</v>
      </c>
      <c r="D327" s="7">
        <f>Rankings!M172</f>
        <v>7.8476037952311355</v>
      </c>
      <c r="E327" s="7">
        <f>Rankings!N172</f>
        <v>3.895458168241356</v>
      </c>
      <c r="F327" s="7">
        <f>Rankings!O172</f>
        <v>2.3756364494473714</v>
      </c>
      <c r="G327" s="7">
        <f>Rankings!P172</f>
        <v>1.89462595295753</v>
      </c>
      <c r="H327" s="7">
        <f>Rankings!Q172</f>
        <v>1</v>
      </c>
      <c r="I327" s="7">
        <f>Rankings!R172</f>
        <v>27.68704029734808</v>
      </c>
      <c r="K327" s="7">
        <f>F327</f>
        <v>2.3756364494473714</v>
      </c>
      <c r="L327" s="7">
        <f t="shared" ref="L327:M327" si="296">C327</f>
        <v>10.673715931470689</v>
      </c>
      <c r="M327" s="7">
        <f t="shared" si="296"/>
        <v>7.8476037952311355</v>
      </c>
      <c r="N327" s="7">
        <f t="shared" ref="N327:O327" si="297">G327</f>
        <v>1.89462595295753</v>
      </c>
      <c r="O327" s="7">
        <f t="shared" si="297"/>
        <v>1</v>
      </c>
      <c r="P327" s="7">
        <f>E327</f>
        <v>3.895458168241356</v>
      </c>
      <c r="R327" s="7">
        <f t="shared" ref="R327:W327" si="298">K327/$I327</f>
        <v>8.5803192538240161E-2</v>
      </c>
      <c r="S327" s="7">
        <f t="shared" si="298"/>
        <v>0.38551307098335963</v>
      </c>
      <c r="T327" s="7">
        <f t="shared" si="298"/>
        <v>0.28343960607384944</v>
      </c>
      <c r="U327" s="7">
        <f t="shared" si="298"/>
        <v>6.8430064485404785E-2</v>
      </c>
      <c r="V327" s="7">
        <f t="shared" si="298"/>
        <v>3.6117981165931339E-2</v>
      </c>
      <c r="W327" s="7">
        <f t="shared" si="298"/>
        <v>0.14069608475321468</v>
      </c>
      <c r="X327" s="7">
        <f>SUM(R327:W327)</f>
        <v>1</v>
      </c>
    </row>
    <row r="328" spans="1:24" ht="15.75" customHeight="1" x14ac:dyDescent="0.3">
      <c r="C328" t="s">
        <v>69</v>
      </c>
      <c r="D328" t="s">
        <v>70</v>
      </c>
      <c r="E328" t="s">
        <v>73</v>
      </c>
      <c r="F328" t="s">
        <v>68</v>
      </c>
      <c r="G328" t="s">
        <v>72</v>
      </c>
      <c r="H328" t="s">
        <v>71</v>
      </c>
      <c r="K328" t="s">
        <v>68</v>
      </c>
      <c r="L328" t="s">
        <v>69</v>
      </c>
      <c r="M328" t="s">
        <v>70</v>
      </c>
      <c r="N328" t="s">
        <v>71</v>
      </c>
      <c r="O328" t="s">
        <v>72</v>
      </c>
      <c r="P328" t="s">
        <v>73</v>
      </c>
    </row>
    <row r="329" spans="1:24" ht="15.75" customHeight="1" x14ac:dyDescent="0.3">
      <c r="A329">
        <v>164</v>
      </c>
      <c r="B329" s="16" t="s">
        <v>245</v>
      </c>
      <c r="C329" s="7">
        <f>Rankings!L173</f>
        <v>6.1115238264314451</v>
      </c>
      <c r="D329" s="7">
        <f>Rankings!M173</f>
        <v>4.493357129126875</v>
      </c>
      <c r="E329" s="7">
        <f>Rankings!N173</f>
        <v>2.2304495981460644</v>
      </c>
      <c r="F329" s="7">
        <f>Rankings!O173</f>
        <v>1.3602346977334379</v>
      </c>
      <c r="G329" s="7">
        <f>Rankings!P173</f>
        <v>1.25400669441983</v>
      </c>
      <c r="H329" s="7">
        <f>Rankings!Q173</f>
        <v>1</v>
      </c>
      <c r="I329" s="7">
        <f>Rankings!R173</f>
        <v>16.449571945857652</v>
      </c>
      <c r="K329" s="7">
        <f>F329</f>
        <v>1.3602346977334379</v>
      </c>
      <c r="L329" s="7">
        <f t="shared" ref="L329:M329" si="299">C329</f>
        <v>6.1115238264314451</v>
      </c>
      <c r="M329" s="7">
        <f t="shared" si="299"/>
        <v>4.493357129126875</v>
      </c>
      <c r="N329" s="7">
        <f>H329</f>
        <v>1</v>
      </c>
      <c r="O329" s="7">
        <f>G329</f>
        <v>1.25400669441983</v>
      </c>
      <c r="P329" s="7">
        <f>E329</f>
        <v>2.2304495981460644</v>
      </c>
      <c r="R329" s="7">
        <f t="shared" ref="R329:W329" si="300">K329/$I329</f>
        <v>8.2691191127072058E-2</v>
      </c>
      <c r="S329" s="7">
        <f t="shared" si="300"/>
        <v>0.37153087305535965</v>
      </c>
      <c r="T329" s="7">
        <f t="shared" si="300"/>
        <v>0.27315951709359809</v>
      </c>
      <c r="U329" s="7">
        <f t="shared" si="300"/>
        <v>6.079185545322479E-2</v>
      </c>
      <c r="V329" s="7">
        <f t="shared" si="300"/>
        <v>7.6233393704546529E-2</v>
      </c>
      <c r="W329" s="7">
        <f t="shared" si="300"/>
        <v>0.13559316956619885</v>
      </c>
      <c r="X329" s="7">
        <f>SUM(R329:W329)</f>
        <v>0.99999999999999989</v>
      </c>
    </row>
    <row r="330" spans="1:24" ht="15.75" customHeight="1" x14ac:dyDescent="0.3">
      <c r="C330" t="s">
        <v>69</v>
      </c>
      <c r="D330" t="s">
        <v>70</v>
      </c>
      <c r="E330" t="s">
        <v>73</v>
      </c>
      <c r="F330" t="s">
        <v>71</v>
      </c>
      <c r="G330" t="s">
        <v>68</v>
      </c>
      <c r="H330" t="s">
        <v>72</v>
      </c>
      <c r="K330" t="s">
        <v>68</v>
      </c>
      <c r="L330" t="s">
        <v>69</v>
      </c>
      <c r="M330" t="s">
        <v>70</v>
      </c>
      <c r="N330" t="s">
        <v>71</v>
      </c>
      <c r="O330" t="s">
        <v>72</v>
      </c>
      <c r="P330" t="s">
        <v>73</v>
      </c>
    </row>
    <row r="331" spans="1:24" ht="15.75" customHeight="1" x14ac:dyDescent="0.3">
      <c r="A331">
        <v>165</v>
      </c>
      <c r="B331" s="16" t="s">
        <v>246</v>
      </c>
      <c r="C331" s="7">
        <f>Rankings!L174</f>
        <v>7.6788195034195565</v>
      </c>
      <c r="D331" s="7">
        <f>Rankings!M174</f>
        <v>5.6456751767448567</v>
      </c>
      <c r="E331" s="7">
        <f>Rankings!N174</f>
        <v>2.8024467157545216</v>
      </c>
      <c r="F331" s="7">
        <f>Rankings!O174</f>
        <v>3.1598883582011963</v>
      </c>
      <c r="G331" s="7">
        <f>Rankings!P174</f>
        <v>1.0847108741813811</v>
      </c>
      <c r="H331" s="7">
        <f>Rankings!Q174</f>
        <v>1</v>
      </c>
      <c r="I331" s="7">
        <f>Rankings!R174</f>
        <v>21.371540628301513</v>
      </c>
      <c r="K331" s="7">
        <f>G331</f>
        <v>1.0847108741813811</v>
      </c>
      <c r="L331" s="7">
        <f t="shared" ref="L331:M331" si="301">C331</f>
        <v>7.6788195034195565</v>
      </c>
      <c r="M331" s="7">
        <f t="shared" si="301"/>
        <v>5.6456751767448567</v>
      </c>
      <c r="N331" s="7">
        <f>F331</f>
        <v>3.1598883582011963</v>
      </c>
      <c r="O331" s="7">
        <f>H331</f>
        <v>1</v>
      </c>
      <c r="P331" s="7">
        <f>E331</f>
        <v>2.8024467157545216</v>
      </c>
      <c r="R331" s="7">
        <f t="shared" ref="R331:W331" si="302">K331/$I331</f>
        <v>5.0754921839604769E-2</v>
      </c>
      <c r="S331" s="7">
        <f t="shared" si="302"/>
        <v>0.35930116770574744</v>
      </c>
      <c r="T331" s="7">
        <f t="shared" si="302"/>
        <v>0.26416790791715339</v>
      </c>
      <c r="U331" s="7">
        <f t="shared" si="302"/>
        <v>0.14785496343752949</v>
      </c>
      <c r="V331" s="7">
        <f t="shared" si="302"/>
        <v>4.6791198509841557E-2</v>
      </c>
      <c r="W331" s="7">
        <f t="shared" si="302"/>
        <v>0.13112984059012334</v>
      </c>
      <c r="X331" s="7">
        <f>SUM(R331:W331)</f>
        <v>1</v>
      </c>
    </row>
    <row r="332" spans="1:24" ht="15.75" customHeight="1" x14ac:dyDescent="0.3">
      <c r="C332" t="s">
        <v>69</v>
      </c>
      <c r="D332" t="s">
        <v>70</v>
      </c>
      <c r="E332" t="s">
        <v>73</v>
      </c>
      <c r="F332" t="s">
        <v>71</v>
      </c>
      <c r="G332" t="s">
        <v>72</v>
      </c>
      <c r="H332" t="s">
        <v>68</v>
      </c>
      <c r="K332" t="s">
        <v>68</v>
      </c>
      <c r="L332" t="s">
        <v>69</v>
      </c>
      <c r="M332" t="s">
        <v>70</v>
      </c>
      <c r="N332" t="s">
        <v>71</v>
      </c>
      <c r="O332" t="s">
        <v>72</v>
      </c>
      <c r="P332" t="s">
        <v>73</v>
      </c>
    </row>
    <row r="333" spans="1:24" ht="15.75" customHeight="1" x14ac:dyDescent="0.3">
      <c r="A333">
        <v>166</v>
      </c>
      <c r="B333" s="16" t="s">
        <v>247</v>
      </c>
      <c r="C333" s="7">
        <f>Rankings!L175</f>
        <v>7.046793923919827</v>
      </c>
      <c r="D333" s="7">
        <f>Rankings!M175</f>
        <v>5.1809929266072672</v>
      </c>
      <c r="E333" s="7">
        <f>Rankings!N175</f>
        <v>2.5717839154695166</v>
      </c>
      <c r="F333" s="7">
        <f>Rankings!O175</f>
        <v>2.899805376714629</v>
      </c>
      <c r="G333" s="7">
        <f>Rankings!P175</f>
        <v>1.530542412441888</v>
      </c>
      <c r="H333" s="7">
        <f>Rankings!Q175</f>
        <v>1</v>
      </c>
      <c r="I333" s="7">
        <f>Rankings!R175</f>
        <v>20.22991855515313</v>
      </c>
      <c r="K333" s="7">
        <f>H333</f>
        <v>1</v>
      </c>
      <c r="L333" s="7">
        <f t="shared" ref="L333:M333" si="303">C333</f>
        <v>7.046793923919827</v>
      </c>
      <c r="M333" s="7">
        <f t="shared" si="303"/>
        <v>5.1809929266072672</v>
      </c>
      <c r="N333" s="7">
        <f t="shared" ref="N333:O333" si="304">F333</f>
        <v>2.899805376714629</v>
      </c>
      <c r="O333" s="7">
        <f t="shared" si="304"/>
        <v>1.530542412441888</v>
      </c>
      <c r="P333" s="7">
        <f>E333</f>
        <v>2.5717839154695166</v>
      </c>
      <c r="R333" s="7">
        <f t="shared" ref="R333:W333" si="305">K333/$I333</f>
        <v>4.9431736330212354E-2</v>
      </c>
      <c r="S333" s="7">
        <f t="shared" si="305"/>
        <v>0.34833525922054737</v>
      </c>
      <c r="T333" s="7">
        <f t="shared" si="305"/>
        <v>0.25610547627674568</v>
      </c>
      <c r="U333" s="7">
        <f t="shared" si="305"/>
        <v>0.14334241479068965</v>
      </c>
      <c r="V333" s="7">
        <f t="shared" si="305"/>
        <v>7.5657368974034536E-2</v>
      </c>
      <c r="W333" s="7">
        <f t="shared" si="305"/>
        <v>0.12712774440777028</v>
      </c>
      <c r="X333" s="7">
        <f>SUM(R333:W333)</f>
        <v>0.99999999999999989</v>
      </c>
    </row>
    <row r="334" spans="1:24" ht="15.75" customHeight="1" x14ac:dyDescent="0.3">
      <c r="C334" t="s">
        <v>69</v>
      </c>
      <c r="D334" t="s">
        <v>70</v>
      </c>
      <c r="E334" t="s">
        <v>73</v>
      </c>
      <c r="F334" t="s">
        <v>72</v>
      </c>
      <c r="G334" t="s">
        <v>68</v>
      </c>
      <c r="H334" t="s">
        <v>71</v>
      </c>
      <c r="K334" t="s">
        <v>68</v>
      </c>
      <c r="L334" t="s">
        <v>69</v>
      </c>
      <c r="M334" t="s">
        <v>70</v>
      </c>
      <c r="N334" t="s">
        <v>71</v>
      </c>
      <c r="O334" t="s">
        <v>72</v>
      </c>
      <c r="P334" t="s">
        <v>73</v>
      </c>
    </row>
    <row r="335" spans="1:24" ht="15.75" customHeight="1" x14ac:dyDescent="0.3">
      <c r="A335">
        <v>167</v>
      </c>
      <c r="B335" s="16" t="s">
        <v>248</v>
      </c>
      <c r="C335" s="7">
        <f>Rankings!L176</f>
        <v>6.4503048214181877</v>
      </c>
      <c r="D335" s="7">
        <f>Rankings!M176</f>
        <v>4.7424380526852206</v>
      </c>
      <c r="E335" s="7">
        <f>Rankings!N176</f>
        <v>2.3540904372539311</v>
      </c>
      <c r="F335" s="7">
        <f>Rankings!O176</f>
        <v>1.9191188301554771</v>
      </c>
      <c r="G335" s="7">
        <f>Rankings!P176</f>
        <v>1.2538815092968505</v>
      </c>
      <c r="H335" s="7">
        <f>Rankings!Q176</f>
        <v>1</v>
      </c>
      <c r="I335" s="7">
        <f>Rankings!R176</f>
        <v>17.719833650809669</v>
      </c>
      <c r="K335" s="7">
        <f>G335</f>
        <v>1.2538815092968505</v>
      </c>
      <c r="L335" s="7">
        <f t="shared" ref="L335:M335" si="306">C335</f>
        <v>6.4503048214181877</v>
      </c>
      <c r="M335" s="7">
        <f t="shared" si="306"/>
        <v>4.7424380526852206</v>
      </c>
      <c r="N335" s="7">
        <f>H335</f>
        <v>1</v>
      </c>
      <c r="O335" s="7">
        <f>F335</f>
        <v>1.9191188301554771</v>
      </c>
      <c r="P335" s="7">
        <f>E335</f>
        <v>2.3540904372539311</v>
      </c>
      <c r="R335" s="7">
        <f t="shared" ref="R335:W335" si="307">K335/$I335</f>
        <v>7.0761471806455534E-2</v>
      </c>
      <c r="S335" s="7">
        <f t="shared" si="307"/>
        <v>0.36401610469539908</v>
      </c>
      <c r="T335" s="7">
        <f t="shared" si="307"/>
        <v>0.26763445674155778</v>
      </c>
      <c r="U335" s="7">
        <f t="shared" si="307"/>
        <v>5.643393836004252E-2</v>
      </c>
      <c r="V335" s="7">
        <f t="shared" si="307"/>
        <v>0.1083034337665911</v>
      </c>
      <c r="W335" s="7">
        <f t="shared" si="307"/>
        <v>0.13285059462995388</v>
      </c>
      <c r="X335" s="7">
        <f>SUM(R335:W335)</f>
        <v>0.99999999999999989</v>
      </c>
    </row>
    <row r="336" spans="1:24" ht="15.75" customHeight="1" x14ac:dyDescent="0.3">
      <c r="C336" t="s">
        <v>69</v>
      </c>
      <c r="D336" t="s">
        <v>70</v>
      </c>
      <c r="E336" t="s">
        <v>73</v>
      </c>
      <c r="F336" t="s">
        <v>72</v>
      </c>
      <c r="G336" t="s">
        <v>71</v>
      </c>
      <c r="H336" t="s">
        <v>68</v>
      </c>
      <c r="K336" t="s">
        <v>68</v>
      </c>
      <c r="L336" t="s">
        <v>69</v>
      </c>
      <c r="M336" t="s">
        <v>70</v>
      </c>
      <c r="N336" t="s">
        <v>71</v>
      </c>
      <c r="O336" t="s">
        <v>72</v>
      </c>
      <c r="P336" t="s">
        <v>73</v>
      </c>
    </row>
    <row r="337" spans="1:24" ht="15.75" customHeight="1" x14ac:dyDescent="0.3">
      <c r="A337">
        <v>168</v>
      </c>
      <c r="B337" s="16" t="s">
        <v>249</v>
      </c>
      <c r="C337" s="7">
        <f>Rankings!L177</f>
        <v>12.278235858010813</v>
      </c>
      <c r="D337" s="7">
        <f>Rankings!M177</f>
        <v>9.0272901149611524</v>
      </c>
      <c r="E337" s="7">
        <f>Rankings!N177</f>
        <v>4.4810405740385795</v>
      </c>
      <c r="F337" s="7">
        <f>Rankings!O177</f>
        <v>3.653066682671597</v>
      </c>
      <c r="G337" s="7">
        <f>Rankings!P177</f>
        <v>2.9131157743633094</v>
      </c>
      <c r="H337" s="7">
        <f>Rankings!Q177</f>
        <v>1</v>
      </c>
      <c r="I337" s="7">
        <f>Rankings!R177</f>
        <v>33.35274900404545</v>
      </c>
      <c r="K337" s="7">
        <f>H337</f>
        <v>1</v>
      </c>
      <c r="L337" s="7">
        <f t="shared" ref="L337:M337" si="308">C337</f>
        <v>12.278235858010813</v>
      </c>
      <c r="M337" s="7">
        <f t="shared" si="308"/>
        <v>9.0272901149611524</v>
      </c>
      <c r="N337" s="7">
        <f>G337</f>
        <v>2.9131157743633094</v>
      </c>
      <c r="O337" s="7">
        <f>F337</f>
        <v>3.653066682671597</v>
      </c>
      <c r="P337" s="7">
        <f>E337</f>
        <v>4.4810405740385795</v>
      </c>
      <c r="R337" s="7">
        <f t="shared" ref="R337:W337" si="309">K337/$I337</f>
        <v>2.9982536068577349E-2</v>
      </c>
      <c r="S337" s="7">
        <f t="shared" si="309"/>
        <v>0.36813264947130897</v>
      </c>
      <c r="T337" s="7">
        <f t="shared" si="309"/>
        <v>0.27066105147333452</v>
      </c>
      <c r="U337" s="7">
        <f t="shared" si="309"/>
        <v>8.7342598776789557E-2</v>
      </c>
      <c r="V337" s="7">
        <f t="shared" si="309"/>
        <v>0.10952820357411937</v>
      </c>
      <c r="W337" s="7">
        <f t="shared" si="309"/>
        <v>0.13435296063587027</v>
      </c>
      <c r="X337" s="7">
        <f>SUM(R337:W337)</f>
        <v>1</v>
      </c>
    </row>
    <row r="338" spans="1:24" ht="15.75" customHeight="1" x14ac:dyDescent="0.3">
      <c r="C338" t="s">
        <v>69</v>
      </c>
      <c r="D338" t="s">
        <v>71</v>
      </c>
      <c r="E338" t="s">
        <v>68</v>
      </c>
      <c r="F338" t="s">
        <v>70</v>
      </c>
      <c r="G338" t="s">
        <v>72</v>
      </c>
      <c r="H338" t="s">
        <v>73</v>
      </c>
      <c r="K338" t="s">
        <v>68</v>
      </c>
      <c r="L338" t="s">
        <v>69</v>
      </c>
      <c r="M338" t="s">
        <v>70</v>
      </c>
      <c r="N338" t="s">
        <v>71</v>
      </c>
      <c r="O338" t="s">
        <v>72</v>
      </c>
      <c r="P338" t="s">
        <v>73</v>
      </c>
    </row>
    <row r="339" spans="1:24" ht="15.75" customHeight="1" x14ac:dyDescent="0.3">
      <c r="A339">
        <v>169</v>
      </c>
      <c r="B339" s="16" t="s">
        <v>250</v>
      </c>
      <c r="C339" s="7">
        <f>Rankings!L178</f>
        <v>8.7117618665171275</v>
      </c>
      <c r="D339" s="7">
        <f>Rankings!M178</f>
        <v>9.5647033785890407</v>
      </c>
      <c r="E339" s="7">
        <f>Rankings!N178</f>
        <v>3.283324151673821</v>
      </c>
      <c r="F339" s="7">
        <f>Rankings!O178</f>
        <v>2.9630818503888054</v>
      </c>
      <c r="G339" s="7">
        <f>Rankings!P178</f>
        <v>1.3219359277692486</v>
      </c>
      <c r="H339" s="7">
        <f>Rankings!Q178</f>
        <v>1</v>
      </c>
      <c r="I339" s="7">
        <f>Rankings!R178</f>
        <v>26.844807174938044</v>
      </c>
      <c r="K339" s="7">
        <f>E339</f>
        <v>3.283324151673821</v>
      </c>
      <c r="L339" s="7">
        <f>C339</f>
        <v>8.7117618665171275</v>
      </c>
      <c r="M339" s="7">
        <f>F339</f>
        <v>2.9630818503888054</v>
      </c>
      <c r="N339" s="7">
        <f>D339</f>
        <v>9.5647033785890407</v>
      </c>
      <c r="O339" s="7">
        <f t="shared" ref="O339:P339" si="310">G339</f>
        <v>1.3219359277692486</v>
      </c>
      <c r="P339" s="7">
        <f t="shared" si="310"/>
        <v>1</v>
      </c>
      <c r="R339" s="7">
        <f t="shared" ref="R339:W339" si="311">K339/$I339</f>
        <v>0.12230760795849892</v>
      </c>
      <c r="S339" s="7">
        <f t="shared" si="311"/>
        <v>0.32452316791644953</v>
      </c>
      <c r="T339" s="7">
        <f t="shared" si="311"/>
        <v>0.11037821322684334</v>
      </c>
      <c r="U339" s="7">
        <f t="shared" si="311"/>
        <v>0.35629622206854666</v>
      </c>
      <c r="V339" s="7">
        <f t="shared" si="311"/>
        <v>4.9243636549693326E-2</v>
      </c>
      <c r="W339" s="7">
        <f t="shared" si="311"/>
        <v>3.7251152279968197E-2</v>
      </c>
      <c r="X339" s="7">
        <f>SUM(R339:W339)</f>
        <v>1</v>
      </c>
    </row>
    <row r="340" spans="1:24" ht="15.75" customHeight="1" x14ac:dyDescent="0.3">
      <c r="C340" t="s">
        <v>69</v>
      </c>
      <c r="D340" t="s">
        <v>71</v>
      </c>
      <c r="E340" t="s">
        <v>68</v>
      </c>
      <c r="F340" t="s">
        <v>70</v>
      </c>
      <c r="G340" t="s">
        <v>73</v>
      </c>
      <c r="H340" t="s">
        <v>72</v>
      </c>
      <c r="K340" t="s">
        <v>68</v>
      </c>
      <c r="L340" t="s">
        <v>69</v>
      </c>
      <c r="M340" t="s">
        <v>70</v>
      </c>
      <c r="N340" t="s">
        <v>71</v>
      </c>
      <c r="O340" t="s">
        <v>72</v>
      </c>
      <c r="P340" t="s">
        <v>73</v>
      </c>
    </row>
    <row r="341" spans="1:24" ht="15.75" customHeight="1" x14ac:dyDescent="0.3">
      <c r="A341">
        <v>170</v>
      </c>
      <c r="B341" s="16" t="s">
        <v>251</v>
      </c>
      <c r="C341" s="7">
        <f>Rankings!L179</f>
        <v>7.2654437918125758</v>
      </c>
      <c r="D341" s="7">
        <f>Rankings!M179</f>
        <v>7.9767807990234481</v>
      </c>
      <c r="E341" s="7">
        <f>Rankings!N179</f>
        <v>2.7382299286635301</v>
      </c>
      <c r="F341" s="7">
        <f>Rankings!O179</f>
        <v>2.471153936987327</v>
      </c>
      <c r="G341" s="7">
        <f>Rankings!P179</f>
        <v>1.2266517321719024</v>
      </c>
      <c r="H341" s="7">
        <f>Rankings!Q179</f>
        <v>1</v>
      </c>
      <c r="I341" s="7">
        <f>Rankings!R179</f>
        <v>22.678260188658783</v>
      </c>
      <c r="K341" s="7">
        <f>E341</f>
        <v>2.7382299286635301</v>
      </c>
      <c r="L341" s="7">
        <f>C341</f>
        <v>7.2654437918125758</v>
      </c>
      <c r="M341" s="7">
        <f>F341</f>
        <v>2.471153936987327</v>
      </c>
      <c r="N341" s="7">
        <f>D341</f>
        <v>7.9767807990234481</v>
      </c>
      <c r="O341" s="7">
        <f>H341</f>
        <v>1</v>
      </c>
      <c r="P341" s="7">
        <f>G341</f>
        <v>1.2266517321719024</v>
      </c>
      <c r="R341" s="7">
        <f t="shared" ref="R341:W341" si="312">K341/$I341</f>
        <v>0.12074250431401687</v>
      </c>
      <c r="S341" s="7">
        <f t="shared" si="312"/>
        <v>0.32037042221810147</v>
      </c>
      <c r="T341" s="7">
        <f t="shared" si="312"/>
        <v>0.10896576352991715</v>
      </c>
      <c r="U341" s="7">
        <f t="shared" si="312"/>
        <v>0.35173689395329244</v>
      </c>
      <c r="V341" s="7">
        <f t="shared" si="312"/>
        <v>4.4095093348478824E-2</v>
      </c>
      <c r="W341" s="7">
        <f t="shared" si="312"/>
        <v>5.4089322636193281E-2</v>
      </c>
      <c r="X341" s="7">
        <f>SUM(R341:W341)</f>
        <v>1</v>
      </c>
    </row>
    <row r="342" spans="1:24" ht="15.75" customHeight="1" x14ac:dyDescent="0.3">
      <c r="C342" t="s">
        <v>69</v>
      </c>
      <c r="D342" t="s">
        <v>71</v>
      </c>
      <c r="E342" t="s">
        <v>68</v>
      </c>
      <c r="F342" t="s">
        <v>72</v>
      </c>
      <c r="G342" t="s">
        <v>70</v>
      </c>
      <c r="H342" t="s">
        <v>73</v>
      </c>
      <c r="K342" t="s">
        <v>68</v>
      </c>
      <c r="L342" t="s">
        <v>69</v>
      </c>
      <c r="M342" t="s">
        <v>70</v>
      </c>
      <c r="N342" t="s">
        <v>71</v>
      </c>
      <c r="O342" t="s">
        <v>72</v>
      </c>
      <c r="P342" t="s">
        <v>73</v>
      </c>
    </row>
    <row r="343" spans="1:24" ht="15.75" customHeight="1" x14ac:dyDescent="0.3">
      <c r="A343">
        <v>171</v>
      </c>
      <c r="B343" s="16" t="s">
        <v>252</v>
      </c>
      <c r="C343" s="7">
        <f>Rankings!L180</f>
        <v>11.449116275467212</v>
      </c>
      <c r="D343" s="7">
        <f>Rankings!M180</f>
        <v>12.570063644955889</v>
      </c>
      <c r="E343" s="7">
        <f>Rankings!N180</f>
        <v>4.3149893854469976</v>
      </c>
      <c r="F343" s="7">
        <f>Rankings!O180</f>
        <v>3.9780087838646128</v>
      </c>
      <c r="G343" s="7">
        <f>Rankings!P180</f>
        <v>2.0145521929129111</v>
      </c>
      <c r="H343" s="7">
        <f>Rankings!Q180</f>
        <v>1</v>
      </c>
      <c r="I343" s="7">
        <f>Rankings!R180</f>
        <v>35.326730282647617</v>
      </c>
      <c r="K343" s="7">
        <f>E343</f>
        <v>4.3149893854469976</v>
      </c>
      <c r="L343" s="7">
        <f>C343</f>
        <v>11.449116275467212</v>
      </c>
      <c r="M343" s="7">
        <f>G343</f>
        <v>2.0145521929129111</v>
      </c>
      <c r="N343" s="7">
        <f>D343</f>
        <v>12.570063644955889</v>
      </c>
      <c r="O343" s="7">
        <f>F343</f>
        <v>3.9780087838646128</v>
      </c>
      <c r="P343" s="7">
        <f>H343</f>
        <v>1</v>
      </c>
      <c r="R343" s="7">
        <f t="shared" ref="R343:W343" si="313">K343/$I343</f>
        <v>0.12214516743901735</v>
      </c>
      <c r="S343" s="7">
        <f t="shared" si="313"/>
        <v>0.32409215865332952</v>
      </c>
      <c r="T343" s="7">
        <f t="shared" si="313"/>
        <v>5.7026285104637975E-2</v>
      </c>
      <c r="U343" s="7">
        <f t="shared" si="313"/>
        <v>0.35582301402884903</v>
      </c>
      <c r="V343" s="7">
        <f t="shared" si="313"/>
        <v>0.1126061979706794</v>
      </c>
      <c r="W343" s="7">
        <f t="shared" si="313"/>
        <v>2.8307176803486878E-2</v>
      </c>
      <c r="X343" s="7">
        <f>SUM(R343:W343)</f>
        <v>1</v>
      </c>
    </row>
    <row r="344" spans="1:24" ht="15.75" customHeight="1" x14ac:dyDescent="0.3">
      <c r="C344" t="s">
        <v>69</v>
      </c>
      <c r="D344" t="s">
        <v>71</v>
      </c>
      <c r="E344" t="s">
        <v>68</v>
      </c>
      <c r="F344" t="s">
        <v>72</v>
      </c>
      <c r="G344" t="s">
        <v>73</v>
      </c>
      <c r="H344" t="s">
        <v>70</v>
      </c>
      <c r="K344" t="s">
        <v>68</v>
      </c>
      <c r="L344" t="s">
        <v>69</v>
      </c>
      <c r="M344" t="s">
        <v>70</v>
      </c>
      <c r="N344" t="s">
        <v>71</v>
      </c>
      <c r="O344" t="s">
        <v>72</v>
      </c>
      <c r="P344" t="s">
        <v>73</v>
      </c>
    </row>
    <row r="345" spans="1:24" ht="15.75" customHeight="1" x14ac:dyDescent="0.3">
      <c r="A345">
        <v>172</v>
      </c>
      <c r="B345" s="16" t="s">
        <v>253</v>
      </c>
      <c r="C345" s="7">
        <f>Rankings!L181</f>
        <v>5.3388755563197297</v>
      </c>
      <c r="D345" s="7">
        <f>Rankings!M181</f>
        <v>5.8615882589330832</v>
      </c>
      <c r="E345" s="7">
        <f>Rankings!N181</f>
        <v>2.0121370769118134</v>
      </c>
      <c r="F345" s="7">
        <f>Rankings!O181</f>
        <v>1.8549985298435865</v>
      </c>
      <c r="G345" s="7">
        <f>Rankings!P181</f>
        <v>1.4032439022773779</v>
      </c>
      <c r="H345" s="7">
        <f>Rankings!Q181</f>
        <v>1</v>
      </c>
      <c r="I345" s="7">
        <f>Rankings!R181</f>
        <v>17.470843324285589</v>
      </c>
      <c r="K345" s="7">
        <f>E345</f>
        <v>2.0121370769118134</v>
      </c>
      <c r="L345" s="7">
        <f>C345</f>
        <v>5.3388755563197297</v>
      </c>
      <c r="M345" s="7">
        <f>H345</f>
        <v>1</v>
      </c>
      <c r="N345" s="7">
        <f>D345</f>
        <v>5.8615882589330832</v>
      </c>
      <c r="O345" s="7">
        <f t="shared" ref="O345:P345" si="314">F345</f>
        <v>1.8549985298435865</v>
      </c>
      <c r="P345" s="7">
        <f t="shared" si="314"/>
        <v>1.4032439022773779</v>
      </c>
      <c r="R345" s="7">
        <f t="shared" ref="R345:W345" si="315">K345/$I345</f>
        <v>0.11517114769810878</v>
      </c>
      <c r="S345" s="7">
        <f t="shared" si="315"/>
        <v>0.30558774165745917</v>
      </c>
      <c r="T345" s="7">
        <f t="shared" si="315"/>
        <v>5.7238221500729505E-2</v>
      </c>
      <c r="U345" s="7">
        <f t="shared" si="315"/>
        <v>0.33550688711088728</v>
      </c>
      <c r="V345" s="7">
        <f t="shared" si="315"/>
        <v>0.1061768167347148</v>
      </c>
      <c r="W345" s="7">
        <f t="shared" si="315"/>
        <v>8.0319185298100587E-2</v>
      </c>
      <c r="X345" s="7">
        <f>SUM(R345:W345)</f>
        <v>1.0000000000000002</v>
      </c>
    </row>
    <row r="346" spans="1:24" ht="15.75" customHeight="1" x14ac:dyDescent="0.3">
      <c r="C346" t="s">
        <v>69</v>
      </c>
      <c r="D346" t="s">
        <v>71</v>
      </c>
      <c r="E346" t="s">
        <v>68</v>
      </c>
      <c r="F346" t="s">
        <v>73</v>
      </c>
      <c r="G346" t="s">
        <v>70</v>
      </c>
      <c r="H346" t="s">
        <v>72</v>
      </c>
      <c r="K346" t="s">
        <v>68</v>
      </c>
      <c r="L346" t="s">
        <v>69</v>
      </c>
      <c r="M346" t="s">
        <v>70</v>
      </c>
      <c r="N346" t="s">
        <v>71</v>
      </c>
      <c r="O346" t="s">
        <v>72</v>
      </c>
      <c r="P346" t="s">
        <v>73</v>
      </c>
    </row>
    <row r="347" spans="1:24" ht="15.75" customHeight="1" x14ac:dyDescent="0.3">
      <c r="A347">
        <v>173</v>
      </c>
      <c r="B347" s="16" t="s">
        <v>254</v>
      </c>
      <c r="C347" s="7">
        <f>Rankings!L182</f>
        <v>9.6922346728122317</v>
      </c>
      <c r="D347" s="7">
        <f>Rankings!M182</f>
        <v>10.641171228224449</v>
      </c>
      <c r="E347" s="7">
        <f>Rankings!N182</f>
        <v>3.6528487202161348</v>
      </c>
      <c r="F347" s="7">
        <f>Rankings!O182</f>
        <v>3.1453313667957521</v>
      </c>
      <c r="G347" s="7">
        <f>Rankings!P182</f>
        <v>2.2414716085286912</v>
      </c>
      <c r="H347" s="7">
        <f>Rankings!Q182</f>
        <v>1</v>
      </c>
      <c r="I347" s="7">
        <f>Rankings!R182</f>
        <v>30.373057596577258</v>
      </c>
      <c r="K347" s="7">
        <f>E347</f>
        <v>3.6528487202161348</v>
      </c>
      <c r="L347" s="7">
        <f>C347</f>
        <v>9.6922346728122317</v>
      </c>
      <c r="M347" s="7">
        <f>G347</f>
        <v>2.2414716085286912</v>
      </c>
      <c r="N347" s="7">
        <f>D347</f>
        <v>10.641171228224449</v>
      </c>
      <c r="O347" s="7">
        <f>H347</f>
        <v>1</v>
      </c>
      <c r="P347" s="7">
        <f>F347</f>
        <v>3.1453313667957521</v>
      </c>
      <c r="R347" s="7">
        <f t="shared" ref="R347:W347" si="316">K347/$I347</f>
        <v>0.12026608478916441</v>
      </c>
      <c r="S347" s="7">
        <f t="shared" si="316"/>
        <v>0.31910632118593324</v>
      </c>
      <c r="T347" s="7">
        <f t="shared" si="316"/>
        <v>7.3798023178979613E-2</v>
      </c>
      <c r="U347" s="7">
        <f t="shared" si="316"/>
        <v>0.3503490287202301</v>
      </c>
      <c r="V347" s="7">
        <f t="shared" si="316"/>
        <v>3.2923916099664927E-2</v>
      </c>
      <c r="W347" s="7">
        <f t="shared" si="316"/>
        <v>0.10355662602602775</v>
      </c>
      <c r="X347" s="7">
        <f>SUM(R347:W347)</f>
        <v>1</v>
      </c>
    </row>
    <row r="348" spans="1:24" ht="15.75" customHeight="1" x14ac:dyDescent="0.3">
      <c r="C348" t="s">
        <v>69</v>
      </c>
      <c r="D348" t="s">
        <v>71</v>
      </c>
      <c r="E348" t="s">
        <v>68</v>
      </c>
      <c r="F348" t="s">
        <v>73</v>
      </c>
      <c r="G348" t="s">
        <v>72</v>
      </c>
      <c r="H348" t="s">
        <v>70</v>
      </c>
      <c r="K348" t="s">
        <v>68</v>
      </c>
      <c r="L348" t="s">
        <v>69</v>
      </c>
      <c r="M348" t="s">
        <v>70</v>
      </c>
      <c r="N348" t="s">
        <v>71</v>
      </c>
      <c r="O348" t="s">
        <v>72</v>
      </c>
      <c r="P348" t="s">
        <v>73</v>
      </c>
    </row>
    <row r="349" spans="1:24" ht="15.75" customHeight="1" x14ac:dyDescent="0.3">
      <c r="A349">
        <v>174</v>
      </c>
      <c r="B349" s="16" t="s">
        <v>255</v>
      </c>
      <c r="C349" s="7">
        <f>Rankings!L183</f>
        <v>7.4639033245997606</v>
      </c>
      <c r="D349" s="7">
        <f>Rankings!M183</f>
        <v>8.1946708874863088</v>
      </c>
      <c r="E349" s="7">
        <f>Rankings!N183</f>
        <v>2.8130261624350772</v>
      </c>
      <c r="F349" s="7">
        <f>Rankings!O183</f>
        <v>2.4221915830668759</v>
      </c>
      <c r="G349" s="7">
        <f>Rankings!P183</f>
        <v>1.9746367445127702</v>
      </c>
      <c r="H349" s="7">
        <f>Rankings!Q183</f>
        <v>1</v>
      </c>
      <c r="I349" s="7">
        <f>Rankings!R183</f>
        <v>23.868428702100793</v>
      </c>
      <c r="K349" s="7">
        <f>E349</f>
        <v>2.8130261624350772</v>
      </c>
      <c r="L349" s="7">
        <f>C349</f>
        <v>7.4639033245997606</v>
      </c>
      <c r="M349" s="7">
        <f>H349</f>
        <v>1</v>
      </c>
      <c r="N349" s="7">
        <f>D349</f>
        <v>8.1946708874863088</v>
      </c>
      <c r="O349" s="7">
        <f>G349</f>
        <v>1.9746367445127702</v>
      </c>
      <c r="P349" s="7">
        <f>F349</f>
        <v>2.4221915830668759</v>
      </c>
      <c r="R349" s="7">
        <f t="shared" ref="R349:W349" si="317">K349/$I349</f>
        <v>0.11785552361004338</v>
      </c>
      <c r="S349" s="7">
        <f t="shared" si="317"/>
        <v>0.31271029265293954</v>
      </c>
      <c r="T349" s="7">
        <f t="shared" si="317"/>
        <v>4.1896348204604875E-2</v>
      </c>
      <c r="U349" s="7">
        <f t="shared" si="317"/>
        <v>0.34332678492426483</v>
      </c>
      <c r="V349" s="7">
        <f t="shared" si="317"/>
        <v>8.2730068625714415E-2</v>
      </c>
      <c r="W349" s="7">
        <f t="shared" si="317"/>
        <v>0.10148098198243294</v>
      </c>
      <c r="X349" s="7">
        <f>SUM(R349:W349)</f>
        <v>1</v>
      </c>
    </row>
    <row r="350" spans="1:24" ht="15.75" customHeight="1" x14ac:dyDescent="0.3">
      <c r="C350" t="s">
        <v>69</v>
      </c>
      <c r="D350" t="s">
        <v>71</v>
      </c>
      <c r="E350" t="s">
        <v>70</v>
      </c>
      <c r="F350" t="s">
        <v>68</v>
      </c>
      <c r="G350" t="s">
        <v>72</v>
      </c>
      <c r="H350" t="s">
        <v>73</v>
      </c>
      <c r="K350" t="s">
        <v>68</v>
      </c>
      <c r="L350" t="s">
        <v>69</v>
      </c>
      <c r="M350" t="s">
        <v>70</v>
      </c>
      <c r="N350" t="s">
        <v>71</v>
      </c>
      <c r="O350" t="s">
        <v>72</v>
      </c>
      <c r="P350" t="s">
        <v>73</v>
      </c>
    </row>
    <row r="351" spans="1:24" ht="15.75" customHeight="1" x14ac:dyDescent="0.3">
      <c r="A351">
        <v>175</v>
      </c>
      <c r="B351" s="16" t="s">
        <v>256</v>
      </c>
      <c r="C351" s="7">
        <f>Rankings!L184</f>
        <v>4.9772840819729822</v>
      </c>
      <c r="D351" s="7">
        <f>Rankings!M184</f>
        <v>5.4645944878285464</v>
      </c>
      <c r="E351" s="7">
        <f>Rankings!N184</f>
        <v>2.4407933532450623</v>
      </c>
      <c r="F351" s="7">
        <f>Rankings!O184</f>
        <v>1.4339182758223568</v>
      </c>
      <c r="G351" s="7">
        <f>Rankings!P184</f>
        <v>1.3219359277692486</v>
      </c>
      <c r="H351" s="7">
        <f>Rankings!Q184</f>
        <v>1</v>
      </c>
      <c r="I351" s="7">
        <f>Rankings!R184</f>
        <v>16.638526126638197</v>
      </c>
      <c r="K351" s="7">
        <f>F351</f>
        <v>1.4339182758223568</v>
      </c>
      <c r="L351" s="7">
        <f>C351</f>
        <v>4.9772840819729822</v>
      </c>
      <c r="M351" s="7">
        <f>E351</f>
        <v>2.4407933532450623</v>
      </c>
      <c r="N351" s="7">
        <f>D351</f>
        <v>5.4645944878285464</v>
      </c>
      <c r="O351" s="7">
        <f t="shared" ref="O351:P351" si="318">G351</f>
        <v>1.3219359277692486</v>
      </c>
      <c r="P351" s="7">
        <f t="shared" si="318"/>
        <v>1</v>
      </c>
      <c r="R351" s="7">
        <f t="shared" ref="R351:W351" si="319">K351/$I351</f>
        <v>8.6180606678055507E-2</v>
      </c>
      <c r="S351" s="7">
        <f t="shared" si="319"/>
        <v>0.29914212617693192</v>
      </c>
      <c r="T351" s="7">
        <f t="shared" si="319"/>
        <v>0.14669528626921854</v>
      </c>
      <c r="U351" s="7">
        <f t="shared" si="319"/>
        <v>0.32843020146356339</v>
      </c>
      <c r="V351" s="7">
        <f t="shared" si="319"/>
        <v>7.9450302130597728E-2</v>
      </c>
      <c r="W351" s="7">
        <f t="shared" si="319"/>
        <v>6.0101477281632835E-2</v>
      </c>
      <c r="X351" s="7">
        <f>SUM(R351:W351)</f>
        <v>1</v>
      </c>
    </row>
    <row r="352" spans="1:24" ht="15.75" customHeight="1" x14ac:dyDescent="0.3">
      <c r="C352" t="s">
        <v>69</v>
      </c>
      <c r="D352" t="s">
        <v>71</v>
      </c>
      <c r="E352" t="s">
        <v>70</v>
      </c>
      <c r="F352" t="s">
        <v>68</v>
      </c>
      <c r="G352" t="s">
        <v>73</v>
      </c>
      <c r="H352" t="s">
        <v>72</v>
      </c>
      <c r="K352" t="s">
        <v>68</v>
      </c>
      <c r="L352" t="s">
        <v>69</v>
      </c>
      <c r="M352" t="s">
        <v>70</v>
      </c>
      <c r="N352" t="s">
        <v>71</v>
      </c>
      <c r="O352" t="s">
        <v>72</v>
      </c>
      <c r="P352" t="s">
        <v>73</v>
      </c>
    </row>
    <row r="353" spans="1:24" ht="15.75" customHeight="1" x14ac:dyDescent="0.3">
      <c r="A353">
        <v>176</v>
      </c>
      <c r="B353" s="16" t="s">
        <v>257</v>
      </c>
      <c r="C353" s="7">
        <f>Rankings!L185</f>
        <v>4.944866671447949</v>
      </c>
      <c r="D353" s="7">
        <f>Rankings!M185</f>
        <v>5.429003189452315</v>
      </c>
      <c r="E353" s="7">
        <f>Rankings!N185</f>
        <v>2.4248962899398965</v>
      </c>
      <c r="F353" s="7">
        <f>Rankings!O185</f>
        <v>1.4245790625805328</v>
      </c>
      <c r="G353" s="7">
        <f>Rankings!P185</f>
        <v>1.2266517321719024</v>
      </c>
      <c r="H353" s="7">
        <f>Rankings!Q185</f>
        <v>1</v>
      </c>
      <c r="I353" s="7">
        <f>Rankings!R185</f>
        <v>16.449996945592595</v>
      </c>
      <c r="K353" s="7">
        <f>F353</f>
        <v>1.4245790625805328</v>
      </c>
      <c r="L353" s="7">
        <f>C353</f>
        <v>4.944866671447949</v>
      </c>
      <c r="M353" s="7">
        <f>E353</f>
        <v>2.4248962899398965</v>
      </c>
      <c r="N353" s="7">
        <f>D353</f>
        <v>5.429003189452315</v>
      </c>
      <c r="O353" s="7">
        <f>H353</f>
        <v>1</v>
      </c>
      <c r="P353" s="7">
        <f>G353</f>
        <v>1.2266517321719024</v>
      </c>
      <c r="R353" s="7">
        <f t="shared" ref="R353:W353" si="320">K353/$I353</f>
        <v>8.6600566996592451E-2</v>
      </c>
      <c r="S353" s="7">
        <f t="shared" si="320"/>
        <v>0.30059985347126855</v>
      </c>
      <c r="T353" s="7">
        <f t="shared" si="320"/>
        <v>0.1474101361817938</v>
      </c>
      <c r="U353" s="7">
        <f t="shared" si="320"/>
        <v>0.33003065030397427</v>
      </c>
      <c r="V353" s="7">
        <f t="shared" si="320"/>
        <v>6.0790284843665422E-2</v>
      </c>
      <c r="W353" s="7">
        <f t="shared" si="320"/>
        <v>7.4568508202705538E-2</v>
      </c>
      <c r="X353" s="7">
        <f>SUM(R353:W353)</f>
        <v>1</v>
      </c>
    </row>
    <row r="354" spans="1:24" ht="15.75" customHeight="1" x14ac:dyDescent="0.3">
      <c r="C354" t="s">
        <v>69</v>
      </c>
      <c r="D354" t="s">
        <v>71</v>
      </c>
      <c r="E354" t="s">
        <v>70</v>
      </c>
      <c r="F354" t="s">
        <v>72</v>
      </c>
      <c r="G354" t="s">
        <v>68</v>
      </c>
      <c r="H354" t="s">
        <v>73</v>
      </c>
      <c r="K354" t="s">
        <v>68</v>
      </c>
      <c r="L354" t="s">
        <v>69</v>
      </c>
      <c r="M354" t="s">
        <v>70</v>
      </c>
      <c r="N354" t="s">
        <v>71</v>
      </c>
      <c r="O354" t="s">
        <v>72</v>
      </c>
      <c r="P354" t="s">
        <v>73</v>
      </c>
    </row>
    <row r="355" spans="1:24" ht="15.75" customHeight="1" x14ac:dyDescent="0.3">
      <c r="A355">
        <v>177</v>
      </c>
      <c r="B355" s="16" t="s">
        <v>258</v>
      </c>
      <c r="C355" s="7">
        <f>Rankings!L186</f>
        <v>8.1246621154820868</v>
      </c>
      <c r="D355" s="7">
        <f>Rankings!M186</f>
        <v>8.9201225167227314</v>
      </c>
      <c r="E355" s="7">
        <f>Rankings!N186</f>
        <v>3.9842253249426416</v>
      </c>
      <c r="F355" s="7">
        <f>Rankings!O186</f>
        <v>1.7775042564817045</v>
      </c>
      <c r="G355" s="7">
        <f>Rankings!P186</f>
        <v>1.1613557664474019</v>
      </c>
      <c r="H355" s="7">
        <f>Rankings!Q186</f>
        <v>1</v>
      </c>
      <c r="I355" s="7">
        <f>Rankings!R186</f>
        <v>24.967869980076564</v>
      </c>
      <c r="K355" s="7">
        <f>G355</f>
        <v>1.1613557664474019</v>
      </c>
      <c r="L355" s="7">
        <f>C355</f>
        <v>8.1246621154820868</v>
      </c>
      <c r="M355" s="7">
        <f>E355</f>
        <v>3.9842253249426416</v>
      </c>
      <c r="N355" s="7">
        <f>D355</f>
        <v>8.9201225167227314</v>
      </c>
      <c r="O355" s="7">
        <f>F355</f>
        <v>1.7775042564817045</v>
      </c>
      <c r="P355" s="7">
        <f>H355</f>
        <v>1</v>
      </c>
      <c r="R355" s="7">
        <f t="shared" ref="R355:W355" si="321">K355/$I355</f>
        <v>4.6514010501261055E-2</v>
      </c>
      <c r="S355" s="7">
        <f t="shared" si="321"/>
        <v>0.32540469499261515</v>
      </c>
      <c r="T355" s="7">
        <f t="shared" si="321"/>
        <v>0.15957409775531137</v>
      </c>
      <c r="U355" s="7">
        <f t="shared" si="321"/>
        <v>0.35726405671932204</v>
      </c>
      <c r="V355" s="7">
        <f t="shared" si="321"/>
        <v>7.1191665844947405E-2</v>
      </c>
      <c r="W355" s="7">
        <f t="shared" si="321"/>
        <v>4.0051474186543062E-2</v>
      </c>
      <c r="X355" s="7">
        <f>SUM(R355:W355)</f>
        <v>1</v>
      </c>
    </row>
    <row r="356" spans="1:24" ht="15.75" customHeight="1" x14ac:dyDescent="0.3">
      <c r="C356" t="s">
        <v>69</v>
      </c>
      <c r="D356" t="s">
        <v>71</v>
      </c>
      <c r="E356" t="s">
        <v>70</v>
      </c>
      <c r="F356" t="s">
        <v>72</v>
      </c>
      <c r="G356" t="s">
        <v>73</v>
      </c>
      <c r="H356" t="s">
        <v>68</v>
      </c>
      <c r="K356" t="s">
        <v>68</v>
      </c>
      <c r="L356" t="s">
        <v>69</v>
      </c>
      <c r="M356" t="s">
        <v>70</v>
      </c>
      <c r="N356" t="s">
        <v>71</v>
      </c>
      <c r="O356" t="s">
        <v>72</v>
      </c>
      <c r="P356" t="s">
        <v>73</v>
      </c>
    </row>
    <row r="357" spans="1:24" ht="15.75" customHeight="1" x14ac:dyDescent="0.3">
      <c r="A357">
        <v>178</v>
      </c>
      <c r="B357" s="16" t="s">
        <v>259</v>
      </c>
      <c r="C357" s="7">
        <f>Rankings!L187</f>
        <v>9.9079459883358716</v>
      </c>
      <c r="D357" s="7">
        <f>Rankings!M187</f>
        <v>10.878002167821023</v>
      </c>
      <c r="E357" s="7">
        <f>Rankings!N187</f>
        <v>4.8587238169164539</v>
      </c>
      <c r="F357" s="7">
        <f>Rankings!O187</f>
        <v>2.1676490562848283</v>
      </c>
      <c r="G357" s="7">
        <f>Rankings!P187</f>
        <v>1.6397534939100344</v>
      </c>
      <c r="H357" s="7">
        <f>Rankings!Q187</f>
        <v>1</v>
      </c>
      <c r="I357" s="7">
        <f>Rankings!R187</f>
        <v>30.452074523268216</v>
      </c>
      <c r="K357" s="7">
        <f>H357</f>
        <v>1</v>
      </c>
      <c r="L357" s="7">
        <f>C357</f>
        <v>9.9079459883358716</v>
      </c>
      <c r="M357" s="7">
        <f>E357</f>
        <v>4.8587238169164539</v>
      </c>
      <c r="N357" s="7">
        <f>D357</f>
        <v>10.878002167821023</v>
      </c>
      <c r="O357" s="7">
        <f t="shared" ref="O357:P357" si="322">F357</f>
        <v>2.1676490562848283</v>
      </c>
      <c r="P357" s="7">
        <f t="shared" si="322"/>
        <v>1.6397534939100344</v>
      </c>
      <c r="R357" s="7">
        <f t="shared" ref="R357:W357" si="323">K357/$I357</f>
        <v>3.283848524789032E-2</v>
      </c>
      <c r="S357" s="7">
        <f t="shared" si="323"/>
        <v>0.32536193817486159</v>
      </c>
      <c r="T357" s="7">
        <f t="shared" si="323"/>
        <v>0.15955313038538432</v>
      </c>
      <c r="U357" s="7">
        <f t="shared" si="323"/>
        <v>0.35721711371450959</v>
      </c>
      <c r="V357" s="7">
        <f t="shared" si="323"/>
        <v>7.1182311557412711E-2</v>
      </c>
      <c r="W357" s="7">
        <f t="shared" si="323"/>
        <v>5.3847020919941278E-2</v>
      </c>
      <c r="X357" s="7">
        <f>SUM(R357:W357)</f>
        <v>0.99999999999999989</v>
      </c>
    </row>
    <row r="358" spans="1:24" ht="15.75" customHeight="1" x14ac:dyDescent="0.3">
      <c r="C358" t="s">
        <v>69</v>
      </c>
      <c r="D358" t="s">
        <v>71</v>
      </c>
      <c r="E358" t="s">
        <v>70</v>
      </c>
      <c r="F358" t="s">
        <v>73</v>
      </c>
      <c r="G358" t="s">
        <v>68</v>
      </c>
      <c r="H358" t="s">
        <v>72</v>
      </c>
      <c r="K358" t="s">
        <v>68</v>
      </c>
      <c r="L358" t="s">
        <v>69</v>
      </c>
      <c r="M358" t="s">
        <v>70</v>
      </c>
      <c r="N358" t="s">
        <v>71</v>
      </c>
      <c r="O358" t="s">
        <v>72</v>
      </c>
      <c r="P358" t="s">
        <v>73</v>
      </c>
    </row>
    <row r="359" spans="1:24" ht="15.75" customHeight="1" x14ac:dyDescent="0.3">
      <c r="A359">
        <v>179</v>
      </c>
      <c r="B359" s="16" t="s">
        <v>260</v>
      </c>
      <c r="C359" s="7">
        <f>Rankings!L188</f>
        <v>7.3068888257110931</v>
      </c>
      <c r="D359" s="7">
        <f>Rankings!M188</f>
        <v>8.0222835873031002</v>
      </c>
      <c r="E359" s="7">
        <f>Rankings!N188</f>
        <v>3.5832002724720224</v>
      </c>
      <c r="F359" s="7">
        <f>Rankings!O188</f>
        <v>1.7786584458211274</v>
      </c>
      <c r="G359" s="7">
        <f>Rankings!P188</f>
        <v>1.0847108741813811</v>
      </c>
      <c r="H359" s="7">
        <f>Rankings!Q188</f>
        <v>1</v>
      </c>
      <c r="I359" s="7">
        <f>Rankings!R188</f>
        <v>22.775742005488723</v>
      </c>
      <c r="K359" s="7">
        <f>G359</f>
        <v>1.0847108741813811</v>
      </c>
      <c r="L359" s="7">
        <f>C359</f>
        <v>7.3068888257110931</v>
      </c>
      <c r="M359" s="7">
        <f>E359</f>
        <v>3.5832002724720224</v>
      </c>
      <c r="N359" s="7">
        <f>D359</f>
        <v>8.0222835873031002</v>
      </c>
      <c r="O359" s="7">
        <f>H359</f>
        <v>1</v>
      </c>
      <c r="P359" s="7">
        <f>F359</f>
        <v>1.7786584458211274</v>
      </c>
      <c r="R359" s="7">
        <f t="shared" ref="R359:W359" si="324">K359/$I359</f>
        <v>4.762570957819845E-2</v>
      </c>
      <c r="S359" s="7">
        <f t="shared" si="324"/>
        <v>0.32081891443757166</v>
      </c>
      <c r="T359" s="7">
        <f t="shared" si="324"/>
        <v>0.15732529248041655</v>
      </c>
      <c r="U359" s="7">
        <f t="shared" si="324"/>
        <v>0.35222929665122704</v>
      </c>
      <c r="V359" s="7">
        <f t="shared" si="324"/>
        <v>4.3906363171790849E-2</v>
      </c>
      <c r="W359" s="7">
        <f t="shared" si="324"/>
        <v>7.8094423680795499E-2</v>
      </c>
      <c r="X359" s="7">
        <f>SUM(R359:W359)</f>
        <v>1</v>
      </c>
    </row>
    <row r="360" spans="1:24" ht="15.75" customHeight="1" x14ac:dyDescent="0.3">
      <c r="C360" t="s">
        <v>69</v>
      </c>
      <c r="D360" t="s">
        <v>71</v>
      </c>
      <c r="E360" t="s">
        <v>70</v>
      </c>
      <c r="F360" t="s">
        <v>73</v>
      </c>
      <c r="G360" t="s">
        <v>72</v>
      </c>
      <c r="H360" t="s">
        <v>68</v>
      </c>
      <c r="K360" t="s">
        <v>68</v>
      </c>
      <c r="L360" t="s">
        <v>69</v>
      </c>
      <c r="M360" t="s">
        <v>70</v>
      </c>
      <c r="N360" t="s">
        <v>71</v>
      </c>
      <c r="O360" t="s">
        <v>72</v>
      </c>
      <c r="P360" t="s">
        <v>73</v>
      </c>
    </row>
    <row r="361" spans="1:24" ht="15.75" customHeight="1" x14ac:dyDescent="0.3">
      <c r="A361">
        <v>180</v>
      </c>
      <c r="B361" s="16" t="s">
        <v>261</v>
      </c>
      <c r="C361" s="7">
        <f>Rankings!L189</f>
        <v>7.7127026082557819</v>
      </c>
      <c r="D361" s="7">
        <f>Rankings!M189</f>
        <v>8.4678293352764626</v>
      </c>
      <c r="E361" s="7">
        <f>Rankings!N189</f>
        <v>3.7822059082318527</v>
      </c>
      <c r="F361" s="7">
        <f>Rankings!O189</f>
        <v>1.8774425013844043</v>
      </c>
      <c r="G361" s="7">
        <f>Rankings!P189</f>
        <v>1.530542412441888</v>
      </c>
      <c r="H361" s="7">
        <f>Rankings!Q189</f>
        <v>1</v>
      </c>
      <c r="I361" s="7">
        <f>Rankings!R189</f>
        <v>24.37072276559039</v>
      </c>
      <c r="K361" s="7">
        <f>H361</f>
        <v>1</v>
      </c>
      <c r="L361" s="7">
        <f>C361</f>
        <v>7.7127026082557819</v>
      </c>
      <c r="M361" s="7">
        <f>E361</f>
        <v>3.7822059082318527</v>
      </c>
      <c r="N361" s="7">
        <f>D361</f>
        <v>8.4678293352764626</v>
      </c>
      <c r="O361" s="7">
        <f>G361</f>
        <v>1.530542412441888</v>
      </c>
      <c r="P361" s="7">
        <f>F361</f>
        <v>1.8774425013844043</v>
      </c>
      <c r="R361" s="7">
        <f t="shared" ref="R361:W361" si="325">K361/$I361</f>
        <v>4.1032841316135445E-2</v>
      </c>
      <c r="S361" s="7">
        <f t="shared" si="325"/>
        <v>0.31647410224310346</v>
      </c>
      <c r="T361" s="7">
        <f t="shared" si="325"/>
        <v>0.15519465485742753</v>
      </c>
      <c r="U361" s="7">
        <f t="shared" si="325"/>
        <v>0.34745909740651576</v>
      </c>
      <c r="V361" s="7">
        <f t="shared" si="325"/>
        <v>6.2802503937343115E-2</v>
      </c>
      <c r="W361" s="7">
        <f t="shared" si="325"/>
        <v>7.7036800239474665E-2</v>
      </c>
      <c r="X361" s="7">
        <f>SUM(R361:W361)</f>
        <v>1</v>
      </c>
    </row>
    <row r="362" spans="1:24" ht="15.75" customHeight="1" x14ac:dyDescent="0.3">
      <c r="C362" t="s">
        <v>69</v>
      </c>
      <c r="D362" t="s">
        <v>71</v>
      </c>
      <c r="E362" t="s">
        <v>72</v>
      </c>
      <c r="F362" t="s">
        <v>68</v>
      </c>
      <c r="G362" t="s">
        <v>70</v>
      </c>
      <c r="H362" t="s">
        <v>73</v>
      </c>
      <c r="K362" t="s">
        <v>68</v>
      </c>
      <c r="L362" t="s">
        <v>69</v>
      </c>
      <c r="M362" t="s">
        <v>70</v>
      </c>
      <c r="N362" t="s">
        <v>71</v>
      </c>
      <c r="O362" t="s">
        <v>72</v>
      </c>
      <c r="P362" t="s">
        <v>73</v>
      </c>
    </row>
    <row r="363" spans="1:24" ht="15.75" customHeight="1" x14ac:dyDescent="0.3">
      <c r="A363">
        <v>181</v>
      </c>
      <c r="B363" s="16" t="s">
        <v>262</v>
      </c>
      <c r="C363" s="7">
        <f>Rankings!L190</f>
        <v>5.8959253571887524</v>
      </c>
      <c r="D363" s="7">
        <f>Rankings!M190</f>
        <v>6.4731770734634759</v>
      </c>
      <c r="E363" s="7">
        <f>Rankings!N190</f>
        <v>3.4165989668613914</v>
      </c>
      <c r="F363" s="7">
        <f>Rankings!O190</f>
        <v>2.2322798369307613</v>
      </c>
      <c r="G363" s="7">
        <f>Rankings!P190</f>
        <v>2.0145521929129111</v>
      </c>
      <c r="H363" s="7">
        <f>Rankings!Q190</f>
        <v>1</v>
      </c>
      <c r="I363" s="7">
        <f>Rankings!R190</f>
        <v>21.032533427357293</v>
      </c>
      <c r="K363" s="7">
        <f>F363</f>
        <v>2.2322798369307613</v>
      </c>
      <c r="L363" s="7">
        <f>C363</f>
        <v>5.8959253571887524</v>
      </c>
      <c r="M363" s="7">
        <f>G363</f>
        <v>2.0145521929129111</v>
      </c>
      <c r="N363" s="7">
        <f t="shared" ref="N363:O363" si="326">D363</f>
        <v>6.4731770734634759</v>
      </c>
      <c r="O363" s="7">
        <f t="shared" si="326"/>
        <v>3.4165989668613914</v>
      </c>
      <c r="P363" s="7">
        <f>H363</f>
        <v>1</v>
      </c>
      <c r="R363" s="7">
        <f t="shared" ref="R363:W363" si="327">K363/$I363</f>
        <v>0.10613461495928043</v>
      </c>
      <c r="S363" s="7">
        <f t="shared" si="327"/>
        <v>0.28032406925928594</v>
      </c>
      <c r="T363" s="7">
        <f t="shared" si="327"/>
        <v>9.5782669257168829E-2</v>
      </c>
      <c r="U363" s="7">
        <f t="shared" si="327"/>
        <v>0.30776972711445827</v>
      </c>
      <c r="V363" s="7">
        <f t="shared" si="327"/>
        <v>0.16244352962336797</v>
      </c>
      <c r="W363" s="7">
        <f t="shared" si="327"/>
        <v>4.7545389786438512E-2</v>
      </c>
      <c r="X363" s="7">
        <f>SUM(R363:W363)</f>
        <v>0.99999999999999989</v>
      </c>
    </row>
    <row r="364" spans="1:24" ht="15.75" customHeight="1" x14ac:dyDescent="0.3">
      <c r="C364" t="s">
        <v>69</v>
      </c>
      <c r="D364" t="s">
        <v>71</v>
      </c>
      <c r="E364" t="s">
        <v>72</v>
      </c>
      <c r="F364" t="s">
        <v>68</v>
      </c>
      <c r="G364" t="s">
        <v>73</v>
      </c>
      <c r="H364" t="s">
        <v>70</v>
      </c>
      <c r="K364" t="s">
        <v>68</v>
      </c>
      <c r="L364" t="s">
        <v>69</v>
      </c>
      <c r="M364" t="s">
        <v>70</v>
      </c>
      <c r="N364" t="s">
        <v>71</v>
      </c>
      <c r="O364" t="s">
        <v>72</v>
      </c>
      <c r="P364" t="s">
        <v>73</v>
      </c>
    </row>
    <row r="365" spans="1:24" ht="15.75" customHeight="1" x14ac:dyDescent="0.3">
      <c r="A365">
        <v>182</v>
      </c>
      <c r="B365" s="16" t="s">
        <v>263</v>
      </c>
      <c r="C365" s="7">
        <f>Rankings!L191</f>
        <v>4.3042925813913131</v>
      </c>
      <c r="D365" s="7">
        <f>Rankings!M191</f>
        <v>4.725712482328019</v>
      </c>
      <c r="E365" s="7">
        <f>Rankings!N191</f>
        <v>2.4942720091800363</v>
      </c>
      <c r="F365" s="7">
        <f>Rankings!O191</f>
        <v>1.6296653976419875</v>
      </c>
      <c r="G365" s="7">
        <f>Rankings!P191</f>
        <v>1.4032439022773779</v>
      </c>
      <c r="H365" s="7">
        <f>Rankings!Q191</f>
        <v>1</v>
      </c>
      <c r="I365" s="7">
        <f>Rankings!R191</f>
        <v>15.557186372818736</v>
      </c>
      <c r="K365" s="7">
        <f>F365</f>
        <v>1.6296653976419875</v>
      </c>
      <c r="L365" s="7">
        <f>C365</f>
        <v>4.3042925813913131</v>
      </c>
      <c r="M365" s="7">
        <f>H365</f>
        <v>1</v>
      </c>
      <c r="N365" s="7">
        <f t="shared" ref="N365:O365" si="328">D365</f>
        <v>4.725712482328019</v>
      </c>
      <c r="O365" s="7">
        <f t="shared" si="328"/>
        <v>2.4942720091800363</v>
      </c>
      <c r="P365" s="7">
        <f>G365</f>
        <v>1.4032439022773779</v>
      </c>
      <c r="R365" s="7">
        <f t="shared" ref="R365:W365" si="329">K365/$I365</f>
        <v>0.10475322198937673</v>
      </c>
      <c r="S365" s="7">
        <f t="shared" si="329"/>
        <v>0.27667551691170222</v>
      </c>
      <c r="T365" s="7">
        <f t="shared" si="329"/>
        <v>6.4278975390253332E-2</v>
      </c>
      <c r="U365" s="7">
        <f t="shared" si="329"/>
        <v>0.30376395635297571</v>
      </c>
      <c r="V365" s="7">
        <f t="shared" si="329"/>
        <v>0.1603292490946813</v>
      </c>
      <c r="W365" s="7">
        <f t="shared" si="329"/>
        <v>9.0199080261010631E-2</v>
      </c>
      <c r="X365" s="7">
        <f>SUM(R365:W365)</f>
        <v>1</v>
      </c>
    </row>
    <row r="366" spans="1:24" ht="15.75" customHeight="1" x14ac:dyDescent="0.3">
      <c r="C366" t="s">
        <v>69</v>
      </c>
      <c r="D366" t="s">
        <v>71</v>
      </c>
      <c r="E366" t="s">
        <v>72</v>
      </c>
      <c r="F366" t="s">
        <v>70</v>
      </c>
      <c r="G366" t="s">
        <v>68</v>
      </c>
      <c r="H366" t="s">
        <v>73</v>
      </c>
      <c r="K366" t="s">
        <v>68</v>
      </c>
      <c r="L366" t="s">
        <v>69</v>
      </c>
      <c r="M366" t="s">
        <v>70</v>
      </c>
      <c r="N366" t="s">
        <v>71</v>
      </c>
      <c r="O366" t="s">
        <v>72</v>
      </c>
      <c r="P366" t="s">
        <v>73</v>
      </c>
    </row>
    <row r="367" spans="1:24" ht="15.75" customHeight="1" x14ac:dyDescent="0.3">
      <c r="A367">
        <v>183</v>
      </c>
      <c r="B367" s="16" t="s">
        <v>264</v>
      </c>
      <c r="C367" s="7">
        <f>Rankings!L192</f>
        <v>6.7362326539099149</v>
      </c>
      <c r="D367" s="7">
        <f>Rankings!M192</f>
        <v>7.3957562443763694</v>
      </c>
      <c r="E367" s="7">
        <f>Rankings!N192</f>
        <v>3.9035442498987831</v>
      </c>
      <c r="F367" s="7">
        <f>Rankings!O192</f>
        <v>1.9768416954390056</v>
      </c>
      <c r="G367" s="7">
        <f>Rankings!P192</f>
        <v>1.1613557664474019</v>
      </c>
      <c r="H367" s="7">
        <f>Rankings!Q192</f>
        <v>1</v>
      </c>
      <c r="I367" s="7">
        <f>Rankings!R192</f>
        <v>22.173730610071473</v>
      </c>
      <c r="K367" s="7">
        <f>G367</f>
        <v>1.1613557664474019</v>
      </c>
      <c r="L367" s="7">
        <f>C367</f>
        <v>6.7362326539099149</v>
      </c>
      <c r="M367" s="7">
        <f>F367</f>
        <v>1.9768416954390056</v>
      </c>
      <c r="N367" s="7">
        <f t="shared" ref="N367:O367" si="330">D367</f>
        <v>7.3957562443763694</v>
      </c>
      <c r="O367" s="7">
        <f t="shared" si="330"/>
        <v>3.9035442498987831</v>
      </c>
      <c r="P367" s="7">
        <f>H367</f>
        <v>1</v>
      </c>
      <c r="R367" s="7">
        <f t="shared" ref="R367:W367" si="331">K367/$I367</f>
        <v>5.2375298810562146E-2</v>
      </c>
      <c r="S367" s="7">
        <f t="shared" si="331"/>
        <v>0.30379338381833987</v>
      </c>
      <c r="T367" s="7">
        <f t="shared" si="331"/>
        <v>8.9152417795727593E-2</v>
      </c>
      <c r="U367" s="7">
        <f t="shared" si="331"/>
        <v>0.33353684927592481</v>
      </c>
      <c r="V367" s="7">
        <f t="shared" si="331"/>
        <v>0.17604364004159789</v>
      </c>
      <c r="W367" s="7">
        <f t="shared" si="331"/>
        <v>4.5098410257847749E-2</v>
      </c>
      <c r="X367" s="7">
        <f>SUM(R367:W367)</f>
        <v>1</v>
      </c>
    </row>
    <row r="368" spans="1:24" ht="15.75" customHeight="1" x14ac:dyDescent="0.3">
      <c r="C368" t="s">
        <v>69</v>
      </c>
      <c r="D368" t="s">
        <v>71</v>
      </c>
      <c r="E368" t="s">
        <v>72</v>
      </c>
      <c r="F368" t="s">
        <v>70</v>
      </c>
      <c r="G368" t="s">
        <v>73</v>
      </c>
      <c r="H368" t="s">
        <v>68</v>
      </c>
      <c r="K368" t="s">
        <v>68</v>
      </c>
      <c r="L368" t="s">
        <v>69</v>
      </c>
      <c r="M368" t="s">
        <v>70</v>
      </c>
      <c r="N368" t="s">
        <v>71</v>
      </c>
      <c r="O368" t="s">
        <v>72</v>
      </c>
      <c r="P368" t="s">
        <v>73</v>
      </c>
    </row>
    <row r="369" spans="1:24" ht="15.75" customHeight="1" x14ac:dyDescent="0.3">
      <c r="A369">
        <v>184</v>
      </c>
      <c r="B369" s="16" t="s">
        <v>265</v>
      </c>
      <c r="C369" s="7">
        <f>Rankings!L193</f>
        <v>11.25647144978733</v>
      </c>
      <c r="D369" s="7">
        <f>Rankings!M193</f>
        <v>12.358557563490336</v>
      </c>
      <c r="E369" s="7">
        <f>Rankings!N193</f>
        <v>6.5229538021468061</v>
      </c>
      <c r="F369" s="7">
        <f>Rankings!O193</f>
        <v>3.3033689969930675</v>
      </c>
      <c r="G369" s="7">
        <f>Rankings!P193</f>
        <v>1.6397534939100344</v>
      </c>
      <c r="H369" s="7">
        <f>Rankings!Q193</f>
        <v>1</v>
      </c>
      <c r="I369" s="7">
        <f>Rankings!R193</f>
        <v>36.081105306327572</v>
      </c>
      <c r="K369" s="7">
        <f>H369</f>
        <v>1</v>
      </c>
      <c r="L369" s="7">
        <f>C369</f>
        <v>11.25647144978733</v>
      </c>
      <c r="M369" s="7">
        <f>F369</f>
        <v>3.3033689969930675</v>
      </c>
      <c r="N369" s="7">
        <f t="shared" ref="N369:O369" si="332">D369</f>
        <v>12.358557563490336</v>
      </c>
      <c r="O369" s="7">
        <f t="shared" si="332"/>
        <v>6.5229538021468061</v>
      </c>
      <c r="P369" s="7">
        <f>G369</f>
        <v>1.6397534939100344</v>
      </c>
      <c r="R369" s="7">
        <f t="shared" ref="R369:W369" si="333">K369/$I369</f>
        <v>2.7715337196852149E-2</v>
      </c>
      <c r="S369" s="7">
        <f t="shared" si="333"/>
        <v>0.31197690187759503</v>
      </c>
      <c r="T369" s="7">
        <f t="shared" si="333"/>
        <v>9.1553985637290142E-2</v>
      </c>
      <c r="U369" s="7">
        <f t="shared" si="333"/>
        <v>0.3425215901388422</v>
      </c>
      <c r="V369" s="7">
        <f t="shared" si="333"/>
        <v>0.18078586414598752</v>
      </c>
      <c r="W369" s="7">
        <f t="shared" si="333"/>
        <v>4.544632100343305E-2</v>
      </c>
      <c r="X369" s="7">
        <f>SUM(R369:W369)</f>
        <v>1.0000000000000002</v>
      </c>
    </row>
    <row r="370" spans="1:24" ht="15.75" customHeight="1" x14ac:dyDescent="0.3">
      <c r="C370" t="s">
        <v>69</v>
      </c>
      <c r="D370" t="s">
        <v>71</v>
      </c>
      <c r="E370" t="s">
        <v>72</v>
      </c>
      <c r="F370" t="s">
        <v>73</v>
      </c>
      <c r="G370" t="s">
        <v>68</v>
      </c>
      <c r="H370" t="s">
        <v>70</v>
      </c>
      <c r="K370" t="s">
        <v>68</v>
      </c>
      <c r="L370" t="s">
        <v>69</v>
      </c>
      <c r="M370" t="s">
        <v>70</v>
      </c>
      <c r="N370" t="s">
        <v>71</v>
      </c>
      <c r="O370" t="s">
        <v>72</v>
      </c>
      <c r="P370" t="s">
        <v>73</v>
      </c>
    </row>
    <row r="371" spans="1:24" ht="15.75" customHeight="1" x14ac:dyDescent="0.3">
      <c r="A371">
        <v>185</v>
      </c>
      <c r="B371" s="16" t="s">
        <v>266</v>
      </c>
      <c r="C371" s="7">
        <f>Rankings!L194</f>
        <v>4.1449286151489515</v>
      </c>
      <c r="D371" s="7">
        <f>Rankings!M194</f>
        <v>4.5507456857490114</v>
      </c>
      <c r="E371" s="7">
        <f>Rankings!N194</f>
        <v>2.401923017387813</v>
      </c>
      <c r="F371" s="7">
        <f>Rankings!O194</f>
        <v>1.8169738539756839</v>
      </c>
      <c r="G371" s="7">
        <f>Rankings!P194</f>
        <v>1.1080774401297739</v>
      </c>
      <c r="H371" s="7">
        <f>Rankings!Q194</f>
        <v>1</v>
      </c>
      <c r="I371" s="7">
        <f>Rankings!R194</f>
        <v>15.022648612391233</v>
      </c>
      <c r="K371" s="7">
        <f>G371</f>
        <v>1.1080774401297739</v>
      </c>
      <c r="L371" s="7">
        <f>C371</f>
        <v>4.1449286151489515</v>
      </c>
      <c r="M371" s="7">
        <f>H371</f>
        <v>1</v>
      </c>
      <c r="N371" s="7">
        <f t="shared" ref="N371:P371" si="334">D371</f>
        <v>4.5507456857490114</v>
      </c>
      <c r="O371" s="7">
        <f t="shared" si="334"/>
        <v>2.401923017387813</v>
      </c>
      <c r="P371" s="7">
        <f t="shared" si="334"/>
        <v>1.8169738539756839</v>
      </c>
      <c r="R371" s="7">
        <f t="shared" ref="R371:W371" si="335">K371/$I371</f>
        <v>7.3760457873972438E-2</v>
      </c>
      <c r="S371" s="7">
        <f t="shared" si="335"/>
        <v>0.27591197278821139</v>
      </c>
      <c r="T371" s="7">
        <f t="shared" si="335"/>
        <v>6.6566157926050612E-2</v>
      </c>
      <c r="U371" s="7">
        <f t="shared" si="335"/>
        <v>0.30292565599886223</v>
      </c>
      <c r="V371" s="7">
        <f t="shared" si="335"/>
        <v>0.15988678690165317</v>
      </c>
      <c r="W371" s="7">
        <f t="shared" si="335"/>
        <v>0.12094896851125021</v>
      </c>
      <c r="X371" s="7">
        <f>SUM(R371:W371)</f>
        <v>1</v>
      </c>
    </row>
    <row r="372" spans="1:24" ht="15.75" customHeight="1" x14ac:dyDescent="0.3">
      <c r="C372" t="s">
        <v>69</v>
      </c>
      <c r="D372" t="s">
        <v>71</v>
      </c>
      <c r="E372" t="s">
        <v>72</v>
      </c>
      <c r="F372" t="s">
        <v>73</v>
      </c>
      <c r="G372" t="s">
        <v>70</v>
      </c>
      <c r="H372" t="s">
        <v>68</v>
      </c>
      <c r="K372" t="s">
        <v>68</v>
      </c>
      <c r="L372" t="s">
        <v>69</v>
      </c>
      <c r="M372" t="s">
        <v>70</v>
      </c>
      <c r="N372" t="s">
        <v>71</v>
      </c>
      <c r="O372" t="s">
        <v>72</v>
      </c>
      <c r="P372" t="s">
        <v>73</v>
      </c>
    </row>
    <row r="373" spans="1:24" ht="15.75" customHeight="1" x14ac:dyDescent="0.3">
      <c r="A373">
        <v>186</v>
      </c>
      <c r="B373" s="16" t="s">
        <v>267</v>
      </c>
      <c r="C373" s="7">
        <f>Rankings!L195</f>
        <v>5.4488914118582983</v>
      </c>
      <c r="D373" s="7">
        <f>Rankings!M195</f>
        <v>5.9823754247545482</v>
      </c>
      <c r="E373" s="7">
        <f>Rankings!N195</f>
        <v>3.1575496025566423</v>
      </c>
      <c r="F373" s="7">
        <f>Rankings!O195</f>
        <v>2.3885799124054143</v>
      </c>
      <c r="G373" s="7">
        <f>Rankings!P195</f>
        <v>1.7021844231989158</v>
      </c>
      <c r="H373" s="7">
        <f>Rankings!Q195</f>
        <v>1</v>
      </c>
      <c r="I373" s="7">
        <f>Rankings!R195</f>
        <v>19.679580774773818</v>
      </c>
      <c r="K373" s="7">
        <f>H373</f>
        <v>1</v>
      </c>
      <c r="L373" s="7">
        <f>C373</f>
        <v>5.4488914118582983</v>
      </c>
      <c r="M373" s="7">
        <f>G373</f>
        <v>1.7021844231989158</v>
      </c>
      <c r="N373" s="7">
        <f t="shared" ref="N373:P373" si="336">D373</f>
        <v>5.9823754247545482</v>
      </c>
      <c r="O373" s="7">
        <f t="shared" si="336"/>
        <v>3.1575496025566423</v>
      </c>
      <c r="P373" s="7">
        <f t="shared" si="336"/>
        <v>2.3885799124054143</v>
      </c>
      <c r="R373" s="7">
        <f t="shared" ref="R373:W373" si="337">K373/$I373</f>
        <v>5.0814090576657277E-2</v>
      </c>
      <c r="S373" s="7">
        <f t="shared" si="337"/>
        <v>0.27688046174453751</v>
      </c>
      <c r="T373" s="7">
        <f t="shared" si="337"/>
        <v>8.6494953458604834E-2</v>
      </c>
      <c r="U373" s="7">
        <f t="shared" si="337"/>
        <v>0.30398896669704617</v>
      </c>
      <c r="V373" s="7">
        <f t="shared" si="337"/>
        <v>0.16044801150460142</v>
      </c>
      <c r="W373" s="7">
        <f t="shared" si="337"/>
        <v>0.12137351601855283</v>
      </c>
      <c r="X373" s="7">
        <f>SUM(R373:W373)</f>
        <v>1</v>
      </c>
    </row>
    <row r="374" spans="1:24" ht="15.75" customHeight="1" x14ac:dyDescent="0.3">
      <c r="C374" t="s">
        <v>69</v>
      </c>
      <c r="D374" t="s">
        <v>71</v>
      </c>
      <c r="E374" t="s">
        <v>73</v>
      </c>
      <c r="F374" t="s">
        <v>68</v>
      </c>
      <c r="G374" t="s">
        <v>70</v>
      </c>
      <c r="H374" t="s">
        <v>72</v>
      </c>
      <c r="K374" t="s">
        <v>68</v>
      </c>
      <c r="L374" t="s">
        <v>69</v>
      </c>
      <c r="M374" t="s">
        <v>70</v>
      </c>
      <c r="N374" t="s">
        <v>71</v>
      </c>
      <c r="O374" t="s">
        <v>72</v>
      </c>
      <c r="P374" t="s">
        <v>73</v>
      </c>
    </row>
    <row r="375" spans="1:24" ht="15.75" customHeight="1" x14ac:dyDescent="0.3">
      <c r="A375">
        <v>187</v>
      </c>
      <c r="B375" s="16" t="s">
        <v>268</v>
      </c>
      <c r="C375" s="7">
        <f>Rankings!L196</f>
        <v>5.4836775701805118</v>
      </c>
      <c r="D375" s="7">
        <f>Rankings!M196</f>
        <v>6.0205673876583301</v>
      </c>
      <c r="E375" s="7">
        <f>Rankings!N196</f>
        <v>4.0726953071254517</v>
      </c>
      <c r="F375" s="7">
        <f>Rankings!O196</f>
        <v>2.4837241221020387</v>
      </c>
      <c r="G375" s="7">
        <f>Rankings!P196</f>
        <v>2.2414716085286912</v>
      </c>
      <c r="H375" s="7">
        <f>Rankings!Q196</f>
        <v>1</v>
      </c>
      <c r="I375" s="7">
        <f>Rankings!R196</f>
        <v>21.302135995595023</v>
      </c>
      <c r="K375" s="7">
        <f>F375</f>
        <v>2.4837241221020387</v>
      </c>
      <c r="L375" s="7">
        <f>C375</f>
        <v>5.4836775701805118</v>
      </c>
      <c r="M375" s="7">
        <f>G375</f>
        <v>2.2414716085286912</v>
      </c>
      <c r="N375" s="7">
        <f>D375</f>
        <v>6.0205673876583301</v>
      </c>
      <c r="O375" s="7">
        <f>H375</f>
        <v>1</v>
      </c>
      <c r="P375" s="7">
        <f>E375</f>
        <v>4.0726953071254517</v>
      </c>
      <c r="R375" s="7">
        <f t="shared" ref="R375:W375" si="338">K375/$I375</f>
        <v>0.11659507396890327</v>
      </c>
      <c r="S375" s="7">
        <f t="shared" si="338"/>
        <v>0.25742383633803007</v>
      </c>
      <c r="T375" s="7">
        <f t="shared" si="338"/>
        <v>0.10522285694693694</v>
      </c>
      <c r="U375" s="7">
        <f t="shared" si="338"/>
        <v>0.28262740360418775</v>
      </c>
      <c r="V375" s="7">
        <f t="shared" si="338"/>
        <v>4.6943649228733952E-2</v>
      </c>
      <c r="W375" s="7">
        <f t="shared" si="338"/>
        <v>0.19118717991320808</v>
      </c>
      <c r="X375" s="7">
        <f>SUM(R375:W375)</f>
        <v>1</v>
      </c>
    </row>
    <row r="376" spans="1:24" ht="15.75" customHeight="1" x14ac:dyDescent="0.3">
      <c r="C376" t="s">
        <v>69</v>
      </c>
      <c r="D376" t="s">
        <v>71</v>
      </c>
      <c r="E376" t="s">
        <v>73</v>
      </c>
      <c r="F376" t="s">
        <v>68</v>
      </c>
      <c r="G376" t="s">
        <v>72</v>
      </c>
      <c r="H376" t="s">
        <v>70</v>
      </c>
      <c r="K376" t="s">
        <v>68</v>
      </c>
      <c r="L376" t="s">
        <v>69</v>
      </c>
      <c r="M376" t="s">
        <v>70</v>
      </c>
      <c r="N376" t="s">
        <v>71</v>
      </c>
      <c r="O376" t="s">
        <v>72</v>
      </c>
      <c r="P376" t="s">
        <v>73</v>
      </c>
    </row>
    <row r="377" spans="1:24" ht="15.75" customHeight="1" x14ac:dyDescent="0.3">
      <c r="A377">
        <v>188</v>
      </c>
      <c r="B377" s="16" t="s">
        <v>269</v>
      </c>
      <c r="C377" s="7">
        <f>Rankings!L197</f>
        <v>4.7290049011373325</v>
      </c>
      <c r="D377" s="7">
        <f>Rankings!M197</f>
        <v>5.1920070645084637</v>
      </c>
      <c r="E377" s="7">
        <f>Rankings!N197</f>
        <v>3.5122043230563746</v>
      </c>
      <c r="F377" s="7">
        <f>Rankings!O197</f>
        <v>2.1419099493311236</v>
      </c>
      <c r="G377" s="7">
        <f>Rankings!P197</f>
        <v>1.9746367445127702</v>
      </c>
      <c r="H377" s="7">
        <f>Rankings!Q197</f>
        <v>1</v>
      </c>
      <c r="I377" s="7">
        <f>Rankings!R197</f>
        <v>18.549762982546067</v>
      </c>
      <c r="K377" s="7">
        <f>F377</f>
        <v>2.1419099493311236</v>
      </c>
      <c r="L377" s="7">
        <f>C377</f>
        <v>4.7290049011373325</v>
      </c>
      <c r="M377" s="7">
        <f>H377</f>
        <v>1</v>
      </c>
      <c r="N377" s="7">
        <f>D377</f>
        <v>5.1920070645084637</v>
      </c>
      <c r="O377" s="7">
        <f>G377</f>
        <v>1.9746367445127702</v>
      </c>
      <c r="P377" s="7">
        <f>E377</f>
        <v>3.5122043230563746</v>
      </c>
      <c r="R377" s="7">
        <f t="shared" ref="R377:W377" si="339">K377/$I377</f>
        <v>0.11546831899396773</v>
      </c>
      <c r="S377" s="7">
        <f t="shared" si="339"/>
        <v>0.25493613614292382</v>
      </c>
      <c r="T377" s="7">
        <f t="shared" si="339"/>
        <v>5.3909044602937779E-2</v>
      </c>
      <c r="U377" s="7">
        <f t="shared" si="339"/>
        <v>0.27989614041935479</v>
      </c>
      <c r="V377" s="7">
        <f t="shared" si="339"/>
        <v>0.10645078033453877</v>
      </c>
      <c r="W377" s="7">
        <f t="shared" si="339"/>
        <v>0.18933957950627697</v>
      </c>
      <c r="X377" s="7">
        <f>SUM(R377:W377)</f>
        <v>1</v>
      </c>
    </row>
    <row r="378" spans="1:24" ht="15.75" customHeight="1" x14ac:dyDescent="0.3">
      <c r="C378" t="s">
        <v>69</v>
      </c>
      <c r="D378" t="s">
        <v>71</v>
      </c>
      <c r="E378" t="s">
        <v>73</v>
      </c>
      <c r="F378" t="s">
        <v>70</v>
      </c>
      <c r="G378" t="s">
        <v>68</v>
      </c>
      <c r="H378" t="s">
        <v>72</v>
      </c>
      <c r="K378" t="s">
        <v>68</v>
      </c>
      <c r="L378" t="s">
        <v>69</v>
      </c>
      <c r="M378" t="s">
        <v>70</v>
      </c>
      <c r="N378" t="s">
        <v>71</v>
      </c>
      <c r="O378" t="s">
        <v>72</v>
      </c>
      <c r="P378" t="s">
        <v>73</v>
      </c>
    </row>
    <row r="379" spans="1:24" ht="15.75" customHeight="1" x14ac:dyDescent="0.3">
      <c r="A379">
        <v>189</v>
      </c>
      <c r="B379" s="16" t="s">
        <v>270</v>
      </c>
      <c r="C379" s="7">
        <f>Rankings!L198</f>
        <v>3.4885404303760739</v>
      </c>
      <c r="D379" s="7">
        <f>Rankings!M198</f>
        <v>3.8300925750742785</v>
      </c>
      <c r="E379" s="7">
        <f>Rankings!N198</f>
        <v>2.5909186048373636</v>
      </c>
      <c r="F379" s="7">
        <f>Rankings!O198</f>
        <v>1.8463779537060261</v>
      </c>
      <c r="G379" s="7">
        <f>Rankings!P198</f>
        <v>1.0847108741813811</v>
      </c>
      <c r="H379" s="7">
        <f>Rankings!Q198</f>
        <v>1</v>
      </c>
      <c r="I379" s="7">
        <f>Rankings!R198</f>
        <v>13.840640438175123</v>
      </c>
      <c r="K379" s="7">
        <f>G379</f>
        <v>1.0847108741813811</v>
      </c>
      <c r="L379" s="7">
        <f>C379</f>
        <v>3.4885404303760739</v>
      </c>
      <c r="M379" s="7">
        <f>F379</f>
        <v>1.8463779537060261</v>
      </c>
      <c r="N379" s="7">
        <f>D379</f>
        <v>3.8300925750742785</v>
      </c>
      <c r="O379" s="7">
        <f>H379</f>
        <v>1</v>
      </c>
      <c r="P379" s="7">
        <f>E379</f>
        <v>2.5909186048373636</v>
      </c>
      <c r="R379" s="7">
        <f t="shared" ref="R379:W379" si="340">K379/$I379</f>
        <v>7.8371436569477079E-2</v>
      </c>
      <c r="S379" s="7">
        <f t="shared" si="340"/>
        <v>0.25205050633018505</v>
      </c>
      <c r="T379" s="7">
        <f t="shared" si="340"/>
        <v>0.13340263855228576</v>
      </c>
      <c r="U379" s="7">
        <f t="shared" si="340"/>
        <v>0.27672798756552863</v>
      </c>
      <c r="V379" s="7">
        <f t="shared" si="340"/>
        <v>7.2250991886315424E-2</v>
      </c>
      <c r="W379" s="7">
        <f t="shared" si="340"/>
        <v>0.18719643909620803</v>
      </c>
      <c r="X379" s="7">
        <f>SUM(R379:W379)</f>
        <v>1</v>
      </c>
    </row>
    <row r="380" spans="1:24" ht="15.75" customHeight="1" x14ac:dyDescent="0.3">
      <c r="C380" t="s">
        <v>69</v>
      </c>
      <c r="D380" t="s">
        <v>71</v>
      </c>
      <c r="E380" t="s">
        <v>73</v>
      </c>
      <c r="F380" t="s">
        <v>70</v>
      </c>
      <c r="G380" t="s">
        <v>72</v>
      </c>
      <c r="H380" t="s">
        <v>68</v>
      </c>
      <c r="K380" t="s">
        <v>68</v>
      </c>
      <c r="L380" t="s">
        <v>69</v>
      </c>
      <c r="M380" t="s">
        <v>70</v>
      </c>
      <c r="N380" t="s">
        <v>71</v>
      </c>
      <c r="O380" t="s">
        <v>72</v>
      </c>
      <c r="P380" t="s">
        <v>73</v>
      </c>
    </row>
    <row r="381" spans="1:24" ht="15.75" customHeight="1" x14ac:dyDescent="0.3">
      <c r="A381">
        <v>190</v>
      </c>
      <c r="B381" s="16" t="s">
        <v>271</v>
      </c>
      <c r="C381" s="7">
        <f>Rankings!L199</f>
        <v>6.4818916275807963</v>
      </c>
      <c r="D381" s="7">
        <f>Rankings!M199</f>
        <v>7.1165134791219851</v>
      </c>
      <c r="E381" s="7">
        <f>Rankings!N199</f>
        <v>4.8140630580647112</v>
      </c>
      <c r="F381" s="7">
        <f>Rankings!O199</f>
        <v>3.4306673631375024</v>
      </c>
      <c r="G381" s="7">
        <f>Rankings!P199</f>
        <v>1.530542412441888</v>
      </c>
      <c r="H381" s="7">
        <f>Rankings!Q199</f>
        <v>1</v>
      </c>
      <c r="I381" s="7">
        <f>Rankings!R199</f>
        <v>24.373677940346884</v>
      </c>
      <c r="K381" s="7">
        <f>H381</f>
        <v>1</v>
      </c>
      <c r="L381" s="7">
        <f>C381</f>
        <v>6.4818916275807963</v>
      </c>
      <c r="M381" s="7">
        <f>F381</f>
        <v>3.4306673631375024</v>
      </c>
      <c r="N381" s="7">
        <f>D381</f>
        <v>7.1165134791219851</v>
      </c>
      <c r="O381" s="7">
        <f>G381</f>
        <v>1.530542412441888</v>
      </c>
      <c r="P381" s="7">
        <f>E381</f>
        <v>4.8140630580647112</v>
      </c>
      <c r="R381" s="7">
        <f t="shared" ref="R381:W381" si="341">K381/$I381</f>
        <v>4.1027866309197983E-2</v>
      </c>
      <c r="S381" s="7">
        <f t="shared" si="341"/>
        <v>0.26593818312709461</v>
      </c>
      <c r="T381" s="7">
        <f t="shared" si="341"/>
        <v>0.14075296192613421</v>
      </c>
      <c r="U381" s="7">
        <f t="shared" si="341"/>
        <v>0.29197536360902221</v>
      </c>
      <c r="V381" s="7">
        <f t="shared" si="341"/>
        <v>6.2794889478223148E-2</v>
      </c>
      <c r="W381" s="7">
        <f t="shared" si="341"/>
        <v>0.19751073555032778</v>
      </c>
      <c r="X381" s="7">
        <f>SUM(R381:W381)</f>
        <v>1</v>
      </c>
    </row>
    <row r="382" spans="1:24" ht="15.75" customHeight="1" x14ac:dyDescent="0.3">
      <c r="C382" t="s">
        <v>69</v>
      </c>
      <c r="D382" t="s">
        <v>71</v>
      </c>
      <c r="E382" t="s">
        <v>73</v>
      </c>
      <c r="F382" t="s">
        <v>72</v>
      </c>
      <c r="G382" t="s">
        <v>68</v>
      </c>
      <c r="H382" t="s">
        <v>70</v>
      </c>
      <c r="K382" t="s">
        <v>68</v>
      </c>
      <c r="L382" t="s">
        <v>69</v>
      </c>
      <c r="M382" t="s">
        <v>70</v>
      </c>
      <c r="N382" t="s">
        <v>71</v>
      </c>
      <c r="O382" t="s">
        <v>72</v>
      </c>
      <c r="P382" t="s">
        <v>73</v>
      </c>
    </row>
    <row r="383" spans="1:24" ht="15.75" customHeight="1" x14ac:dyDescent="0.3">
      <c r="A383">
        <v>191</v>
      </c>
      <c r="B383" s="16" t="s">
        <v>272</v>
      </c>
      <c r="C383" s="7">
        <f>Rankings!L200</f>
        <v>2.8010879750360949</v>
      </c>
      <c r="D383" s="7">
        <f>Rankings!M200</f>
        <v>3.075333787706465</v>
      </c>
      <c r="E383" s="7">
        <f>Rankings!N200</f>
        <v>2.0803516809248701</v>
      </c>
      <c r="F383" s="7">
        <f>Rankings!O200</f>
        <v>1.695959518388656</v>
      </c>
      <c r="G383" s="7">
        <f>Rankings!P200</f>
        <v>1.1080774401297739</v>
      </c>
      <c r="H383" s="7">
        <f>Rankings!Q200</f>
        <v>1</v>
      </c>
      <c r="I383" s="7">
        <f>Rankings!R200</f>
        <v>11.760810402185861</v>
      </c>
      <c r="K383" s="7">
        <f>G383</f>
        <v>1.1080774401297739</v>
      </c>
      <c r="L383" s="7">
        <f>C383</f>
        <v>2.8010879750360949</v>
      </c>
      <c r="M383" s="7">
        <f>H383</f>
        <v>1</v>
      </c>
      <c r="N383" s="7">
        <f>D383</f>
        <v>3.075333787706465</v>
      </c>
      <c r="O383" s="7">
        <f>F383</f>
        <v>1.695959518388656</v>
      </c>
      <c r="P383" s="7">
        <f>E383</f>
        <v>2.0803516809248701</v>
      </c>
      <c r="R383" s="7">
        <f t="shared" ref="R383:W383" si="342">K383/$I383</f>
        <v>9.4217779407771679E-2</v>
      </c>
      <c r="S383" s="7">
        <f t="shared" si="342"/>
        <v>0.23817134017528974</v>
      </c>
      <c r="T383" s="7">
        <f t="shared" si="342"/>
        <v>8.5028154166496922E-2</v>
      </c>
      <c r="U383" s="7">
        <f t="shared" si="342"/>
        <v>0.26148995541454223</v>
      </c>
      <c r="V383" s="7">
        <f t="shared" si="342"/>
        <v>0.14420430738968851</v>
      </c>
      <c r="W383" s="7">
        <f t="shared" si="342"/>
        <v>0.17688846344621087</v>
      </c>
      <c r="X383" s="7">
        <f>SUM(R383:W383)</f>
        <v>0.99999999999999989</v>
      </c>
    </row>
    <row r="384" spans="1:24" ht="15.75" customHeight="1" x14ac:dyDescent="0.3">
      <c r="C384" t="s">
        <v>69</v>
      </c>
      <c r="D384" t="s">
        <v>71</v>
      </c>
      <c r="E384" t="s">
        <v>73</v>
      </c>
      <c r="F384" t="s">
        <v>72</v>
      </c>
      <c r="G384" t="s">
        <v>70</v>
      </c>
      <c r="H384" t="s">
        <v>68</v>
      </c>
      <c r="K384" t="s">
        <v>68</v>
      </c>
      <c r="L384" t="s">
        <v>69</v>
      </c>
      <c r="M384" t="s">
        <v>70</v>
      </c>
      <c r="N384" t="s">
        <v>71</v>
      </c>
      <c r="O384" t="s">
        <v>72</v>
      </c>
      <c r="P384" t="s">
        <v>73</v>
      </c>
    </row>
    <row r="385" spans="1:24" ht="15.75" customHeight="1" x14ac:dyDescent="0.3">
      <c r="A385">
        <v>192</v>
      </c>
      <c r="B385" s="16" t="s">
        <v>273</v>
      </c>
      <c r="C385" s="7">
        <f>Rankings!L201</f>
        <v>5.5514328835778901</v>
      </c>
      <c r="D385" s="7">
        <f>Rankings!M201</f>
        <v>6.094956413081535</v>
      </c>
      <c r="E385" s="7">
        <f>Rankings!N201</f>
        <v>4.1230167826999589</v>
      </c>
      <c r="F385" s="7">
        <f>Rankings!O201</f>
        <v>3.3611959079858544</v>
      </c>
      <c r="G385" s="7">
        <f>Rankings!P201</f>
        <v>1.7021844231989158</v>
      </c>
      <c r="H385" s="7">
        <f>Rankings!Q201</f>
        <v>1</v>
      </c>
      <c r="I385" s="7">
        <f>Rankings!R201</f>
        <v>21.832786410544156</v>
      </c>
      <c r="K385" s="7">
        <f>H385</f>
        <v>1</v>
      </c>
      <c r="L385" s="7">
        <f>C385</f>
        <v>5.5514328835778901</v>
      </c>
      <c r="M385" s="7">
        <f>G385</f>
        <v>1.7021844231989158</v>
      </c>
      <c r="N385" s="7">
        <f>D385</f>
        <v>6.094956413081535</v>
      </c>
      <c r="O385" s="7">
        <f>F385</f>
        <v>3.3611959079858544</v>
      </c>
      <c r="P385" s="7">
        <f>E385</f>
        <v>4.1230167826999589</v>
      </c>
      <c r="R385" s="7">
        <f t="shared" ref="R385:W385" si="343">K385/$I385</f>
        <v>4.5802674069904771E-2</v>
      </c>
      <c r="S385" s="7">
        <f t="shared" si="343"/>
        <v>0.25427047098746969</v>
      </c>
      <c r="T385" s="7">
        <f t="shared" si="343"/>
        <v>7.796459834264878E-2</v>
      </c>
      <c r="U385" s="7">
        <f t="shared" si="343"/>
        <v>0.27916530205864942</v>
      </c>
      <c r="V385" s="7">
        <f t="shared" si="343"/>
        <v>0.15395176065857372</v>
      </c>
      <c r="W385" s="7">
        <f t="shared" si="343"/>
        <v>0.18884519388275359</v>
      </c>
      <c r="X385" s="7">
        <f>SUM(R385:W385)</f>
        <v>1</v>
      </c>
    </row>
    <row r="386" spans="1:24" ht="15.75" customHeight="1" x14ac:dyDescent="0.3">
      <c r="C386" t="s">
        <v>69</v>
      </c>
      <c r="D386" t="s">
        <v>72</v>
      </c>
      <c r="E386" t="s">
        <v>68</v>
      </c>
      <c r="F386" t="s">
        <v>70</v>
      </c>
      <c r="G386" t="s">
        <v>71</v>
      </c>
      <c r="H386" t="s">
        <v>73</v>
      </c>
      <c r="K386" t="s">
        <v>68</v>
      </c>
      <c r="L386" t="s">
        <v>69</v>
      </c>
      <c r="M386" t="s">
        <v>70</v>
      </c>
      <c r="N386" t="s">
        <v>71</v>
      </c>
      <c r="O386" t="s">
        <v>72</v>
      </c>
      <c r="P386" t="s">
        <v>73</v>
      </c>
    </row>
    <row r="387" spans="1:24" ht="15.75" customHeight="1" x14ac:dyDescent="0.3">
      <c r="A387">
        <v>193</v>
      </c>
      <c r="B387" s="16" t="s">
        <v>274</v>
      </c>
      <c r="C387" s="7">
        <f>Rankings!L202</f>
        <v>6.4677323140871739</v>
      </c>
      <c r="D387" s="7">
        <f>Rankings!M202</f>
        <v>3.5948340030209822</v>
      </c>
      <c r="E387" s="7">
        <f>Rankings!N202</f>
        <v>2.3487320402220293</v>
      </c>
      <c r="F387" s="7">
        <f>Rankings!O202</f>
        <v>2.1196461142164886</v>
      </c>
      <c r="G387" s="7">
        <f>Rankings!P202</f>
        <v>1.478275916473532</v>
      </c>
      <c r="H387" s="7">
        <f>Rankings!Q202</f>
        <v>1</v>
      </c>
      <c r="I387" s="7">
        <f>Rankings!R202</f>
        <v>17.009220388020207</v>
      </c>
      <c r="K387" s="7">
        <f>E387</f>
        <v>2.3487320402220293</v>
      </c>
      <c r="L387" s="7">
        <f>C387</f>
        <v>6.4677323140871739</v>
      </c>
      <c r="M387" s="7">
        <f t="shared" ref="M387:N387" si="344">F387</f>
        <v>2.1196461142164886</v>
      </c>
      <c r="N387" s="7">
        <f t="shared" si="344"/>
        <v>1.478275916473532</v>
      </c>
      <c r="O387" s="7">
        <f>D387</f>
        <v>3.5948340030209822</v>
      </c>
      <c r="P387" s="7">
        <f>H387</f>
        <v>1</v>
      </c>
      <c r="R387" s="7">
        <f t="shared" ref="R387:W387" si="345">K387/$I387</f>
        <v>0.13808581384930899</v>
      </c>
      <c r="S387" s="7">
        <f t="shared" si="345"/>
        <v>0.38024860437709851</v>
      </c>
      <c r="T387" s="7">
        <f t="shared" si="345"/>
        <v>0.12461747604313365</v>
      </c>
      <c r="U387" s="7">
        <f t="shared" si="345"/>
        <v>8.6910268827764675E-2</v>
      </c>
      <c r="V387" s="7">
        <f t="shared" si="345"/>
        <v>0.21134619465292281</v>
      </c>
      <c r="W387" s="7">
        <f t="shared" si="345"/>
        <v>5.8791642249771292E-2</v>
      </c>
      <c r="X387" s="7">
        <f>SUM(R387:W387)</f>
        <v>0.99999999999999989</v>
      </c>
    </row>
    <row r="388" spans="1:24" ht="15.75" customHeight="1" x14ac:dyDescent="0.3">
      <c r="C388" t="s">
        <v>69</v>
      </c>
      <c r="D388" t="s">
        <v>72</v>
      </c>
      <c r="E388" t="s">
        <v>68</v>
      </c>
      <c r="F388" t="s">
        <v>70</v>
      </c>
      <c r="G388" t="s">
        <v>73</v>
      </c>
      <c r="H388" t="s">
        <v>71</v>
      </c>
      <c r="K388" t="s">
        <v>68</v>
      </c>
      <c r="L388" t="s">
        <v>69</v>
      </c>
      <c r="M388" t="s">
        <v>70</v>
      </c>
      <c r="N388" t="s">
        <v>71</v>
      </c>
      <c r="O388" t="s">
        <v>72</v>
      </c>
      <c r="P388" t="s">
        <v>73</v>
      </c>
    </row>
    <row r="389" spans="1:24" ht="15.75" customHeight="1" x14ac:dyDescent="0.3">
      <c r="A389">
        <v>194</v>
      </c>
      <c r="B389" s="16" t="s">
        <v>275</v>
      </c>
      <c r="C389" s="7">
        <f>Rankings!L203</f>
        <v>5.4517110115749077</v>
      </c>
      <c r="D389" s="7">
        <f>Rankings!M203</f>
        <v>3.0301186207672179</v>
      </c>
      <c r="E389" s="7">
        <f>Rankings!N203</f>
        <v>1.9797678235736356</v>
      </c>
      <c r="F389" s="7">
        <f>Rankings!O203</f>
        <v>1.7866691910465862</v>
      </c>
      <c r="G389" s="7">
        <f>Rankings!P203</f>
        <v>0.88688155974910687</v>
      </c>
      <c r="H389" s="7">
        <f>Rankings!Q203</f>
        <v>1</v>
      </c>
      <c r="I389" s="7">
        <f>Rankings!R203</f>
        <v>14.135148206711454</v>
      </c>
      <c r="K389" s="7">
        <f>E389</f>
        <v>1.9797678235736356</v>
      </c>
      <c r="L389" s="7">
        <f>C389</f>
        <v>5.4517110115749077</v>
      </c>
      <c r="M389" s="7">
        <f>F389</f>
        <v>1.7866691910465862</v>
      </c>
      <c r="N389" s="7">
        <f>H389</f>
        <v>1</v>
      </c>
      <c r="O389" s="7">
        <f>D389</f>
        <v>3.0301186207672179</v>
      </c>
      <c r="P389" s="7">
        <f>G389</f>
        <v>0.88688155974910687</v>
      </c>
      <c r="R389" s="7">
        <f t="shared" ref="R389:W389" si="346">K389/$I389</f>
        <v>0.14005992683073742</v>
      </c>
      <c r="S389" s="7">
        <f t="shared" si="346"/>
        <v>0.38568474358029031</v>
      </c>
      <c r="T389" s="7">
        <f t="shared" si="346"/>
        <v>0.12639904194271304</v>
      </c>
      <c r="U389" s="7">
        <f t="shared" si="346"/>
        <v>7.0745632474174827E-2</v>
      </c>
      <c r="V389" s="7">
        <f t="shared" si="346"/>
        <v>0.21436765829795115</v>
      </c>
      <c r="W389" s="7">
        <f t="shared" si="346"/>
        <v>6.2742996874133247E-2</v>
      </c>
      <c r="X389" s="7">
        <f>SUM(R389:W389)</f>
        <v>1</v>
      </c>
    </row>
    <row r="390" spans="1:24" ht="15.75" customHeight="1" x14ac:dyDescent="0.3">
      <c r="C390" t="s">
        <v>69</v>
      </c>
      <c r="D390" t="s">
        <v>72</v>
      </c>
      <c r="E390" t="s">
        <v>68</v>
      </c>
      <c r="F390" t="s">
        <v>71</v>
      </c>
      <c r="G390" t="s">
        <v>70</v>
      </c>
      <c r="H390" t="s">
        <v>73</v>
      </c>
      <c r="K390" t="s">
        <v>68</v>
      </c>
      <c r="L390" t="s">
        <v>69</v>
      </c>
      <c r="M390" t="s">
        <v>70</v>
      </c>
      <c r="N390" t="s">
        <v>71</v>
      </c>
      <c r="O390" t="s">
        <v>72</v>
      </c>
      <c r="P390" t="s">
        <v>73</v>
      </c>
    </row>
    <row r="391" spans="1:24" ht="15.75" customHeight="1" x14ac:dyDescent="0.3">
      <c r="A391">
        <v>195</v>
      </c>
      <c r="B391" s="16" t="s">
        <v>276</v>
      </c>
      <c r="C391" s="7">
        <f>Rankings!L204</f>
        <v>15.573295133135332</v>
      </c>
      <c r="D391" s="7">
        <f>Rankings!M204</f>
        <v>8.6558020902844515</v>
      </c>
      <c r="E391" s="7">
        <f>Rankings!N204</f>
        <v>5.6553820527421017</v>
      </c>
      <c r="F391" s="7">
        <f>Rankings!O204</f>
        <v>4.5103002243916306</v>
      </c>
      <c r="G391" s="7">
        <f>Rankings!P204</f>
        <v>2.0145521929129111</v>
      </c>
      <c r="H391" s="7">
        <f>Rankings!Q204</f>
        <v>1</v>
      </c>
      <c r="I391" s="7">
        <f>Rankings!R204</f>
        <v>37.409331693466427</v>
      </c>
      <c r="K391" s="7">
        <f>E391</f>
        <v>5.6553820527421017</v>
      </c>
      <c r="L391" s="7">
        <f>C391</f>
        <v>15.573295133135332</v>
      </c>
      <c r="M391" s="7">
        <f>G391</f>
        <v>2.0145521929129111</v>
      </c>
      <c r="N391" s="7">
        <f>F391</f>
        <v>4.5103002243916306</v>
      </c>
      <c r="O391" s="7">
        <f>D391</f>
        <v>8.6558020902844515</v>
      </c>
      <c r="P391" s="7">
        <f>H391</f>
        <v>1</v>
      </c>
      <c r="R391" s="7">
        <f t="shared" ref="R391:W391" si="347">K391/$I391</f>
        <v>0.15117570394153337</v>
      </c>
      <c r="S391" s="7">
        <f t="shared" si="347"/>
        <v>0.41629439576048938</v>
      </c>
      <c r="T391" s="7">
        <f t="shared" si="347"/>
        <v>5.3851595356480382E-2</v>
      </c>
      <c r="U391" s="7">
        <f t="shared" si="347"/>
        <v>0.12056618015390418</v>
      </c>
      <c r="V391" s="7">
        <f t="shared" si="347"/>
        <v>0.23138082661327508</v>
      </c>
      <c r="W391" s="7">
        <f t="shared" si="347"/>
        <v>2.6731298174317582E-2</v>
      </c>
      <c r="X391" s="7">
        <f>SUM(R391:W391)</f>
        <v>1</v>
      </c>
    </row>
    <row r="392" spans="1:24" ht="15.75" customHeight="1" x14ac:dyDescent="0.3">
      <c r="C392" t="s">
        <v>69</v>
      </c>
      <c r="D392" t="s">
        <v>72</v>
      </c>
      <c r="E392" t="s">
        <v>68</v>
      </c>
      <c r="F392" t="s">
        <v>71</v>
      </c>
      <c r="G392" t="s">
        <v>73</v>
      </c>
      <c r="H392" t="s">
        <v>70</v>
      </c>
      <c r="K392" t="s">
        <v>68</v>
      </c>
      <c r="L392" t="s">
        <v>69</v>
      </c>
      <c r="M392" t="s">
        <v>70</v>
      </c>
      <c r="N392" t="s">
        <v>71</v>
      </c>
      <c r="O392" t="s">
        <v>72</v>
      </c>
      <c r="P392" t="s">
        <v>73</v>
      </c>
    </row>
    <row r="393" spans="1:24" ht="15.75" customHeight="1" x14ac:dyDescent="0.3">
      <c r="A393">
        <v>196</v>
      </c>
      <c r="B393" s="16" t="s">
        <v>277</v>
      </c>
      <c r="C393" s="7">
        <f>Rankings!L205</f>
        <v>7.1624850433717766</v>
      </c>
      <c r="D393" s="7">
        <f>Rankings!M205</f>
        <v>3.9809849155261499</v>
      </c>
      <c r="E393" s="7">
        <f>Rankings!N205</f>
        <v>2.6010288138142665</v>
      </c>
      <c r="F393" s="7">
        <f>Rankings!O205</f>
        <v>2.0743816656749861</v>
      </c>
      <c r="G393" s="7">
        <f>Rankings!P205</f>
        <v>1.4032439022773779</v>
      </c>
      <c r="H393" s="7">
        <f>Rankings!Q205</f>
        <v>1</v>
      </c>
      <c r="I393" s="7">
        <f>Rankings!R205</f>
        <v>18.222124340664557</v>
      </c>
      <c r="K393" s="7">
        <f>E393</f>
        <v>2.6010288138142665</v>
      </c>
      <c r="L393" s="7">
        <f>C393</f>
        <v>7.1624850433717766</v>
      </c>
      <c r="M393" s="7">
        <f>H393</f>
        <v>1</v>
      </c>
      <c r="N393" s="7">
        <f>F393</f>
        <v>2.0743816656749861</v>
      </c>
      <c r="O393" s="7">
        <f>D393</f>
        <v>3.9809849155261499</v>
      </c>
      <c r="P393" s="7">
        <f>G393</f>
        <v>1.4032439022773779</v>
      </c>
      <c r="R393" s="7">
        <f t="shared" ref="R393:W393" si="348">K393/$I393</f>
        <v>0.14274015285966421</v>
      </c>
      <c r="S393" s="7">
        <f t="shared" si="348"/>
        <v>0.39306531496922947</v>
      </c>
      <c r="T393" s="7">
        <f t="shared" si="348"/>
        <v>5.4878343562193593E-2</v>
      </c>
      <c r="U393" s="7">
        <f t="shared" si="348"/>
        <v>0.1138386297280273</v>
      </c>
      <c r="V393" s="7">
        <f t="shared" si="348"/>
        <v>0.2184698579101543</v>
      </c>
      <c r="W393" s="7">
        <f t="shared" si="348"/>
        <v>7.700770097073116E-2</v>
      </c>
      <c r="X393" s="7">
        <f>SUM(R393:W393)</f>
        <v>1</v>
      </c>
    </row>
    <row r="394" spans="1:24" ht="15.75" customHeight="1" x14ac:dyDescent="0.3">
      <c r="C394" t="s">
        <v>69</v>
      </c>
      <c r="D394" t="s">
        <v>72</v>
      </c>
      <c r="E394" t="s">
        <v>68</v>
      </c>
      <c r="F394" t="s">
        <v>73</v>
      </c>
      <c r="G394" t="s">
        <v>70</v>
      </c>
      <c r="H394" t="s">
        <v>71</v>
      </c>
      <c r="K394" t="s">
        <v>68</v>
      </c>
      <c r="L394" t="s">
        <v>69</v>
      </c>
      <c r="M394" t="s">
        <v>70</v>
      </c>
      <c r="N394" t="s">
        <v>71</v>
      </c>
      <c r="O394" t="s">
        <v>72</v>
      </c>
      <c r="P394" t="s">
        <v>73</v>
      </c>
    </row>
    <row r="395" spans="1:24" ht="15.75" customHeight="1" x14ac:dyDescent="0.3">
      <c r="A395">
        <v>197</v>
      </c>
      <c r="B395" s="16" t="s">
        <v>278</v>
      </c>
      <c r="C395" s="7">
        <f>Rankings!L206</f>
        <v>6.4346490750300571</v>
      </c>
      <c r="D395" s="7">
        <f>Rankings!M206</f>
        <v>3.5764459889664173</v>
      </c>
      <c r="E395" s="7">
        <f>Rankings!N206</f>
        <v>2.3367179895788799</v>
      </c>
      <c r="F395" s="7">
        <f>Rankings!O206</f>
        <v>2.0120604358188379</v>
      </c>
      <c r="G395" s="7">
        <f>Rankings!P206</f>
        <v>1.4338636587362954</v>
      </c>
      <c r="H395" s="7">
        <f>Rankings!Q206</f>
        <v>1</v>
      </c>
      <c r="I395" s="7">
        <f>Rankings!R206</f>
        <v>16.793737148130489</v>
      </c>
      <c r="K395" s="7">
        <f>E395</f>
        <v>2.3367179895788799</v>
      </c>
      <c r="L395" s="7">
        <f>C395</f>
        <v>6.4346490750300571</v>
      </c>
      <c r="M395" s="7">
        <f t="shared" ref="M395:N395" si="349">G395</f>
        <v>1.4338636587362954</v>
      </c>
      <c r="N395" s="7">
        <f t="shared" si="349"/>
        <v>1</v>
      </c>
      <c r="O395" s="7">
        <f>D395</f>
        <v>3.5764459889664173</v>
      </c>
      <c r="P395" s="7">
        <f>F395</f>
        <v>2.0120604358188379</v>
      </c>
      <c r="R395" s="7">
        <f t="shared" ref="R395:W395" si="350">K395/$I395</f>
        <v>0.13914222718669905</v>
      </c>
      <c r="S395" s="7">
        <f t="shared" si="350"/>
        <v>0.38315766278063812</v>
      </c>
      <c r="T395" s="7">
        <f t="shared" si="350"/>
        <v>8.538085633285715E-2</v>
      </c>
      <c r="U395" s="7">
        <f t="shared" si="350"/>
        <v>5.9546007608635335E-2</v>
      </c>
      <c r="V395" s="7">
        <f t="shared" si="350"/>
        <v>0.21296308007086762</v>
      </c>
      <c r="W395" s="7">
        <f t="shared" si="350"/>
        <v>0.11981016602030264</v>
      </c>
      <c r="X395" s="7">
        <f>SUM(R395:W395)</f>
        <v>1</v>
      </c>
    </row>
    <row r="396" spans="1:24" ht="15.75" customHeight="1" x14ac:dyDescent="0.3">
      <c r="C396" t="s">
        <v>69</v>
      </c>
      <c r="D396" t="s">
        <v>72</v>
      </c>
      <c r="E396" t="s">
        <v>68</v>
      </c>
      <c r="F396" t="s">
        <v>73</v>
      </c>
      <c r="G396" t="s">
        <v>71</v>
      </c>
      <c r="H396" t="s">
        <v>70</v>
      </c>
      <c r="K396" t="s">
        <v>68</v>
      </c>
      <c r="L396" t="s">
        <v>69</v>
      </c>
      <c r="M396" t="s">
        <v>70</v>
      </c>
      <c r="N396" t="s">
        <v>71</v>
      </c>
      <c r="O396" t="s">
        <v>72</v>
      </c>
      <c r="P396" t="s">
        <v>73</v>
      </c>
    </row>
    <row r="397" spans="1:24" ht="15.75" customHeight="1" x14ac:dyDescent="0.3">
      <c r="A397">
        <v>198</v>
      </c>
      <c r="B397" s="16" t="s">
        <v>279</v>
      </c>
      <c r="C397" s="7">
        <f>Rankings!L207</f>
        <v>6.3500390827176894</v>
      </c>
      <c r="D397" s="7">
        <f>Rankings!M207</f>
        <v>3.529418860664066</v>
      </c>
      <c r="E397" s="7">
        <f>Rankings!N207</f>
        <v>2.3059921972584161</v>
      </c>
      <c r="F397" s="7">
        <f>Rankings!O207</f>
        <v>1.9856036056138657</v>
      </c>
      <c r="G397" s="7">
        <f>Rankings!P207</f>
        <v>2.2388599512381115</v>
      </c>
      <c r="H397" s="7">
        <f>Rankings!Q207</f>
        <v>1</v>
      </c>
      <c r="I397" s="7">
        <f>Rankings!R207</f>
        <v>17.409913697492147</v>
      </c>
      <c r="K397" s="7">
        <f>E397</f>
        <v>2.3059921972584161</v>
      </c>
      <c r="L397" s="7">
        <f>C397</f>
        <v>6.3500390827176894</v>
      </c>
      <c r="M397" s="7">
        <f>H397</f>
        <v>1</v>
      </c>
      <c r="N397" s="7">
        <f>G397</f>
        <v>2.2388599512381115</v>
      </c>
      <c r="O397" s="7">
        <f>D397</f>
        <v>3.529418860664066</v>
      </c>
      <c r="P397" s="7">
        <f>F397</f>
        <v>1.9856036056138657</v>
      </c>
      <c r="R397" s="7">
        <f t="shared" ref="R397:W397" si="351">K397/$I397</f>
        <v>0.13245282184199386</v>
      </c>
      <c r="S397" s="7">
        <f t="shared" si="351"/>
        <v>0.36473696498750569</v>
      </c>
      <c r="T397" s="7">
        <f t="shared" si="351"/>
        <v>5.7438538603671964E-2</v>
      </c>
      <c r="U397" s="7">
        <f t="shared" si="351"/>
        <v>0.1285968437374054</v>
      </c>
      <c r="V397" s="7">
        <f t="shared" si="351"/>
        <v>0.20272466147678087</v>
      </c>
      <c r="W397" s="7">
        <f t="shared" si="351"/>
        <v>0.11405016935264227</v>
      </c>
      <c r="X397" s="7">
        <f>SUM(R397:W397)</f>
        <v>1.0000000000000002</v>
      </c>
    </row>
    <row r="398" spans="1:24" ht="15.75" customHeight="1" x14ac:dyDescent="0.3">
      <c r="C398" t="s">
        <v>69</v>
      </c>
      <c r="D398" t="s">
        <v>72</v>
      </c>
      <c r="E398" t="s">
        <v>70</v>
      </c>
      <c r="F398" t="s">
        <v>68</v>
      </c>
      <c r="G398" t="s">
        <v>71</v>
      </c>
      <c r="H398" t="s">
        <v>73</v>
      </c>
      <c r="K398" t="s">
        <v>68</v>
      </c>
      <c r="L398" t="s">
        <v>69</v>
      </c>
      <c r="M398" t="s">
        <v>70</v>
      </c>
      <c r="N398" t="s">
        <v>71</v>
      </c>
      <c r="O398" t="s">
        <v>72</v>
      </c>
      <c r="P398" t="s">
        <v>73</v>
      </c>
    </row>
    <row r="399" spans="1:24" ht="15.75" customHeight="1" x14ac:dyDescent="0.3">
      <c r="A399">
        <v>199</v>
      </c>
      <c r="B399" s="16" t="s">
        <v>280</v>
      </c>
      <c r="C399" s="7">
        <f>Rankings!L208</f>
        <v>11.209313660714642</v>
      </c>
      <c r="D399" s="7">
        <f>Rankings!M208</f>
        <v>6.2302550478624337</v>
      </c>
      <c r="E399" s="7">
        <f>Rankings!N208</f>
        <v>3.1551398327694509</v>
      </c>
      <c r="F399" s="7">
        <f>Rankings!O208</f>
        <v>1.8535828373050172</v>
      </c>
      <c r="G399" s="7">
        <f>Rankings!P208</f>
        <v>1.478275916473532</v>
      </c>
      <c r="H399" s="7">
        <f>Rankings!Q208</f>
        <v>1</v>
      </c>
      <c r="I399" s="7">
        <f>Rankings!R208</f>
        <v>24.926567295125075</v>
      </c>
      <c r="K399" s="7">
        <f>F399</f>
        <v>1.8535828373050172</v>
      </c>
      <c r="L399" s="7">
        <f>C399</f>
        <v>11.209313660714642</v>
      </c>
      <c r="M399" s="7">
        <f>E399</f>
        <v>3.1551398327694509</v>
      </c>
      <c r="N399" s="7">
        <f>G399</f>
        <v>1.478275916473532</v>
      </c>
      <c r="O399" s="7">
        <f>D399</f>
        <v>6.2302550478624337</v>
      </c>
      <c r="P399" s="7">
        <f>H399</f>
        <v>1</v>
      </c>
      <c r="R399" s="7">
        <f t="shared" ref="R399:W399" si="352">K399/$I399</f>
        <v>7.4361736831189143E-2</v>
      </c>
      <c r="S399" s="7">
        <f t="shared" si="352"/>
        <v>0.44969343463938832</v>
      </c>
      <c r="T399" s="7">
        <f t="shared" si="352"/>
        <v>0.12657739011606728</v>
      </c>
      <c r="U399" s="7">
        <f t="shared" si="352"/>
        <v>5.930523440997993E-2</v>
      </c>
      <c r="V399" s="7">
        <f t="shared" si="352"/>
        <v>0.24994436554771399</v>
      </c>
      <c r="W399" s="7">
        <f t="shared" si="352"/>
        <v>4.011783845566138E-2</v>
      </c>
      <c r="X399" s="7">
        <f>SUM(R399:W399)</f>
        <v>1</v>
      </c>
    </row>
    <row r="400" spans="1:24" ht="15.75" customHeight="1" x14ac:dyDescent="0.3">
      <c r="C400" t="s">
        <v>69</v>
      </c>
      <c r="D400" t="s">
        <v>72</v>
      </c>
      <c r="E400" t="s">
        <v>70</v>
      </c>
      <c r="F400" t="s">
        <v>68</v>
      </c>
      <c r="G400" t="s">
        <v>73</v>
      </c>
      <c r="H400" t="s">
        <v>71</v>
      </c>
      <c r="K400" t="s">
        <v>68</v>
      </c>
      <c r="L400" t="s">
        <v>69</v>
      </c>
      <c r="M400" t="s">
        <v>70</v>
      </c>
      <c r="N400" t="s">
        <v>71</v>
      </c>
      <c r="O400" t="s">
        <v>72</v>
      </c>
      <c r="P400" t="s">
        <v>73</v>
      </c>
    </row>
    <row r="401" spans="1:24" ht="15.75" customHeight="1" x14ac:dyDescent="0.3">
      <c r="A401">
        <v>200</v>
      </c>
      <c r="B401" s="16" t="s">
        <v>281</v>
      </c>
      <c r="C401" s="7">
        <f>Rankings!L209</f>
        <v>6.228707371791014</v>
      </c>
      <c r="D401" s="7">
        <f>Rankings!M209</f>
        <v>3.46198141289989</v>
      </c>
      <c r="E401" s="7">
        <f>Rankings!N209</f>
        <v>1.7532244462280142</v>
      </c>
      <c r="F401" s="7">
        <f>Rankings!O209</f>
        <v>1.0299850135704913</v>
      </c>
      <c r="G401" s="7">
        <f>Rankings!P209</f>
        <v>0.88688155974910687</v>
      </c>
      <c r="H401" s="7">
        <f>Rankings!Q209</f>
        <v>1</v>
      </c>
      <c r="I401" s="7">
        <f>Rankings!R209</f>
        <v>14.360779804238515</v>
      </c>
      <c r="K401" s="7">
        <f>F401</f>
        <v>1.0299850135704913</v>
      </c>
      <c r="L401" s="7">
        <f>C401</f>
        <v>6.228707371791014</v>
      </c>
      <c r="M401" s="7">
        <f>E401</f>
        <v>1.7532244462280142</v>
      </c>
      <c r="N401" s="7">
        <f>H401</f>
        <v>1</v>
      </c>
      <c r="O401" s="7">
        <f>D401</f>
        <v>3.46198141289989</v>
      </c>
      <c r="P401" s="7">
        <f>G401</f>
        <v>0.88688155974910687</v>
      </c>
      <c r="R401" s="7">
        <f t="shared" ref="R401:W401" si="353">K401/$I401</f>
        <v>7.1722081085492051E-2</v>
      </c>
      <c r="S401" s="7">
        <f t="shared" si="353"/>
        <v>0.43373044198843863</v>
      </c>
      <c r="T401" s="7">
        <f t="shared" si="353"/>
        <v>0.12208420922313414</v>
      </c>
      <c r="U401" s="7">
        <f t="shared" si="353"/>
        <v>6.9634101603929258E-2</v>
      </c>
      <c r="V401" s="7">
        <f t="shared" si="353"/>
        <v>0.2410719654567855</v>
      </c>
      <c r="W401" s="7">
        <f t="shared" si="353"/>
        <v>6.175720064222056E-2</v>
      </c>
      <c r="X401" s="7">
        <f>SUM(R401:W401)</f>
        <v>1</v>
      </c>
    </row>
    <row r="402" spans="1:24" ht="15.75" customHeight="1" x14ac:dyDescent="0.3">
      <c r="C402" t="s">
        <v>69</v>
      </c>
      <c r="D402" t="s">
        <v>72</v>
      </c>
      <c r="E402" t="s">
        <v>70</v>
      </c>
      <c r="F402" t="s">
        <v>71</v>
      </c>
      <c r="G402" t="s">
        <v>68</v>
      </c>
      <c r="H402" t="s">
        <v>73</v>
      </c>
      <c r="K402" t="s">
        <v>68</v>
      </c>
      <c r="L402" t="s">
        <v>69</v>
      </c>
      <c r="M402" t="s">
        <v>70</v>
      </c>
      <c r="N402" t="s">
        <v>71</v>
      </c>
      <c r="O402" t="s">
        <v>72</v>
      </c>
      <c r="P402" t="s">
        <v>73</v>
      </c>
    </row>
    <row r="403" spans="1:24" ht="15.75" customHeight="1" x14ac:dyDescent="0.3">
      <c r="A403">
        <v>201</v>
      </c>
      <c r="B403" s="16" t="s">
        <v>282</v>
      </c>
      <c r="C403" s="7">
        <f>Rankings!L210</f>
        <v>17.234206548301827</v>
      </c>
      <c r="D403" s="7">
        <f>Rankings!M210</f>
        <v>9.5789542155264957</v>
      </c>
      <c r="E403" s="7">
        <f>Rankings!N210</f>
        <v>4.8509956285099136</v>
      </c>
      <c r="F403" s="7">
        <f>Rankings!O210</f>
        <v>3.3831638028857181</v>
      </c>
      <c r="G403" s="7">
        <f>Rankings!P210</f>
        <v>1.1613557664474019</v>
      </c>
      <c r="H403" s="7">
        <f>Rankings!Q210</f>
        <v>1</v>
      </c>
      <c r="I403" s="7">
        <f>Rankings!R210</f>
        <v>37.208675961671354</v>
      </c>
      <c r="K403" s="7">
        <f>G403</f>
        <v>1.1613557664474019</v>
      </c>
      <c r="L403" s="7">
        <f>C403</f>
        <v>17.234206548301827</v>
      </c>
      <c r="M403" s="7">
        <f t="shared" ref="M403:N403" si="354">E403</f>
        <v>4.8509956285099136</v>
      </c>
      <c r="N403" s="7">
        <f t="shared" si="354"/>
        <v>3.3831638028857181</v>
      </c>
      <c r="O403" s="7">
        <f>D403</f>
        <v>9.5789542155264957</v>
      </c>
      <c r="P403" s="7">
        <f>H403</f>
        <v>1</v>
      </c>
      <c r="R403" s="7">
        <f t="shared" ref="R403:W403" si="355">K403/$I403</f>
        <v>3.1211961630768968E-2</v>
      </c>
      <c r="S403" s="7">
        <f t="shared" si="355"/>
        <v>0.46317709789122241</v>
      </c>
      <c r="T403" s="7">
        <f t="shared" si="355"/>
        <v>0.13037270214900748</v>
      </c>
      <c r="U403" s="7">
        <f t="shared" si="355"/>
        <v>9.0924057775415443E-2</v>
      </c>
      <c r="V403" s="7">
        <f t="shared" si="355"/>
        <v>0.25743872814484919</v>
      </c>
      <c r="W403" s="7">
        <f t="shared" si="355"/>
        <v>2.6875452408736601E-2</v>
      </c>
      <c r="X403" s="7">
        <f>SUM(R403:W403)</f>
        <v>1.0000000000000002</v>
      </c>
    </row>
    <row r="404" spans="1:24" ht="15.75" customHeight="1" x14ac:dyDescent="0.3">
      <c r="C404" t="s">
        <v>69</v>
      </c>
      <c r="D404" t="s">
        <v>72</v>
      </c>
      <c r="E404" t="s">
        <v>70</v>
      </c>
      <c r="F404" t="s">
        <v>71</v>
      </c>
      <c r="G404" t="s">
        <v>73</v>
      </c>
      <c r="H404" t="s">
        <v>68</v>
      </c>
      <c r="K404" t="s">
        <v>68</v>
      </c>
      <c r="L404" t="s">
        <v>69</v>
      </c>
      <c r="M404" t="s">
        <v>70</v>
      </c>
      <c r="N404" t="s">
        <v>71</v>
      </c>
      <c r="O404" t="s">
        <v>72</v>
      </c>
      <c r="P404" t="s">
        <v>73</v>
      </c>
    </row>
    <row r="405" spans="1:24" ht="15.75" customHeight="1" x14ac:dyDescent="0.3">
      <c r="A405">
        <v>202</v>
      </c>
      <c r="B405" s="16" t="s">
        <v>283</v>
      </c>
      <c r="C405" s="7">
        <f>Rankings!L211</f>
        <v>12.348162455893599</v>
      </c>
      <c r="D405" s="7">
        <f>Rankings!M211</f>
        <v>6.8632392491862637</v>
      </c>
      <c r="E405" s="7">
        <f>Rankings!N211</f>
        <v>3.4756971216393153</v>
      </c>
      <c r="F405" s="7">
        <f>Rankings!O211</f>
        <v>2.4240080990005324</v>
      </c>
      <c r="G405" s="7">
        <f>Rankings!P211</f>
        <v>1.6397534939100344</v>
      </c>
      <c r="H405" s="7">
        <f>Rankings!Q211</f>
        <v>1</v>
      </c>
      <c r="I405" s="7">
        <f>Rankings!R211</f>
        <v>27.750860419629742</v>
      </c>
      <c r="K405" s="7">
        <f>H405</f>
        <v>1</v>
      </c>
      <c r="L405" s="7">
        <f>C405</f>
        <v>12.348162455893599</v>
      </c>
      <c r="M405" s="7">
        <f t="shared" ref="M405:N405" si="356">E405</f>
        <v>3.4756971216393153</v>
      </c>
      <c r="N405" s="7">
        <f t="shared" si="356"/>
        <v>2.4240080990005324</v>
      </c>
      <c r="O405" s="7">
        <f>D405</f>
        <v>6.8632392491862637</v>
      </c>
      <c r="P405" s="7">
        <f>G405</f>
        <v>1.6397534939100344</v>
      </c>
      <c r="R405" s="7">
        <f t="shared" ref="R405:W405" si="357">K405/$I405</f>
        <v>3.603491873328165E-2</v>
      </c>
      <c r="S405" s="7">
        <f t="shared" si="357"/>
        <v>0.44496503060348536</v>
      </c>
      <c r="T405" s="7">
        <f t="shared" si="357"/>
        <v>0.12524646331977365</v>
      </c>
      <c r="U405" s="7">
        <f t="shared" si="357"/>
        <v>8.7348934856300714E-2</v>
      </c>
      <c r="V405" s="7">
        <f t="shared" si="357"/>
        <v>0.24731626859149597</v>
      </c>
      <c r="W405" s="7">
        <f t="shared" si="357"/>
        <v>5.9088383895662733E-2</v>
      </c>
      <c r="X405" s="7">
        <f>SUM(R405:W405)</f>
        <v>1</v>
      </c>
    </row>
    <row r="406" spans="1:24" ht="15.75" customHeight="1" x14ac:dyDescent="0.3">
      <c r="C406" t="s">
        <v>69</v>
      </c>
      <c r="D406" t="s">
        <v>72</v>
      </c>
      <c r="E406" t="s">
        <v>70</v>
      </c>
      <c r="F406" t="s">
        <v>73</v>
      </c>
      <c r="G406" t="s">
        <v>68</v>
      </c>
      <c r="H406" t="s">
        <v>71</v>
      </c>
      <c r="K406" t="s">
        <v>68</v>
      </c>
      <c r="L406" t="s">
        <v>69</v>
      </c>
      <c r="M406" t="s">
        <v>70</v>
      </c>
      <c r="N406" t="s">
        <v>71</v>
      </c>
      <c r="O406" t="s">
        <v>72</v>
      </c>
      <c r="P406" t="s">
        <v>73</v>
      </c>
    </row>
    <row r="407" spans="1:24" ht="15.75" customHeight="1" x14ac:dyDescent="0.3">
      <c r="A407">
        <v>203</v>
      </c>
      <c r="B407" s="16" t="s">
        <v>284</v>
      </c>
      <c r="C407" s="7">
        <f>Rankings!L212</f>
        <v>14.715465226688101</v>
      </c>
      <c r="D407" s="7">
        <f>Rankings!M212</f>
        <v>8.179011158509466</v>
      </c>
      <c r="E407" s="7">
        <f>Rankings!N212</f>
        <v>4.1420333037140908</v>
      </c>
      <c r="F407" s="7">
        <f>Rankings!O212</f>
        <v>2.0560565858186979</v>
      </c>
      <c r="G407" s="7">
        <f>Rankings!P212</f>
        <v>1.2538815092968505</v>
      </c>
      <c r="H407" s="7">
        <f>Rankings!Q212</f>
        <v>1</v>
      </c>
      <c r="I407" s="7">
        <f>Rankings!R212</f>
        <v>31.346447784027205</v>
      </c>
      <c r="K407" s="7">
        <f>G407</f>
        <v>1.2538815092968505</v>
      </c>
      <c r="L407" s="7">
        <f>C407</f>
        <v>14.715465226688101</v>
      </c>
      <c r="M407" s="7">
        <f>E407</f>
        <v>4.1420333037140908</v>
      </c>
      <c r="N407" s="7">
        <f>H407</f>
        <v>1</v>
      </c>
      <c r="O407" s="7">
        <f>D407</f>
        <v>8.179011158509466</v>
      </c>
      <c r="P407" s="7">
        <f>F407</f>
        <v>2.0560565858186979</v>
      </c>
      <c r="R407" s="7">
        <f t="shared" ref="R407:W407" si="358">K407/$I407</f>
        <v>4.0000752810523378E-2</v>
      </c>
      <c r="S407" s="7">
        <f t="shared" si="358"/>
        <v>0.46944602233961791</v>
      </c>
      <c r="T407" s="7">
        <f t="shared" si="358"/>
        <v>0.13213724669066623</v>
      </c>
      <c r="U407" s="7">
        <f t="shared" si="358"/>
        <v>3.190154134496722E-2</v>
      </c>
      <c r="V407" s="7">
        <f t="shared" si="358"/>
        <v>0.26092306263413795</v>
      </c>
      <c r="W407" s="7">
        <f t="shared" si="358"/>
        <v>6.5591374180087328E-2</v>
      </c>
      <c r="X407" s="7">
        <f>SUM(R407:W407)</f>
        <v>1</v>
      </c>
    </row>
    <row r="408" spans="1:24" ht="15.75" customHeight="1" x14ac:dyDescent="0.3">
      <c r="C408" t="s">
        <v>69</v>
      </c>
      <c r="D408" t="s">
        <v>72</v>
      </c>
      <c r="E408" t="s">
        <v>70</v>
      </c>
      <c r="F408" t="s">
        <v>73</v>
      </c>
      <c r="G408" t="s">
        <v>71</v>
      </c>
      <c r="H408" t="s">
        <v>68</v>
      </c>
      <c r="K408" t="s">
        <v>68</v>
      </c>
      <c r="L408" t="s">
        <v>69</v>
      </c>
      <c r="M408" t="s">
        <v>70</v>
      </c>
      <c r="N408" t="s">
        <v>71</v>
      </c>
      <c r="O408" t="s">
        <v>72</v>
      </c>
      <c r="P408" t="s">
        <v>73</v>
      </c>
    </row>
    <row r="409" spans="1:24" ht="15.75" customHeight="1" x14ac:dyDescent="0.3">
      <c r="A409">
        <v>204</v>
      </c>
      <c r="B409" s="16" t="s">
        <v>285</v>
      </c>
      <c r="C409" s="7">
        <f>Rankings!L213</f>
        <v>18.491081117852655</v>
      </c>
      <c r="D409" s="7">
        <f>Rankings!M213</f>
        <v>10.277538390123921</v>
      </c>
      <c r="E409" s="7">
        <f>Rankings!N213</f>
        <v>5.2047742040067435</v>
      </c>
      <c r="F409" s="7">
        <f>Rankings!O213</f>
        <v>2.5835886616970591</v>
      </c>
      <c r="G409" s="7">
        <f>Rankings!P213</f>
        <v>2.9131157743633094</v>
      </c>
      <c r="H409" s="7">
        <f>Rankings!Q213</f>
        <v>1</v>
      </c>
      <c r="I409" s="7">
        <f>Rankings!R213</f>
        <v>40.470098148043689</v>
      </c>
      <c r="K409" s="7">
        <f>H409</f>
        <v>1</v>
      </c>
      <c r="L409" s="7">
        <f>C409</f>
        <v>18.491081117852655</v>
      </c>
      <c r="M409" s="7">
        <f>E409</f>
        <v>5.2047742040067435</v>
      </c>
      <c r="N409" s="7">
        <f>G409</f>
        <v>2.9131157743633094</v>
      </c>
      <c r="O409" s="7">
        <f>D409</f>
        <v>10.277538390123921</v>
      </c>
      <c r="P409" s="7">
        <f>F409</f>
        <v>2.5835886616970591</v>
      </c>
      <c r="R409" s="7">
        <f t="shared" ref="R409:W409" si="359">K409/$I409</f>
        <v>2.4709601551790149E-2</v>
      </c>
      <c r="S409" s="7">
        <f t="shared" si="359"/>
        <v>0.45690724668396948</v>
      </c>
      <c r="T409" s="7">
        <f t="shared" si="359"/>
        <v>0.12860789674804238</v>
      </c>
      <c r="U409" s="7">
        <f t="shared" si="359"/>
        <v>7.1981930058751989E-2</v>
      </c>
      <c r="V409" s="7">
        <f t="shared" si="359"/>
        <v>0.25395387855318885</v>
      </c>
      <c r="W409" s="7">
        <f t="shared" si="359"/>
        <v>6.3839446404257094E-2</v>
      </c>
      <c r="X409" s="7">
        <f>SUM(R409:W409)</f>
        <v>0.99999999999999989</v>
      </c>
    </row>
    <row r="410" spans="1:24" ht="15.75" customHeight="1" x14ac:dyDescent="0.3">
      <c r="C410" t="s">
        <v>69</v>
      </c>
      <c r="D410" t="s">
        <v>72</v>
      </c>
      <c r="E410" t="s">
        <v>71</v>
      </c>
      <c r="F410" t="s">
        <v>68</v>
      </c>
      <c r="G410" t="s">
        <v>70</v>
      </c>
      <c r="H410" t="s">
        <v>73</v>
      </c>
      <c r="K410" t="s">
        <v>68</v>
      </c>
      <c r="L410" t="s">
        <v>69</v>
      </c>
      <c r="M410" t="s">
        <v>70</v>
      </c>
      <c r="N410" t="s">
        <v>71</v>
      </c>
      <c r="O410" t="s">
        <v>72</v>
      </c>
      <c r="P410" t="s">
        <v>73</v>
      </c>
    </row>
    <row r="411" spans="1:24" ht="15.75" customHeight="1" x14ac:dyDescent="0.3">
      <c r="A411">
        <v>205</v>
      </c>
      <c r="B411" s="16" t="s">
        <v>286</v>
      </c>
      <c r="C411" s="7">
        <f>Rankings!L214</f>
        <v>14.671666024218837</v>
      </c>
      <c r="D411" s="7">
        <f>Rankings!M214</f>
        <v>8.1546670986913501</v>
      </c>
      <c r="E411" s="7">
        <f>Rankings!N214</f>
        <v>6.502889605756156</v>
      </c>
      <c r="F411" s="7">
        <f>Rankings!O214</f>
        <v>2.2322798369307613</v>
      </c>
      <c r="G411" s="7">
        <f>Rankings!P214</f>
        <v>2.0145521929129111</v>
      </c>
      <c r="H411" s="7">
        <f>Rankings!Q214</f>
        <v>1</v>
      </c>
      <c r="I411" s="7">
        <f>Rankings!R214</f>
        <v>34.576054758510011</v>
      </c>
      <c r="K411" s="7">
        <f>F411</f>
        <v>2.2322798369307613</v>
      </c>
      <c r="L411" s="7">
        <f>C411</f>
        <v>14.671666024218837</v>
      </c>
      <c r="M411" s="7">
        <f>G411</f>
        <v>2.0145521929129111</v>
      </c>
      <c r="N411" s="7">
        <f>E411</f>
        <v>6.502889605756156</v>
      </c>
      <c r="O411" s="7">
        <f>D411</f>
        <v>8.1546670986913501</v>
      </c>
      <c r="P411" s="7">
        <f>H411</f>
        <v>1</v>
      </c>
      <c r="R411" s="7">
        <f t="shared" ref="R411:W411" si="360">K411/$I411</f>
        <v>6.4561438617612751E-2</v>
      </c>
      <c r="S411" s="7">
        <f t="shared" si="360"/>
        <v>0.42433025186622197</v>
      </c>
      <c r="T411" s="7">
        <f t="shared" si="360"/>
        <v>5.8264374202990313E-2</v>
      </c>
      <c r="U411" s="7">
        <f t="shared" si="360"/>
        <v>0.18807494525255622</v>
      </c>
      <c r="V411" s="7">
        <f t="shared" si="360"/>
        <v>0.23584724039934854</v>
      </c>
      <c r="W411" s="7">
        <f t="shared" si="360"/>
        <v>2.8921749661270292E-2</v>
      </c>
      <c r="X411" s="7">
        <f>SUM(R411:W411)</f>
        <v>1.0000000000000002</v>
      </c>
    </row>
    <row r="412" spans="1:24" ht="15.75" customHeight="1" x14ac:dyDescent="0.3">
      <c r="C412" t="s">
        <v>69</v>
      </c>
      <c r="D412" t="s">
        <v>72</v>
      </c>
      <c r="E412" t="s">
        <v>71</v>
      </c>
      <c r="F412" t="s">
        <v>68</v>
      </c>
      <c r="G412" t="s">
        <v>73</v>
      </c>
      <c r="H412" t="s">
        <v>70</v>
      </c>
      <c r="K412" t="s">
        <v>68</v>
      </c>
      <c r="L412" t="s">
        <v>69</v>
      </c>
      <c r="M412" t="s">
        <v>70</v>
      </c>
      <c r="N412" t="s">
        <v>71</v>
      </c>
      <c r="O412" t="s">
        <v>72</v>
      </c>
      <c r="P412" t="s">
        <v>73</v>
      </c>
    </row>
    <row r="413" spans="1:24" ht="15.75" customHeight="1" x14ac:dyDescent="0.3">
      <c r="A413">
        <v>206</v>
      </c>
      <c r="B413" s="16" t="s">
        <v>287</v>
      </c>
      <c r="C413" s="7">
        <f>Rankings!L215</f>
        <v>10.710980787383534</v>
      </c>
      <c r="D413" s="7">
        <f>Rankings!M215</f>
        <v>5.9532763680287033</v>
      </c>
      <c r="E413" s="7">
        <f>Rankings!N215</f>
        <v>4.7474039768049288</v>
      </c>
      <c r="F413" s="7">
        <f>Rankings!O215</f>
        <v>1.6296653976419875</v>
      </c>
      <c r="G413" s="7">
        <f>Rankings!P215</f>
        <v>1.4032439022773779</v>
      </c>
      <c r="H413" s="7">
        <f>Rankings!Q215</f>
        <v>1</v>
      </c>
      <c r="I413" s="7">
        <f>Rankings!R215</f>
        <v>25.44457043213653</v>
      </c>
      <c r="K413" s="7">
        <f>F413</f>
        <v>1.6296653976419875</v>
      </c>
      <c r="L413" s="7">
        <f>C413</f>
        <v>10.710980787383534</v>
      </c>
      <c r="M413" s="7">
        <f>H413</f>
        <v>1</v>
      </c>
      <c r="N413" s="7">
        <f>E413</f>
        <v>4.7474039768049288</v>
      </c>
      <c r="O413" s="7">
        <f>D413</f>
        <v>5.9532763680287033</v>
      </c>
      <c r="P413" s="7">
        <f>G413</f>
        <v>1.4032439022773779</v>
      </c>
      <c r="R413" s="7">
        <f t="shared" ref="R413:W413" si="361">K413/$I413</f>
        <v>6.4047667929332294E-2</v>
      </c>
      <c r="S413" s="7">
        <f t="shared" si="361"/>
        <v>0.42095349245336638</v>
      </c>
      <c r="T413" s="7">
        <f t="shared" si="361"/>
        <v>3.9301115444928029E-2</v>
      </c>
      <c r="U413" s="7">
        <f t="shared" si="361"/>
        <v>0.18657827175612093</v>
      </c>
      <c r="V413" s="7">
        <f t="shared" si="361"/>
        <v>0.23397040181545792</v>
      </c>
      <c r="W413" s="7">
        <f t="shared" si="361"/>
        <v>5.5149050600794537E-2</v>
      </c>
      <c r="X413" s="7">
        <f>SUM(R413:W413)</f>
        <v>1</v>
      </c>
    </row>
    <row r="414" spans="1:24" ht="15.75" customHeight="1" x14ac:dyDescent="0.3">
      <c r="C414" t="s">
        <v>69</v>
      </c>
      <c r="D414" t="s">
        <v>72</v>
      </c>
      <c r="E414" t="s">
        <v>71</v>
      </c>
      <c r="F414" t="s">
        <v>70</v>
      </c>
      <c r="G414" t="s">
        <v>68</v>
      </c>
      <c r="H414" t="s">
        <v>73</v>
      </c>
      <c r="K414" t="s">
        <v>68</v>
      </c>
      <c r="L414" t="s">
        <v>69</v>
      </c>
      <c r="M414" t="s">
        <v>70</v>
      </c>
      <c r="N414" t="s">
        <v>71</v>
      </c>
      <c r="O414" t="s">
        <v>72</v>
      </c>
      <c r="P414" t="s">
        <v>73</v>
      </c>
    </row>
    <row r="415" spans="1:24" ht="15.75" customHeight="1" x14ac:dyDescent="0.3">
      <c r="A415">
        <v>207</v>
      </c>
      <c r="B415" s="16" t="s">
        <v>288</v>
      </c>
      <c r="C415" s="7">
        <f>Rankings!L216</f>
        <v>9.9855472585901612</v>
      </c>
      <c r="D415" s="7">
        <f>Rankings!M216</f>
        <v>5.5500727427707579</v>
      </c>
      <c r="E415" s="7">
        <f>Rankings!N216</f>
        <v>4.4258717018560381</v>
      </c>
      <c r="F415" s="7">
        <f>Rankings!O216</f>
        <v>1.9768416954390056</v>
      </c>
      <c r="G415" s="7">
        <f>Rankings!P216</f>
        <v>1.1613557664474019</v>
      </c>
      <c r="H415" s="7">
        <f>Rankings!Q216</f>
        <v>1</v>
      </c>
      <c r="I415" s="7">
        <f>Rankings!R216</f>
        <v>24.099689165103364</v>
      </c>
      <c r="K415" s="7">
        <f>G415</f>
        <v>1.1613557664474019</v>
      </c>
      <c r="L415" s="7">
        <f>C415</f>
        <v>9.9855472585901612</v>
      </c>
      <c r="M415" s="7">
        <f>F415</f>
        <v>1.9768416954390056</v>
      </c>
      <c r="N415" s="7">
        <f>E415</f>
        <v>4.4258717018560381</v>
      </c>
      <c r="O415" s="7">
        <f>D415</f>
        <v>5.5500727427707579</v>
      </c>
      <c r="P415" s="7">
        <f>H415</f>
        <v>1</v>
      </c>
      <c r="R415" s="7">
        <f t="shared" ref="R415:W415" si="362">K415/$I415</f>
        <v>4.8189657488572873E-2</v>
      </c>
      <c r="S415" s="7">
        <f t="shared" si="362"/>
        <v>0.41434340460495866</v>
      </c>
      <c r="T415" s="7">
        <f t="shared" si="362"/>
        <v>8.2027684336339737E-2</v>
      </c>
      <c r="U415" s="7">
        <f t="shared" si="362"/>
        <v>0.1836484973534328</v>
      </c>
      <c r="V415" s="7">
        <f t="shared" si="362"/>
        <v>0.23029644510134717</v>
      </c>
      <c r="W415" s="7">
        <f t="shared" si="362"/>
        <v>4.149431111534882E-2</v>
      </c>
      <c r="X415" s="7">
        <f>SUM(R415:W415)</f>
        <v>1</v>
      </c>
    </row>
    <row r="416" spans="1:24" ht="15.75" customHeight="1" x14ac:dyDescent="0.3">
      <c r="C416" t="s">
        <v>69</v>
      </c>
      <c r="D416" t="s">
        <v>72</v>
      </c>
      <c r="E416" t="s">
        <v>71</v>
      </c>
      <c r="F416" t="s">
        <v>70</v>
      </c>
      <c r="G416" t="s">
        <v>73</v>
      </c>
      <c r="H416" t="s">
        <v>68</v>
      </c>
      <c r="K416" t="s">
        <v>68</v>
      </c>
      <c r="L416" t="s">
        <v>69</v>
      </c>
      <c r="M416" t="s">
        <v>70</v>
      </c>
      <c r="N416" t="s">
        <v>71</v>
      </c>
      <c r="O416" t="s">
        <v>72</v>
      </c>
      <c r="P416" t="s">
        <v>73</v>
      </c>
    </row>
    <row r="417" spans="1:24" ht="15.75" customHeight="1" x14ac:dyDescent="0.3">
      <c r="A417">
        <v>208</v>
      </c>
      <c r="B417" s="16" t="s">
        <v>289</v>
      </c>
      <c r="C417" s="7">
        <f>Rankings!L217</f>
        <v>16.6861854988902</v>
      </c>
      <c r="D417" s="7">
        <f>Rankings!M217</f>
        <v>9.2743583220778376</v>
      </c>
      <c r="E417" s="7">
        <f>Rankings!N217</f>
        <v>7.3957805515293886</v>
      </c>
      <c r="F417" s="7">
        <f>Rankings!O217</f>
        <v>3.3033689969930675</v>
      </c>
      <c r="G417" s="7">
        <f>Rankings!P217</f>
        <v>1.6397534939100344</v>
      </c>
      <c r="H417" s="7">
        <f>Rankings!Q217</f>
        <v>1</v>
      </c>
      <c r="I417" s="7">
        <f>Rankings!R217</f>
        <v>39.299446863400526</v>
      </c>
      <c r="K417" s="7">
        <f>H417</f>
        <v>1</v>
      </c>
      <c r="L417" s="7">
        <f>C417</f>
        <v>16.6861854988902</v>
      </c>
      <c r="M417" s="7">
        <f>F417</f>
        <v>3.3033689969930675</v>
      </c>
      <c r="N417" s="7">
        <f>E417</f>
        <v>7.3957805515293886</v>
      </c>
      <c r="O417" s="7">
        <f>D417</f>
        <v>9.2743583220778376</v>
      </c>
      <c r="P417" s="7">
        <f>G417</f>
        <v>1.6397534939100344</v>
      </c>
      <c r="R417" s="7">
        <f t="shared" ref="R417:W417" si="363">K417/$I417</f>
        <v>2.544565076134182E-2</v>
      </c>
      <c r="S417" s="7">
        <f t="shared" si="363"/>
        <v>0.42459084874372627</v>
      </c>
      <c r="T417" s="7">
        <f t="shared" si="363"/>
        <v>8.4056373833329617E-2</v>
      </c>
      <c r="U417" s="7">
        <f t="shared" si="363"/>
        <v>0.18819044902174081</v>
      </c>
      <c r="V417" s="7">
        <f t="shared" si="363"/>
        <v>0.23599208289913678</v>
      </c>
      <c r="W417" s="7">
        <f t="shared" si="363"/>
        <v>4.1724594740724777E-2</v>
      </c>
      <c r="X417" s="7">
        <f>SUM(R417:W417)</f>
        <v>1.0000000000000002</v>
      </c>
    </row>
    <row r="418" spans="1:24" ht="15.75" customHeight="1" x14ac:dyDescent="0.3">
      <c r="C418" t="s">
        <v>69</v>
      </c>
      <c r="D418" t="s">
        <v>72</v>
      </c>
      <c r="E418" t="s">
        <v>71</v>
      </c>
      <c r="F418" t="s">
        <v>73</v>
      </c>
      <c r="G418" t="s">
        <v>68</v>
      </c>
      <c r="H418" t="s">
        <v>70</v>
      </c>
      <c r="K418" t="s">
        <v>68</v>
      </c>
      <c r="L418" t="s">
        <v>69</v>
      </c>
      <c r="M418" t="s">
        <v>70</v>
      </c>
      <c r="N418" t="s">
        <v>71</v>
      </c>
      <c r="O418" t="s">
        <v>72</v>
      </c>
      <c r="P418" t="s">
        <v>73</v>
      </c>
    </row>
    <row r="419" spans="1:24" ht="15.75" customHeight="1" x14ac:dyDescent="0.3">
      <c r="A419">
        <v>209</v>
      </c>
      <c r="B419" s="16" t="s">
        <v>290</v>
      </c>
      <c r="C419" s="7">
        <f>Rankings!L218</f>
        <v>6.06006427631897</v>
      </c>
      <c r="D419" s="7">
        <f>Rankings!M218</f>
        <v>3.3682477973856586</v>
      </c>
      <c r="E419" s="7">
        <f>Rankings!N218</f>
        <v>2.6859886891943496</v>
      </c>
      <c r="F419" s="7">
        <f>Rankings!O218</f>
        <v>1.8169738539756839</v>
      </c>
      <c r="G419" s="7">
        <f>Rankings!P218</f>
        <v>1.1080774401297739</v>
      </c>
      <c r="H419" s="7">
        <f>Rankings!Q218</f>
        <v>1</v>
      </c>
      <c r="I419" s="7">
        <f>Rankings!R218</f>
        <v>16.039352057004436</v>
      </c>
      <c r="K419" s="7">
        <f>G419</f>
        <v>1.1080774401297739</v>
      </c>
      <c r="L419" s="7">
        <f>C419</f>
        <v>6.06006427631897</v>
      </c>
      <c r="M419" s="7">
        <f>H419</f>
        <v>1</v>
      </c>
      <c r="N419" s="7">
        <f>E419</f>
        <v>2.6859886891943496</v>
      </c>
      <c r="O419" s="7">
        <f>D419</f>
        <v>3.3682477973856586</v>
      </c>
      <c r="P419" s="7">
        <f>F419</f>
        <v>1.8169738539756839</v>
      </c>
      <c r="R419" s="7">
        <f t="shared" ref="R419:W419" si="364">K419/$I419</f>
        <v>6.9084925387984927E-2</v>
      </c>
      <c r="S419" s="7">
        <f t="shared" si="364"/>
        <v>0.37782475593660408</v>
      </c>
      <c r="T419" s="7">
        <f t="shared" si="364"/>
        <v>6.2346658172098467E-2</v>
      </c>
      <c r="U419" s="7">
        <f t="shared" si="364"/>
        <v>0.16746241865932296</v>
      </c>
      <c r="V419" s="7">
        <f t="shared" si="364"/>
        <v>0.20999899406252723</v>
      </c>
      <c r="W419" s="7">
        <f t="shared" si="364"/>
        <v>0.11328224778146233</v>
      </c>
      <c r="X419" s="7">
        <f>SUM(R419:W419)</f>
        <v>1</v>
      </c>
    </row>
    <row r="420" spans="1:24" ht="15.75" customHeight="1" x14ac:dyDescent="0.3">
      <c r="C420" t="s">
        <v>69</v>
      </c>
      <c r="D420" t="s">
        <v>72</v>
      </c>
      <c r="E420" t="s">
        <v>71</v>
      </c>
      <c r="F420" t="s">
        <v>73</v>
      </c>
      <c r="G420" t="s">
        <v>70</v>
      </c>
      <c r="H420" t="s">
        <v>68</v>
      </c>
      <c r="K420" t="s">
        <v>68</v>
      </c>
      <c r="L420" t="s">
        <v>69</v>
      </c>
      <c r="M420" t="s">
        <v>70</v>
      </c>
      <c r="N420" t="s">
        <v>71</v>
      </c>
      <c r="O420" t="s">
        <v>72</v>
      </c>
      <c r="P420" t="s">
        <v>73</v>
      </c>
    </row>
    <row r="421" spans="1:24" ht="15.75" customHeight="1" x14ac:dyDescent="0.3">
      <c r="A421">
        <v>210</v>
      </c>
      <c r="B421" s="16" t="s">
        <v>291</v>
      </c>
      <c r="C421" s="7">
        <f>Rankings!L219</f>
        <v>7.9665140841893818</v>
      </c>
      <c r="D421" s="7">
        <f>Rankings!M219</f>
        <v>4.4278727573516496</v>
      </c>
      <c r="E421" s="7">
        <f>Rankings!N219</f>
        <v>3.5309801590813823</v>
      </c>
      <c r="F421" s="7">
        <f>Rankings!O219</f>
        <v>2.3885799124054143</v>
      </c>
      <c r="G421" s="7">
        <f>Rankings!P219</f>
        <v>1.7021844231989158</v>
      </c>
      <c r="H421" s="7">
        <f>Rankings!Q219</f>
        <v>1</v>
      </c>
      <c r="I421" s="7">
        <f>Rankings!R219</f>
        <v>21.016131336226742</v>
      </c>
      <c r="K421" s="7">
        <f>H421</f>
        <v>1</v>
      </c>
      <c r="L421" s="7">
        <f>C421</f>
        <v>7.9665140841893818</v>
      </c>
      <c r="M421" s="7">
        <f>G421</f>
        <v>1.7021844231989158</v>
      </c>
      <c r="N421" s="7">
        <f>E421</f>
        <v>3.5309801590813823</v>
      </c>
      <c r="O421" s="7">
        <f>D421</f>
        <v>4.4278727573516496</v>
      </c>
      <c r="P421" s="7">
        <f>F421</f>
        <v>2.3885799124054143</v>
      </c>
      <c r="R421" s="7">
        <f t="shared" ref="R421:W421" si="365">K421/$I421</f>
        <v>4.7582496702247054E-2</v>
      </c>
      <c r="S421" s="7">
        <f t="shared" si="365"/>
        <v>0.37906663013934599</v>
      </c>
      <c r="T421" s="7">
        <f t="shared" si="365"/>
        <v>8.0994184703478717E-2</v>
      </c>
      <c r="U421" s="7">
        <f t="shared" si="365"/>
        <v>0.16801285177518965</v>
      </c>
      <c r="V421" s="7">
        <f t="shared" si="365"/>
        <v>0.21068924087465446</v>
      </c>
      <c r="W421" s="7">
        <f t="shared" si="365"/>
        <v>0.11365459580508419</v>
      </c>
      <c r="X421" s="7">
        <f>SUM(R421:W421)</f>
        <v>1</v>
      </c>
    </row>
    <row r="422" spans="1:24" ht="15.75" customHeight="1" x14ac:dyDescent="0.3">
      <c r="C422" t="s">
        <v>69</v>
      </c>
      <c r="D422" t="s">
        <v>72</v>
      </c>
      <c r="E422" t="s">
        <v>73</v>
      </c>
      <c r="F422" t="s">
        <v>68</v>
      </c>
      <c r="G422" t="s">
        <v>70</v>
      </c>
      <c r="H422" t="s">
        <v>71</v>
      </c>
      <c r="K422" t="s">
        <v>68</v>
      </c>
      <c r="L422" t="s">
        <v>69</v>
      </c>
      <c r="M422" t="s">
        <v>70</v>
      </c>
      <c r="N422" t="s">
        <v>71</v>
      </c>
      <c r="O422" t="s">
        <v>72</v>
      </c>
      <c r="P422" t="s">
        <v>73</v>
      </c>
    </row>
    <row r="423" spans="1:24" ht="15.75" customHeight="1" x14ac:dyDescent="0.3">
      <c r="A423">
        <v>211</v>
      </c>
      <c r="B423" s="16" t="s">
        <v>292</v>
      </c>
      <c r="C423" s="7">
        <f>Rankings!L220</f>
        <v>6.1964098804158594</v>
      </c>
      <c r="D423" s="7">
        <f>Rankings!M220</f>
        <v>3.4440301257146122</v>
      </c>
      <c r="E423" s="7">
        <f>Rankings!N220</f>
        <v>2.6052927780897615</v>
      </c>
      <c r="F423" s="7">
        <f>Rankings!O220</f>
        <v>1.5888319724676261</v>
      </c>
      <c r="G423" s="7">
        <f>Rankings!P220</f>
        <v>1.4338636587362954</v>
      </c>
      <c r="H423" s="7">
        <f>Rankings!Q220</f>
        <v>1</v>
      </c>
      <c r="I423" s="7">
        <f>Rankings!R220</f>
        <v>16.268428415424154</v>
      </c>
      <c r="K423" s="7">
        <f>F423</f>
        <v>1.5888319724676261</v>
      </c>
      <c r="L423" s="7">
        <f>C423</f>
        <v>6.1964098804158594</v>
      </c>
      <c r="M423" s="7">
        <f t="shared" ref="M423:N423" si="366">G423</f>
        <v>1.4338636587362954</v>
      </c>
      <c r="N423" s="7">
        <f t="shared" si="366"/>
        <v>1</v>
      </c>
      <c r="O423" s="7">
        <f t="shared" ref="O423:P423" si="367">D423</f>
        <v>3.4440301257146122</v>
      </c>
      <c r="P423" s="7">
        <f t="shared" si="367"/>
        <v>2.6052927780897615</v>
      </c>
      <c r="R423" s="7">
        <f t="shared" ref="R423:W423" si="368">K423/$I423</f>
        <v>9.766351929613859E-2</v>
      </c>
      <c r="S423" s="7">
        <f t="shared" si="368"/>
        <v>0.38088558539194983</v>
      </c>
      <c r="T423" s="7">
        <f t="shared" si="368"/>
        <v>8.8137810372441644E-2</v>
      </c>
      <c r="U423" s="7">
        <f t="shared" si="368"/>
        <v>6.1468752510346759E-2</v>
      </c>
      <c r="V423" s="7">
        <f t="shared" si="368"/>
        <v>0.21170023543572994</v>
      </c>
      <c r="W423" s="7">
        <f t="shared" si="368"/>
        <v>0.1601440969933933</v>
      </c>
      <c r="X423" s="7">
        <f>SUM(R423:W423)</f>
        <v>1</v>
      </c>
    </row>
    <row r="424" spans="1:24" ht="15.75" customHeight="1" x14ac:dyDescent="0.3">
      <c r="C424" t="s">
        <v>69</v>
      </c>
      <c r="D424" t="s">
        <v>72</v>
      </c>
      <c r="E424" t="s">
        <v>73</v>
      </c>
      <c r="F424" t="s">
        <v>68</v>
      </c>
      <c r="G424" t="s">
        <v>71</v>
      </c>
      <c r="H424" t="s">
        <v>70</v>
      </c>
      <c r="K424" t="s">
        <v>68</v>
      </c>
      <c r="L424" t="s">
        <v>69</v>
      </c>
      <c r="M424" t="s">
        <v>70</v>
      </c>
      <c r="N424" t="s">
        <v>71</v>
      </c>
      <c r="O424" t="s">
        <v>72</v>
      </c>
      <c r="P424" t="s">
        <v>73</v>
      </c>
    </row>
    <row r="425" spans="1:24" ht="15.75" customHeight="1" x14ac:dyDescent="0.3">
      <c r="A425">
        <v>212</v>
      </c>
      <c r="B425" s="16" t="s">
        <v>293</v>
      </c>
      <c r="C425" s="7">
        <f>Rankings!L221</f>
        <v>10.948272360807303</v>
      </c>
      <c r="D425" s="7">
        <f>Rankings!M221</f>
        <v>6.0851655334037407</v>
      </c>
      <c r="E425" s="7">
        <f>Rankings!N221</f>
        <v>4.6032227474688483</v>
      </c>
      <c r="F425" s="7">
        <f>Rankings!O221</f>
        <v>2.8072650947627165</v>
      </c>
      <c r="G425" s="7">
        <f>Rankings!P221</f>
        <v>2.2388599512381115</v>
      </c>
      <c r="H425" s="7">
        <f>Rankings!Q221</f>
        <v>1</v>
      </c>
      <c r="I425" s="7">
        <f>Rankings!R221</f>
        <v>27.68278568768072</v>
      </c>
      <c r="K425" s="7">
        <f>F425</f>
        <v>2.8072650947627165</v>
      </c>
      <c r="L425" s="7">
        <f>C425</f>
        <v>10.948272360807303</v>
      </c>
      <c r="M425" s="7">
        <f>H425</f>
        <v>1</v>
      </c>
      <c r="N425" s="7">
        <f>G425</f>
        <v>2.2388599512381115</v>
      </c>
      <c r="O425" s="7">
        <f t="shared" ref="O425:P425" si="369">D425</f>
        <v>6.0851655334037407</v>
      </c>
      <c r="P425" s="7">
        <f t="shared" si="369"/>
        <v>4.6032227474688483</v>
      </c>
      <c r="R425" s="7">
        <f t="shared" ref="R425:W425" si="370">K425/$I425</f>
        <v>0.10140833102688773</v>
      </c>
      <c r="S425" s="7">
        <f t="shared" si="370"/>
        <v>0.39549026909092672</v>
      </c>
      <c r="T425" s="7">
        <f t="shared" si="370"/>
        <v>3.6123532193691618E-2</v>
      </c>
      <c r="U425" s="7">
        <f t="shared" si="370"/>
        <v>8.0875529525716763E-2</v>
      </c>
      <c r="V425" s="7">
        <f t="shared" si="370"/>
        <v>0.21981767304985264</v>
      </c>
      <c r="W425" s="7">
        <f t="shared" si="370"/>
        <v>0.1662846651129245</v>
      </c>
      <c r="X425" s="7">
        <f>SUM(R425:W425)</f>
        <v>1</v>
      </c>
    </row>
    <row r="426" spans="1:24" ht="15.75" customHeight="1" x14ac:dyDescent="0.3">
      <c r="C426" t="s">
        <v>69</v>
      </c>
      <c r="D426" t="s">
        <v>72</v>
      </c>
      <c r="E426" t="s">
        <v>73</v>
      </c>
      <c r="F426" t="s">
        <v>70</v>
      </c>
      <c r="G426" t="s">
        <v>68</v>
      </c>
      <c r="H426" t="s">
        <v>71</v>
      </c>
      <c r="K426" t="s">
        <v>68</v>
      </c>
      <c r="L426" t="s">
        <v>69</v>
      </c>
      <c r="M426" t="s">
        <v>70</v>
      </c>
      <c r="N426" t="s">
        <v>71</v>
      </c>
      <c r="O426" t="s">
        <v>72</v>
      </c>
      <c r="P426" t="s">
        <v>73</v>
      </c>
    </row>
    <row r="427" spans="1:24" ht="15.75" customHeight="1" x14ac:dyDescent="0.3">
      <c r="A427">
        <v>213</v>
      </c>
      <c r="B427" s="16" t="s">
        <v>294</v>
      </c>
      <c r="C427" s="7">
        <f>Rankings!L222</f>
        <v>7.1232777032197916</v>
      </c>
      <c r="D427" s="7">
        <f>Rankings!M222</f>
        <v>3.959193061333393</v>
      </c>
      <c r="E427" s="7">
        <f>Rankings!N222</f>
        <v>2.99499618564304</v>
      </c>
      <c r="F427" s="7">
        <f>Rankings!O222</f>
        <v>2.1343375736622456</v>
      </c>
      <c r="G427" s="7">
        <f>Rankings!P222</f>
        <v>1.2538815092968505</v>
      </c>
      <c r="H427" s="7">
        <f>Rankings!Q222</f>
        <v>1</v>
      </c>
      <c r="I427" s="7">
        <f>Rankings!R222</f>
        <v>18.465686033155322</v>
      </c>
      <c r="K427" s="7">
        <f>G427</f>
        <v>1.2538815092968505</v>
      </c>
      <c r="L427" s="7">
        <f>C427</f>
        <v>7.1232777032197916</v>
      </c>
      <c r="M427" s="7">
        <f>F427</f>
        <v>2.1343375736622456</v>
      </c>
      <c r="N427" s="7">
        <f>H427</f>
        <v>1</v>
      </c>
      <c r="O427" s="7">
        <f t="shared" ref="O427:P427" si="371">D427</f>
        <v>3.959193061333393</v>
      </c>
      <c r="P427" s="7">
        <f t="shared" si="371"/>
        <v>2.99499618564304</v>
      </c>
      <c r="R427" s="7">
        <f t="shared" ref="R427:W427" si="372">K427/$I427</f>
        <v>6.7903326583452883E-2</v>
      </c>
      <c r="S427" s="7">
        <f t="shared" si="372"/>
        <v>0.38575754458458117</v>
      </c>
      <c r="T427" s="7">
        <f t="shared" si="372"/>
        <v>0.11558398479374238</v>
      </c>
      <c r="U427" s="7">
        <f t="shared" si="372"/>
        <v>5.4154500309627818E-2</v>
      </c>
      <c r="V427" s="7">
        <f t="shared" si="372"/>
        <v>0.21440812186585556</v>
      </c>
      <c r="W427" s="7">
        <f t="shared" si="372"/>
        <v>0.16219252186274016</v>
      </c>
      <c r="X427" s="7">
        <f>SUM(R427:W427)</f>
        <v>0.99999999999999989</v>
      </c>
    </row>
    <row r="428" spans="1:24" ht="15.75" customHeight="1" x14ac:dyDescent="0.3">
      <c r="C428" t="s">
        <v>69</v>
      </c>
      <c r="D428" t="s">
        <v>72</v>
      </c>
      <c r="E428" t="s">
        <v>73</v>
      </c>
      <c r="F428" t="s">
        <v>70</v>
      </c>
      <c r="G428" t="s">
        <v>71</v>
      </c>
      <c r="H428" t="s">
        <v>68</v>
      </c>
      <c r="K428" t="s">
        <v>68</v>
      </c>
      <c r="L428" t="s">
        <v>69</v>
      </c>
      <c r="M428" t="s">
        <v>70</v>
      </c>
      <c r="N428" t="s">
        <v>71</v>
      </c>
      <c r="O428" t="s">
        <v>72</v>
      </c>
      <c r="P428" t="s">
        <v>73</v>
      </c>
    </row>
    <row r="429" spans="1:24" ht="15.75" customHeight="1" x14ac:dyDescent="0.3">
      <c r="A429">
        <v>214</v>
      </c>
      <c r="B429" s="16" t="s">
        <v>295</v>
      </c>
      <c r="C429" s="7">
        <f>Rankings!L223</f>
        <v>13.940628965171982</v>
      </c>
      <c r="D429" s="7">
        <f>Rankings!M223</f>
        <v>7.7483489720728089</v>
      </c>
      <c r="E429" s="7">
        <f>Rankings!N223</f>
        <v>5.8613649945561717</v>
      </c>
      <c r="F429" s="7">
        <f>Rankings!O223</f>
        <v>4.1770108425509909</v>
      </c>
      <c r="G429" s="7">
        <f>Rankings!P223</f>
        <v>2.9131157743633094</v>
      </c>
      <c r="H429" s="7">
        <f>Rankings!Q223</f>
        <v>1</v>
      </c>
      <c r="I429" s="7">
        <f>Rankings!R223</f>
        <v>35.640469548715267</v>
      </c>
      <c r="K429" s="7">
        <f>H429</f>
        <v>1</v>
      </c>
      <c r="L429" s="7">
        <f>C429</f>
        <v>13.940628965171982</v>
      </c>
      <c r="M429" s="7">
        <f t="shared" ref="M429:N429" si="373">F429</f>
        <v>4.1770108425509909</v>
      </c>
      <c r="N429" s="7">
        <f t="shared" si="373"/>
        <v>2.9131157743633094</v>
      </c>
      <c r="O429" s="7">
        <f t="shared" ref="O429:P429" si="374">D429</f>
        <v>7.7483489720728089</v>
      </c>
      <c r="P429" s="7">
        <f t="shared" si="374"/>
        <v>5.8613649945561717</v>
      </c>
      <c r="R429" s="7">
        <f t="shared" ref="R429:W429" si="375">K429/$I429</f>
        <v>2.8057991734175877E-2</v>
      </c>
      <c r="S429" s="7">
        <f t="shared" si="375"/>
        <v>0.39114605227400828</v>
      </c>
      <c r="T429" s="7">
        <f t="shared" si="375"/>
        <v>0.11719853569385871</v>
      </c>
      <c r="U429" s="7">
        <f t="shared" si="375"/>
        <v>8.1736178317783098E-2</v>
      </c>
      <c r="V429" s="7">
        <f t="shared" si="375"/>
        <v>0.21740311141192903</v>
      </c>
      <c r="W429" s="7">
        <f t="shared" si="375"/>
        <v>0.1644581305682449</v>
      </c>
      <c r="X429" s="7">
        <f>SUM(R429:W429)</f>
        <v>0.99999999999999989</v>
      </c>
    </row>
    <row r="430" spans="1:24" ht="15.75" customHeight="1" x14ac:dyDescent="0.3">
      <c r="C430" t="s">
        <v>69</v>
      </c>
      <c r="D430" t="s">
        <v>72</v>
      </c>
      <c r="E430" t="s">
        <v>73</v>
      </c>
      <c r="F430" t="s">
        <v>71</v>
      </c>
      <c r="G430" t="s">
        <v>68</v>
      </c>
      <c r="H430" t="s">
        <v>70</v>
      </c>
      <c r="K430" t="s">
        <v>68</v>
      </c>
      <c r="L430" t="s">
        <v>69</v>
      </c>
      <c r="M430" t="s">
        <v>70</v>
      </c>
      <c r="N430" t="s">
        <v>71</v>
      </c>
      <c r="O430" t="s">
        <v>72</v>
      </c>
      <c r="P430" t="s">
        <v>73</v>
      </c>
    </row>
    <row r="431" spans="1:24" ht="15.75" customHeight="1" x14ac:dyDescent="0.3">
      <c r="A431">
        <v>215</v>
      </c>
      <c r="B431" s="16" t="s">
        <v>296</v>
      </c>
      <c r="C431" s="7">
        <f>Rankings!L224</f>
        <v>6.8089020251435901</v>
      </c>
      <c r="D431" s="7">
        <f>Rankings!M224</f>
        <v>3.7844597355880452</v>
      </c>
      <c r="E431" s="7">
        <f>Rankings!N224</f>
        <v>2.8628163106015858</v>
      </c>
      <c r="F431" s="7">
        <f>Rankings!O224</f>
        <v>3.2279578700581602</v>
      </c>
      <c r="G431" s="7">
        <f>Rankings!P224</f>
        <v>1.1080774401297739</v>
      </c>
      <c r="H431" s="7">
        <f>Rankings!Q224</f>
        <v>1</v>
      </c>
      <c r="I431" s="7">
        <f>Rankings!R224</f>
        <v>18.792213381521155</v>
      </c>
      <c r="K431" s="7">
        <f>G431</f>
        <v>1.1080774401297739</v>
      </c>
      <c r="L431" s="7">
        <f>C431</f>
        <v>6.8089020251435901</v>
      </c>
      <c r="M431" s="7">
        <f>H431</f>
        <v>1</v>
      </c>
      <c r="N431" s="7">
        <f>F431</f>
        <v>3.2279578700581602</v>
      </c>
      <c r="O431" s="7">
        <f t="shared" ref="O431:P431" si="376">D431</f>
        <v>3.7844597355880452</v>
      </c>
      <c r="P431" s="7">
        <f t="shared" si="376"/>
        <v>2.8628163106015858</v>
      </c>
      <c r="R431" s="7">
        <f t="shared" ref="R431:W431" si="377">K431/$I431</f>
        <v>5.8964711480946341E-2</v>
      </c>
      <c r="S431" s="7">
        <f t="shared" si="377"/>
        <v>0.36232570836168509</v>
      </c>
      <c r="T431" s="7">
        <f t="shared" si="377"/>
        <v>5.3213529438917745E-2</v>
      </c>
      <c r="U431" s="7">
        <f t="shared" si="377"/>
        <v>0.17177103114592612</v>
      </c>
      <c r="V431" s="7">
        <f t="shared" si="377"/>
        <v>0.20138445955011333</v>
      </c>
      <c r="W431" s="7">
        <f t="shared" si="377"/>
        <v>0.15234056002241139</v>
      </c>
      <c r="X431" s="7">
        <f>SUM(R431:W431)</f>
        <v>0.99999999999999989</v>
      </c>
    </row>
    <row r="432" spans="1:24" ht="15.75" customHeight="1" x14ac:dyDescent="0.3">
      <c r="C432" t="s">
        <v>69</v>
      </c>
      <c r="D432" t="s">
        <v>72</v>
      </c>
      <c r="E432" t="s">
        <v>73</v>
      </c>
      <c r="F432" t="s">
        <v>71</v>
      </c>
      <c r="G432" t="s">
        <v>70</v>
      </c>
      <c r="H432" t="s">
        <v>68</v>
      </c>
      <c r="K432" t="s">
        <v>68</v>
      </c>
      <c r="L432" t="s">
        <v>69</v>
      </c>
      <c r="M432" t="s">
        <v>70</v>
      </c>
      <c r="N432" t="s">
        <v>71</v>
      </c>
      <c r="O432" t="s">
        <v>72</v>
      </c>
      <c r="P432" t="s">
        <v>73</v>
      </c>
    </row>
    <row r="433" spans="1:24" ht="15.75" customHeight="1" x14ac:dyDescent="0.3">
      <c r="A433">
        <v>216</v>
      </c>
      <c r="B433" s="16" t="s">
        <v>297</v>
      </c>
      <c r="C433" s="7">
        <f>Rankings!L225</f>
        <v>8.0386434631264532</v>
      </c>
      <c r="D433" s="7">
        <f>Rankings!M225</f>
        <v>4.4679630287834193</v>
      </c>
      <c r="E433" s="7">
        <f>Rankings!N225</f>
        <v>3.3798635281235256</v>
      </c>
      <c r="F433" s="7">
        <f>Rankings!O225</f>
        <v>3.8109525347213977</v>
      </c>
      <c r="G433" s="7">
        <f>Rankings!P225</f>
        <v>1.7021844231989158</v>
      </c>
      <c r="H433" s="7">
        <f>Rankings!Q225</f>
        <v>1</v>
      </c>
      <c r="I433" s="7">
        <f>Rankings!R225</f>
        <v>22.399606977953709</v>
      </c>
      <c r="K433" s="7">
        <f>H433</f>
        <v>1</v>
      </c>
      <c r="L433" s="7">
        <f>C433</f>
        <v>8.0386434631264532</v>
      </c>
      <c r="M433" s="7">
        <f>G433</f>
        <v>1.7021844231989158</v>
      </c>
      <c r="N433" s="7">
        <f>F433</f>
        <v>3.8109525347213977</v>
      </c>
      <c r="O433" s="7">
        <f t="shared" ref="O433:P433" si="378">D433</f>
        <v>4.4679630287834193</v>
      </c>
      <c r="P433" s="7">
        <f t="shared" si="378"/>
        <v>3.3798635281235256</v>
      </c>
      <c r="R433" s="7">
        <f t="shared" ref="R433:W433" si="379">K433/$I433</f>
        <v>4.4643640443523258E-2</v>
      </c>
      <c r="S433" s="7">
        <f t="shared" si="379"/>
        <v>0.35887430842149598</v>
      </c>
      <c r="T433" s="7">
        <f t="shared" si="379"/>
        <v>7.5991709357858428E-2</v>
      </c>
      <c r="U433" s="7">
        <f t="shared" si="379"/>
        <v>0.17013479470743567</v>
      </c>
      <c r="V433" s="7">
        <f t="shared" si="379"/>
        <v>0.19946613497196214</v>
      </c>
      <c r="W433" s="7">
        <f t="shared" si="379"/>
        <v>0.15088941209772463</v>
      </c>
      <c r="X433" s="7">
        <f>SUM(R433:W433)</f>
        <v>1.0000000000000002</v>
      </c>
    </row>
    <row r="434" spans="1:24" ht="15.75" customHeight="1" x14ac:dyDescent="0.3">
      <c r="C434" t="s">
        <v>69</v>
      </c>
      <c r="D434" t="s">
        <v>73</v>
      </c>
      <c r="E434" t="s">
        <v>68</v>
      </c>
      <c r="F434" t="s">
        <v>70</v>
      </c>
      <c r="G434" t="s">
        <v>71</v>
      </c>
      <c r="H434" t="s">
        <v>72</v>
      </c>
      <c r="K434" t="s">
        <v>68</v>
      </c>
      <c r="L434" t="s">
        <v>69</v>
      </c>
      <c r="M434" t="s">
        <v>70</v>
      </c>
      <c r="N434" t="s">
        <v>71</v>
      </c>
      <c r="O434" t="s">
        <v>72</v>
      </c>
      <c r="P434" t="s">
        <v>73</v>
      </c>
    </row>
    <row r="435" spans="1:24" ht="15.75" customHeight="1" x14ac:dyDescent="0.3">
      <c r="A435">
        <v>217</v>
      </c>
      <c r="B435" s="16" t="s">
        <v>298</v>
      </c>
      <c r="C435" s="7">
        <f>Rankings!L226</f>
        <v>6.5918824914600984</v>
      </c>
      <c r="D435" s="7">
        <f>Rankings!M226</f>
        <v>4.9360553124216846</v>
      </c>
      <c r="E435" s="7">
        <f>Rankings!N226</f>
        <v>3.0102422899258681</v>
      </c>
      <c r="F435" s="7">
        <f>Rankings!O226</f>
        <v>2.7166353008444242</v>
      </c>
      <c r="G435" s="7">
        <f>Rankings!P226</f>
        <v>1.89462595295753</v>
      </c>
      <c r="H435" s="7">
        <f>Rankings!Q226</f>
        <v>1</v>
      </c>
      <c r="I435" s="7">
        <f>Rankings!R226</f>
        <v>20.149441347609606</v>
      </c>
      <c r="K435" s="7">
        <f>E435</f>
        <v>3.0102422899258681</v>
      </c>
      <c r="L435" s="7">
        <f>C435</f>
        <v>6.5918824914600984</v>
      </c>
      <c r="M435" s="7">
        <f t="shared" ref="M435:O435" si="380">F435</f>
        <v>2.7166353008444242</v>
      </c>
      <c r="N435" s="7">
        <f t="shared" si="380"/>
        <v>1.89462595295753</v>
      </c>
      <c r="O435" s="7">
        <f t="shared" si="380"/>
        <v>1</v>
      </c>
      <c r="P435" s="7">
        <f>D435</f>
        <v>4.9360553124216846</v>
      </c>
      <c r="R435" s="7">
        <f t="shared" ref="R435:W435" si="381">K435/$I435</f>
        <v>0.14939581887132483</v>
      </c>
      <c r="S435" s="7">
        <f t="shared" si="381"/>
        <v>0.32714964041631434</v>
      </c>
      <c r="T435" s="7">
        <f t="shared" si="381"/>
        <v>0.13482434842625091</v>
      </c>
      <c r="U435" s="7">
        <f t="shared" si="381"/>
        <v>9.4028708800023161E-2</v>
      </c>
      <c r="V435" s="7">
        <f t="shared" si="381"/>
        <v>4.96291675162812E-2</v>
      </c>
      <c r="W435" s="7">
        <f t="shared" si="381"/>
        <v>0.24497231596980554</v>
      </c>
      <c r="X435" s="7">
        <f>SUM(R435:W435)</f>
        <v>0.99999999999999989</v>
      </c>
    </row>
    <row r="436" spans="1:24" ht="15.75" customHeight="1" x14ac:dyDescent="0.3">
      <c r="C436" t="s">
        <v>69</v>
      </c>
      <c r="D436" t="s">
        <v>73</v>
      </c>
      <c r="E436" t="s">
        <v>68</v>
      </c>
      <c r="F436" t="s">
        <v>70</v>
      </c>
      <c r="G436" t="s">
        <v>72</v>
      </c>
      <c r="H436" t="s">
        <v>71</v>
      </c>
      <c r="K436" t="s">
        <v>68</v>
      </c>
      <c r="L436" t="s">
        <v>69</v>
      </c>
      <c r="M436" t="s">
        <v>70</v>
      </c>
      <c r="N436" t="s">
        <v>71</v>
      </c>
      <c r="O436" t="s">
        <v>72</v>
      </c>
      <c r="P436" t="s">
        <v>73</v>
      </c>
    </row>
    <row r="437" spans="1:24" ht="15.75" customHeight="1" x14ac:dyDescent="0.3">
      <c r="A437">
        <v>218</v>
      </c>
      <c r="B437" s="16" t="s">
        <v>299</v>
      </c>
      <c r="C437" s="7">
        <f>Rankings!L227</f>
        <v>6.8204214941069328</v>
      </c>
      <c r="D437" s="7">
        <f>Rankings!M227</f>
        <v>5.1071871794675419</v>
      </c>
      <c r="E437" s="7">
        <f>Rankings!N227</f>
        <v>3.114606676207972</v>
      </c>
      <c r="F437" s="7">
        <f>Rankings!O227</f>
        <v>2.8108204024469634</v>
      </c>
      <c r="G437" s="7">
        <f>Rankings!P227</f>
        <v>1.25400669441983</v>
      </c>
      <c r="H437" s="7">
        <f>Rankings!Q227</f>
        <v>1</v>
      </c>
      <c r="I437" s="7">
        <f>Rankings!R227</f>
        <v>20.107042446649238</v>
      </c>
      <c r="K437" s="7">
        <f>E437</f>
        <v>3.114606676207972</v>
      </c>
      <c r="L437" s="7">
        <f>C437</f>
        <v>6.8204214941069328</v>
      </c>
      <c r="M437" s="7">
        <f>F437</f>
        <v>2.8108204024469634</v>
      </c>
      <c r="N437" s="7">
        <f>H437</f>
        <v>1</v>
      </c>
      <c r="O437" s="7">
        <f>G437</f>
        <v>1.25400669441983</v>
      </c>
      <c r="P437" s="7">
        <f>D437</f>
        <v>5.1071871794675419</v>
      </c>
      <c r="R437" s="7">
        <f t="shared" ref="R437:W437" si="382">K437/$I437</f>
        <v>0.15490128319329277</v>
      </c>
      <c r="S437" s="7">
        <f t="shared" si="382"/>
        <v>0.3392056048125332</v>
      </c>
      <c r="T437" s="7">
        <f t="shared" si="382"/>
        <v>0.13979283178543128</v>
      </c>
      <c r="U437" s="7">
        <f t="shared" si="382"/>
        <v>4.9733818519224648E-2</v>
      </c>
      <c r="V437" s="7">
        <f t="shared" si="382"/>
        <v>6.2366541362168626E-2</v>
      </c>
      <c r="W437" s="7">
        <f t="shared" si="382"/>
        <v>0.25399992032734953</v>
      </c>
      <c r="X437" s="7">
        <f>SUM(R437:W437)</f>
        <v>1</v>
      </c>
    </row>
    <row r="438" spans="1:24" ht="15.75" customHeight="1" x14ac:dyDescent="0.3">
      <c r="C438" t="s">
        <v>69</v>
      </c>
      <c r="D438" t="s">
        <v>73</v>
      </c>
      <c r="E438" t="s">
        <v>68</v>
      </c>
      <c r="F438" t="s">
        <v>71</v>
      </c>
      <c r="G438" t="s">
        <v>70</v>
      </c>
      <c r="H438" t="s">
        <v>72</v>
      </c>
      <c r="K438" t="s">
        <v>68</v>
      </c>
      <c r="L438" t="s">
        <v>69</v>
      </c>
      <c r="M438" t="s">
        <v>70</v>
      </c>
      <c r="N438" t="s">
        <v>71</v>
      </c>
      <c r="O438" t="s">
        <v>72</v>
      </c>
      <c r="P438" t="s">
        <v>73</v>
      </c>
    </row>
    <row r="439" spans="1:24" ht="15.75" customHeight="1" x14ac:dyDescent="0.3">
      <c r="A439">
        <v>219</v>
      </c>
      <c r="B439" s="16" t="s">
        <v>300</v>
      </c>
      <c r="C439" s="7">
        <f>Rankings!L228</f>
        <v>13.779221206574816</v>
      </c>
      <c r="D439" s="7">
        <f>Rankings!M228</f>
        <v>10.31799309618486</v>
      </c>
      <c r="E439" s="7">
        <f>Rankings!N228</f>
        <v>6.292405007524235</v>
      </c>
      <c r="F439" s="7">
        <f>Rankings!O228</f>
        <v>5.0183410161721573</v>
      </c>
      <c r="G439" s="7">
        <f>Rankings!P228</f>
        <v>2.2414716085286912</v>
      </c>
      <c r="H439" s="7">
        <f>Rankings!Q228</f>
        <v>1</v>
      </c>
      <c r="I439" s="7">
        <f>Rankings!R228</f>
        <v>38.649431934984754</v>
      </c>
      <c r="K439" s="7">
        <f>E439</f>
        <v>6.292405007524235</v>
      </c>
      <c r="L439" s="7">
        <f>C439</f>
        <v>13.779221206574816</v>
      </c>
      <c r="M439" s="7">
        <f>G439</f>
        <v>2.2414716085286912</v>
      </c>
      <c r="N439" s="7">
        <f>F439</f>
        <v>5.0183410161721573</v>
      </c>
      <c r="O439" s="7">
        <f>H439</f>
        <v>1</v>
      </c>
      <c r="P439" s="7">
        <f>D439</f>
        <v>10.31799309618486</v>
      </c>
      <c r="R439" s="7">
        <f t="shared" ref="R439:W439" si="383">K439/$I439</f>
        <v>0.16280717962709476</v>
      </c>
      <c r="S439" s="7">
        <f t="shared" si="383"/>
        <v>0.3565180784481885</v>
      </c>
      <c r="T439" s="7">
        <f t="shared" si="383"/>
        <v>5.7994943167579971E-2</v>
      </c>
      <c r="U439" s="7">
        <f t="shared" si="383"/>
        <v>0.12984255563222516</v>
      </c>
      <c r="V439" s="7">
        <f t="shared" si="383"/>
        <v>2.5873601497744612E-2</v>
      </c>
      <c r="W439" s="7">
        <f t="shared" si="383"/>
        <v>0.26696364162716718</v>
      </c>
      <c r="X439" s="7">
        <f>SUM(R439:W439)</f>
        <v>1.0000000000000002</v>
      </c>
    </row>
    <row r="440" spans="1:24" ht="15.75" customHeight="1" x14ac:dyDescent="0.3">
      <c r="C440" t="s">
        <v>69</v>
      </c>
      <c r="D440" t="s">
        <v>73</v>
      </c>
      <c r="E440" t="s">
        <v>68</v>
      </c>
      <c r="F440" t="s">
        <v>71</v>
      </c>
      <c r="G440" t="s">
        <v>72</v>
      </c>
      <c r="H440" t="s">
        <v>70</v>
      </c>
      <c r="K440" t="s">
        <v>68</v>
      </c>
      <c r="L440" t="s">
        <v>69</v>
      </c>
      <c r="M440" t="s">
        <v>70</v>
      </c>
      <c r="N440" t="s">
        <v>71</v>
      </c>
      <c r="O440" t="s">
        <v>72</v>
      </c>
      <c r="P440" t="s">
        <v>73</v>
      </c>
    </row>
    <row r="441" spans="1:24" ht="15.75" customHeight="1" x14ac:dyDescent="0.3">
      <c r="A441">
        <v>220</v>
      </c>
      <c r="B441" s="16" t="s">
        <v>301</v>
      </c>
      <c r="C441" s="7">
        <f>Rankings!L229</f>
        <v>10.272477494385745</v>
      </c>
      <c r="D441" s="7">
        <f>Rankings!M229</f>
        <v>7.6921148357217906</v>
      </c>
      <c r="E441" s="7">
        <f>Rankings!N229</f>
        <v>4.6910190246826335</v>
      </c>
      <c r="F441" s="7">
        <f>Rankings!O229</f>
        <v>3.741198023817462</v>
      </c>
      <c r="G441" s="7">
        <f>Rankings!P229</f>
        <v>1.9746367445127702</v>
      </c>
      <c r="H441" s="7">
        <f>Rankings!Q229</f>
        <v>1</v>
      </c>
      <c r="I441" s="7">
        <f>Rankings!R229</f>
        <v>29.3714461231204</v>
      </c>
      <c r="K441" s="7">
        <f>E441</f>
        <v>4.6910190246826335</v>
      </c>
      <c r="L441" s="7">
        <f>C441</f>
        <v>10.272477494385745</v>
      </c>
      <c r="M441" s="7">
        <f>H441</f>
        <v>1</v>
      </c>
      <c r="N441" s="7">
        <f t="shared" ref="N441:O441" si="384">F441</f>
        <v>3.741198023817462</v>
      </c>
      <c r="O441" s="7">
        <f t="shared" si="384"/>
        <v>1.9746367445127702</v>
      </c>
      <c r="P441" s="7">
        <f>D441</f>
        <v>7.6921148357217906</v>
      </c>
      <c r="R441" s="7">
        <f t="shared" ref="R441:W441" si="385">K441/$I441</f>
        <v>0.15971358730580146</v>
      </c>
      <c r="S441" s="7">
        <f t="shared" si="385"/>
        <v>0.34974367456492145</v>
      </c>
      <c r="T441" s="7">
        <f t="shared" si="385"/>
        <v>3.4046672261493702E-2</v>
      </c>
      <c r="U441" s="7">
        <f t="shared" si="385"/>
        <v>0.12737534298226103</v>
      </c>
      <c r="V441" s="7">
        <f t="shared" si="385"/>
        <v>6.7229810075929153E-2</v>
      </c>
      <c r="W441" s="7">
        <f t="shared" si="385"/>
        <v>0.26189091280959326</v>
      </c>
      <c r="X441" s="7">
        <f>SUM(R441:W441)</f>
        <v>1</v>
      </c>
    </row>
    <row r="442" spans="1:24" ht="15.75" customHeight="1" x14ac:dyDescent="0.3">
      <c r="C442" t="s">
        <v>69</v>
      </c>
      <c r="D442" t="s">
        <v>73</v>
      </c>
      <c r="E442" t="s">
        <v>68</v>
      </c>
      <c r="F442" t="s">
        <v>72</v>
      </c>
      <c r="G442" t="s">
        <v>70</v>
      </c>
      <c r="H442" t="s">
        <v>71</v>
      </c>
      <c r="K442" t="s">
        <v>68</v>
      </c>
      <c r="L442" t="s">
        <v>69</v>
      </c>
      <c r="M442" t="s">
        <v>70</v>
      </c>
      <c r="N442" t="s">
        <v>71</v>
      </c>
      <c r="O442" t="s">
        <v>72</v>
      </c>
      <c r="P442" t="s">
        <v>73</v>
      </c>
    </row>
    <row r="443" spans="1:24" ht="15.75" customHeight="1" x14ac:dyDescent="0.3">
      <c r="A443">
        <v>221</v>
      </c>
      <c r="B443" s="16" t="s">
        <v>302</v>
      </c>
      <c r="C443" s="7">
        <f>Rankings!L230</f>
        <v>6.7253837479450702</v>
      </c>
      <c r="D443" s="7">
        <f>Rankings!M230</f>
        <v>5.0360221408870469</v>
      </c>
      <c r="E443" s="7">
        <f>Rankings!N230</f>
        <v>3.0712068366315979</v>
      </c>
      <c r="F443" s="7">
        <f>Rankings!O230</f>
        <v>2.8313598671622078</v>
      </c>
      <c r="G443" s="7">
        <f>Rankings!P230</f>
        <v>1.4338636587362954</v>
      </c>
      <c r="H443" s="7">
        <f>Rankings!Q230</f>
        <v>1</v>
      </c>
      <c r="I443" s="7">
        <f>Rankings!R230</f>
        <v>20.097836251362221</v>
      </c>
      <c r="K443" s="7">
        <f>E443</f>
        <v>3.0712068366315979</v>
      </c>
      <c r="L443" s="7">
        <f>C443</f>
        <v>6.7253837479450702</v>
      </c>
      <c r="M443" s="7">
        <f t="shared" ref="M443:N443" si="386">G443</f>
        <v>1.4338636587362954</v>
      </c>
      <c r="N443" s="7">
        <f t="shared" si="386"/>
        <v>1</v>
      </c>
      <c r="O443" s="7">
        <f>F443</f>
        <v>2.8313598671622078</v>
      </c>
      <c r="P443" s="7">
        <f>D443</f>
        <v>5.0360221408870469</v>
      </c>
      <c r="R443" s="7">
        <f t="shared" ref="R443:W443" si="387">K443/$I443</f>
        <v>0.15281281020604559</v>
      </c>
      <c r="S443" s="7">
        <f t="shared" si="387"/>
        <v>0.33463222925250113</v>
      </c>
      <c r="T443" s="7">
        <f t="shared" si="387"/>
        <v>7.1344180577603666E-2</v>
      </c>
      <c r="U443" s="7">
        <f t="shared" si="387"/>
        <v>4.9756600038584779E-2</v>
      </c>
      <c r="V443" s="7">
        <f t="shared" si="387"/>
        <v>0.14087884047569049</v>
      </c>
      <c r="W443" s="7">
        <f t="shared" si="387"/>
        <v>0.25057533944957422</v>
      </c>
      <c r="X443" s="7">
        <f>SUM(R443:W443)</f>
        <v>0.99999999999999978</v>
      </c>
    </row>
    <row r="444" spans="1:24" ht="15.75" customHeight="1" x14ac:dyDescent="0.3">
      <c r="C444" t="s">
        <v>69</v>
      </c>
      <c r="D444" t="s">
        <v>73</v>
      </c>
      <c r="E444" t="s">
        <v>68</v>
      </c>
      <c r="F444" t="s">
        <v>72</v>
      </c>
      <c r="G444" t="s">
        <v>71</v>
      </c>
      <c r="H444" t="s">
        <v>70</v>
      </c>
      <c r="K444" t="s">
        <v>68</v>
      </c>
      <c r="L444" t="s">
        <v>69</v>
      </c>
      <c r="M444" t="s">
        <v>70</v>
      </c>
      <c r="N444" t="s">
        <v>71</v>
      </c>
      <c r="O444" t="s">
        <v>72</v>
      </c>
      <c r="P444" t="s">
        <v>73</v>
      </c>
    </row>
    <row r="445" spans="1:24" ht="15.75" customHeight="1" x14ac:dyDescent="0.3">
      <c r="A445">
        <v>222</v>
      </c>
      <c r="B445" s="16" t="s">
        <v>303</v>
      </c>
      <c r="C445" s="7">
        <f>Rankings!L231</f>
        <v>6.6688167053412819</v>
      </c>
      <c r="D445" s="7">
        <f>Rankings!M231</f>
        <v>4.9936642785443635</v>
      </c>
      <c r="E445" s="7">
        <f>Rankings!N231</f>
        <v>3.045374989039872</v>
      </c>
      <c r="F445" s="7">
        <f>Rankings!O231</f>
        <v>2.8075453667210462</v>
      </c>
      <c r="G445" s="7">
        <f>Rankings!P231</f>
        <v>2.2388599512381115</v>
      </c>
      <c r="H445" s="7">
        <f>Rankings!Q231</f>
        <v>1</v>
      </c>
      <c r="I445" s="7">
        <f>Rankings!R231</f>
        <v>20.754261290884678</v>
      </c>
      <c r="K445" s="7">
        <f>E445</f>
        <v>3.045374989039872</v>
      </c>
      <c r="L445" s="7">
        <f>C445</f>
        <v>6.6688167053412819</v>
      </c>
      <c r="M445" s="7">
        <f>H445</f>
        <v>1</v>
      </c>
      <c r="N445" s="7">
        <f>G445</f>
        <v>2.2388599512381115</v>
      </c>
      <c r="O445" s="7">
        <f>F445</f>
        <v>2.8075453667210462</v>
      </c>
      <c r="P445" s="7">
        <f>D445</f>
        <v>4.9936642785443635</v>
      </c>
      <c r="R445" s="7">
        <f t="shared" ref="R445:W445" si="388">K445/$I445</f>
        <v>0.14673492572715216</v>
      </c>
      <c r="S445" s="7">
        <f t="shared" si="388"/>
        <v>0.32132276894240713</v>
      </c>
      <c r="T445" s="7">
        <f t="shared" si="388"/>
        <v>4.8182876084305756E-2</v>
      </c>
      <c r="U445" s="7">
        <f t="shared" si="388"/>
        <v>0.10787471160062075</v>
      </c>
      <c r="V445" s="7">
        <f t="shared" si="388"/>
        <v>0.13527561050578693</v>
      </c>
      <c r="W445" s="7">
        <f t="shared" si="388"/>
        <v>0.24060910713972716</v>
      </c>
      <c r="X445" s="7">
        <f>SUM(R445:W445)</f>
        <v>0.99999999999999989</v>
      </c>
    </row>
    <row r="446" spans="1:24" ht="15.75" customHeight="1" x14ac:dyDescent="0.3">
      <c r="C446" t="s">
        <v>69</v>
      </c>
      <c r="D446" t="s">
        <v>73</v>
      </c>
      <c r="E446" t="s">
        <v>70</v>
      </c>
      <c r="F446" t="s">
        <v>68</v>
      </c>
      <c r="G446" t="s">
        <v>71</v>
      </c>
      <c r="H446" t="s">
        <v>72</v>
      </c>
      <c r="K446" t="s">
        <v>68</v>
      </c>
      <c r="L446" t="s">
        <v>69</v>
      </c>
      <c r="M446" t="s">
        <v>70</v>
      </c>
      <c r="N446" t="s">
        <v>71</v>
      </c>
      <c r="O446" t="s">
        <v>72</v>
      </c>
      <c r="P446" t="s">
        <v>73</v>
      </c>
    </row>
    <row r="447" spans="1:24" ht="15.75" customHeight="1" x14ac:dyDescent="0.3">
      <c r="A447">
        <v>223</v>
      </c>
      <c r="B447" s="16" t="s">
        <v>304</v>
      </c>
      <c r="C447" s="7">
        <f>Rankings!L232</f>
        <v>7.5779056711644293</v>
      </c>
      <c r="D447" s="7">
        <f>Rankings!M232</f>
        <v>5.6743975023281124</v>
      </c>
      <c r="E447" s="7">
        <f>Rankings!N232</f>
        <v>4.0437713594328946</v>
      </c>
      <c r="F447" s="7">
        <f>Rankings!O232</f>
        <v>2.3756364494473714</v>
      </c>
      <c r="G447" s="7">
        <f>Rankings!P232</f>
        <v>1.89462595295753</v>
      </c>
      <c r="H447" s="7">
        <f>Rankings!Q232</f>
        <v>1</v>
      </c>
      <c r="I447" s="7">
        <f>Rankings!R232</f>
        <v>22.566336935330337</v>
      </c>
      <c r="K447" s="7">
        <f>F447</f>
        <v>2.3756364494473714</v>
      </c>
      <c r="L447" s="7">
        <f>C447</f>
        <v>7.5779056711644293</v>
      </c>
      <c r="M447" s="7">
        <f>E447</f>
        <v>4.0437713594328946</v>
      </c>
      <c r="N447" s="7">
        <f t="shared" ref="N447:O447" si="389">G447</f>
        <v>1.89462595295753</v>
      </c>
      <c r="O447" s="7">
        <f t="shared" si="389"/>
        <v>1</v>
      </c>
      <c r="P447" s="7">
        <f>D447</f>
        <v>5.6743975023281124</v>
      </c>
      <c r="R447" s="7">
        <f t="shared" ref="R447:W447" si="390">K447/$I447</f>
        <v>0.10527346357786692</v>
      </c>
      <c r="S447" s="7">
        <f t="shared" si="390"/>
        <v>0.33580574875226199</v>
      </c>
      <c r="T447" s="7">
        <f t="shared" si="390"/>
        <v>0.1791948498784435</v>
      </c>
      <c r="U447" s="7">
        <f t="shared" si="390"/>
        <v>8.395806365858445E-2</v>
      </c>
      <c r="V447" s="7">
        <f t="shared" si="390"/>
        <v>4.431379372140716E-2</v>
      </c>
      <c r="W447" s="7">
        <f t="shared" si="390"/>
        <v>0.25145408041143597</v>
      </c>
      <c r="X447" s="7">
        <f>SUM(R447:W447)</f>
        <v>1</v>
      </c>
    </row>
    <row r="448" spans="1:24" ht="15.75" customHeight="1" x14ac:dyDescent="0.3">
      <c r="C448" t="s">
        <v>69</v>
      </c>
      <c r="D448" t="s">
        <v>73</v>
      </c>
      <c r="E448" t="s">
        <v>70</v>
      </c>
      <c r="F448" t="s">
        <v>68</v>
      </c>
      <c r="G448" t="s">
        <v>72</v>
      </c>
      <c r="H448" t="s">
        <v>71</v>
      </c>
      <c r="K448" t="s">
        <v>68</v>
      </c>
      <c r="L448" t="s">
        <v>69</v>
      </c>
      <c r="M448" t="s">
        <v>70</v>
      </c>
      <c r="N448" t="s">
        <v>71</v>
      </c>
      <c r="O448" t="s">
        <v>72</v>
      </c>
      <c r="P448" t="s">
        <v>73</v>
      </c>
    </row>
    <row r="449" spans="1:24" ht="15.75" customHeight="1" x14ac:dyDescent="0.3">
      <c r="A449">
        <v>224</v>
      </c>
      <c r="B449" s="16" t="s">
        <v>305</v>
      </c>
      <c r="C449" s="7">
        <f>Rankings!L233</f>
        <v>4.3389341969671626</v>
      </c>
      <c r="D449" s="7">
        <f>Rankings!M233</f>
        <v>3.2490292751629402</v>
      </c>
      <c r="E449" s="7">
        <f>Rankings!N233</f>
        <v>2.3153703143765436</v>
      </c>
      <c r="F449" s="7">
        <f>Rankings!O233</f>
        <v>1.3602346977334379</v>
      </c>
      <c r="G449" s="7">
        <f>Rankings!P233</f>
        <v>1.25400669441983</v>
      </c>
      <c r="H449" s="7">
        <f>Rankings!Q233</f>
        <v>1</v>
      </c>
      <c r="I449" s="7">
        <f>Rankings!R233</f>
        <v>13.517575178659914</v>
      </c>
      <c r="K449" s="7">
        <f>F449</f>
        <v>1.3602346977334379</v>
      </c>
      <c r="L449" s="7">
        <f>C449</f>
        <v>4.3389341969671626</v>
      </c>
      <c r="M449" s="7">
        <f>E449</f>
        <v>2.3153703143765436</v>
      </c>
      <c r="N449" s="7">
        <f>H449</f>
        <v>1</v>
      </c>
      <c r="O449" s="7">
        <f>G449</f>
        <v>1.25400669441983</v>
      </c>
      <c r="P449" s="7">
        <f>D449</f>
        <v>3.2490292751629402</v>
      </c>
      <c r="R449" s="7">
        <f t="shared" ref="R449:W449" si="391">K449/$I449</f>
        <v>0.10062712282013636</v>
      </c>
      <c r="S449" s="7">
        <f t="shared" si="391"/>
        <v>0.3209846543940072</v>
      </c>
      <c r="T449" s="7">
        <f t="shared" si="391"/>
        <v>0.17128592101576026</v>
      </c>
      <c r="U449" s="7">
        <f t="shared" si="391"/>
        <v>7.3977765004680118E-2</v>
      </c>
      <c r="V449" s="7">
        <f t="shared" si="391"/>
        <v>9.2768612554085902E-2</v>
      </c>
      <c r="W449" s="7">
        <f t="shared" si="391"/>
        <v>0.24035592421133017</v>
      </c>
      <c r="X449" s="7">
        <f>SUM(R449:W449)</f>
        <v>1</v>
      </c>
    </row>
    <row r="450" spans="1:24" ht="15.75" customHeight="1" x14ac:dyDescent="0.3">
      <c r="C450" t="s">
        <v>69</v>
      </c>
      <c r="D450" t="s">
        <v>73</v>
      </c>
      <c r="E450" t="s">
        <v>70</v>
      </c>
      <c r="F450" t="s">
        <v>71</v>
      </c>
      <c r="G450" t="s">
        <v>68</v>
      </c>
      <c r="H450" t="s">
        <v>72</v>
      </c>
      <c r="K450" t="s">
        <v>68</v>
      </c>
      <c r="L450" t="s">
        <v>69</v>
      </c>
      <c r="M450" t="s">
        <v>70</v>
      </c>
      <c r="N450" t="s">
        <v>71</v>
      </c>
      <c r="O450" t="s">
        <v>72</v>
      </c>
      <c r="P450" t="s">
        <v>73</v>
      </c>
    </row>
    <row r="451" spans="1:24" ht="15.75" customHeight="1" x14ac:dyDescent="0.3">
      <c r="A451">
        <v>225</v>
      </c>
      <c r="B451" s="16" t="s">
        <v>306</v>
      </c>
      <c r="C451" s="7">
        <f>Rankings!L234</f>
        <v>8.490674646401267</v>
      </c>
      <c r="D451" s="7">
        <f>Rankings!M234</f>
        <v>6.3578863471411715</v>
      </c>
      <c r="E451" s="7">
        <f>Rankings!N234</f>
        <v>4.5308490824885927</v>
      </c>
      <c r="F451" s="7">
        <f>Rankings!O234</f>
        <v>3.1598883582011963</v>
      </c>
      <c r="G451" s="7">
        <f>Rankings!P234</f>
        <v>1.0847108741813811</v>
      </c>
      <c r="H451" s="7">
        <f>Rankings!Q234</f>
        <v>1</v>
      </c>
      <c r="I451" s="7">
        <f>Rankings!R234</f>
        <v>24.624009308413612</v>
      </c>
      <c r="K451" s="7">
        <f>G451</f>
        <v>1.0847108741813811</v>
      </c>
      <c r="L451" s="7">
        <f>C451</f>
        <v>8.490674646401267</v>
      </c>
      <c r="M451" s="7">
        <f t="shared" ref="M451:N451" si="392">E451</f>
        <v>4.5308490824885927</v>
      </c>
      <c r="N451" s="7">
        <f t="shared" si="392"/>
        <v>3.1598883582011963</v>
      </c>
      <c r="O451" s="7">
        <f>H451</f>
        <v>1</v>
      </c>
      <c r="P451" s="7">
        <f>D451</f>
        <v>6.3578863471411715</v>
      </c>
      <c r="R451" s="7">
        <f t="shared" ref="R451:W451" si="393">K451/$I451</f>
        <v>4.4050944774893075E-2</v>
      </c>
      <c r="S451" s="7">
        <f t="shared" si="393"/>
        <v>0.34481284262267337</v>
      </c>
      <c r="T451" s="7">
        <f t="shared" si="393"/>
        <v>0.18400127394934332</v>
      </c>
      <c r="U451" s="7">
        <f t="shared" si="393"/>
        <v>0.12832550209934804</v>
      </c>
      <c r="V451" s="7">
        <f t="shared" si="393"/>
        <v>4.061077087305668E-2</v>
      </c>
      <c r="W451" s="7">
        <f t="shared" si="393"/>
        <v>0.25819866568068539</v>
      </c>
      <c r="X451" s="7">
        <f>SUM(R451:W451)</f>
        <v>0.99999999999999978</v>
      </c>
    </row>
    <row r="452" spans="1:24" ht="15.75" customHeight="1" x14ac:dyDescent="0.3">
      <c r="C452" t="s">
        <v>69</v>
      </c>
      <c r="D452" t="s">
        <v>73</v>
      </c>
      <c r="E452" t="s">
        <v>70</v>
      </c>
      <c r="F452" t="s">
        <v>71</v>
      </c>
      <c r="G452" t="s">
        <v>72</v>
      </c>
      <c r="H452" t="s">
        <v>68</v>
      </c>
      <c r="K452" t="s">
        <v>68</v>
      </c>
      <c r="L452" t="s">
        <v>69</v>
      </c>
      <c r="M452" t="s">
        <v>70</v>
      </c>
      <c r="N452" t="s">
        <v>71</v>
      </c>
      <c r="O452" t="s">
        <v>72</v>
      </c>
      <c r="P452" t="s">
        <v>73</v>
      </c>
    </row>
    <row r="453" spans="1:24" ht="15.75" customHeight="1" x14ac:dyDescent="0.3">
      <c r="A453">
        <v>226</v>
      </c>
      <c r="B453" s="16" t="s">
        <v>307</v>
      </c>
      <c r="C453" s="7">
        <f>Rankings!L235</f>
        <v>7.7918271788516424</v>
      </c>
      <c r="D453" s="7">
        <f>Rankings!M235</f>
        <v>5.834583670062246</v>
      </c>
      <c r="E453" s="7">
        <f>Rankings!N235</f>
        <v>4.1579255470792189</v>
      </c>
      <c r="F453" s="7">
        <f>Rankings!O235</f>
        <v>2.899805376714629</v>
      </c>
      <c r="G453" s="7">
        <f>Rankings!P235</f>
        <v>1.530542412441888</v>
      </c>
      <c r="H453" s="7">
        <f>Rankings!Q235</f>
        <v>1</v>
      </c>
      <c r="I453" s="7">
        <f>Rankings!R235</f>
        <v>23.214684185149626</v>
      </c>
      <c r="K453" s="7">
        <f>H453</f>
        <v>1</v>
      </c>
      <c r="L453" s="7">
        <f>C453</f>
        <v>7.7918271788516424</v>
      </c>
      <c r="M453" s="7">
        <f t="shared" ref="M453:O453" si="394">E453</f>
        <v>4.1579255470792189</v>
      </c>
      <c r="N453" s="7">
        <f t="shared" si="394"/>
        <v>2.899805376714629</v>
      </c>
      <c r="O453" s="7">
        <f t="shared" si="394"/>
        <v>1.530542412441888</v>
      </c>
      <c r="P453" s="7">
        <f>D453</f>
        <v>5.834583670062246</v>
      </c>
      <c r="R453" s="7">
        <f t="shared" ref="R453:W453" si="395">K453/$I453</f>
        <v>4.3076183678591562E-2</v>
      </c>
      <c r="S453" s="7">
        <f t="shared" si="395"/>
        <v>0.3356421787480553</v>
      </c>
      <c r="T453" s="7">
        <f t="shared" si="395"/>
        <v>0.17910756458789276</v>
      </c>
      <c r="U453" s="7">
        <f t="shared" si="395"/>
        <v>0.12491254903952677</v>
      </c>
      <c r="V453" s="7">
        <f t="shared" si="395"/>
        <v>6.5929926086221419E-2</v>
      </c>
      <c r="W453" s="7">
        <f t="shared" si="395"/>
        <v>0.25133159785971221</v>
      </c>
      <c r="X453" s="7">
        <f>SUM(R453:W453)</f>
        <v>1</v>
      </c>
    </row>
    <row r="454" spans="1:24" ht="15.75" customHeight="1" x14ac:dyDescent="0.3">
      <c r="C454" t="s">
        <v>69</v>
      </c>
      <c r="D454" t="s">
        <v>73</v>
      </c>
      <c r="E454" t="s">
        <v>70</v>
      </c>
      <c r="F454" t="s">
        <v>72</v>
      </c>
      <c r="G454" t="s">
        <v>68</v>
      </c>
      <c r="H454" t="s">
        <v>71</v>
      </c>
      <c r="K454" t="s">
        <v>68</v>
      </c>
      <c r="L454" t="s">
        <v>69</v>
      </c>
      <c r="M454" t="s">
        <v>70</v>
      </c>
      <c r="N454" t="s">
        <v>71</v>
      </c>
      <c r="O454" t="s">
        <v>72</v>
      </c>
      <c r="P454" t="s">
        <v>73</v>
      </c>
    </row>
    <row r="455" spans="1:24" ht="15.75" customHeight="1" x14ac:dyDescent="0.3">
      <c r="A455">
        <v>227</v>
      </c>
      <c r="B455" s="16" t="s">
        <v>308</v>
      </c>
      <c r="C455" s="7">
        <f>Rankings!L236</f>
        <v>8.0611631681744615</v>
      </c>
      <c r="D455" s="7">
        <f>Rankings!M236</f>
        <v>6.0362646530963922</v>
      </c>
      <c r="E455" s="7">
        <f>Rankings!N236</f>
        <v>4.3016503711862981</v>
      </c>
      <c r="F455" s="7">
        <f>Rankings!O236</f>
        <v>1.9191188301554771</v>
      </c>
      <c r="G455" s="7">
        <f>Rankings!P236</f>
        <v>1.2538815092968505</v>
      </c>
      <c r="H455" s="7">
        <f>Rankings!Q236</f>
        <v>1</v>
      </c>
      <c r="I455" s="7">
        <f>Rankings!R236</f>
        <v>22.572078531909479</v>
      </c>
      <c r="K455" s="7">
        <f>G455</f>
        <v>1.2538815092968505</v>
      </c>
      <c r="L455" s="7">
        <f>C455</f>
        <v>8.0611631681744615</v>
      </c>
      <c r="M455" s="7">
        <f>E455</f>
        <v>4.3016503711862981</v>
      </c>
      <c r="N455" s="7">
        <f>H455</f>
        <v>1</v>
      </c>
      <c r="O455" s="7">
        <f>F455</f>
        <v>1.9191188301554771</v>
      </c>
      <c r="P455" s="7">
        <f>D455</f>
        <v>6.0362646530963922</v>
      </c>
      <c r="R455" s="7">
        <f t="shared" ref="R455:W455" si="396">K455/$I455</f>
        <v>5.5550112831845563E-2</v>
      </c>
      <c r="S455" s="7">
        <f t="shared" si="396"/>
        <v>0.35712985655169655</v>
      </c>
      <c r="T455" s="7">
        <f t="shared" si="396"/>
        <v>0.19057395911081837</v>
      </c>
      <c r="U455" s="7">
        <f t="shared" si="396"/>
        <v>4.4302521745453328E-2</v>
      </c>
      <c r="V455" s="7">
        <f t="shared" si="396"/>
        <v>8.502180370507198E-2</v>
      </c>
      <c r="W455" s="7">
        <f t="shared" si="396"/>
        <v>0.26742174605511421</v>
      </c>
      <c r="X455" s="7">
        <f>SUM(R455:W455)</f>
        <v>1</v>
      </c>
    </row>
    <row r="456" spans="1:24" ht="15.75" customHeight="1" x14ac:dyDescent="0.3">
      <c r="C456" t="s">
        <v>69</v>
      </c>
      <c r="D456" t="s">
        <v>73</v>
      </c>
      <c r="E456" t="s">
        <v>70</v>
      </c>
      <c r="F456" t="s">
        <v>72</v>
      </c>
      <c r="G456" t="s">
        <v>71</v>
      </c>
      <c r="H456" t="s">
        <v>68</v>
      </c>
      <c r="K456" t="s">
        <v>68</v>
      </c>
      <c r="L456" t="s">
        <v>69</v>
      </c>
      <c r="M456" t="s">
        <v>70</v>
      </c>
      <c r="N456" t="s">
        <v>71</v>
      </c>
      <c r="O456" t="s">
        <v>72</v>
      </c>
      <c r="P456" t="s">
        <v>73</v>
      </c>
    </row>
    <row r="457" spans="1:24" ht="15.75" customHeight="1" x14ac:dyDescent="0.3">
      <c r="A457">
        <v>228</v>
      </c>
      <c r="B457" s="16" t="s">
        <v>309</v>
      </c>
      <c r="C457" s="7">
        <f>Rankings!L237</f>
        <v>15.344524857198037</v>
      </c>
      <c r="D457" s="7">
        <f>Rankings!M237</f>
        <v>11.490105222003479</v>
      </c>
      <c r="E457" s="7">
        <f>Rankings!N237</f>
        <v>8.188245253270475</v>
      </c>
      <c r="F457" s="7">
        <f>Rankings!O237</f>
        <v>3.653066682671597</v>
      </c>
      <c r="G457" s="7">
        <f>Rankings!P237</f>
        <v>2.9131157743633094</v>
      </c>
      <c r="H457" s="7">
        <f>Rankings!Q237</f>
        <v>1</v>
      </c>
      <c r="I457" s="7">
        <f>Rankings!R237</f>
        <v>42.589057789506903</v>
      </c>
      <c r="K457" s="7">
        <f>H457</f>
        <v>1</v>
      </c>
      <c r="L457" s="7">
        <f>C457</f>
        <v>15.344524857198037</v>
      </c>
      <c r="M457" s="7">
        <f>E457</f>
        <v>8.188245253270475</v>
      </c>
      <c r="N457" s="7">
        <f>G457</f>
        <v>2.9131157743633094</v>
      </c>
      <c r="O457" s="7">
        <f>F457</f>
        <v>3.653066682671597</v>
      </c>
      <c r="P457" s="7">
        <f>D457</f>
        <v>11.490105222003479</v>
      </c>
      <c r="R457" s="7">
        <f t="shared" ref="R457:W457" si="397">K457/$I457</f>
        <v>2.3480209516313369E-2</v>
      </c>
      <c r="S457" s="7">
        <f t="shared" si="397"/>
        <v>0.36029265857528836</v>
      </c>
      <c r="T457" s="7">
        <f t="shared" si="397"/>
        <v>0.19226171411774917</v>
      </c>
      <c r="U457" s="7">
        <f t="shared" si="397"/>
        <v>6.8400568727327971E-2</v>
      </c>
      <c r="V457" s="7">
        <f t="shared" si="397"/>
        <v>8.5774771086192941E-2</v>
      </c>
      <c r="W457" s="7">
        <f t="shared" si="397"/>
        <v>0.26979007797712801</v>
      </c>
      <c r="X457" s="7">
        <f>SUM(R457:W457)</f>
        <v>0.99999999999999978</v>
      </c>
    </row>
    <row r="458" spans="1:24" ht="15.75" customHeight="1" x14ac:dyDescent="0.3">
      <c r="C458" t="s">
        <v>69</v>
      </c>
      <c r="D458" t="s">
        <v>73</v>
      </c>
      <c r="E458" t="s">
        <v>71</v>
      </c>
      <c r="F458" t="s">
        <v>68</v>
      </c>
      <c r="G458" t="s">
        <v>70</v>
      </c>
      <c r="H458" t="s">
        <v>72</v>
      </c>
      <c r="K458" t="s">
        <v>68</v>
      </c>
      <c r="L458" t="s">
        <v>69</v>
      </c>
      <c r="M458" t="s">
        <v>70</v>
      </c>
      <c r="N458" t="s">
        <v>71</v>
      </c>
      <c r="O458" t="s">
        <v>72</v>
      </c>
      <c r="P458" t="s">
        <v>73</v>
      </c>
    </row>
    <row r="459" spans="1:24" ht="15.75" customHeight="1" x14ac:dyDescent="0.3">
      <c r="A459">
        <v>229</v>
      </c>
      <c r="B459" s="16" t="s">
        <v>310</v>
      </c>
      <c r="C459" s="7">
        <f>Rankings!L238</f>
        <v>8.5695134434370743</v>
      </c>
      <c r="D459" s="7">
        <f>Rankings!M238</f>
        <v>6.4169214806463097</v>
      </c>
      <c r="E459" s="7">
        <f>Rankings!N238</f>
        <v>7.2353759192621121</v>
      </c>
      <c r="F459" s="7">
        <f>Rankings!O238</f>
        <v>2.4837241221020387</v>
      </c>
      <c r="G459" s="7">
        <f>Rankings!P238</f>
        <v>2.2414716085286912</v>
      </c>
      <c r="H459" s="7">
        <f>Rankings!Q238</f>
        <v>1</v>
      </c>
      <c r="I459" s="7">
        <f>Rankings!R238</f>
        <v>27.947006573976225</v>
      </c>
      <c r="K459" s="7">
        <f>F459</f>
        <v>2.4837241221020387</v>
      </c>
      <c r="L459" s="7">
        <f>C459</f>
        <v>8.5695134434370743</v>
      </c>
      <c r="M459" s="7">
        <f>G459</f>
        <v>2.2414716085286912</v>
      </c>
      <c r="N459" s="7">
        <f>E459</f>
        <v>7.2353759192621121</v>
      </c>
      <c r="O459" s="7">
        <f>H459</f>
        <v>1</v>
      </c>
      <c r="P459" s="7">
        <f>D459</f>
        <v>6.4169214806463097</v>
      </c>
      <c r="R459" s="7">
        <f t="shared" ref="R459:W459" si="398">K459/$I459</f>
        <v>8.8872635268738953E-2</v>
      </c>
      <c r="S459" s="7">
        <f t="shared" si="398"/>
        <v>0.30663439466239145</v>
      </c>
      <c r="T459" s="7">
        <f t="shared" si="398"/>
        <v>8.0204354001043934E-2</v>
      </c>
      <c r="U459" s="7">
        <f t="shared" si="398"/>
        <v>0.25889627571060048</v>
      </c>
      <c r="V459" s="7">
        <f t="shared" si="398"/>
        <v>3.578200754177311E-2</v>
      </c>
      <c r="W459" s="7">
        <f t="shared" si="398"/>
        <v>0.22961033281545212</v>
      </c>
      <c r="X459" s="7">
        <f>SUM(R459:W459)</f>
        <v>1</v>
      </c>
    </row>
    <row r="460" spans="1:24" ht="15.75" customHeight="1" x14ac:dyDescent="0.3">
      <c r="C460" t="s">
        <v>69</v>
      </c>
      <c r="D460" t="s">
        <v>73</v>
      </c>
      <c r="E460" t="s">
        <v>71</v>
      </c>
      <c r="F460" t="s">
        <v>68</v>
      </c>
      <c r="G460" t="s">
        <v>72</v>
      </c>
      <c r="H460" t="s">
        <v>70</v>
      </c>
      <c r="K460" t="s">
        <v>68</v>
      </c>
      <c r="L460" t="s">
        <v>69</v>
      </c>
      <c r="M460" t="s">
        <v>70</v>
      </c>
      <c r="N460" t="s">
        <v>71</v>
      </c>
      <c r="O460" t="s">
        <v>72</v>
      </c>
      <c r="P460" t="s">
        <v>73</v>
      </c>
    </row>
    <row r="461" spans="1:24" ht="15.75" customHeight="1" x14ac:dyDescent="0.3">
      <c r="A461">
        <v>230</v>
      </c>
      <c r="B461" s="16" t="s">
        <v>311</v>
      </c>
      <c r="C461" s="7">
        <f>Rankings!L239</f>
        <v>7.3901629984131558</v>
      </c>
      <c r="D461" s="7">
        <f>Rankings!M239</f>
        <v>5.5338142594680129</v>
      </c>
      <c r="E461" s="7">
        <f>Rankings!N239</f>
        <v>6.2396316606622122</v>
      </c>
      <c r="F461" s="7">
        <f>Rankings!O239</f>
        <v>2.1419099493311236</v>
      </c>
      <c r="G461" s="7">
        <f>Rankings!P239</f>
        <v>1.9746367445127702</v>
      </c>
      <c r="H461" s="7">
        <f>Rankings!Q239</f>
        <v>1</v>
      </c>
      <c r="I461" s="7">
        <f>Rankings!R239</f>
        <v>24.280155612387276</v>
      </c>
      <c r="K461" s="7">
        <f>F461</f>
        <v>2.1419099493311236</v>
      </c>
      <c r="L461" s="7">
        <f>C461</f>
        <v>7.3901629984131558</v>
      </c>
      <c r="M461" s="7">
        <f>H461</f>
        <v>1</v>
      </c>
      <c r="N461" s="7">
        <f>E461</f>
        <v>6.2396316606622122</v>
      </c>
      <c r="O461" s="7">
        <f>G461</f>
        <v>1.9746367445127702</v>
      </c>
      <c r="P461" s="7">
        <f>D461</f>
        <v>5.5338142594680129</v>
      </c>
      <c r="R461" s="7">
        <f t="shared" ref="R461:W461" si="399">K461/$I461</f>
        <v>8.8216483597755926E-2</v>
      </c>
      <c r="S461" s="7">
        <f t="shared" si="399"/>
        <v>0.30437049565871954</v>
      </c>
      <c r="T461" s="7">
        <f t="shared" si="399"/>
        <v>4.1185897486168452E-2</v>
      </c>
      <c r="U461" s="7">
        <f t="shared" si="399"/>
        <v>0.25698482992748489</v>
      </c>
      <c r="V461" s="7">
        <f t="shared" si="399"/>
        <v>8.1327186531924361E-2</v>
      </c>
      <c r="W461" s="7">
        <f t="shared" si="399"/>
        <v>0.22791510679794677</v>
      </c>
      <c r="X461" s="7">
        <f>SUM(R461:W461)</f>
        <v>1</v>
      </c>
    </row>
    <row r="462" spans="1:24" ht="15.75" customHeight="1" x14ac:dyDescent="0.3">
      <c r="C462" t="s">
        <v>69</v>
      </c>
      <c r="D462" t="s">
        <v>73</v>
      </c>
      <c r="E462" t="s">
        <v>71</v>
      </c>
      <c r="F462" t="s">
        <v>70</v>
      </c>
      <c r="G462" t="s">
        <v>68</v>
      </c>
      <c r="H462" t="s">
        <v>72</v>
      </c>
      <c r="K462" t="s">
        <v>68</v>
      </c>
      <c r="L462" t="s">
        <v>69</v>
      </c>
      <c r="M462" t="s">
        <v>70</v>
      </c>
      <c r="N462" t="s">
        <v>71</v>
      </c>
      <c r="O462" t="s">
        <v>72</v>
      </c>
      <c r="P462" t="s">
        <v>73</v>
      </c>
    </row>
    <row r="463" spans="1:24" ht="15.75" customHeight="1" x14ac:dyDescent="0.3">
      <c r="A463">
        <v>231</v>
      </c>
      <c r="B463" s="16" t="s">
        <v>312</v>
      </c>
      <c r="C463" s="7">
        <f>Rankings!L240</f>
        <v>4.8960134018590908</v>
      </c>
      <c r="D463" s="7">
        <f>Rankings!M240</f>
        <v>3.6661747222046364</v>
      </c>
      <c r="E463" s="7">
        <f>Rankings!N240</f>
        <v>4.1337816554013971</v>
      </c>
      <c r="F463" s="7">
        <f>Rankings!O240</f>
        <v>1.8463779537060261</v>
      </c>
      <c r="G463" s="7">
        <f>Rankings!P240</f>
        <v>1.0847108741813811</v>
      </c>
      <c r="H463" s="7">
        <f>Rankings!Q240</f>
        <v>1</v>
      </c>
      <c r="I463" s="7">
        <f>Rankings!R240</f>
        <v>16.627058607352531</v>
      </c>
      <c r="K463" s="7">
        <f>G463</f>
        <v>1.0847108741813811</v>
      </c>
      <c r="L463" s="7">
        <f>C463</f>
        <v>4.8960134018590908</v>
      </c>
      <c r="M463" s="7">
        <f>F463</f>
        <v>1.8463779537060261</v>
      </c>
      <c r="N463" s="7">
        <f>E463</f>
        <v>4.1337816554013971</v>
      </c>
      <c r="O463" s="7">
        <f>H463</f>
        <v>1</v>
      </c>
      <c r="P463" s="7">
        <f>D463</f>
        <v>3.6661747222046364</v>
      </c>
      <c r="R463" s="7">
        <f t="shared" ref="R463:W463" si="400">K463/$I463</f>
        <v>6.5237688745604053E-2</v>
      </c>
      <c r="S463" s="7">
        <f t="shared" si="400"/>
        <v>0.29446058485017068</v>
      </c>
      <c r="T463" s="7">
        <f t="shared" si="400"/>
        <v>0.11104657758826643</v>
      </c>
      <c r="U463" s="7">
        <f t="shared" si="400"/>
        <v>0.24861773528442532</v>
      </c>
      <c r="V463" s="7">
        <f t="shared" si="400"/>
        <v>6.014292868119183E-2</v>
      </c>
      <c r="W463" s="7">
        <f t="shared" si="400"/>
        <v>0.2204944848503417</v>
      </c>
      <c r="X463" s="7">
        <f>SUM(R463:W463)</f>
        <v>1</v>
      </c>
    </row>
    <row r="464" spans="1:24" ht="15.75" customHeight="1" x14ac:dyDescent="0.3">
      <c r="C464" t="s">
        <v>69</v>
      </c>
      <c r="D464" t="s">
        <v>73</v>
      </c>
      <c r="E464" t="s">
        <v>71</v>
      </c>
      <c r="F464" t="s">
        <v>70</v>
      </c>
      <c r="G464" t="s">
        <v>72</v>
      </c>
      <c r="H464" t="s">
        <v>68</v>
      </c>
      <c r="K464" t="s">
        <v>68</v>
      </c>
      <c r="L464" t="s">
        <v>69</v>
      </c>
      <c r="M464" t="s">
        <v>70</v>
      </c>
      <c r="N464" t="s">
        <v>71</v>
      </c>
      <c r="O464" t="s">
        <v>72</v>
      </c>
      <c r="P464" t="s">
        <v>73</v>
      </c>
    </row>
    <row r="465" spans="1:24" ht="15.75" customHeight="1" x14ac:dyDescent="0.3">
      <c r="A465">
        <v>232</v>
      </c>
      <c r="B465" s="16" t="s">
        <v>313</v>
      </c>
      <c r="C465" s="7">
        <f>Rankings!L241</f>
        <v>9.0970504459977413</v>
      </c>
      <c r="D465" s="7">
        <f>Rankings!M241</f>
        <v>6.8119454859076374</v>
      </c>
      <c r="E465" s="7">
        <f>Rankings!N241</f>
        <v>7.6807837653482096</v>
      </c>
      <c r="F465" s="7">
        <f>Rankings!O241</f>
        <v>3.4306673631375024</v>
      </c>
      <c r="G465" s="7">
        <f>Rankings!P241</f>
        <v>1.530542412441888</v>
      </c>
      <c r="H465" s="7">
        <f>Rankings!Q241</f>
        <v>1</v>
      </c>
      <c r="I465" s="7">
        <f>Rankings!R241</f>
        <v>29.550989472832981</v>
      </c>
      <c r="K465" s="7">
        <f>H465</f>
        <v>1</v>
      </c>
      <c r="L465" s="7">
        <f>C465</f>
        <v>9.0970504459977413</v>
      </c>
      <c r="M465" s="7">
        <f>F465</f>
        <v>3.4306673631375024</v>
      </c>
      <c r="N465" s="7">
        <f>E465</f>
        <v>7.6807837653482096</v>
      </c>
      <c r="O465" s="7">
        <f>G465</f>
        <v>1.530542412441888</v>
      </c>
      <c r="P465" s="7">
        <f>D465</f>
        <v>6.8119454859076374</v>
      </c>
      <c r="R465" s="7">
        <f t="shared" ref="R465:W465" si="401">K465/$I465</f>
        <v>3.3839814430556607E-2</v>
      </c>
      <c r="S465" s="7">
        <f t="shared" si="401"/>
        <v>0.30784249895797583</v>
      </c>
      <c r="T465" s="7">
        <f t="shared" si="401"/>
        <v>0.11609314694154005</v>
      </c>
      <c r="U465" s="7">
        <f t="shared" si="401"/>
        <v>0.25991629730061527</v>
      </c>
      <c r="V465" s="7">
        <f t="shared" si="401"/>
        <v>5.179327121512993E-2</v>
      </c>
      <c r="W465" s="7">
        <f t="shared" si="401"/>
        <v>0.23051497115418224</v>
      </c>
      <c r="X465" s="7">
        <f>SUM(R465:W465)</f>
        <v>1</v>
      </c>
    </row>
    <row r="466" spans="1:24" ht="15.75" customHeight="1" x14ac:dyDescent="0.3">
      <c r="C466" t="s">
        <v>69</v>
      </c>
      <c r="D466" t="s">
        <v>73</v>
      </c>
      <c r="E466" t="s">
        <v>71</v>
      </c>
      <c r="F466" t="s">
        <v>72</v>
      </c>
      <c r="G466" t="s">
        <v>68</v>
      </c>
      <c r="H466" t="s">
        <v>70</v>
      </c>
      <c r="K466" t="s">
        <v>68</v>
      </c>
      <c r="L466" t="s">
        <v>69</v>
      </c>
      <c r="M466" t="s">
        <v>70</v>
      </c>
      <c r="N466" t="s">
        <v>71</v>
      </c>
      <c r="O466" t="s">
        <v>72</v>
      </c>
      <c r="P466" t="s">
        <v>73</v>
      </c>
    </row>
    <row r="467" spans="1:24" ht="15.75" customHeight="1" x14ac:dyDescent="0.3">
      <c r="A467">
        <v>233</v>
      </c>
      <c r="B467" s="16" t="s">
        <v>314</v>
      </c>
      <c r="C467" s="7">
        <f>Rankings!L242</f>
        <v>3.8056954238002203</v>
      </c>
      <c r="D467" s="7">
        <f>Rankings!M242</f>
        <v>2.8497357376203887</v>
      </c>
      <c r="E467" s="7">
        <f>Rankings!N242</f>
        <v>3.2132089187045008</v>
      </c>
      <c r="F467" s="7">
        <f>Rankings!O242</f>
        <v>1.695959518388656</v>
      </c>
      <c r="G467" s="7">
        <f>Rankings!P242</f>
        <v>1.1080774401297739</v>
      </c>
      <c r="H467" s="7">
        <f>Rankings!Q242</f>
        <v>1</v>
      </c>
      <c r="I467" s="7">
        <f>Rankings!R242</f>
        <v>13.67267703864354</v>
      </c>
      <c r="K467" s="7">
        <f>G467</f>
        <v>1.1080774401297739</v>
      </c>
      <c r="L467" s="7">
        <f>C467</f>
        <v>3.8056954238002203</v>
      </c>
      <c r="M467" s="7">
        <f>H467</f>
        <v>1</v>
      </c>
      <c r="N467" s="7">
        <f t="shared" ref="N467:O467" si="402">E467</f>
        <v>3.2132089187045008</v>
      </c>
      <c r="O467" s="7">
        <f t="shared" si="402"/>
        <v>1.695959518388656</v>
      </c>
      <c r="P467" s="7">
        <f>D467</f>
        <v>2.8497357376203887</v>
      </c>
      <c r="R467" s="7">
        <f t="shared" ref="R467:W467" si="403">K467/$I467</f>
        <v>8.1043195637399895E-2</v>
      </c>
      <c r="S467" s="7">
        <f t="shared" si="403"/>
        <v>0.27834310815973035</v>
      </c>
      <c r="T467" s="7">
        <f t="shared" si="403"/>
        <v>7.3138566586021664E-2</v>
      </c>
      <c r="U467" s="7">
        <f t="shared" si="403"/>
        <v>0.23500949445546779</v>
      </c>
      <c r="V467" s="7">
        <f t="shared" si="403"/>
        <v>0.12404004816286594</v>
      </c>
      <c r="W467" s="7">
        <f t="shared" si="403"/>
        <v>0.20842558699851435</v>
      </c>
      <c r="X467" s="7">
        <f>SUM(R467:W467)</f>
        <v>1</v>
      </c>
    </row>
    <row r="468" spans="1:24" ht="15.75" customHeight="1" x14ac:dyDescent="0.3">
      <c r="C468" t="s">
        <v>69</v>
      </c>
      <c r="D468" t="s">
        <v>73</v>
      </c>
      <c r="E468" t="s">
        <v>71</v>
      </c>
      <c r="F468" t="s">
        <v>72</v>
      </c>
      <c r="G468" t="s">
        <v>70</v>
      </c>
      <c r="H468" t="s">
        <v>68</v>
      </c>
      <c r="K468" t="s">
        <v>68</v>
      </c>
      <c r="L468" t="s">
        <v>69</v>
      </c>
      <c r="M468" t="s">
        <v>70</v>
      </c>
      <c r="N468" t="s">
        <v>71</v>
      </c>
      <c r="O468" t="s">
        <v>72</v>
      </c>
      <c r="P468" t="s">
        <v>73</v>
      </c>
    </row>
    <row r="469" spans="1:24" ht="15.75" customHeight="1" x14ac:dyDescent="0.3">
      <c r="A469">
        <v>234</v>
      </c>
      <c r="B469" s="16" t="s">
        <v>315</v>
      </c>
      <c r="C469" s="7">
        <f>Rankings!L243</f>
        <v>7.542448830188631</v>
      </c>
      <c r="D469" s="7">
        <f>Rankings!M243</f>
        <v>5.6478471309452765</v>
      </c>
      <c r="E469" s="7">
        <f>Rankings!N243</f>
        <v>6.3682090002446508</v>
      </c>
      <c r="F469" s="7">
        <f>Rankings!O243</f>
        <v>3.3611959079858544</v>
      </c>
      <c r="G469" s="7">
        <f>Rankings!P243</f>
        <v>1.7021844231989158</v>
      </c>
      <c r="H469" s="7">
        <f>Rankings!Q243</f>
        <v>1</v>
      </c>
      <c r="I469" s="7">
        <f>Rankings!R243</f>
        <v>25.621885292563331</v>
      </c>
      <c r="K469" s="7">
        <f>H469</f>
        <v>1</v>
      </c>
      <c r="L469" s="7">
        <f>C469</f>
        <v>7.542448830188631</v>
      </c>
      <c r="M469" s="7">
        <f>G469</f>
        <v>1.7021844231989158</v>
      </c>
      <c r="N469" s="7">
        <f t="shared" ref="N469:O469" si="404">E469</f>
        <v>6.3682090002446508</v>
      </c>
      <c r="O469" s="7">
        <f t="shared" si="404"/>
        <v>3.3611959079858544</v>
      </c>
      <c r="P469" s="7">
        <f>D469</f>
        <v>5.6478471309452765</v>
      </c>
      <c r="R469" s="7">
        <f t="shared" ref="R469:W469" si="405">K469/$I469</f>
        <v>3.9029134217935427E-2</v>
      </c>
      <c r="S469" s="7">
        <f t="shared" si="405"/>
        <v>0.29437524772534213</v>
      </c>
      <c r="T469" s="7">
        <f t="shared" si="405"/>
        <v>6.6434784316709489E-2</v>
      </c>
      <c r="U469" s="7">
        <f t="shared" si="405"/>
        <v>0.24854568379841288</v>
      </c>
      <c r="V469" s="7">
        <f t="shared" si="405"/>
        <v>0.13118456622555524</v>
      </c>
      <c r="W469" s="7">
        <f t="shared" si="405"/>
        <v>0.22043058371604474</v>
      </c>
      <c r="X469" s="7">
        <f>SUM(R469:W469)</f>
        <v>1</v>
      </c>
    </row>
    <row r="470" spans="1:24" ht="15.75" customHeight="1" x14ac:dyDescent="0.3">
      <c r="C470" t="s">
        <v>69</v>
      </c>
      <c r="D470" t="s">
        <v>73</v>
      </c>
      <c r="E470" t="s">
        <v>72</v>
      </c>
      <c r="F470" t="s">
        <v>68</v>
      </c>
      <c r="G470" t="s">
        <v>70</v>
      </c>
      <c r="H470" t="s">
        <v>71</v>
      </c>
      <c r="K470" t="s">
        <v>68</v>
      </c>
      <c r="L470" t="s">
        <v>69</v>
      </c>
      <c r="M470" t="s">
        <v>70</v>
      </c>
      <c r="N470" t="s">
        <v>71</v>
      </c>
      <c r="O470" t="s">
        <v>72</v>
      </c>
      <c r="P470" t="s">
        <v>73</v>
      </c>
    </row>
    <row r="471" spans="1:24" ht="15.75" customHeight="1" x14ac:dyDescent="0.3">
      <c r="A471">
        <v>235</v>
      </c>
      <c r="B471" s="16" t="s">
        <v>316</v>
      </c>
      <c r="C471" s="7">
        <f>Rankings!L244</f>
        <v>3.9835846943913</v>
      </c>
      <c r="D471" s="7">
        <f>Rankings!M244</f>
        <v>2.9829406726691365</v>
      </c>
      <c r="E471" s="7">
        <f>Rankings!N244</f>
        <v>2.4317747201054036</v>
      </c>
      <c r="F471" s="7">
        <f>Rankings!O244</f>
        <v>1.5888319724676261</v>
      </c>
      <c r="G471" s="7">
        <f>Rankings!P244</f>
        <v>1.4338636587362954</v>
      </c>
      <c r="H471" s="7">
        <f>Rankings!Q244</f>
        <v>1</v>
      </c>
      <c r="I471" s="7">
        <f>Rankings!R244</f>
        <v>13.42099571836976</v>
      </c>
      <c r="K471" s="7">
        <f>F471</f>
        <v>1.5888319724676261</v>
      </c>
      <c r="L471" s="7">
        <f>C471</f>
        <v>3.9835846943913</v>
      </c>
      <c r="M471" s="7">
        <f t="shared" ref="M471:N471" si="406">G471</f>
        <v>1.4338636587362954</v>
      </c>
      <c r="N471" s="7">
        <f t="shared" si="406"/>
        <v>1</v>
      </c>
      <c r="O471" s="7">
        <f>E471</f>
        <v>2.4317747201054036</v>
      </c>
      <c r="P471" s="7">
        <f>D471</f>
        <v>2.9829406726691365</v>
      </c>
      <c r="R471" s="7">
        <f t="shared" ref="R471:W471" si="407">K471/$I471</f>
        <v>0.11838406075138966</v>
      </c>
      <c r="S471" s="7">
        <f t="shared" si="407"/>
        <v>0.2968173731654527</v>
      </c>
      <c r="T471" s="7">
        <f t="shared" si="407"/>
        <v>0.1068373531163354</v>
      </c>
      <c r="U471" s="7">
        <f t="shared" si="407"/>
        <v>7.45101198885912E-2</v>
      </c>
      <c r="V471" s="7">
        <f t="shared" si="407"/>
        <v>0.18119182593709893</v>
      </c>
      <c r="W471" s="7">
        <f t="shared" si="407"/>
        <v>0.22225926714113226</v>
      </c>
      <c r="X471" s="7">
        <f>SUM(R471:W471)</f>
        <v>1.0000000000000002</v>
      </c>
    </row>
    <row r="472" spans="1:24" ht="15.75" customHeight="1" x14ac:dyDescent="0.3">
      <c r="C472" t="s">
        <v>69</v>
      </c>
      <c r="D472" t="s">
        <v>73</v>
      </c>
      <c r="E472" t="s">
        <v>72</v>
      </c>
      <c r="F472" t="s">
        <v>68</v>
      </c>
      <c r="G472" t="s">
        <v>71</v>
      </c>
      <c r="H472" t="s">
        <v>70</v>
      </c>
      <c r="K472" t="s">
        <v>68</v>
      </c>
      <c r="L472" t="s">
        <v>69</v>
      </c>
      <c r="M472" t="s">
        <v>70</v>
      </c>
      <c r="N472" t="s">
        <v>71</v>
      </c>
      <c r="O472" t="s">
        <v>72</v>
      </c>
      <c r="P472" t="s">
        <v>73</v>
      </c>
    </row>
    <row r="473" spans="1:24" ht="15.75" customHeight="1" x14ac:dyDescent="0.3">
      <c r="A473">
        <v>236</v>
      </c>
      <c r="B473" s="16" t="s">
        <v>317</v>
      </c>
      <c r="C473" s="7">
        <f>Rankings!L245</f>
        <v>7.0384901980713153</v>
      </c>
      <c r="D473" s="7">
        <f>Rankings!M245</f>
        <v>5.2704788015604409</v>
      </c>
      <c r="E473" s="7">
        <f>Rankings!N245</f>
        <v>4.2966382905020328</v>
      </c>
      <c r="F473" s="7">
        <f>Rankings!O245</f>
        <v>2.8072650947627165</v>
      </c>
      <c r="G473" s="7">
        <f>Rankings!P245</f>
        <v>2.2388599512381115</v>
      </c>
      <c r="H473" s="7">
        <f>Rankings!Q245</f>
        <v>1</v>
      </c>
      <c r="I473" s="7">
        <f>Rankings!R245</f>
        <v>22.651732336134618</v>
      </c>
      <c r="K473" s="7">
        <f>F473</f>
        <v>2.8072650947627165</v>
      </c>
      <c r="L473" s="7">
        <f>C473</f>
        <v>7.0384901980713153</v>
      </c>
      <c r="M473" s="7">
        <f>H473</f>
        <v>1</v>
      </c>
      <c r="N473" s="7">
        <f>G473</f>
        <v>2.2388599512381115</v>
      </c>
      <c r="O473" s="7">
        <f>E473</f>
        <v>4.2966382905020328</v>
      </c>
      <c r="P473" s="7">
        <f>D473</f>
        <v>5.2704788015604409</v>
      </c>
      <c r="R473" s="7">
        <f t="shared" ref="R473:W473" si="408">K473/$I473</f>
        <v>0.12393158514788274</v>
      </c>
      <c r="S473" s="7">
        <f t="shared" si="408"/>
        <v>0.31072635388876363</v>
      </c>
      <c r="T473" s="7">
        <f t="shared" si="408"/>
        <v>4.4146733908062945E-2</v>
      </c>
      <c r="U473" s="7">
        <f t="shared" si="408"/>
        <v>9.8838354524727695E-2</v>
      </c>
      <c r="V473" s="7">
        <f t="shared" si="408"/>
        <v>0.18968254730998771</v>
      </c>
      <c r="W473" s="7">
        <f t="shared" si="408"/>
        <v>0.23267442522057527</v>
      </c>
      <c r="X473" s="7">
        <f>SUM(R473:W473)</f>
        <v>1</v>
      </c>
    </row>
    <row r="474" spans="1:24" ht="15.75" customHeight="1" x14ac:dyDescent="0.3">
      <c r="C474" t="s">
        <v>69</v>
      </c>
      <c r="D474" t="s">
        <v>73</v>
      </c>
      <c r="E474" t="s">
        <v>72</v>
      </c>
      <c r="F474" t="s">
        <v>70</v>
      </c>
      <c r="G474" t="s">
        <v>68</v>
      </c>
      <c r="H474" t="s">
        <v>71</v>
      </c>
      <c r="K474" t="s">
        <v>68</v>
      </c>
      <c r="L474" t="s">
        <v>69</v>
      </c>
      <c r="M474" t="s">
        <v>70</v>
      </c>
      <c r="N474" t="s">
        <v>71</v>
      </c>
      <c r="O474" t="s">
        <v>72</v>
      </c>
      <c r="P474" t="s">
        <v>73</v>
      </c>
    </row>
    <row r="475" spans="1:24" ht="15.75" customHeight="1" x14ac:dyDescent="0.3">
      <c r="A475">
        <v>237</v>
      </c>
      <c r="B475" s="16" t="s">
        <v>318</v>
      </c>
      <c r="C475" s="7">
        <f>Rankings!L246</f>
        <v>6.9040040875217201</v>
      </c>
      <c r="D475" s="7">
        <f>Rankings!M246</f>
        <v>5.1697745063480687</v>
      </c>
      <c r="E475" s="7">
        <f>Rankings!N246</f>
        <v>4.2145413981477011</v>
      </c>
      <c r="F475" s="7">
        <f>Rankings!O246</f>
        <v>2.1343375736622456</v>
      </c>
      <c r="G475" s="7">
        <f>Rankings!P246</f>
        <v>1.2538815092968505</v>
      </c>
      <c r="H475" s="7">
        <f>Rankings!Q246</f>
        <v>1</v>
      </c>
      <c r="I475" s="7">
        <f>Rankings!R246</f>
        <v>20.676539074976588</v>
      </c>
      <c r="K475" s="7">
        <f>G475</f>
        <v>1.2538815092968505</v>
      </c>
      <c r="L475" s="7">
        <f>C475</f>
        <v>6.9040040875217201</v>
      </c>
      <c r="M475" s="7">
        <f>F475</f>
        <v>2.1343375736622456</v>
      </c>
      <c r="N475" s="7">
        <f>H475</f>
        <v>1</v>
      </c>
      <c r="O475" s="7">
        <f>E475</f>
        <v>4.2145413981477011</v>
      </c>
      <c r="P475" s="7">
        <f>D475</f>
        <v>5.1697745063480687</v>
      </c>
      <c r="R475" s="7">
        <f t="shared" ref="R475:W475" si="409">K475/$I475</f>
        <v>6.0642717079007584E-2</v>
      </c>
      <c r="S475" s="7">
        <f t="shared" si="409"/>
        <v>0.33390520833717124</v>
      </c>
      <c r="T475" s="7">
        <f t="shared" si="409"/>
        <v>0.10322508839234558</v>
      </c>
      <c r="U475" s="7">
        <f t="shared" si="409"/>
        <v>4.8363993431097575E-2</v>
      </c>
      <c r="V475" s="7">
        <f t="shared" si="409"/>
        <v>0.20383205249510419</v>
      </c>
      <c r="W475" s="7">
        <f t="shared" si="409"/>
        <v>0.25003094026527367</v>
      </c>
      <c r="X475" s="7">
        <f>SUM(R475:W475)</f>
        <v>0.99999999999999978</v>
      </c>
    </row>
    <row r="476" spans="1:24" ht="15.75" customHeight="1" x14ac:dyDescent="0.3">
      <c r="C476" t="s">
        <v>69</v>
      </c>
      <c r="D476" t="s">
        <v>73</v>
      </c>
      <c r="E476" t="s">
        <v>72</v>
      </c>
      <c r="F476" t="s">
        <v>70</v>
      </c>
      <c r="G476" t="s">
        <v>71</v>
      </c>
      <c r="H476" t="s">
        <v>68</v>
      </c>
      <c r="K476" t="s">
        <v>68</v>
      </c>
      <c r="L476" t="s">
        <v>69</v>
      </c>
      <c r="M476" t="s">
        <v>70</v>
      </c>
      <c r="N476" t="s">
        <v>71</v>
      </c>
      <c r="O476" t="s">
        <v>72</v>
      </c>
      <c r="P476" t="s">
        <v>73</v>
      </c>
    </row>
    <row r="477" spans="1:24" ht="15.75" customHeight="1" x14ac:dyDescent="0.3">
      <c r="A477">
        <v>238</v>
      </c>
      <c r="B477" s="16" t="s">
        <v>319</v>
      </c>
      <c r="C477" s="7">
        <f>Rankings!L247</f>
        <v>13.511498971136117</v>
      </c>
      <c r="D477" s="7">
        <f>Rankings!M247</f>
        <v>10.117520505206089</v>
      </c>
      <c r="E477" s="7">
        <f>Rankings!N247</f>
        <v>8.2480790919294318</v>
      </c>
      <c r="F477" s="7">
        <f>Rankings!O247</f>
        <v>4.1770108425509909</v>
      </c>
      <c r="G477" s="7">
        <f>Rankings!P247</f>
        <v>2.9131157743633094</v>
      </c>
      <c r="H477" s="7">
        <f>Rankings!Q247</f>
        <v>1</v>
      </c>
      <c r="I477" s="7">
        <f>Rankings!R247</f>
        <v>39.967225185185946</v>
      </c>
      <c r="K477" s="7">
        <f>H477</f>
        <v>1</v>
      </c>
      <c r="L477" s="7">
        <f>C477</f>
        <v>13.511498971136117</v>
      </c>
      <c r="M477" s="7">
        <f t="shared" ref="M477:N477" si="410">F477</f>
        <v>4.1770108425509909</v>
      </c>
      <c r="N477" s="7">
        <f t="shared" si="410"/>
        <v>2.9131157743633094</v>
      </c>
      <c r="O477" s="7">
        <f>E477</f>
        <v>8.2480790919294318</v>
      </c>
      <c r="P477" s="7">
        <f>D477</f>
        <v>10.117520505206089</v>
      </c>
      <c r="R477" s="7">
        <f t="shared" ref="R477:W477" si="411">K477/$I477</f>
        <v>2.502050105721763E-2</v>
      </c>
      <c r="S477" s="7">
        <f t="shared" si="411"/>
        <v>0.33806447429190611</v>
      </c>
      <c r="T477" s="7">
        <f t="shared" si="411"/>
        <v>0.10451090420205657</v>
      </c>
      <c r="U477" s="7">
        <f t="shared" si="411"/>
        <v>7.288761631225453E-2</v>
      </c>
      <c r="V477" s="7">
        <f t="shared" si="411"/>
        <v>0.20637107163963497</v>
      </c>
      <c r="W477" s="7">
        <f t="shared" si="411"/>
        <v>0.25314543249693</v>
      </c>
      <c r="X477" s="7">
        <f>SUM(R477:W477)</f>
        <v>0.99999999999999978</v>
      </c>
    </row>
    <row r="478" spans="1:24" ht="15.75" customHeight="1" x14ac:dyDescent="0.3">
      <c r="C478" t="s">
        <v>69</v>
      </c>
      <c r="D478" t="s">
        <v>73</v>
      </c>
      <c r="E478" t="s">
        <v>72</v>
      </c>
      <c r="F478" t="s">
        <v>71</v>
      </c>
      <c r="G478" t="s">
        <v>68</v>
      </c>
      <c r="H478" t="s">
        <v>70</v>
      </c>
      <c r="K478" t="s">
        <v>68</v>
      </c>
      <c r="L478" t="s">
        <v>69</v>
      </c>
      <c r="M478" t="s">
        <v>70</v>
      </c>
      <c r="N478" t="s">
        <v>71</v>
      </c>
      <c r="O478" t="s">
        <v>72</v>
      </c>
      <c r="P478" t="s">
        <v>73</v>
      </c>
    </row>
    <row r="479" spans="1:24" ht="15.75" customHeight="1" x14ac:dyDescent="0.3">
      <c r="A479">
        <v>239</v>
      </c>
      <c r="B479" s="16" t="s">
        <v>320</v>
      </c>
      <c r="C479" s="7">
        <f>Rankings!L248</f>
        <v>6.6309908479882438</v>
      </c>
      <c r="D479" s="7">
        <f>Rankings!M248</f>
        <v>4.9653399683983217</v>
      </c>
      <c r="E479" s="7">
        <f>Rankings!N248</f>
        <v>4.0478807783581088</v>
      </c>
      <c r="F479" s="7">
        <f>Rankings!O248</f>
        <v>3.2279578700581602</v>
      </c>
      <c r="G479" s="7">
        <f>Rankings!P248</f>
        <v>1.1080774401297739</v>
      </c>
      <c r="H479" s="7">
        <f>Rankings!Q248</f>
        <v>1</v>
      </c>
      <c r="I479" s="7">
        <f>Rankings!R248</f>
        <v>20.980246904932606</v>
      </c>
      <c r="K479" s="7">
        <f>G479</f>
        <v>1.1080774401297739</v>
      </c>
      <c r="L479" s="7">
        <f>C479</f>
        <v>6.6309908479882438</v>
      </c>
      <c r="M479" s="7">
        <f>H479</f>
        <v>1</v>
      </c>
      <c r="N479" s="7">
        <f>F479</f>
        <v>3.2279578700581602</v>
      </c>
      <c r="O479" s="7">
        <f>E479</f>
        <v>4.0478807783581088</v>
      </c>
      <c r="P479" s="7">
        <f>D479</f>
        <v>4.9653399683983217</v>
      </c>
      <c r="R479" s="7">
        <f t="shared" ref="R479:W479" si="412">K479/$I479</f>
        <v>5.2815271676772163E-2</v>
      </c>
      <c r="S479" s="7">
        <f t="shared" si="412"/>
        <v>0.31605876127364596</v>
      </c>
      <c r="T479" s="7">
        <f t="shared" si="412"/>
        <v>4.7663881389541363E-2</v>
      </c>
      <c r="U479" s="7">
        <f t="shared" si="412"/>
        <v>0.15385700104888872</v>
      </c>
      <c r="V479" s="7">
        <f t="shared" si="412"/>
        <v>0.19293770929866527</v>
      </c>
      <c r="W479" s="7">
        <f t="shared" si="412"/>
        <v>0.23666737531248666</v>
      </c>
      <c r="X479" s="7">
        <f>SUM(R479:W479)</f>
        <v>1</v>
      </c>
    </row>
    <row r="480" spans="1:24" ht="15.75" customHeight="1" x14ac:dyDescent="0.3">
      <c r="C480" t="s">
        <v>69</v>
      </c>
      <c r="D480" t="s">
        <v>73</v>
      </c>
      <c r="E480" t="s">
        <v>72</v>
      </c>
      <c r="F480" t="s">
        <v>71</v>
      </c>
      <c r="G480" t="s">
        <v>70</v>
      </c>
      <c r="H480" t="s">
        <v>68</v>
      </c>
      <c r="K480" t="s">
        <v>68</v>
      </c>
      <c r="L480" t="s">
        <v>69</v>
      </c>
      <c r="M480" t="s">
        <v>70</v>
      </c>
      <c r="N480" t="s">
        <v>71</v>
      </c>
      <c r="O480" t="s">
        <v>72</v>
      </c>
      <c r="P480" t="s">
        <v>73</v>
      </c>
    </row>
    <row r="481" spans="1:24" ht="15.75" customHeight="1" x14ac:dyDescent="0.3">
      <c r="A481">
        <v>240</v>
      </c>
      <c r="B481" s="16" t="s">
        <v>321</v>
      </c>
      <c r="C481" s="7">
        <f>Rankings!L249</f>
        <v>7.8286001233962441</v>
      </c>
      <c r="D481" s="7">
        <f>Rankings!M249</f>
        <v>5.8621195505194459</v>
      </c>
      <c r="E481" s="7">
        <f>Rankings!N249</f>
        <v>4.778959990656853</v>
      </c>
      <c r="F481" s="7">
        <f>Rankings!O249</f>
        <v>3.8109525347213977</v>
      </c>
      <c r="G481" s="7">
        <f>Rankings!P249</f>
        <v>1.7021844231989158</v>
      </c>
      <c r="H481" s="7">
        <f>Rankings!Q249</f>
        <v>1</v>
      </c>
      <c r="I481" s="7">
        <f>Rankings!R249</f>
        <v>24.982816622492859</v>
      </c>
      <c r="K481" s="7">
        <f>H481</f>
        <v>1</v>
      </c>
      <c r="L481" s="7">
        <f>C481</f>
        <v>7.8286001233962441</v>
      </c>
      <c r="M481" s="7">
        <f>G481</f>
        <v>1.7021844231989158</v>
      </c>
      <c r="N481" s="7">
        <f>F481</f>
        <v>3.8109525347213977</v>
      </c>
      <c r="O481" s="7">
        <f>E481</f>
        <v>4.778959990656853</v>
      </c>
      <c r="P481" s="7">
        <f>D481</f>
        <v>5.8621195505194459</v>
      </c>
      <c r="R481" s="7">
        <f t="shared" ref="R481:W481" si="413">K481/$I481</f>
        <v>4.0027512314190661E-2</v>
      </c>
      <c r="S481" s="7">
        <f t="shared" si="413"/>
        <v>0.3133593878421177</v>
      </c>
      <c r="T481" s="7">
        <f t="shared" si="413"/>
        <v>6.8134207960618129E-2</v>
      </c>
      <c r="U481" s="7">
        <f t="shared" si="413"/>
        <v>0.15254294951235686</v>
      </c>
      <c r="V481" s="7">
        <f t="shared" si="413"/>
        <v>0.19128987987504165</v>
      </c>
      <c r="W481" s="7">
        <f t="shared" si="413"/>
        <v>0.23464606249567493</v>
      </c>
      <c r="X481" s="7">
        <f>SUM(R481:W481)</f>
        <v>1</v>
      </c>
    </row>
    <row r="482" spans="1:24" ht="15.75" customHeight="1" x14ac:dyDescent="0.3">
      <c r="C482" t="s">
        <v>70</v>
      </c>
      <c r="D482" t="s">
        <v>68</v>
      </c>
      <c r="E482" t="s">
        <v>69</v>
      </c>
      <c r="F482" t="s">
        <v>71</v>
      </c>
      <c r="G482" t="s">
        <v>72</v>
      </c>
      <c r="H482" t="s">
        <v>73</v>
      </c>
      <c r="K482" t="s">
        <v>68</v>
      </c>
      <c r="L482" t="s">
        <v>69</v>
      </c>
      <c r="M482" t="s">
        <v>70</v>
      </c>
      <c r="N482" t="s">
        <v>71</v>
      </c>
      <c r="O482" t="s">
        <v>72</v>
      </c>
      <c r="P482" t="s">
        <v>73</v>
      </c>
    </row>
    <row r="483" spans="1:24" ht="15.75" customHeight="1" x14ac:dyDescent="0.3">
      <c r="A483">
        <v>241</v>
      </c>
      <c r="B483" s="16" t="s">
        <v>322</v>
      </c>
      <c r="C483" s="7">
        <f>Rankings!L250</f>
        <v>6.3578803761107441</v>
      </c>
      <c r="D483" s="7">
        <f>Rankings!M250</f>
        <v>3.7351301594937505</v>
      </c>
      <c r="E483" s="7">
        <f>Rankings!N250</f>
        <v>2.281226340202704</v>
      </c>
      <c r="F483" s="7">
        <f>Rankings!O250</f>
        <v>2.5045741168986093</v>
      </c>
      <c r="G483" s="7">
        <f>Rankings!P250</f>
        <v>1.3219359277692486</v>
      </c>
      <c r="H483" s="7">
        <f>Rankings!Q250</f>
        <v>1</v>
      </c>
      <c r="I483" s="7">
        <f>Rankings!R250</f>
        <v>17.200746920475058</v>
      </c>
      <c r="K483" s="7">
        <f t="shared" ref="K483:L483" si="414">D483</f>
        <v>3.7351301594937505</v>
      </c>
      <c r="L483" s="7">
        <f t="shared" si="414"/>
        <v>2.281226340202704</v>
      </c>
      <c r="M483" s="7">
        <f>C483</f>
        <v>6.3578803761107441</v>
      </c>
      <c r="N483" s="7">
        <f t="shared" ref="N483:P483" si="415">F483</f>
        <v>2.5045741168986093</v>
      </c>
      <c r="O483" s="7">
        <f t="shared" si="415"/>
        <v>1.3219359277692486</v>
      </c>
      <c r="P483" s="7">
        <f t="shared" si="415"/>
        <v>1</v>
      </c>
      <c r="R483" s="7">
        <f t="shared" ref="R483:W483" si="416">K483/$I483</f>
        <v>0.2171493003625096</v>
      </c>
      <c r="S483" s="7">
        <f t="shared" si="416"/>
        <v>0.13262367911984255</v>
      </c>
      <c r="T483" s="7">
        <f t="shared" si="416"/>
        <v>0.36962815658560655</v>
      </c>
      <c r="U483" s="7">
        <f t="shared" si="416"/>
        <v>0.14560845110262438</v>
      </c>
      <c r="V483" s="7">
        <f t="shared" si="416"/>
        <v>7.6853402580772279E-2</v>
      </c>
      <c r="W483" s="7">
        <f t="shared" si="416"/>
        <v>5.8137010248644573E-2</v>
      </c>
      <c r="X483" s="7">
        <f>SUM(R483:W483)</f>
        <v>0.99999999999999989</v>
      </c>
    </row>
    <row r="484" spans="1:24" ht="15.75" customHeight="1" x14ac:dyDescent="0.3">
      <c r="C484" t="s">
        <v>70</v>
      </c>
      <c r="D484" t="s">
        <v>68</v>
      </c>
      <c r="E484" t="s">
        <v>69</v>
      </c>
      <c r="F484" t="s">
        <v>71</v>
      </c>
      <c r="G484" t="s">
        <v>73</v>
      </c>
      <c r="H484" t="s">
        <v>72</v>
      </c>
      <c r="K484" t="s">
        <v>68</v>
      </c>
      <c r="L484" t="s">
        <v>69</v>
      </c>
      <c r="M484" t="s">
        <v>70</v>
      </c>
      <c r="N484" t="s">
        <v>71</v>
      </c>
      <c r="O484" t="s">
        <v>72</v>
      </c>
      <c r="P484" t="s">
        <v>73</v>
      </c>
    </row>
    <row r="485" spans="1:24" ht="15.75" customHeight="1" x14ac:dyDescent="0.3">
      <c r="A485">
        <v>242</v>
      </c>
      <c r="B485" s="16" t="s">
        <v>323</v>
      </c>
      <c r="C485" s="7">
        <f>Rankings!L251</f>
        <v>4.6031512198181908</v>
      </c>
      <c r="D485" s="7">
        <f>Rankings!M251</f>
        <v>2.7042611582401204</v>
      </c>
      <c r="E485" s="7">
        <f>Rankings!N251</f>
        <v>1.6516243133547373</v>
      </c>
      <c r="F485" s="7">
        <f>Rankings!O251</f>
        <v>1.8133297135702644</v>
      </c>
      <c r="G485" s="7">
        <f>Rankings!P251</f>
        <v>1.2266517321719024</v>
      </c>
      <c r="H485" s="7">
        <f>Rankings!Q251</f>
        <v>1</v>
      </c>
      <c r="I485" s="7">
        <f>Rankings!R251</f>
        <v>12.999018137155215</v>
      </c>
      <c r="K485" s="7">
        <f t="shared" ref="K485:L485" si="417">D485</f>
        <v>2.7042611582401204</v>
      </c>
      <c r="L485" s="7">
        <f t="shared" si="417"/>
        <v>1.6516243133547373</v>
      </c>
      <c r="M485" s="7">
        <f>C485</f>
        <v>4.6031512198181908</v>
      </c>
      <c r="N485" s="7">
        <f>F485</f>
        <v>1.8133297135702644</v>
      </c>
      <c r="O485" s="7">
        <f>H485</f>
        <v>1</v>
      </c>
      <c r="P485" s="7">
        <f>G485</f>
        <v>1.2266517321719024</v>
      </c>
      <c r="R485" s="7">
        <f t="shared" ref="R485:W485" si="418">K485/$I485</f>
        <v>0.20803580160493088</v>
      </c>
      <c r="S485" s="7">
        <f t="shared" si="418"/>
        <v>0.12705762050088107</v>
      </c>
      <c r="T485" s="7">
        <f t="shared" si="418"/>
        <v>0.3541153009596133</v>
      </c>
      <c r="U485" s="7">
        <f t="shared" si="418"/>
        <v>0.13949743699389167</v>
      </c>
      <c r="V485" s="7">
        <f t="shared" si="418"/>
        <v>7.6928887201233351E-2</v>
      </c>
      <c r="W485" s="7">
        <f t="shared" si="418"/>
        <v>9.4364952739449781E-2</v>
      </c>
      <c r="X485" s="7">
        <f>SUM(R485:W485)</f>
        <v>1</v>
      </c>
    </row>
    <row r="486" spans="1:24" ht="15.75" customHeight="1" x14ac:dyDescent="0.3">
      <c r="C486" t="s">
        <v>70</v>
      </c>
      <c r="D486" t="s">
        <v>68</v>
      </c>
      <c r="E486" t="s">
        <v>69</v>
      </c>
      <c r="F486" t="s">
        <v>72</v>
      </c>
      <c r="G486" t="s">
        <v>71</v>
      </c>
      <c r="H486" t="s">
        <v>73</v>
      </c>
      <c r="K486" t="s">
        <v>68</v>
      </c>
      <c r="L486" t="s">
        <v>69</v>
      </c>
      <c r="M486" t="s">
        <v>70</v>
      </c>
      <c r="N486" t="s">
        <v>71</v>
      </c>
      <c r="O486" t="s">
        <v>72</v>
      </c>
      <c r="P486" t="s">
        <v>73</v>
      </c>
    </row>
    <row r="487" spans="1:24" ht="15.75" customHeight="1" x14ac:dyDescent="0.3">
      <c r="A487">
        <v>243</v>
      </c>
      <c r="B487" s="16" t="s">
        <v>324</v>
      </c>
      <c r="C487" s="7">
        <f>Rankings!L252</f>
        <v>9.2954951261551582</v>
      </c>
      <c r="D487" s="7">
        <f>Rankings!M252</f>
        <v>5.4609212723766616</v>
      </c>
      <c r="E487" s="7">
        <f>Rankings!N252</f>
        <v>3.3352512272309616</v>
      </c>
      <c r="F487" s="7">
        <f>Rankings!O252</f>
        <v>1.8537678954574186</v>
      </c>
      <c r="G487" s="7">
        <f>Rankings!P252</f>
        <v>1.478275916473532</v>
      </c>
      <c r="H487" s="7">
        <f>Rankings!Q252</f>
        <v>1</v>
      </c>
      <c r="I487" s="7">
        <f>Rankings!R252</f>
        <v>22.423711437693733</v>
      </c>
      <c r="K487" s="7">
        <f t="shared" ref="K487:L487" si="419">D487</f>
        <v>5.4609212723766616</v>
      </c>
      <c r="L487" s="7">
        <f t="shared" si="419"/>
        <v>3.3352512272309616</v>
      </c>
      <c r="M487" s="7">
        <f>C487</f>
        <v>9.2954951261551582</v>
      </c>
      <c r="N487" s="7">
        <f>G487</f>
        <v>1.478275916473532</v>
      </c>
      <c r="O487" s="7">
        <f>F487</f>
        <v>1.8537678954574186</v>
      </c>
      <c r="P487" s="7">
        <f>H487</f>
        <v>1</v>
      </c>
      <c r="R487" s="7">
        <f t="shared" ref="R487:W487" si="420">K487/$I487</f>
        <v>0.24353333691214832</v>
      </c>
      <c r="S487" s="7">
        <f t="shared" si="420"/>
        <v>0.14873769832876471</v>
      </c>
      <c r="T487" s="7">
        <f t="shared" si="420"/>
        <v>0.41453865262151246</v>
      </c>
      <c r="U487" s="7">
        <f t="shared" si="420"/>
        <v>6.5924676233060364E-2</v>
      </c>
      <c r="V487" s="7">
        <f t="shared" si="420"/>
        <v>8.2669985323717568E-2</v>
      </c>
      <c r="W487" s="7">
        <f t="shared" si="420"/>
        <v>4.4595650580796516E-2</v>
      </c>
      <c r="X487" s="7">
        <f>SUM(R487:W487)</f>
        <v>1</v>
      </c>
    </row>
    <row r="488" spans="1:24" ht="15.75" customHeight="1" x14ac:dyDescent="0.3">
      <c r="C488" t="s">
        <v>70</v>
      </c>
      <c r="D488" t="s">
        <v>68</v>
      </c>
      <c r="E488" t="s">
        <v>69</v>
      </c>
      <c r="F488" t="s">
        <v>72</v>
      </c>
      <c r="G488" t="s">
        <v>73</v>
      </c>
      <c r="H488" t="s">
        <v>71</v>
      </c>
      <c r="K488" t="s">
        <v>68</v>
      </c>
      <c r="L488" t="s">
        <v>69</v>
      </c>
      <c r="M488" t="s">
        <v>70</v>
      </c>
      <c r="N488" t="s">
        <v>71</v>
      </c>
      <c r="O488" t="s">
        <v>72</v>
      </c>
      <c r="P488" t="s">
        <v>73</v>
      </c>
    </row>
    <row r="489" spans="1:24" ht="15.75" customHeight="1" x14ac:dyDescent="0.3">
      <c r="A489">
        <v>244</v>
      </c>
      <c r="B489" s="16" t="s">
        <v>325</v>
      </c>
      <c r="C489" s="7">
        <f>Rankings!L253</f>
        <v>5.8788611383041474</v>
      </c>
      <c r="D489" s="7">
        <f>Rankings!M253</f>
        <v>3.4537157420674793</v>
      </c>
      <c r="E489" s="7">
        <f>Rankings!N253</f>
        <v>2.1093528166217701</v>
      </c>
      <c r="F489" s="7">
        <f>Rankings!O253</f>
        <v>1.172400597508374</v>
      </c>
      <c r="G489" s="7">
        <f>Rankings!P253</f>
        <v>0.88688155974910687</v>
      </c>
      <c r="H489" s="7">
        <f>Rankings!Q253</f>
        <v>1</v>
      </c>
      <c r="I489" s="7">
        <f>Rankings!R253</f>
        <v>14.501211854250876</v>
      </c>
      <c r="K489" s="7">
        <f t="shared" ref="K489:L489" si="421">D489</f>
        <v>3.4537157420674793</v>
      </c>
      <c r="L489" s="7">
        <f t="shared" si="421"/>
        <v>2.1093528166217701</v>
      </c>
      <c r="M489" s="7">
        <f>C489</f>
        <v>5.8788611383041474</v>
      </c>
      <c r="N489" s="7">
        <f>H489</f>
        <v>1</v>
      </c>
      <c r="O489" s="7">
        <f t="shared" ref="O489:P489" si="422">F489</f>
        <v>1.172400597508374</v>
      </c>
      <c r="P489" s="7">
        <f t="shared" si="422"/>
        <v>0.88688155974910687</v>
      </c>
      <c r="R489" s="7">
        <f t="shared" ref="R489:W489" si="423">K489/$I489</f>
        <v>0.23816738744183366</v>
      </c>
      <c r="S489" s="7">
        <f t="shared" si="423"/>
        <v>0.14546045101764621</v>
      </c>
      <c r="T489" s="7">
        <f t="shared" si="423"/>
        <v>0.40540481701747028</v>
      </c>
      <c r="U489" s="7">
        <f t="shared" si="423"/>
        <v>6.8959753850286701E-2</v>
      </c>
      <c r="V489" s="7">
        <f t="shared" si="423"/>
        <v>8.0848456618106523E-2</v>
      </c>
      <c r="W489" s="7">
        <f t="shared" si="423"/>
        <v>6.1159134054656748E-2</v>
      </c>
      <c r="X489" s="7">
        <f>SUM(R489:W489)</f>
        <v>1.0000000000000002</v>
      </c>
    </row>
    <row r="490" spans="1:24" ht="15.75" customHeight="1" x14ac:dyDescent="0.3">
      <c r="C490" t="s">
        <v>70</v>
      </c>
      <c r="D490" t="s">
        <v>68</v>
      </c>
      <c r="E490" t="s">
        <v>69</v>
      </c>
      <c r="F490" t="s">
        <v>73</v>
      </c>
      <c r="G490" t="s">
        <v>71</v>
      </c>
      <c r="H490" t="s">
        <v>72</v>
      </c>
      <c r="K490" t="s">
        <v>68</v>
      </c>
      <c r="L490" t="s">
        <v>69</v>
      </c>
      <c r="M490" t="s">
        <v>70</v>
      </c>
      <c r="N490" t="s">
        <v>71</v>
      </c>
      <c r="O490" t="s">
        <v>72</v>
      </c>
      <c r="P490" t="s">
        <v>73</v>
      </c>
    </row>
    <row r="491" spans="1:24" ht="15.75" customHeight="1" x14ac:dyDescent="0.3">
      <c r="A491">
        <v>245</v>
      </c>
      <c r="B491" s="16" t="s">
        <v>326</v>
      </c>
      <c r="C491" s="7">
        <f>Rankings!L254</f>
        <v>6.2540668798868246</v>
      </c>
      <c r="D491" s="7">
        <f>Rankings!M254</f>
        <v>3.6741417643415826</v>
      </c>
      <c r="E491" s="7">
        <f>Rankings!N254</f>
        <v>2.2439777497849951</v>
      </c>
      <c r="F491" s="7">
        <f>Rankings!O254</f>
        <v>1.6803088203001122</v>
      </c>
      <c r="G491" s="7">
        <f>Rankings!P254</f>
        <v>1.89462595295753</v>
      </c>
      <c r="H491" s="7">
        <f>Rankings!Q254</f>
        <v>1</v>
      </c>
      <c r="I491" s="7">
        <f>Rankings!R254</f>
        <v>16.747121167271043</v>
      </c>
      <c r="K491" s="7">
        <f t="shared" ref="K491:L491" si="424">D491</f>
        <v>3.6741417643415826</v>
      </c>
      <c r="L491" s="7">
        <f t="shared" si="424"/>
        <v>2.2439777497849951</v>
      </c>
      <c r="M491" s="7">
        <f>C491</f>
        <v>6.2540668798868246</v>
      </c>
      <c r="N491" s="7">
        <f t="shared" ref="N491:O491" si="425">G491</f>
        <v>1.89462595295753</v>
      </c>
      <c r="O491" s="7">
        <f t="shared" si="425"/>
        <v>1</v>
      </c>
      <c r="P491" s="7">
        <f>F491</f>
        <v>1.6803088203001122</v>
      </c>
      <c r="R491" s="7">
        <f t="shared" ref="R491:W491" si="426">K491/$I491</f>
        <v>0.2193894537242598</v>
      </c>
      <c r="S491" s="7">
        <f t="shared" si="426"/>
        <v>0.13399185014379716</v>
      </c>
      <c r="T491" s="7">
        <f t="shared" si="426"/>
        <v>0.37344131074355447</v>
      </c>
      <c r="U491" s="7">
        <f t="shared" si="426"/>
        <v>0.11313144116137429</v>
      </c>
      <c r="V491" s="7">
        <f t="shared" si="426"/>
        <v>5.9711755233150365E-2</v>
      </c>
      <c r="W491" s="7">
        <f t="shared" si="426"/>
        <v>0.10033418899386394</v>
      </c>
      <c r="X491" s="7">
        <f>SUM(R491:W491)</f>
        <v>1.0000000000000002</v>
      </c>
    </row>
    <row r="492" spans="1:24" ht="15.75" customHeight="1" x14ac:dyDescent="0.3">
      <c r="C492" t="s">
        <v>70</v>
      </c>
      <c r="D492" t="s">
        <v>68</v>
      </c>
      <c r="E492" t="s">
        <v>69</v>
      </c>
      <c r="F492" t="s">
        <v>73</v>
      </c>
      <c r="G492" t="s">
        <v>72</v>
      </c>
      <c r="H492" t="s">
        <v>71</v>
      </c>
      <c r="K492" t="s">
        <v>68</v>
      </c>
      <c r="L492" t="s">
        <v>69</v>
      </c>
      <c r="M492" t="s">
        <v>70</v>
      </c>
      <c r="N492" t="s">
        <v>71</v>
      </c>
      <c r="O492" t="s">
        <v>72</v>
      </c>
      <c r="P492" t="s">
        <v>73</v>
      </c>
    </row>
    <row r="493" spans="1:24" ht="15.75" customHeight="1" x14ac:dyDescent="0.3">
      <c r="A493">
        <v>246</v>
      </c>
      <c r="B493" s="16" t="s">
        <v>327</v>
      </c>
      <c r="C493" s="7">
        <f>Rankings!L255</f>
        <v>5.7252511874506622</v>
      </c>
      <c r="D493" s="7">
        <f>Rankings!M255</f>
        <v>3.3634729054159687</v>
      </c>
      <c r="E493" s="7">
        <f>Rankings!N255</f>
        <v>2.0542371105570747</v>
      </c>
      <c r="F493" s="7">
        <f>Rankings!O255</f>
        <v>1.5382294838652459</v>
      </c>
      <c r="G493" s="7">
        <f>Rankings!P255</f>
        <v>1.25400669441983</v>
      </c>
      <c r="H493" s="7">
        <f>Rankings!Q255</f>
        <v>1</v>
      </c>
      <c r="I493" s="7">
        <f>Rankings!R255</f>
        <v>14.935197381708782</v>
      </c>
      <c r="K493" s="7">
        <f t="shared" ref="K493:L493" si="427">D493</f>
        <v>3.3634729054159687</v>
      </c>
      <c r="L493" s="7">
        <f t="shared" si="427"/>
        <v>2.0542371105570747</v>
      </c>
      <c r="M493" s="7">
        <f>C493</f>
        <v>5.7252511874506622</v>
      </c>
      <c r="N493" s="7">
        <f>H493</f>
        <v>1</v>
      </c>
      <c r="O493" s="7">
        <f>G493</f>
        <v>1.25400669441983</v>
      </c>
      <c r="P493" s="7">
        <f>F493</f>
        <v>1.5382294838652459</v>
      </c>
      <c r="R493" s="7">
        <f t="shared" ref="R493:W493" si="428">K493/$I493</f>
        <v>0.22520444955988544</v>
      </c>
      <c r="S493" s="7">
        <f t="shared" si="428"/>
        <v>0.1375433519929847</v>
      </c>
      <c r="T493" s="7">
        <f t="shared" si="428"/>
        <v>0.38333950607592293</v>
      </c>
      <c r="U493" s="7">
        <f t="shared" si="428"/>
        <v>6.6955927962807207E-2</v>
      </c>
      <c r="V493" s="7">
        <f t="shared" si="428"/>
        <v>8.3963181896452133E-2</v>
      </c>
      <c r="W493" s="7">
        <f t="shared" si="428"/>
        <v>0.10299358251194751</v>
      </c>
      <c r="X493" s="7">
        <f>SUM(R493:W493)</f>
        <v>1</v>
      </c>
    </row>
    <row r="494" spans="1:24" ht="15.75" customHeight="1" x14ac:dyDescent="0.3">
      <c r="C494" t="s">
        <v>70</v>
      </c>
      <c r="D494" t="s">
        <v>68</v>
      </c>
      <c r="E494" t="s">
        <v>71</v>
      </c>
      <c r="F494" t="s">
        <v>69</v>
      </c>
      <c r="G494" t="s">
        <v>72</v>
      </c>
      <c r="H494" t="s">
        <v>73</v>
      </c>
      <c r="K494" t="s">
        <v>68</v>
      </c>
      <c r="L494" t="s">
        <v>69</v>
      </c>
      <c r="M494" t="s">
        <v>70</v>
      </c>
      <c r="N494" t="s">
        <v>71</v>
      </c>
      <c r="O494" t="s">
        <v>72</v>
      </c>
      <c r="P494" t="s">
        <v>73</v>
      </c>
    </row>
    <row r="495" spans="1:24" ht="15.75" customHeight="1" x14ac:dyDescent="0.3">
      <c r="A495">
        <v>247</v>
      </c>
      <c r="B495" s="16" t="s">
        <v>328</v>
      </c>
      <c r="C495" s="7">
        <f>Rankings!L256</f>
        <v>7.2978600891665639</v>
      </c>
      <c r="D495" s="7">
        <f>Rankings!M256</f>
        <v>4.2873498251450872</v>
      </c>
      <c r="E495" s="7">
        <f>Rankings!N256</f>
        <v>3.4192623412632823</v>
      </c>
      <c r="F495" s="7">
        <f>Rankings!O256</f>
        <v>2.3783929132752433</v>
      </c>
      <c r="G495" s="7">
        <f>Rankings!P256</f>
        <v>1.3219359277692486</v>
      </c>
      <c r="H495" s="7">
        <f>Rankings!Q256</f>
        <v>1</v>
      </c>
      <c r="I495" s="7">
        <f>Rankings!R256</f>
        <v>19.704801096619427</v>
      </c>
      <c r="K495" s="7">
        <f>D495</f>
        <v>4.2873498251450872</v>
      </c>
      <c r="L495" s="7">
        <f>F495</f>
        <v>2.3783929132752433</v>
      </c>
      <c r="M495" s="7">
        <f>C495</f>
        <v>7.2978600891665639</v>
      </c>
      <c r="N495" s="7">
        <f>E495</f>
        <v>3.4192623412632823</v>
      </c>
      <c r="O495" s="7">
        <f t="shared" ref="O495:P495" si="429">G495</f>
        <v>1.3219359277692486</v>
      </c>
      <c r="P495" s="7">
        <f t="shared" si="429"/>
        <v>1</v>
      </c>
      <c r="R495" s="7">
        <f t="shared" ref="R495:W495" si="430">K495/$I495</f>
        <v>0.21757894454872873</v>
      </c>
      <c r="S495" s="7">
        <f t="shared" si="430"/>
        <v>0.12070118858917497</v>
      </c>
      <c r="T495" s="7">
        <f t="shared" si="430"/>
        <v>0.37035949022690673</v>
      </c>
      <c r="U495" s="7">
        <f t="shared" si="430"/>
        <v>0.17352432660941164</v>
      </c>
      <c r="V495" s="7">
        <f t="shared" si="430"/>
        <v>6.7086996782527331E-2</v>
      </c>
      <c r="W495" s="7">
        <f t="shared" si="430"/>
        <v>5.0749053243250491E-2</v>
      </c>
      <c r="X495" s="7">
        <f>SUM(R495:W495)</f>
        <v>0.99999999999999989</v>
      </c>
    </row>
    <row r="496" spans="1:24" ht="15.75" customHeight="1" x14ac:dyDescent="0.3">
      <c r="C496" t="s">
        <v>70</v>
      </c>
      <c r="D496" t="s">
        <v>68</v>
      </c>
      <c r="E496" t="s">
        <v>71</v>
      </c>
      <c r="F496" t="s">
        <v>69</v>
      </c>
      <c r="G496" t="s">
        <v>73</v>
      </c>
      <c r="H496" t="s">
        <v>72</v>
      </c>
      <c r="K496" t="s">
        <v>68</v>
      </c>
      <c r="L496" t="s">
        <v>69</v>
      </c>
      <c r="M496" t="s">
        <v>70</v>
      </c>
      <c r="N496" t="s">
        <v>71</v>
      </c>
      <c r="O496" t="s">
        <v>72</v>
      </c>
      <c r="P496" t="s">
        <v>73</v>
      </c>
    </row>
    <row r="497" spans="1:24" ht="15.75" customHeight="1" x14ac:dyDescent="0.3">
      <c r="A497">
        <v>248</v>
      </c>
      <c r="B497" s="16" t="s">
        <v>329</v>
      </c>
      <c r="C497" s="7">
        <f>Rankings!L257</f>
        <v>5.026464811625563</v>
      </c>
      <c r="D497" s="7">
        <f>Rankings!M257</f>
        <v>2.9529496000082793</v>
      </c>
      <c r="E497" s="7">
        <f>Rankings!N257</f>
        <v>2.3550467712569025</v>
      </c>
      <c r="F497" s="7">
        <f>Rankings!O257</f>
        <v>1.6381388709471552</v>
      </c>
      <c r="G497" s="7">
        <f>Rankings!P257</f>
        <v>1.2266517321719024</v>
      </c>
      <c r="H497" s="7">
        <f>Rankings!Q257</f>
        <v>1</v>
      </c>
      <c r="I497" s="7">
        <f>Rankings!R257</f>
        <v>14.199251786009803</v>
      </c>
      <c r="K497" s="7">
        <f>D497</f>
        <v>2.9529496000082793</v>
      </c>
      <c r="L497" s="7">
        <f>F497</f>
        <v>1.6381388709471552</v>
      </c>
      <c r="M497" s="7">
        <f>C497</f>
        <v>5.026464811625563</v>
      </c>
      <c r="N497" s="7">
        <f>E497</f>
        <v>2.3550467712569025</v>
      </c>
      <c r="O497" s="7">
        <f>H497</f>
        <v>1</v>
      </c>
      <c r="P497" s="7">
        <f>G497</f>
        <v>1.2266517321719024</v>
      </c>
      <c r="R497" s="7">
        <f t="shared" ref="R497:W497" si="431">K497/$I497</f>
        <v>0.20796515510188732</v>
      </c>
      <c r="S497" s="7">
        <f t="shared" si="431"/>
        <v>0.11536797118853655</v>
      </c>
      <c r="T497" s="7">
        <f t="shared" si="431"/>
        <v>0.35399504758257921</v>
      </c>
      <c r="U497" s="7">
        <f t="shared" si="431"/>
        <v>0.16585710337056464</v>
      </c>
      <c r="V497" s="7">
        <f t="shared" si="431"/>
        <v>7.0426246049476851E-2</v>
      </c>
      <c r="W497" s="7">
        <f t="shared" si="431"/>
        <v>8.6388476706955375E-2</v>
      </c>
      <c r="X497" s="7">
        <f>SUM(R497:W497)</f>
        <v>1</v>
      </c>
    </row>
    <row r="498" spans="1:24" ht="15.75" customHeight="1" x14ac:dyDescent="0.3">
      <c r="C498" t="s">
        <v>70</v>
      </c>
      <c r="D498" t="s">
        <v>68</v>
      </c>
      <c r="E498" t="s">
        <v>71</v>
      </c>
      <c r="F498" t="s">
        <v>72</v>
      </c>
      <c r="G498" t="s">
        <v>69</v>
      </c>
      <c r="H498" t="s">
        <v>73</v>
      </c>
      <c r="K498" t="s">
        <v>68</v>
      </c>
      <c r="L498" t="s">
        <v>69</v>
      </c>
      <c r="M498" t="s">
        <v>70</v>
      </c>
      <c r="N498" t="s">
        <v>71</v>
      </c>
      <c r="O498" t="s">
        <v>72</v>
      </c>
      <c r="P498" t="s">
        <v>73</v>
      </c>
    </row>
    <row r="499" spans="1:24" ht="15.75" customHeight="1" x14ac:dyDescent="0.3">
      <c r="A499">
        <v>249</v>
      </c>
      <c r="B499" s="16" t="s">
        <v>330</v>
      </c>
      <c r="C499" s="7">
        <f>Rankings!L258</f>
        <v>9.8518376912011725</v>
      </c>
      <c r="D499" s="7">
        <f>Rankings!M258</f>
        <v>5.7877616296632599</v>
      </c>
      <c r="E499" s="7">
        <f>Rankings!N258</f>
        <v>4.6158760510862864</v>
      </c>
      <c r="F499" s="7">
        <f>Rankings!O258</f>
        <v>2.436299388742595</v>
      </c>
      <c r="G499" s="7">
        <f>Rankings!P258</f>
        <v>1.3354555559520354</v>
      </c>
      <c r="H499" s="7">
        <f>Rankings!Q258</f>
        <v>1</v>
      </c>
      <c r="I499" s="7">
        <f>Rankings!R258</f>
        <v>25.027230316645348</v>
      </c>
      <c r="K499" s="7">
        <f>D499</f>
        <v>5.7877616296632599</v>
      </c>
      <c r="L499" s="7">
        <f>G499</f>
        <v>1.3354555559520354</v>
      </c>
      <c r="M499" s="7">
        <f>C499</f>
        <v>9.8518376912011725</v>
      </c>
      <c r="N499" s="7">
        <f t="shared" ref="N499:O499" si="432">E499</f>
        <v>4.6158760510862864</v>
      </c>
      <c r="O499" s="7">
        <f t="shared" si="432"/>
        <v>2.436299388742595</v>
      </c>
      <c r="P499" s="7">
        <f>H499</f>
        <v>1</v>
      </c>
      <c r="R499" s="7">
        <f t="shared" ref="R499:W499" si="433">K499/$I499</f>
        <v>0.23125857541710801</v>
      </c>
      <c r="S499" s="7">
        <f t="shared" si="433"/>
        <v>5.3360101739417722E-2</v>
      </c>
      <c r="T499" s="7">
        <f t="shared" si="433"/>
        <v>0.39364474480617295</v>
      </c>
      <c r="U499" s="7">
        <f t="shared" si="433"/>
        <v>0.18443415402687671</v>
      </c>
      <c r="V499" s="7">
        <f t="shared" si="433"/>
        <v>9.7345945113320745E-2</v>
      </c>
      <c r="W499" s="7">
        <f t="shared" si="433"/>
        <v>3.995647889710395E-2</v>
      </c>
      <c r="X499" s="7">
        <f>SUM(R499:W499)</f>
        <v>1</v>
      </c>
    </row>
    <row r="500" spans="1:24" ht="15.75" customHeight="1" x14ac:dyDescent="0.3">
      <c r="C500" t="s">
        <v>70</v>
      </c>
      <c r="D500" t="s">
        <v>68</v>
      </c>
      <c r="E500" t="s">
        <v>71</v>
      </c>
      <c r="F500" t="s">
        <v>72</v>
      </c>
      <c r="G500" t="s">
        <v>73</v>
      </c>
      <c r="H500" t="s">
        <v>69</v>
      </c>
      <c r="K500" t="s">
        <v>68</v>
      </c>
      <c r="L500" t="s">
        <v>69</v>
      </c>
      <c r="M500" t="s">
        <v>70</v>
      </c>
      <c r="N500" t="s">
        <v>71</v>
      </c>
      <c r="O500" t="s">
        <v>72</v>
      </c>
      <c r="P500" t="s">
        <v>73</v>
      </c>
    </row>
    <row r="501" spans="1:24" ht="15.75" customHeight="1" x14ac:dyDescent="0.3">
      <c r="A501">
        <v>250</v>
      </c>
      <c r="B501" s="16" t="s">
        <v>331</v>
      </c>
      <c r="C501" s="7">
        <f>Rankings!L259</f>
        <v>6.6388909258130226</v>
      </c>
      <c r="D501" s="7">
        <f>Rankings!M259</f>
        <v>3.9002183519788955</v>
      </c>
      <c r="E501" s="7">
        <f>Rankings!N259</f>
        <v>3.1105158845240912</v>
      </c>
      <c r="F501" s="7">
        <f>Rankings!O259</f>
        <v>1.6417572448369266</v>
      </c>
      <c r="G501" s="7">
        <f>Rankings!P259</f>
        <v>1.2419340531937677</v>
      </c>
      <c r="H501" s="7">
        <f>Rankings!Q259</f>
        <v>1</v>
      </c>
      <c r="I501" s="7">
        <f>Rankings!R259</f>
        <v>17.533316460346704</v>
      </c>
      <c r="K501" s="7">
        <f>D501</f>
        <v>3.9002183519788955</v>
      </c>
      <c r="L501" s="7">
        <f>H501</f>
        <v>1</v>
      </c>
      <c r="M501" s="7">
        <f>C501</f>
        <v>6.6388909258130226</v>
      </c>
      <c r="N501" s="7">
        <f t="shared" ref="N501:P501" si="434">E501</f>
        <v>3.1105158845240912</v>
      </c>
      <c r="O501" s="7">
        <f t="shared" si="434"/>
        <v>1.6417572448369266</v>
      </c>
      <c r="P501" s="7">
        <f t="shared" si="434"/>
        <v>1.2419340531937677</v>
      </c>
      <c r="R501" s="7">
        <f t="shared" ref="R501:W501" si="435">K501/$I501</f>
        <v>0.22244612767924526</v>
      </c>
      <c r="S501" s="7">
        <f t="shared" si="435"/>
        <v>5.703427541854942E-2</v>
      </c>
      <c r="T501" s="7">
        <f t="shared" si="435"/>
        <v>0.37864433353652849</v>
      </c>
      <c r="U501" s="7">
        <f t="shared" si="435"/>
        <v>0.1774060196517199</v>
      </c>
      <c r="V501" s="7">
        <f t="shared" si="435"/>
        <v>9.3636434872428148E-2</v>
      </c>
      <c r="W501" s="7">
        <f t="shared" si="435"/>
        <v>7.083280884152876E-2</v>
      </c>
      <c r="X501" s="7">
        <f>SUM(R501:W501)</f>
        <v>1</v>
      </c>
    </row>
    <row r="502" spans="1:24" ht="15.75" customHeight="1" x14ac:dyDescent="0.3">
      <c r="C502" t="s">
        <v>70</v>
      </c>
      <c r="D502" t="s">
        <v>68</v>
      </c>
      <c r="E502" t="s">
        <v>71</v>
      </c>
      <c r="F502" t="s">
        <v>73</v>
      </c>
      <c r="G502" t="s">
        <v>69</v>
      </c>
      <c r="H502" t="s">
        <v>72</v>
      </c>
      <c r="K502" t="s">
        <v>68</v>
      </c>
      <c r="L502" t="s">
        <v>69</v>
      </c>
      <c r="M502" t="s">
        <v>70</v>
      </c>
      <c r="N502" t="s">
        <v>71</v>
      </c>
      <c r="O502" t="s">
        <v>72</v>
      </c>
      <c r="P502" t="s">
        <v>73</v>
      </c>
    </row>
    <row r="503" spans="1:24" ht="15.75" customHeight="1" x14ac:dyDescent="0.3">
      <c r="A503">
        <v>251</v>
      </c>
      <c r="B503" s="16" t="s">
        <v>332</v>
      </c>
      <c r="C503" s="7">
        <f>Rankings!L260</f>
        <v>7.050019902068918</v>
      </c>
      <c r="D503" s="7">
        <f>Rankings!M260</f>
        <v>4.1417485708274846</v>
      </c>
      <c r="E503" s="7">
        <f>Rankings!N260</f>
        <v>3.3031419158179371</v>
      </c>
      <c r="F503" s="7">
        <f>Rankings!O260</f>
        <v>2.2344556107615374</v>
      </c>
      <c r="G503" s="7">
        <f>Rankings!P260</f>
        <v>1.7991741228251155</v>
      </c>
      <c r="H503" s="7">
        <f>Rankings!Q260</f>
        <v>1</v>
      </c>
      <c r="I503" s="7">
        <f>Rankings!R260</f>
        <v>19.528540122300992</v>
      </c>
      <c r="K503" s="7">
        <f>D503</f>
        <v>4.1417485708274846</v>
      </c>
      <c r="L503" s="7">
        <f>G503</f>
        <v>1.7991741228251155</v>
      </c>
      <c r="M503" s="7">
        <f>C503</f>
        <v>7.050019902068918</v>
      </c>
      <c r="N503" s="7">
        <f>E503</f>
        <v>3.3031419158179371</v>
      </c>
      <c r="O503" s="7">
        <f>H503</f>
        <v>1</v>
      </c>
      <c r="P503" s="7">
        <f>F503</f>
        <v>2.2344556107615374</v>
      </c>
      <c r="R503" s="7">
        <f t="shared" ref="R503:W503" si="436">K503/$I503</f>
        <v>0.21208695298721972</v>
      </c>
      <c r="S503" s="7">
        <f t="shared" si="436"/>
        <v>9.2130497802573263E-2</v>
      </c>
      <c r="T503" s="7">
        <f t="shared" si="436"/>
        <v>0.36101110773856632</v>
      </c>
      <c r="U503" s="7">
        <f t="shared" si="436"/>
        <v>0.16914433414537991</v>
      </c>
      <c r="V503" s="7">
        <f t="shared" si="436"/>
        <v>5.1207104767551505E-2</v>
      </c>
      <c r="W503" s="7">
        <f t="shared" si="436"/>
        <v>0.11442000255870934</v>
      </c>
      <c r="X503" s="7">
        <f>SUM(R503:W503)</f>
        <v>1</v>
      </c>
    </row>
    <row r="504" spans="1:24" ht="15.75" customHeight="1" x14ac:dyDescent="0.3">
      <c r="C504" t="s">
        <v>70</v>
      </c>
      <c r="D504" t="s">
        <v>68</v>
      </c>
      <c r="E504" t="s">
        <v>71</v>
      </c>
      <c r="F504" t="s">
        <v>73</v>
      </c>
      <c r="G504" t="s">
        <v>72</v>
      </c>
      <c r="H504" t="s">
        <v>69</v>
      </c>
      <c r="K504" t="s">
        <v>68</v>
      </c>
      <c r="L504" t="s">
        <v>69</v>
      </c>
      <c r="M504" t="s">
        <v>70</v>
      </c>
      <c r="N504" t="s">
        <v>71</v>
      </c>
      <c r="O504" t="s">
        <v>72</v>
      </c>
      <c r="P504" t="s">
        <v>73</v>
      </c>
    </row>
    <row r="505" spans="1:24" ht="15.75" customHeight="1" x14ac:dyDescent="0.3">
      <c r="A505">
        <v>252</v>
      </c>
      <c r="B505" s="16" t="s">
        <v>333</v>
      </c>
      <c r="C505" s="7">
        <f>Rankings!L261</f>
        <v>7.0605918159692047</v>
      </c>
      <c r="D505" s="7">
        <f>Rankings!M261</f>
        <v>4.147959363122494</v>
      </c>
      <c r="E505" s="7">
        <f>Rankings!N261</f>
        <v>3.3080951687760183</v>
      </c>
      <c r="F505" s="7">
        <f>Rankings!O261</f>
        <v>2.2378063065977365</v>
      </c>
      <c r="G505" s="7">
        <f>Rankings!P261</f>
        <v>1.8243208303594776</v>
      </c>
      <c r="H505" s="7">
        <f>Rankings!Q261</f>
        <v>1</v>
      </c>
      <c r="I505" s="7">
        <f>Rankings!R261</f>
        <v>19.578773484824932</v>
      </c>
      <c r="K505" s="7">
        <f>D505</f>
        <v>4.147959363122494</v>
      </c>
      <c r="L505" s="7">
        <f>H505</f>
        <v>1</v>
      </c>
      <c r="M505" s="7">
        <f>C505</f>
        <v>7.0605918159692047</v>
      </c>
      <c r="N505" s="7">
        <f>E505</f>
        <v>3.3080951687760183</v>
      </c>
      <c r="O505" s="7">
        <f>G505</f>
        <v>1.8243208303594776</v>
      </c>
      <c r="P505" s="7">
        <f>F505</f>
        <v>2.2378063065977365</v>
      </c>
      <c r="R505" s="7">
        <f t="shared" ref="R505:W505" si="437">K505/$I505</f>
        <v>0.21186002107524685</v>
      </c>
      <c r="S505" s="7">
        <f t="shared" si="437"/>
        <v>5.1075722428428803E-2</v>
      </c>
      <c r="T505" s="7">
        <f t="shared" si="437"/>
        <v>0.36062482777287919</v>
      </c>
      <c r="U505" s="7">
        <f t="shared" si="437"/>
        <v>0.16896335060723025</v>
      </c>
      <c r="V505" s="7">
        <f t="shared" si="437"/>
        <v>9.3178504351841426E-2</v>
      </c>
      <c r="W505" s="7">
        <f t="shared" si="437"/>
        <v>0.11429757376437344</v>
      </c>
      <c r="X505" s="7">
        <f>SUM(R505:W505)</f>
        <v>0.99999999999999989</v>
      </c>
    </row>
    <row r="506" spans="1:24" ht="15.75" customHeight="1" x14ac:dyDescent="0.3">
      <c r="C506" t="s">
        <v>70</v>
      </c>
      <c r="D506" t="s">
        <v>68</v>
      </c>
      <c r="E506" t="s">
        <v>72</v>
      </c>
      <c r="F506" t="s">
        <v>69</v>
      </c>
      <c r="G506" t="s">
        <v>71</v>
      </c>
      <c r="H506" t="s">
        <v>73</v>
      </c>
      <c r="K506" t="s">
        <v>68</v>
      </c>
      <c r="L506" t="s">
        <v>69</v>
      </c>
      <c r="M506" t="s">
        <v>70</v>
      </c>
      <c r="N506" t="s">
        <v>71</v>
      </c>
      <c r="O506" t="s">
        <v>72</v>
      </c>
      <c r="P506" t="s">
        <v>73</v>
      </c>
    </row>
    <row r="507" spans="1:24" ht="15.75" customHeight="1" x14ac:dyDescent="0.3">
      <c r="A507">
        <v>253</v>
      </c>
      <c r="B507" s="16" t="s">
        <v>334</v>
      </c>
      <c r="C507" s="7">
        <f>Rankings!L262</f>
        <v>4.5353605060086544</v>
      </c>
      <c r="D507" s="7">
        <f>Rankings!M262</f>
        <v>2.6644354420100669</v>
      </c>
      <c r="E507" s="7">
        <f>Rankings!N262</f>
        <v>2.456355426528646</v>
      </c>
      <c r="F507" s="7">
        <f>Rankings!O262</f>
        <v>1.3464492569788988</v>
      </c>
      <c r="G507" s="7">
        <f>Rankings!P262</f>
        <v>1.478275916473532</v>
      </c>
      <c r="H507" s="7">
        <f>Rankings!Q262</f>
        <v>1</v>
      </c>
      <c r="I507" s="7">
        <f>Rankings!R262</f>
        <v>13.480876547999797</v>
      </c>
      <c r="K507" s="7">
        <f>D507</f>
        <v>2.6644354420100669</v>
      </c>
      <c r="L507" s="7">
        <f>F507</f>
        <v>1.3464492569788988</v>
      </c>
      <c r="M507" s="7">
        <f>C507</f>
        <v>4.5353605060086544</v>
      </c>
      <c r="N507" s="7">
        <f>G507</f>
        <v>1.478275916473532</v>
      </c>
      <c r="O507" s="7">
        <f>E507</f>
        <v>2.456355426528646</v>
      </c>
      <c r="P507" s="7">
        <f>H507</f>
        <v>1</v>
      </c>
      <c r="R507" s="7">
        <f t="shared" ref="R507:W507" si="438">K507/$I507</f>
        <v>0.19764556351533374</v>
      </c>
      <c r="S507" s="7">
        <f t="shared" si="438"/>
        <v>9.9878465037844741E-2</v>
      </c>
      <c r="T507" s="7">
        <f t="shared" si="438"/>
        <v>0.33642919953017308</v>
      </c>
      <c r="U507" s="7">
        <f t="shared" si="438"/>
        <v>0.10965725494258523</v>
      </c>
      <c r="V507" s="7">
        <f t="shared" si="438"/>
        <v>0.18221036427287093</v>
      </c>
      <c r="W507" s="7">
        <f t="shared" si="438"/>
        <v>7.4179152701192366E-2</v>
      </c>
      <c r="X507" s="7">
        <f>SUM(R507:W507)</f>
        <v>1.0000000000000002</v>
      </c>
    </row>
    <row r="508" spans="1:24" ht="15.75" customHeight="1" x14ac:dyDescent="0.3">
      <c r="C508" t="s">
        <v>70</v>
      </c>
      <c r="D508" t="s">
        <v>68</v>
      </c>
      <c r="E508" t="s">
        <v>72</v>
      </c>
      <c r="F508" t="s">
        <v>69</v>
      </c>
      <c r="G508" t="s">
        <v>73</v>
      </c>
      <c r="H508" t="s">
        <v>71</v>
      </c>
      <c r="K508" t="s">
        <v>68</v>
      </c>
      <c r="L508" t="s">
        <v>69</v>
      </c>
      <c r="M508" t="s">
        <v>70</v>
      </c>
      <c r="N508" t="s">
        <v>71</v>
      </c>
      <c r="O508" t="s">
        <v>72</v>
      </c>
      <c r="P508" t="s">
        <v>73</v>
      </c>
    </row>
    <row r="509" spans="1:24" ht="15.75" customHeight="1" x14ac:dyDescent="0.3">
      <c r="A509">
        <v>254</v>
      </c>
      <c r="B509" s="16" t="s">
        <v>335</v>
      </c>
      <c r="C509" s="7">
        <f>Rankings!L263</f>
        <v>3.9894854654893805</v>
      </c>
      <c r="D509" s="7">
        <f>Rankings!M263</f>
        <v>2.3437445503066812</v>
      </c>
      <c r="E509" s="7">
        <f>Rankings!N263</f>
        <v>2.1607090019038284</v>
      </c>
      <c r="F509" s="7">
        <f>Rankings!O263</f>
        <v>1.1843909064383518</v>
      </c>
      <c r="G509" s="7">
        <f>Rankings!P263</f>
        <v>0.88688155974910687</v>
      </c>
      <c r="H509" s="7">
        <f>Rankings!Q263</f>
        <v>1</v>
      </c>
      <c r="I509" s="7">
        <f>Rankings!R263</f>
        <v>11.565211483887349</v>
      </c>
      <c r="K509" s="7">
        <f>D509</f>
        <v>2.3437445503066812</v>
      </c>
      <c r="L509" s="7">
        <f>F509</f>
        <v>1.1843909064383518</v>
      </c>
      <c r="M509" s="7">
        <f>C509</f>
        <v>3.9894854654893805</v>
      </c>
      <c r="N509" s="7">
        <f>H509</f>
        <v>1</v>
      </c>
      <c r="O509" s="7">
        <f>E509</f>
        <v>2.1607090019038284</v>
      </c>
      <c r="P509" s="7">
        <f>G509</f>
        <v>0.88688155974910687</v>
      </c>
      <c r="R509" s="7">
        <f t="shared" ref="R509:W509" si="439">K509/$I509</f>
        <v>0.20265470748822759</v>
      </c>
      <c r="S509" s="7">
        <f t="shared" si="439"/>
        <v>0.10240979234045525</v>
      </c>
      <c r="T509" s="7">
        <f t="shared" si="439"/>
        <v>0.34495568637439367</v>
      </c>
      <c r="U509" s="7">
        <f t="shared" si="439"/>
        <v>8.6466209579755621E-2</v>
      </c>
      <c r="V509" s="7">
        <f t="shared" si="439"/>
        <v>0.186828317399481</v>
      </c>
      <c r="W509" s="7">
        <f t="shared" si="439"/>
        <v>7.6685286817686826E-2</v>
      </c>
      <c r="X509" s="7">
        <f>SUM(R509:W509)</f>
        <v>1</v>
      </c>
    </row>
    <row r="510" spans="1:24" ht="15.75" customHeight="1" x14ac:dyDescent="0.3">
      <c r="C510" t="s">
        <v>70</v>
      </c>
      <c r="D510" t="s">
        <v>68</v>
      </c>
      <c r="E510" t="s">
        <v>72</v>
      </c>
      <c r="F510" t="s">
        <v>71</v>
      </c>
      <c r="G510" t="s">
        <v>69</v>
      </c>
      <c r="H510" t="s">
        <v>73</v>
      </c>
      <c r="K510" t="s">
        <v>68</v>
      </c>
      <c r="L510" t="s">
        <v>69</v>
      </c>
      <c r="M510" t="s">
        <v>70</v>
      </c>
      <c r="N510" t="s">
        <v>71</v>
      </c>
      <c r="O510" t="s">
        <v>72</v>
      </c>
      <c r="P510" t="s">
        <v>73</v>
      </c>
    </row>
    <row r="511" spans="1:24" ht="15.75" customHeight="1" x14ac:dyDescent="0.3">
      <c r="A511">
        <v>255</v>
      </c>
      <c r="B511" s="16" t="s">
        <v>336</v>
      </c>
      <c r="C511" s="7">
        <f>Rankings!L264</f>
        <v>4.4452759003420255</v>
      </c>
      <c r="D511" s="7">
        <f>Rankings!M264</f>
        <v>2.6115125010884639</v>
      </c>
      <c r="E511" s="7">
        <f>Rankings!N264</f>
        <v>2.4075655211434501</v>
      </c>
      <c r="F511" s="7">
        <f>Rankings!O264</f>
        <v>1.9198984597584763</v>
      </c>
      <c r="G511" s="7">
        <f>Rankings!P264</f>
        <v>1.3354555559520354</v>
      </c>
      <c r="H511" s="7">
        <f>Rankings!Q264</f>
        <v>1</v>
      </c>
      <c r="I511" s="7">
        <f>Rankings!R264</f>
        <v>13.719707938284452</v>
      </c>
      <c r="K511" s="7">
        <f>D511</f>
        <v>2.6115125010884639</v>
      </c>
      <c r="L511" s="7">
        <f>G511</f>
        <v>1.3354555559520354</v>
      </c>
      <c r="M511" s="7">
        <f>C511</f>
        <v>4.4452759003420255</v>
      </c>
      <c r="N511" s="7">
        <f>F511</f>
        <v>1.9198984597584763</v>
      </c>
      <c r="O511" s="7">
        <f>E511</f>
        <v>2.4075655211434501</v>
      </c>
      <c r="P511" s="7">
        <f>H511</f>
        <v>1</v>
      </c>
      <c r="R511" s="7">
        <f t="shared" ref="R511:W511" si="440">K511/$I511</f>
        <v>0.19034752874010627</v>
      </c>
      <c r="S511" s="7">
        <f t="shared" si="440"/>
        <v>9.7338482856875172E-2</v>
      </c>
      <c r="T511" s="7">
        <f t="shared" si="440"/>
        <v>0.32400659841581686</v>
      </c>
      <c r="U511" s="7">
        <f t="shared" si="440"/>
        <v>0.13993726895607264</v>
      </c>
      <c r="V511" s="7">
        <f t="shared" si="440"/>
        <v>0.17548227206974337</v>
      </c>
      <c r="W511" s="7">
        <f t="shared" si="440"/>
        <v>7.2887848961385587E-2</v>
      </c>
      <c r="X511" s="7">
        <f>SUM(R511:W511)</f>
        <v>0.99999999999999978</v>
      </c>
    </row>
    <row r="512" spans="1:24" ht="15.75" customHeight="1" x14ac:dyDescent="0.3">
      <c r="C512" t="s">
        <v>70</v>
      </c>
      <c r="D512" t="s">
        <v>68</v>
      </c>
      <c r="E512" t="s">
        <v>72</v>
      </c>
      <c r="F512" t="s">
        <v>71</v>
      </c>
      <c r="G512" t="s">
        <v>73</v>
      </c>
      <c r="H512" t="s">
        <v>69</v>
      </c>
      <c r="K512" t="s">
        <v>68</v>
      </c>
      <c r="L512" t="s">
        <v>69</v>
      </c>
      <c r="M512" t="s">
        <v>70</v>
      </c>
      <c r="N512" t="s">
        <v>71</v>
      </c>
      <c r="O512" t="s">
        <v>72</v>
      </c>
      <c r="P512" t="s">
        <v>73</v>
      </c>
    </row>
    <row r="513" spans="1:24" ht="15.75" customHeight="1" x14ac:dyDescent="0.3">
      <c r="A513">
        <v>256</v>
      </c>
      <c r="B513" s="16" t="s">
        <v>337</v>
      </c>
      <c r="C513" s="7">
        <f>Rankings!L265</f>
        <v>4.2508374475999071</v>
      </c>
      <c r="D513" s="7">
        <f>Rankings!M265</f>
        <v>2.4972837194757704</v>
      </c>
      <c r="E513" s="7">
        <f>Rankings!N265</f>
        <v>2.3022574760859125</v>
      </c>
      <c r="F513" s="7">
        <f>Rankings!O265</f>
        <v>1.8359212006847052</v>
      </c>
      <c r="G513" s="7">
        <f>Rankings!P265</f>
        <v>1.2419340531937677</v>
      </c>
      <c r="H513" s="7">
        <f>Rankings!Q265</f>
        <v>1</v>
      </c>
      <c r="I513" s="7">
        <f>Rankings!R265</f>
        <v>13.128233897040063</v>
      </c>
      <c r="K513" s="7">
        <f>D513</f>
        <v>2.4972837194757704</v>
      </c>
      <c r="L513" s="7">
        <f>H513</f>
        <v>1</v>
      </c>
      <c r="M513" s="7">
        <f>C513</f>
        <v>4.2508374475999071</v>
      </c>
      <c r="N513" s="7">
        <f>F513</f>
        <v>1.8359212006847052</v>
      </c>
      <c r="O513" s="7">
        <f>E513</f>
        <v>2.3022574760859125</v>
      </c>
      <c r="P513" s="7">
        <f>G513</f>
        <v>1.2419340531937677</v>
      </c>
      <c r="R513" s="7">
        <f t="shared" ref="R513:W513" si="441">K513/$I513</f>
        <v>0.19022236647069615</v>
      </c>
      <c r="S513" s="7">
        <f t="shared" si="441"/>
        <v>7.6171708079139533E-2</v>
      </c>
      <c r="T513" s="7">
        <f t="shared" si="441"/>
        <v>0.32379354915045472</v>
      </c>
      <c r="U513" s="7">
        <f t="shared" si="441"/>
        <v>0.13984525375485871</v>
      </c>
      <c r="V513" s="7">
        <f t="shared" si="441"/>
        <v>0.17536688439143266</v>
      </c>
      <c r="W513" s="7">
        <f t="shared" si="441"/>
        <v>9.4600238153418212E-2</v>
      </c>
      <c r="X513" s="7">
        <f>SUM(R513:W513)</f>
        <v>0.99999999999999989</v>
      </c>
    </row>
    <row r="514" spans="1:24" ht="15.75" customHeight="1" x14ac:dyDescent="0.3">
      <c r="C514" t="s">
        <v>70</v>
      </c>
      <c r="D514" t="s">
        <v>68</v>
      </c>
      <c r="E514" t="s">
        <v>72</v>
      </c>
      <c r="F514" t="s">
        <v>73</v>
      </c>
      <c r="G514" t="s">
        <v>69</v>
      </c>
      <c r="H514" t="s">
        <v>71</v>
      </c>
      <c r="K514" t="s">
        <v>68</v>
      </c>
      <c r="L514" t="s">
        <v>69</v>
      </c>
      <c r="M514" t="s">
        <v>70</v>
      </c>
      <c r="N514" t="s">
        <v>71</v>
      </c>
      <c r="O514" t="s">
        <v>72</v>
      </c>
      <c r="P514" t="s">
        <v>73</v>
      </c>
    </row>
    <row r="515" spans="1:24" ht="15.75" customHeight="1" x14ac:dyDescent="0.3">
      <c r="A515">
        <v>257</v>
      </c>
      <c r="B515" s="16" t="s">
        <v>338</v>
      </c>
      <c r="C515" s="7">
        <f>Rankings!L266</f>
        <v>2.7609849336056596</v>
      </c>
      <c r="D515" s="7">
        <f>Rankings!M266</f>
        <v>1.6220245561975826</v>
      </c>
      <c r="E515" s="7">
        <f>Rankings!N266</f>
        <v>1.4953519825471517</v>
      </c>
      <c r="F515" s="7">
        <f>Rankings!O266</f>
        <v>1.1311834039268005</v>
      </c>
      <c r="G515" s="7">
        <f>Rankings!P266</f>
        <v>0.9108240498099236</v>
      </c>
      <c r="H515" s="7">
        <f>Rankings!Q266</f>
        <v>1</v>
      </c>
      <c r="I515" s="7">
        <f>Rankings!R266</f>
        <v>8.920368926087118</v>
      </c>
      <c r="K515" s="7">
        <f>D515</f>
        <v>1.6220245561975826</v>
      </c>
      <c r="L515" s="7">
        <f>G515</f>
        <v>0.9108240498099236</v>
      </c>
      <c r="M515" s="7">
        <f>C515</f>
        <v>2.7609849336056596</v>
      </c>
      <c r="N515" s="7">
        <f>H515</f>
        <v>1</v>
      </c>
      <c r="O515" s="7">
        <f t="shared" ref="O515:P515" si="442">E515</f>
        <v>1.4953519825471517</v>
      </c>
      <c r="P515" s="7">
        <f t="shared" si="442"/>
        <v>1.1311834039268005</v>
      </c>
      <c r="R515" s="7">
        <f t="shared" ref="R515:W515" si="443">K515/$I515</f>
        <v>0.18183379741773492</v>
      </c>
      <c r="S515" s="7">
        <f t="shared" si="443"/>
        <v>0.10210609643579537</v>
      </c>
      <c r="T515" s="7">
        <f t="shared" si="443"/>
        <v>0.30951465757557561</v>
      </c>
      <c r="U515" s="7">
        <f t="shared" si="443"/>
        <v>0.11210298680310812</v>
      </c>
      <c r="V515" s="7">
        <f t="shared" si="443"/>
        <v>0.16763342356548491</v>
      </c>
      <c r="W515" s="7">
        <f t="shared" si="443"/>
        <v>0.12680903820230105</v>
      </c>
      <c r="X515" s="7">
        <f>SUM(R515:W515)</f>
        <v>1</v>
      </c>
    </row>
    <row r="516" spans="1:24" ht="15.75" customHeight="1" x14ac:dyDescent="0.3">
      <c r="C516" t="s">
        <v>70</v>
      </c>
      <c r="D516" t="s">
        <v>68</v>
      </c>
      <c r="E516" t="s">
        <v>72</v>
      </c>
      <c r="F516" t="s">
        <v>73</v>
      </c>
      <c r="G516" t="s">
        <v>71</v>
      </c>
      <c r="H516" t="s">
        <v>69</v>
      </c>
      <c r="K516" t="s">
        <v>68</v>
      </c>
      <c r="L516" t="s">
        <v>69</v>
      </c>
      <c r="M516" t="s">
        <v>70</v>
      </c>
      <c r="N516" t="s">
        <v>71</v>
      </c>
      <c r="O516" t="s">
        <v>72</v>
      </c>
      <c r="P516" t="s">
        <v>73</v>
      </c>
    </row>
    <row r="517" spans="1:24" ht="15.75" customHeight="1" x14ac:dyDescent="0.3">
      <c r="A517">
        <v>258</v>
      </c>
      <c r="B517" s="16" t="s">
        <v>339</v>
      </c>
      <c r="C517" s="7">
        <f>Rankings!L267</f>
        <v>3.1120420600095864</v>
      </c>
      <c r="D517" s="7">
        <f>Rankings!M267</f>
        <v>1.8282637401657833</v>
      </c>
      <c r="E517" s="7">
        <f>Rankings!N267</f>
        <v>1.6854848454852573</v>
      </c>
      <c r="F517" s="7">
        <f>Rankings!O267</f>
        <v>1.2750125101217977</v>
      </c>
      <c r="G517" s="7">
        <f>Rankings!P267</f>
        <v>1.4376356077157479</v>
      </c>
      <c r="H517" s="7">
        <f>Rankings!Q267</f>
        <v>1</v>
      </c>
      <c r="I517" s="7">
        <f>Rankings!R267</f>
        <v>10.338438763498173</v>
      </c>
      <c r="K517" s="7">
        <f>D517</f>
        <v>1.8282637401657833</v>
      </c>
      <c r="L517" s="7">
        <f>H517</f>
        <v>1</v>
      </c>
      <c r="M517" s="7">
        <f>C517</f>
        <v>3.1120420600095864</v>
      </c>
      <c r="N517" s="7">
        <f>G517</f>
        <v>1.4376356077157479</v>
      </c>
      <c r="O517" s="7">
        <f t="shared" ref="O517:P517" si="444">E517</f>
        <v>1.6854848454852573</v>
      </c>
      <c r="P517" s="7">
        <f t="shared" si="444"/>
        <v>1.2750125101217977</v>
      </c>
      <c r="R517" s="7">
        <f t="shared" ref="R517:W517" si="445">K517/$I517</f>
        <v>0.17684137634212399</v>
      </c>
      <c r="S517" s="7">
        <f t="shared" si="445"/>
        <v>9.6726403558213297E-2</v>
      </c>
      <c r="T517" s="7">
        <f t="shared" si="445"/>
        <v>0.30101663618662072</v>
      </c>
      <c r="U517" s="7">
        <f t="shared" si="445"/>
        <v>0.13905732196157067</v>
      </c>
      <c r="V517" s="7">
        <f t="shared" si="445"/>
        <v>0.16303088735565979</v>
      </c>
      <c r="W517" s="7">
        <f t="shared" si="445"/>
        <v>0.12332737459581153</v>
      </c>
      <c r="X517" s="7">
        <f>SUM(R517:W517)</f>
        <v>1</v>
      </c>
    </row>
    <row r="518" spans="1:24" ht="15.75" customHeight="1" x14ac:dyDescent="0.3">
      <c r="C518" t="s">
        <v>70</v>
      </c>
      <c r="D518" t="s">
        <v>68</v>
      </c>
      <c r="E518" t="s">
        <v>73</v>
      </c>
      <c r="F518" t="s">
        <v>69</v>
      </c>
      <c r="G518" t="s">
        <v>71</v>
      </c>
      <c r="H518" t="s">
        <v>72</v>
      </c>
      <c r="K518" t="s">
        <v>68</v>
      </c>
      <c r="L518" t="s">
        <v>69</v>
      </c>
      <c r="M518" t="s">
        <v>70</v>
      </c>
      <c r="N518" t="s">
        <v>71</v>
      </c>
      <c r="O518" t="s">
        <v>72</v>
      </c>
      <c r="P518" t="s">
        <v>73</v>
      </c>
    </row>
    <row r="519" spans="1:24" ht="15.75" customHeight="1" x14ac:dyDescent="0.3">
      <c r="A519">
        <v>259</v>
      </c>
      <c r="B519" s="16" t="s">
        <v>340</v>
      </c>
      <c r="C519" s="7">
        <f>Rankings!L268</f>
        <v>4.2367066987760325</v>
      </c>
      <c r="D519" s="7">
        <f>Rankings!M268</f>
        <v>2.4889821813866613</v>
      </c>
      <c r="E519" s="7">
        <f>Rankings!N268</f>
        <v>2.1431694346345571</v>
      </c>
      <c r="F519" s="7">
        <f>Rankings!O268</f>
        <v>1.7256708833477632</v>
      </c>
      <c r="G519" s="7">
        <f>Rankings!P268</f>
        <v>1.89462595295753</v>
      </c>
      <c r="H519" s="7">
        <f>Rankings!Q268</f>
        <v>1</v>
      </c>
      <c r="I519" s="7">
        <f>Rankings!R268</f>
        <v>13.489155151102544</v>
      </c>
      <c r="K519" s="7">
        <f>D519</f>
        <v>2.4889821813866613</v>
      </c>
      <c r="L519" s="7">
        <f>F519</f>
        <v>1.7256708833477632</v>
      </c>
      <c r="M519" s="7">
        <f>C519</f>
        <v>4.2367066987760325</v>
      </c>
      <c r="N519" s="7">
        <f t="shared" ref="N519:O519" si="446">G519</f>
        <v>1.89462595295753</v>
      </c>
      <c r="O519" s="7">
        <f t="shared" si="446"/>
        <v>1</v>
      </c>
      <c r="P519" s="7">
        <f>E519</f>
        <v>2.1431694346345571</v>
      </c>
      <c r="R519" s="7">
        <f t="shared" ref="R519:W519" si="447">K519/$I519</f>
        <v>0.18451727728724529</v>
      </c>
      <c r="S519" s="7">
        <f t="shared" si="447"/>
        <v>0.12793024203644915</v>
      </c>
      <c r="T519" s="7">
        <f t="shared" si="447"/>
        <v>0.31408243520942397</v>
      </c>
      <c r="U519" s="7">
        <f t="shared" si="447"/>
        <v>0.14045549419028452</v>
      </c>
      <c r="V519" s="7">
        <f t="shared" si="447"/>
        <v>7.4133627258210044E-2</v>
      </c>
      <c r="W519" s="7">
        <f t="shared" si="447"/>
        <v>0.15888092401838702</v>
      </c>
      <c r="X519" s="7">
        <f>SUM(R519:W519)</f>
        <v>1</v>
      </c>
    </row>
    <row r="520" spans="1:24" ht="15.75" customHeight="1" x14ac:dyDescent="0.3">
      <c r="C520" t="s">
        <v>70</v>
      </c>
      <c r="D520" t="s">
        <v>68</v>
      </c>
      <c r="E520" t="s">
        <v>73</v>
      </c>
      <c r="F520" t="s">
        <v>69</v>
      </c>
      <c r="G520" t="s">
        <v>72</v>
      </c>
      <c r="H520" t="s">
        <v>71</v>
      </c>
      <c r="K520" t="s">
        <v>68</v>
      </c>
      <c r="L520" t="s">
        <v>69</v>
      </c>
      <c r="M520" t="s">
        <v>70</v>
      </c>
      <c r="N520" t="s">
        <v>71</v>
      </c>
      <c r="O520" t="s">
        <v>72</v>
      </c>
      <c r="P520" t="s">
        <v>73</v>
      </c>
    </row>
    <row r="521" spans="1:24" ht="15.75" customHeight="1" x14ac:dyDescent="0.3">
      <c r="A521">
        <v>260</v>
      </c>
      <c r="B521" s="16" t="s">
        <v>341</v>
      </c>
      <c r="C521" s="7">
        <f>Rankings!L269</f>
        <v>5.539154502880228</v>
      </c>
      <c r="D521" s="7">
        <f>Rankings!M269</f>
        <v>3.254144749175</v>
      </c>
      <c r="E521" s="7">
        <f>Rankings!N269</f>
        <v>2.8020222942789181</v>
      </c>
      <c r="F521" s="7">
        <f>Rankings!O269</f>
        <v>2.2561763944496205</v>
      </c>
      <c r="G521" s="7">
        <f>Rankings!P269</f>
        <v>1.25400669441983</v>
      </c>
      <c r="H521" s="7">
        <f>Rankings!Q269</f>
        <v>1</v>
      </c>
      <c r="I521" s="7">
        <f>Rankings!R269</f>
        <v>16.105504635203594</v>
      </c>
      <c r="K521" s="7">
        <f>D521</f>
        <v>3.254144749175</v>
      </c>
      <c r="L521" s="7">
        <f>F521</f>
        <v>2.2561763944496205</v>
      </c>
      <c r="M521" s="7">
        <f>C521</f>
        <v>5.539154502880228</v>
      </c>
      <c r="N521" s="7">
        <f>H521</f>
        <v>1</v>
      </c>
      <c r="O521" s="7">
        <f>G521</f>
        <v>1.25400669441983</v>
      </c>
      <c r="P521" s="7">
        <f>E521</f>
        <v>2.8020222942789181</v>
      </c>
      <c r="R521" s="7">
        <f t="shared" ref="R521:W521" si="448">K521/$I521</f>
        <v>0.20205170982733775</v>
      </c>
      <c r="S521" s="7">
        <f t="shared" si="448"/>
        <v>0.14008728354391606</v>
      </c>
      <c r="T521" s="7">
        <f t="shared" si="448"/>
        <v>0.34392927314880167</v>
      </c>
      <c r="U521" s="7">
        <f t="shared" si="448"/>
        <v>6.2090572301235984E-2</v>
      </c>
      <c r="V521" s="7">
        <f t="shared" si="448"/>
        <v>7.7861993326108395E-2</v>
      </c>
      <c r="W521" s="7">
        <f t="shared" si="448"/>
        <v>0.17397916785260029</v>
      </c>
      <c r="X521" s="7">
        <f>SUM(R521:W521)</f>
        <v>1.0000000000000002</v>
      </c>
    </row>
    <row r="522" spans="1:24" ht="15.75" customHeight="1" x14ac:dyDescent="0.3">
      <c r="C522" t="s">
        <v>70</v>
      </c>
      <c r="D522" t="s">
        <v>68</v>
      </c>
      <c r="E522" t="s">
        <v>73</v>
      </c>
      <c r="F522" t="s">
        <v>71</v>
      </c>
      <c r="G522" t="s">
        <v>69</v>
      </c>
      <c r="H522" t="s">
        <v>72</v>
      </c>
      <c r="K522" t="s">
        <v>68</v>
      </c>
      <c r="L522" t="s">
        <v>69</v>
      </c>
      <c r="M522" t="s">
        <v>70</v>
      </c>
      <c r="N522" t="s">
        <v>71</v>
      </c>
      <c r="O522" t="s">
        <v>72</v>
      </c>
      <c r="P522" t="s">
        <v>73</v>
      </c>
    </row>
    <row r="523" spans="1:24" ht="15.75" customHeight="1" x14ac:dyDescent="0.3">
      <c r="A523">
        <v>261</v>
      </c>
      <c r="B523" s="16" t="s">
        <v>342</v>
      </c>
      <c r="C523" s="7">
        <f>Rankings!L270</f>
        <v>4.5348145843086849</v>
      </c>
      <c r="D523" s="7">
        <f>Rankings!M270</f>
        <v>2.6641147237068514</v>
      </c>
      <c r="E523" s="7">
        <f>Rankings!N270</f>
        <v>2.2939695144894339</v>
      </c>
      <c r="F523" s="7">
        <f>Rankings!O270</f>
        <v>2.5865567834541325</v>
      </c>
      <c r="G523" s="7">
        <f>Rankings!P270</f>
        <v>1.7991741228251155</v>
      </c>
      <c r="H523" s="7">
        <f>Rankings!Q270</f>
        <v>1</v>
      </c>
      <c r="I523" s="7">
        <f>Rankings!R270</f>
        <v>14.878629728784217</v>
      </c>
      <c r="K523" s="7">
        <f>D523</f>
        <v>2.6641147237068514</v>
      </c>
      <c r="L523" s="7">
        <f>G523</f>
        <v>1.7991741228251155</v>
      </c>
      <c r="M523" s="7">
        <f>C523</f>
        <v>4.5348145843086849</v>
      </c>
      <c r="N523" s="7">
        <f>F523</f>
        <v>2.5865567834541325</v>
      </c>
      <c r="O523" s="7">
        <f>H523</f>
        <v>1</v>
      </c>
      <c r="P523" s="7">
        <f>E523</f>
        <v>2.2939695144894339</v>
      </c>
      <c r="R523" s="7">
        <f t="shared" ref="R523:W523" si="449">K523/$I523</f>
        <v>0.17905645696342934</v>
      </c>
      <c r="S523" s="7">
        <f t="shared" si="449"/>
        <v>0.12092337504336376</v>
      </c>
      <c r="T523" s="7">
        <f t="shared" si="449"/>
        <v>0.3047871119163364</v>
      </c>
      <c r="U523" s="7">
        <f t="shared" si="449"/>
        <v>0.17384374976750555</v>
      </c>
      <c r="V523" s="7">
        <f t="shared" si="449"/>
        <v>6.721049036292627E-2</v>
      </c>
      <c r="W523" s="7">
        <f t="shared" si="449"/>
        <v>0.15417881594643876</v>
      </c>
      <c r="X523" s="7">
        <f>SUM(R523:W523)</f>
        <v>1.0000000000000002</v>
      </c>
    </row>
    <row r="524" spans="1:24" ht="15.75" customHeight="1" x14ac:dyDescent="0.3">
      <c r="C524" t="s">
        <v>70</v>
      </c>
      <c r="D524" t="s">
        <v>68</v>
      </c>
      <c r="E524" t="s">
        <v>73</v>
      </c>
      <c r="F524" t="s">
        <v>71</v>
      </c>
      <c r="G524" t="s">
        <v>72</v>
      </c>
      <c r="H524" t="s">
        <v>69</v>
      </c>
      <c r="K524" t="s">
        <v>68</v>
      </c>
      <c r="L524" t="s">
        <v>69</v>
      </c>
      <c r="M524" t="s">
        <v>70</v>
      </c>
      <c r="N524" t="s">
        <v>71</v>
      </c>
      <c r="O524" t="s">
        <v>72</v>
      </c>
      <c r="P524" t="s">
        <v>73</v>
      </c>
    </row>
    <row r="525" spans="1:24" ht="15.75" customHeight="1" x14ac:dyDescent="0.3">
      <c r="A525">
        <v>262</v>
      </c>
      <c r="B525" s="16" t="s">
        <v>343</v>
      </c>
      <c r="C525" s="7">
        <f>Rankings!L271</f>
        <v>6.0598547794828796</v>
      </c>
      <c r="D525" s="7">
        <f>Rankings!M271</f>
        <v>3.5600459602929471</v>
      </c>
      <c r="E525" s="7">
        <f>Rankings!N271</f>
        <v>3.0654223823102549</v>
      </c>
      <c r="F525" s="7">
        <f>Rankings!O271</f>
        <v>3.4564055917200975</v>
      </c>
      <c r="G525" s="7">
        <f>Rankings!P271</f>
        <v>1.8243208303594776</v>
      </c>
      <c r="H525" s="7">
        <f>Rankings!Q271</f>
        <v>1</v>
      </c>
      <c r="I525" s="7">
        <f>Rankings!R271</f>
        <v>18.966049544165656</v>
      </c>
      <c r="K525" s="7">
        <f>D525</f>
        <v>3.5600459602929471</v>
      </c>
      <c r="L525" s="7">
        <f>H525</f>
        <v>1</v>
      </c>
      <c r="M525" s="7">
        <f>C525</f>
        <v>6.0598547794828796</v>
      </c>
      <c r="N525" s="7">
        <f t="shared" ref="N525:O525" si="450">F525</f>
        <v>3.4564055917200975</v>
      </c>
      <c r="O525" s="7">
        <f t="shared" si="450"/>
        <v>1.8243208303594776</v>
      </c>
      <c r="P525" s="7">
        <f>E525</f>
        <v>3.0654223823102549</v>
      </c>
      <c r="R525" s="7">
        <f t="shared" ref="R525:W525" si="451">K525/$I525</f>
        <v>0.18770624594240237</v>
      </c>
      <c r="S525" s="7">
        <f t="shared" si="451"/>
        <v>5.2725792879077464E-2</v>
      </c>
      <c r="T525" s="7">
        <f t="shared" si="451"/>
        <v>0.31951064798030199</v>
      </c>
      <c r="U525" s="7">
        <f t="shared" si="451"/>
        <v>0.18224172533511906</v>
      </c>
      <c r="V525" s="7">
        <f t="shared" si="451"/>
        <v>9.6188762246520426E-2</v>
      </c>
      <c r="W525" s="7">
        <f t="shared" si="451"/>
        <v>0.16162682561657871</v>
      </c>
      <c r="X525" s="7">
        <f>SUM(R525:W525)</f>
        <v>1</v>
      </c>
    </row>
    <row r="526" spans="1:24" ht="15.75" customHeight="1" x14ac:dyDescent="0.3">
      <c r="C526" t="s">
        <v>70</v>
      </c>
      <c r="D526" t="s">
        <v>68</v>
      </c>
      <c r="E526" t="s">
        <v>73</v>
      </c>
      <c r="F526" t="s">
        <v>72</v>
      </c>
      <c r="G526" t="s">
        <v>69</v>
      </c>
      <c r="H526" t="s">
        <v>71</v>
      </c>
      <c r="K526" t="s">
        <v>68</v>
      </c>
      <c r="L526" t="s">
        <v>69</v>
      </c>
      <c r="M526" t="s">
        <v>70</v>
      </c>
      <c r="N526" t="s">
        <v>71</v>
      </c>
      <c r="O526" t="s">
        <v>72</v>
      </c>
      <c r="P526" t="s">
        <v>73</v>
      </c>
    </row>
    <row r="527" spans="1:24" ht="15.75" customHeight="1" x14ac:dyDescent="0.3">
      <c r="A527">
        <v>263</v>
      </c>
      <c r="B527" s="16" t="s">
        <v>344</v>
      </c>
      <c r="C527" s="7">
        <f>Rankings!L272</f>
        <v>4.029293242341538</v>
      </c>
      <c r="D527" s="7">
        <f>Rankings!M272</f>
        <v>2.3671308393066397</v>
      </c>
      <c r="E527" s="7">
        <f>Rankings!N272</f>
        <v>2.0382478028655377</v>
      </c>
      <c r="F527" s="7">
        <f>Rankings!O272</f>
        <v>1.6616352868606219</v>
      </c>
      <c r="G527" s="7">
        <f>Rankings!P272</f>
        <v>0.9108240498099236</v>
      </c>
      <c r="H527" s="7">
        <f>Rankings!Q272</f>
        <v>1</v>
      </c>
      <c r="I527" s="7">
        <f>Rankings!R272</f>
        <v>12.007131221184261</v>
      </c>
      <c r="K527" s="7">
        <f>D527</f>
        <v>2.3671308393066397</v>
      </c>
      <c r="L527" s="7">
        <f>G527</f>
        <v>0.9108240498099236</v>
      </c>
      <c r="M527" s="7">
        <f>C527</f>
        <v>4.029293242341538</v>
      </c>
      <c r="N527" s="7">
        <f>H527</f>
        <v>1</v>
      </c>
      <c r="O527" s="7">
        <f>F527</f>
        <v>1.6616352868606219</v>
      </c>
      <c r="P527" s="7">
        <f>E527</f>
        <v>2.0382478028655377</v>
      </c>
      <c r="R527" s="7">
        <f t="shared" ref="R527:W527" si="452">K527/$I527</f>
        <v>0.19714374697015846</v>
      </c>
      <c r="S527" s="7">
        <f t="shared" si="452"/>
        <v>7.5856924775082879E-2</v>
      </c>
      <c r="T527" s="7">
        <f t="shared" si="452"/>
        <v>0.33557501522367217</v>
      </c>
      <c r="U527" s="7">
        <f t="shared" si="452"/>
        <v>8.3283840376100274E-2</v>
      </c>
      <c r="V527" s="7">
        <f t="shared" si="452"/>
        <v>0.13838736799419563</v>
      </c>
      <c r="W527" s="7">
        <f t="shared" si="452"/>
        <v>0.16975310466079055</v>
      </c>
      <c r="X527" s="7">
        <f>SUM(R527:W527)</f>
        <v>0.99999999999999989</v>
      </c>
    </row>
    <row r="528" spans="1:24" ht="15.75" customHeight="1" x14ac:dyDescent="0.3">
      <c r="C528" t="s">
        <v>70</v>
      </c>
      <c r="D528" t="s">
        <v>68</v>
      </c>
      <c r="E528" t="s">
        <v>73</v>
      </c>
      <c r="F528" t="s">
        <v>72</v>
      </c>
      <c r="G528" t="s">
        <v>71</v>
      </c>
      <c r="H528" t="s">
        <v>69</v>
      </c>
      <c r="K528" t="s">
        <v>68</v>
      </c>
      <c r="L528" t="s">
        <v>69</v>
      </c>
      <c r="M528" t="s">
        <v>70</v>
      </c>
      <c r="N528" t="s">
        <v>71</v>
      </c>
      <c r="O528" t="s">
        <v>72</v>
      </c>
      <c r="P528" t="s">
        <v>73</v>
      </c>
    </row>
    <row r="529" spans="1:24" ht="15.75" customHeight="1" x14ac:dyDescent="0.3">
      <c r="A529">
        <v>264</v>
      </c>
      <c r="B529" s="16" t="s">
        <v>345</v>
      </c>
      <c r="C529" s="7">
        <f>Rankings!L273</f>
        <v>4.3716143708324564</v>
      </c>
      <c r="D529" s="7">
        <f>Rankings!M273</f>
        <v>2.5682377956537046</v>
      </c>
      <c r="E529" s="7">
        <f>Rankings!N273</f>
        <v>2.2114134788428941</v>
      </c>
      <c r="F529" s="7">
        <f>Rankings!O273</f>
        <v>1.8028046762118686</v>
      </c>
      <c r="G529" s="7">
        <f>Rankings!P273</f>
        <v>1.4376356077157479</v>
      </c>
      <c r="H529" s="7">
        <f>Rankings!Q273</f>
        <v>1</v>
      </c>
      <c r="I529" s="7">
        <f>Rankings!R273</f>
        <v>13.391705929256672</v>
      </c>
      <c r="K529" s="7">
        <f>D529</f>
        <v>2.5682377956537046</v>
      </c>
      <c r="L529" s="7">
        <f>H529</f>
        <v>1</v>
      </c>
      <c r="M529" s="7">
        <f>C529</f>
        <v>4.3716143708324564</v>
      </c>
      <c r="N529" s="7">
        <f>G529</f>
        <v>1.4376356077157479</v>
      </c>
      <c r="O529" s="7">
        <f>F529</f>
        <v>1.8028046762118686</v>
      </c>
      <c r="P529" s="7">
        <f>E529</f>
        <v>2.2114134788428941</v>
      </c>
      <c r="R529" s="7">
        <f t="shared" ref="R529:W529" si="453">K529/$I529</f>
        <v>0.19177824014511188</v>
      </c>
      <c r="S529" s="7">
        <f t="shared" si="453"/>
        <v>7.467308536213553E-2</v>
      </c>
      <c r="T529" s="7">
        <f t="shared" si="453"/>
        <v>0.32644193308351044</v>
      </c>
      <c r="U529" s="7">
        <f t="shared" si="453"/>
        <v>0.10735268645460364</v>
      </c>
      <c r="V529" s="7">
        <f t="shared" si="453"/>
        <v>0.13462098747802598</v>
      </c>
      <c r="W529" s="7">
        <f t="shared" si="453"/>
        <v>0.16513306747661252</v>
      </c>
      <c r="X529" s="7">
        <f>SUM(R529:W529)</f>
        <v>0.99999999999999989</v>
      </c>
    </row>
    <row r="530" spans="1:24" ht="15.75" customHeight="1" x14ac:dyDescent="0.3">
      <c r="C530" t="s">
        <v>70</v>
      </c>
      <c r="D530" t="s">
        <v>69</v>
      </c>
      <c r="E530" t="s">
        <v>68</v>
      </c>
      <c r="F530" t="s">
        <v>71</v>
      </c>
      <c r="G530" t="s">
        <v>72</v>
      </c>
      <c r="H530" t="s">
        <v>73</v>
      </c>
      <c r="K530" t="s">
        <v>68</v>
      </c>
      <c r="L530" t="s">
        <v>69</v>
      </c>
      <c r="M530" t="s">
        <v>70</v>
      </c>
      <c r="N530" t="s">
        <v>71</v>
      </c>
      <c r="O530" t="s">
        <v>72</v>
      </c>
      <c r="P530" t="s">
        <v>73</v>
      </c>
    </row>
    <row r="531" spans="1:24" ht="15.75" customHeight="1" x14ac:dyDescent="0.3">
      <c r="A531">
        <v>265</v>
      </c>
      <c r="B531" s="16" t="s">
        <v>346</v>
      </c>
      <c r="C531" s="7">
        <f>Rankings!L274</f>
        <v>8.2482016038859012</v>
      </c>
      <c r="D531" s="7">
        <f>Rankings!M274</f>
        <v>5.4769564004241511</v>
      </c>
      <c r="E531" s="7">
        <f>Rankings!N274</f>
        <v>3.1404391738426547</v>
      </c>
      <c r="F531" s="7">
        <f>Rankings!O274</f>
        <v>2.5045741168986093</v>
      </c>
      <c r="G531" s="7">
        <f>Rankings!P274</f>
        <v>1.3219359277692486</v>
      </c>
      <c r="H531" s="7">
        <f>Rankings!Q274</f>
        <v>1</v>
      </c>
      <c r="I531" s="7">
        <f>Rankings!R274</f>
        <v>21.692107222820567</v>
      </c>
      <c r="K531" s="7">
        <f>E531</f>
        <v>3.1404391738426547</v>
      </c>
      <c r="L531" s="7">
        <f>D531</f>
        <v>5.4769564004241511</v>
      </c>
      <c r="M531" s="7">
        <f>C531</f>
        <v>8.2482016038859012</v>
      </c>
      <c r="N531" s="7">
        <f t="shared" ref="N531:P531" si="454">F531</f>
        <v>2.5045741168986093</v>
      </c>
      <c r="O531" s="7">
        <f t="shared" si="454"/>
        <v>1.3219359277692486</v>
      </c>
      <c r="P531" s="7">
        <f t="shared" si="454"/>
        <v>1</v>
      </c>
      <c r="R531" s="7">
        <f t="shared" ref="R531:W531" si="455">K531/$I531</f>
        <v>0.14477335657546653</v>
      </c>
      <c r="S531" s="7">
        <f t="shared" si="455"/>
        <v>0.2524861390442637</v>
      </c>
      <c r="T531" s="7">
        <f t="shared" si="455"/>
        <v>0.38023975813694183</v>
      </c>
      <c r="U531" s="7">
        <f t="shared" si="455"/>
        <v>0.11546015752050788</v>
      </c>
      <c r="V531" s="7">
        <f t="shared" si="455"/>
        <v>6.0940871912090834E-2</v>
      </c>
      <c r="W531" s="7">
        <f t="shared" si="455"/>
        <v>4.6099716810729129E-2</v>
      </c>
      <c r="X531" s="7">
        <f>SUM(R531:W531)</f>
        <v>0.99999999999999989</v>
      </c>
    </row>
    <row r="532" spans="1:24" ht="15.75" customHeight="1" x14ac:dyDescent="0.3">
      <c r="C532" t="s">
        <v>70</v>
      </c>
      <c r="D532" t="s">
        <v>69</v>
      </c>
      <c r="E532" t="s">
        <v>68</v>
      </c>
      <c r="F532" t="s">
        <v>71</v>
      </c>
      <c r="G532" t="s">
        <v>73</v>
      </c>
      <c r="H532" t="s">
        <v>72</v>
      </c>
      <c r="K532" t="s">
        <v>68</v>
      </c>
      <c r="L532" t="s">
        <v>69</v>
      </c>
      <c r="M532" t="s">
        <v>70</v>
      </c>
      <c r="N532" t="s">
        <v>71</v>
      </c>
      <c r="O532" t="s">
        <v>72</v>
      </c>
      <c r="P532" t="s">
        <v>73</v>
      </c>
    </row>
    <row r="533" spans="1:24" ht="15.75" customHeight="1" x14ac:dyDescent="0.3">
      <c r="A533">
        <v>266</v>
      </c>
      <c r="B533" s="16" t="s">
        <v>347</v>
      </c>
      <c r="C533" s="7">
        <f>Rankings!L275</f>
        <v>5.9717574141367278</v>
      </c>
      <c r="D533" s="7">
        <f>Rankings!M275</f>
        <v>3.9653559117332371</v>
      </c>
      <c r="E533" s="7">
        <f>Rankings!N275</f>
        <v>2.273700598104309</v>
      </c>
      <c r="F533" s="7">
        <f>Rankings!O275</f>
        <v>1.8133297135702644</v>
      </c>
      <c r="G533" s="7">
        <f>Rankings!P275</f>
        <v>1.2266517321719024</v>
      </c>
      <c r="H533" s="7">
        <f>Rankings!Q275</f>
        <v>1</v>
      </c>
      <c r="I533" s="7">
        <f>Rankings!R275</f>
        <v>16.250795369716442</v>
      </c>
      <c r="K533" s="7">
        <f>E533</f>
        <v>2.273700598104309</v>
      </c>
      <c r="L533" s="7">
        <f>D533</f>
        <v>3.9653559117332371</v>
      </c>
      <c r="M533" s="7">
        <f>C533</f>
        <v>5.9717574141367278</v>
      </c>
      <c r="N533" s="7">
        <f>F533</f>
        <v>1.8133297135702644</v>
      </c>
      <c r="O533" s="7">
        <f>H533</f>
        <v>1</v>
      </c>
      <c r="P533" s="7">
        <f>G533</f>
        <v>1.2266517321719024</v>
      </c>
      <c r="R533" s="7">
        <f t="shared" ref="R533:W533" si="456">K533/$I533</f>
        <v>0.13991318863945443</v>
      </c>
      <c r="S533" s="7">
        <f t="shared" si="456"/>
        <v>0.24400995899085204</v>
      </c>
      <c r="T533" s="7">
        <f t="shared" si="456"/>
        <v>0.36747477758935859</v>
      </c>
      <c r="U533" s="7">
        <f t="shared" si="456"/>
        <v>0.1115840592608425</v>
      </c>
      <c r="V533" s="7">
        <f t="shared" si="456"/>
        <v>6.1535449634884477E-2</v>
      </c>
      <c r="W533" s="7">
        <f t="shared" si="456"/>
        <v>7.5482565884607902E-2</v>
      </c>
      <c r="X533" s="7">
        <f>SUM(R533:W533)</f>
        <v>0.99999999999999978</v>
      </c>
    </row>
    <row r="534" spans="1:24" ht="15.75" customHeight="1" x14ac:dyDescent="0.3">
      <c r="C534" t="s">
        <v>70</v>
      </c>
      <c r="D534" t="s">
        <v>69</v>
      </c>
      <c r="E534" t="s">
        <v>68</v>
      </c>
      <c r="F534" t="s">
        <v>72</v>
      </c>
      <c r="G534" t="s">
        <v>71</v>
      </c>
      <c r="H534" t="s">
        <v>73</v>
      </c>
      <c r="K534" t="s">
        <v>68</v>
      </c>
      <c r="L534" t="s">
        <v>69</v>
      </c>
      <c r="M534" t="s">
        <v>70</v>
      </c>
      <c r="N534" t="s">
        <v>71</v>
      </c>
      <c r="O534" t="s">
        <v>72</v>
      </c>
      <c r="P534" t="s">
        <v>73</v>
      </c>
    </row>
    <row r="535" spans="1:24" ht="15.75" customHeight="1" x14ac:dyDescent="0.3">
      <c r="A535">
        <v>267</v>
      </c>
      <c r="B535" s="16" t="s">
        <v>348</v>
      </c>
      <c r="C535" s="7">
        <f>Rankings!L276</f>
        <v>5.2812683089620149</v>
      </c>
      <c r="D535" s="7">
        <f>Rankings!M276</f>
        <v>3.5068585439884781</v>
      </c>
      <c r="E535" s="7">
        <f>Rankings!N276</f>
        <v>2.0108021944109957</v>
      </c>
      <c r="F535" s="7">
        <f>Rankings!O276</f>
        <v>1.8537678954574186</v>
      </c>
      <c r="G535" s="7">
        <f>Rankings!P276</f>
        <v>1.478275916473532</v>
      </c>
      <c r="H535" s="7">
        <f>Rankings!Q276</f>
        <v>1</v>
      </c>
      <c r="I535" s="7">
        <f>Rankings!R276</f>
        <v>15.130972859292438</v>
      </c>
      <c r="K535" s="7">
        <f>E535</f>
        <v>2.0108021944109957</v>
      </c>
      <c r="L535" s="7">
        <f>D535</f>
        <v>3.5068585439884781</v>
      </c>
      <c r="M535" s="7">
        <f>C535</f>
        <v>5.2812683089620149</v>
      </c>
      <c r="N535" s="7">
        <f>G535</f>
        <v>1.478275916473532</v>
      </c>
      <c r="O535" s="7">
        <f>F535</f>
        <v>1.8537678954574186</v>
      </c>
      <c r="P535" s="7">
        <f>H535</f>
        <v>1</v>
      </c>
      <c r="R535" s="7">
        <f t="shared" ref="R535:W535" si="457">K535/$I535</f>
        <v>0.13289312016550836</v>
      </c>
      <c r="S535" s="7">
        <f t="shared" si="457"/>
        <v>0.23176689143519272</v>
      </c>
      <c r="T535" s="7">
        <f t="shared" si="457"/>
        <v>0.34903692961940719</v>
      </c>
      <c r="U535" s="7">
        <f t="shared" si="457"/>
        <v>9.7698669492072551E-2</v>
      </c>
      <c r="V535" s="7">
        <f t="shared" si="457"/>
        <v>0.1225147855789694</v>
      </c>
      <c r="W535" s="7">
        <f t="shared" si="457"/>
        <v>6.6089603708849851E-2</v>
      </c>
      <c r="X535" s="7">
        <f>SUM(R535:W535)</f>
        <v>1</v>
      </c>
    </row>
    <row r="536" spans="1:24" ht="15.75" customHeight="1" x14ac:dyDescent="0.3">
      <c r="C536" t="s">
        <v>70</v>
      </c>
      <c r="D536" t="s">
        <v>69</v>
      </c>
      <c r="E536" t="s">
        <v>68</v>
      </c>
      <c r="F536" t="s">
        <v>72</v>
      </c>
      <c r="G536" t="s">
        <v>73</v>
      </c>
      <c r="H536" t="s">
        <v>71</v>
      </c>
      <c r="K536" t="s">
        <v>68</v>
      </c>
      <c r="L536" t="s">
        <v>69</v>
      </c>
      <c r="M536" t="s">
        <v>70</v>
      </c>
      <c r="N536" t="s">
        <v>71</v>
      </c>
      <c r="O536" t="s">
        <v>72</v>
      </c>
      <c r="P536" t="s">
        <v>73</v>
      </c>
    </row>
    <row r="537" spans="1:24" ht="15.75" customHeight="1" x14ac:dyDescent="0.3">
      <c r="A537">
        <v>268</v>
      </c>
      <c r="B537" s="16" t="s">
        <v>349</v>
      </c>
      <c r="C537" s="7">
        <f>Rankings!L277</f>
        <v>3.3400956701223286</v>
      </c>
      <c r="D537" s="7">
        <f>Rankings!M277</f>
        <v>2.2178844840415883</v>
      </c>
      <c r="E537" s="7">
        <f>Rankings!N277</f>
        <v>1.2717156770140818</v>
      </c>
      <c r="F537" s="7">
        <f>Rankings!O277</f>
        <v>1.172400597508374</v>
      </c>
      <c r="G537" s="7">
        <f>Rankings!P277</f>
        <v>0.88688155974910687</v>
      </c>
      <c r="H537" s="7">
        <f>Rankings!Q277</f>
        <v>1</v>
      </c>
      <c r="I537" s="7">
        <f>Rankings!R277</f>
        <v>9.888977988435478</v>
      </c>
      <c r="K537" s="7">
        <f>E537</f>
        <v>1.2717156770140818</v>
      </c>
      <c r="L537" s="7">
        <f>D537</f>
        <v>2.2178844840415883</v>
      </c>
      <c r="M537" s="7">
        <f>C537</f>
        <v>3.3400956701223286</v>
      </c>
      <c r="N537" s="7">
        <f>H537</f>
        <v>1</v>
      </c>
      <c r="O537" s="7">
        <f t="shared" ref="O537:P537" si="458">F537</f>
        <v>1.172400597508374</v>
      </c>
      <c r="P537" s="7">
        <f t="shared" si="458"/>
        <v>0.88688155974910687</v>
      </c>
      <c r="R537" s="7">
        <f t="shared" ref="R537:W537" si="459">K537/$I537</f>
        <v>0.12859930303225178</v>
      </c>
      <c r="S537" s="7">
        <f t="shared" si="459"/>
        <v>0.22427843267881284</v>
      </c>
      <c r="T537" s="7">
        <f t="shared" si="459"/>
        <v>0.33775944026049559</v>
      </c>
      <c r="U537" s="7">
        <f t="shared" si="459"/>
        <v>0.10112268438350611</v>
      </c>
      <c r="V537" s="7">
        <f t="shared" si="459"/>
        <v>0.11855629559287328</v>
      </c>
      <c r="W537" s="7">
        <f t="shared" si="459"/>
        <v>8.9683844052060549E-2</v>
      </c>
      <c r="X537" s="7">
        <f>SUM(R537:W537)</f>
        <v>1.0000000000000002</v>
      </c>
    </row>
    <row r="538" spans="1:24" ht="15.75" customHeight="1" x14ac:dyDescent="0.3">
      <c r="C538" t="s">
        <v>70</v>
      </c>
      <c r="D538" t="s">
        <v>69</v>
      </c>
      <c r="E538" t="s">
        <v>68</v>
      </c>
      <c r="F538" t="s">
        <v>73</v>
      </c>
      <c r="G538" t="s">
        <v>71</v>
      </c>
      <c r="H538" t="s">
        <v>72</v>
      </c>
      <c r="K538" t="s">
        <v>68</v>
      </c>
      <c r="L538" t="s">
        <v>69</v>
      </c>
      <c r="M538" t="s">
        <v>70</v>
      </c>
      <c r="N538" t="s">
        <v>71</v>
      </c>
      <c r="O538" t="s">
        <v>72</v>
      </c>
      <c r="P538" t="s">
        <v>73</v>
      </c>
    </row>
    <row r="539" spans="1:24" ht="15.75" customHeight="1" x14ac:dyDescent="0.3">
      <c r="A539">
        <v>269</v>
      </c>
      <c r="B539" s="16" t="s">
        <v>350</v>
      </c>
      <c r="C539" s="7">
        <f>Rankings!L278</f>
        <v>5.1253469469968591</v>
      </c>
      <c r="D539" s="7">
        <f>Rankings!M278</f>
        <v>3.4033239139697855</v>
      </c>
      <c r="E539" s="7">
        <f>Rankings!N278</f>
        <v>1.9514363378679667</v>
      </c>
      <c r="F539" s="7">
        <f>Rankings!O278</f>
        <v>1.6803088203001122</v>
      </c>
      <c r="G539" s="7">
        <f>Rankings!P278</f>
        <v>1.89462595295753</v>
      </c>
      <c r="H539" s="7">
        <f>Rankings!Q278</f>
        <v>1</v>
      </c>
      <c r="I539" s="7">
        <f>Rankings!R278</f>
        <v>15.055041972092255</v>
      </c>
      <c r="K539" s="7">
        <f>E539</f>
        <v>1.9514363378679667</v>
      </c>
      <c r="L539" s="7">
        <f>D539</f>
        <v>3.4033239139697855</v>
      </c>
      <c r="M539" s="7">
        <f>C539</f>
        <v>5.1253469469968591</v>
      </c>
      <c r="N539" s="7">
        <f t="shared" ref="N539:O539" si="460">G539</f>
        <v>1.89462595295753</v>
      </c>
      <c r="O539" s="7">
        <f t="shared" si="460"/>
        <v>1</v>
      </c>
      <c r="P539" s="7">
        <f>F539</f>
        <v>1.6803088203001122</v>
      </c>
      <c r="R539" s="7">
        <f t="shared" ref="R539:W539" si="461">K539/$I539</f>
        <v>0.12962011939158802</v>
      </c>
      <c r="S539" s="7">
        <f t="shared" si="461"/>
        <v>0.22605874631758419</v>
      </c>
      <c r="T539" s="7">
        <f t="shared" si="461"/>
        <v>0.34044056180632293</v>
      </c>
      <c r="U539" s="7">
        <f t="shared" si="461"/>
        <v>0.12584660716785945</v>
      </c>
      <c r="V539" s="7">
        <f t="shared" si="461"/>
        <v>6.6422930062481012E-2</v>
      </c>
      <c r="W539" s="7">
        <f t="shared" si="461"/>
        <v>0.11161103525416433</v>
      </c>
      <c r="X539" s="7">
        <f>SUM(R539:W539)</f>
        <v>1</v>
      </c>
    </row>
    <row r="540" spans="1:24" ht="15.75" customHeight="1" x14ac:dyDescent="0.3">
      <c r="C540" t="s">
        <v>70</v>
      </c>
      <c r="D540" t="s">
        <v>69</v>
      </c>
      <c r="E540" t="s">
        <v>68</v>
      </c>
      <c r="F540" t="s">
        <v>73</v>
      </c>
      <c r="G540" t="s">
        <v>72</v>
      </c>
      <c r="H540" t="s">
        <v>71</v>
      </c>
      <c r="K540" t="s">
        <v>68</v>
      </c>
      <c r="L540" t="s">
        <v>69</v>
      </c>
      <c r="M540" t="s">
        <v>70</v>
      </c>
      <c r="N540" t="s">
        <v>71</v>
      </c>
      <c r="O540" t="s">
        <v>72</v>
      </c>
      <c r="P540" t="s">
        <v>73</v>
      </c>
    </row>
    <row r="541" spans="1:24" ht="15.75" customHeight="1" x14ac:dyDescent="0.3">
      <c r="A541">
        <v>270</v>
      </c>
      <c r="B541" s="16" t="s">
        <v>351</v>
      </c>
      <c r="C541" s="7">
        <f>Rankings!L279</f>
        <v>4.6919707220849896</v>
      </c>
      <c r="D541" s="7">
        <f>Rankings!M279</f>
        <v>3.1155541912093137</v>
      </c>
      <c r="E541" s="7">
        <f>Rankings!N279</f>
        <v>1.7864316812063141</v>
      </c>
      <c r="F541" s="7">
        <f>Rankings!O279</f>
        <v>1.5382294838652459</v>
      </c>
      <c r="G541" s="7">
        <f>Rankings!P279</f>
        <v>1.25400669441983</v>
      </c>
      <c r="H541" s="7">
        <f>Rankings!Q279</f>
        <v>1</v>
      </c>
      <c r="I541" s="7">
        <f>Rankings!R279</f>
        <v>13.386192772785694</v>
      </c>
      <c r="K541" s="7">
        <f>E541</f>
        <v>1.7864316812063141</v>
      </c>
      <c r="L541" s="7">
        <f>D541</f>
        <v>3.1155541912093137</v>
      </c>
      <c r="M541" s="7">
        <f>C541</f>
        <v>4.6919707220849896</v>
      </c>
      <c r="N541" s="7">
        <f>H541</f>
        <v>1</v>
      </c>
      <c r="O541" s="7">
        <f>G541</f>
        <v>1.25400669441983</v>
      </c>
      <c r="P541" s="7">
        <f>F541</f>
        <v>1.5382294838652459</v>
      </c>
      <c r="R541" s="7">
        <f t="shared" ref="R541:W541" si="462">K541/$I541</f>
        <v>0.13345330606908284</v>
      </c>
      <c r="S541" s="7">
        <f t="shared" si="462"/>
        <v>0.23274386108821593</v>
      </c>
      <c r="T541" s="7">
        <f t="shared" si="462"/>
        <v>0.35050822901817369</v>
      </c>
      <c r="U541" s="7">
        <f t="shared" si="462"/>
        <v>7.4703839767869859E-2</v>
      </c>
      <c r="V541" s="7">
        <f t="shared" si="462"/>
        <v>9.367911516777512E-2</v>
      </c>
      <c r="W541" s="7">
        <f t="shared" si="462"/>
        <v>0.11491164888888249</v>
      </c>
      <c r="X541" s="7">
        <f>SUM(R541:W541)</f>
        <v>1</v>
      </c>
    </row>
    <row r="542" spans="1:24" ht="15.75" customHeight="1" x14ac:dyDescent="0.3">
      <c r="C542" t="s">
        <v>70</v>
      </c>
      <c r="D542" t="s">
        <v>69</v>
      </c>
      <c r="E542" t="s">
        <v>71</v>
      </c>
      <c r="F542" t="s">
        <v>68</v>
      </c>
      <c r="G542" t="s">
        <v>72</v>
      </c>
      <c r="H542" t="s">
        <v>73</v>
      </c>
      <c r="K542" t="s">
        <v>68</v>
      </c>
      <c r="L542" t="s">
        <v>69</v>
      </c>
      <c r="M542" t="s">
        <v>70</v>
      </c>
      <c r="N542" t="s">
        <v>71</v>
      </c>
      <c r="O542" t="s">
        <v>72</v>
      </c>
      <c r="P542" t="s">
        <v>73</v>
      </c>
    </row>
    <row r="543" spans="1:24" ht="15.75" customHeight="1" x14ac:dyDescent="0.3">
      <c r="A543">
        <v>271</v>
      </c>
      <c r="B543" s="16" t="s">
        <v>352</v>
      </c>
      <c r="C543" s="7">
        <f>Rankings!L280</f>
        <v>5.7297624653890677</v>
      </c>
      <c r="D543" s="7">
        <f>Rankings!M280</f>
        <v>3.8046668491878464</v>
      </c>
      <c r="E543" s="7">
        <f>Rankings!N280</f>
        <v>4.1771699484459459</v>
      </c>
      <c r="F543" s="7">
        <f>Rankings!O280</f>
        <v>1.4339182758223568</v>
      </c>
      <c r="G543" s="7">
        <f>Rankings!P280</f>
        <v>1.3219359277692486</v>
      </c>
      <c r="H543" s="7">
        <f>Rankings!Q280</f>
        <v>1</v>
      </c>
      <c r="I543" s="7">
        <f>Rankings!R280</f>
        <v>17.467453466614469</v>
      </c>
      <c r="K543" s="7">
        <f>F543</f>
        <v>1.4339182758223568</v>
      </c>
      <c r="L543" s="7">
        <f>D543</f>
        <v>3.8046668491878464</v>
      </c>
      <c r="M543" s="7">
        <f>C543</f>
        <v>5.7297624653890677</v>
      </c>
      <c r="N543" s="7">
        <f>E543</f>
        <v>4.1771699484459459</v>
      </c>
      <c r="O543" s="7">
        <f t="shared" ref="O543:P543" si="463">G543</f>
        <v>1.3219359277692486</v>
      </c>
      <c r="P543" s="7">
        <f t="shared" si="463"/>
        <v>1</v>
      </c>
      <c r="R543" s="7">
        <f t="shared" ref="R543:W543" si="464">K543/$I543</f>
        <v>8.2090859927750989E-2</v>
      </c>
      <c r="S543" s="7">
        <f t="shared" si="464"/>
        <v>0.21781462629682702</v>
      </c>
      <c r="T543" s="7">
        <f t="shared" si="464"/>
        <v>0.32802505965396495</v>
      </c>
      <c r="U543" s="7">
        <f t="shared" si="464"/>
        <v>0.23914017898658027</v>
      </c>
      <c r="V543" s="7">
        <f t="shared" si="464"/>
        <v>7.5679945579695623E-2</v>
      </c>
      <c r="W543" s="7">
        <f t="shared" si="464"/>
        <v>5.7249329555180972E-2</v>
      </c>
      <c r="X543" s="7">
        <f>SUM(R543:W543)</f>
        <v>0.99999999999999978</v>
      </c>
    </row>
    <row r="544" spans="1:24" ht="15.75" customHeight="1" x14ac:dyDescent="0.3">
      <c r="C544" t="s">
        <v>70</v>
      </c>
      <c r="D544" t="s">
        <v>69</v>
      </c>
      <c r="E544" t="s">
        <v>71</v>
      </c>
      <c r="F544" t="s">
        <v>68</v>
      </c>
      <c r="G544" t="s">
        <v>73</v>
      </c>
      <c r="H544" t="s">
        <v>72</v>
      </c>
      <c r="K544" t="s">
        <v>68</v>
      </c>
      <c r="L544" t="s">
        <v>69</v>
      </c>
      <c r="M544" t="s">
        <v>70</v>
      </c>
      <c r="N544" t="s">
        <v>71</v>
      </c>
      <c r="O544" t="s">
        <v>72</v>
      </c>
      <c r="P544" t="s">
        <v>73</v>
      </c>
    </row>
    <row r="545" spans="1:24" ht="15.75" customHeight="1" x14ac:dyDescent="0.3">
      <c r="A545">
        <v>272</v>
      </c>
      <c r="B545" s="16" t="s">
        <v>353</v>
      </c>
      <c r="C545" s="7">
        <f>Rankings!L281</f>
        <v>5.6924441088330928</v>
      </c>
      <c r="D545" s="7">
        <f>Rankings!M281</f>
        <v>3.7798867793485904</v>
      </c>
      <c r="E545" s="7">
        <f>Rankings!N281</f>
        <v>4.1499637390310467</v>
      </c>
      <c r="F545" s="7">
        <f>Rankings!O281</f>
        <v>1.4245790625805328</v>
      </c>
      <c r="G545" s="7">
        <f>Rankings!P281</f>
        <v>1.2266517321719024</v>
      </c>
      <c r="H545" s="7">
        <f>Rankings!Q281</f>
        <v>1</v>
      </c>
      <c r="I545" s="7">
        <f>Rankings!R281</f>
        <v>17.273525421965168</v>
      </c>
      <c r="K545" s="7">
        <f>F545</f>
        <v>1.4245790625805328</v>
      </c>
      <c r="L545" s="7">
        <f>D545</f>
        <v>3.7798867793485904</v>
      </c>
      <c r="M545" s="7">
        <f>C545</f>
        <v>5.6924441088330928</v>
      </c>
      <c r="N545" s="7">
        <f>E545</f>
        <v>4.1499637390310467</v>
      </c>
      <c r="O545" s="7">
        <f>H545</f>
        <v>1</v>
      </c>
      <c r="P545" s="7">
        <f>G545</f>
        <v>1.2266517321719024</v>
      </c>
      <c r="R545" s="7">
        <f t="shared" ref="R545:W545" si="465">K545/$I545</f>
        <v>8.2471819028270013E-2</v>
      </c>
      <c r="S545" s="7">
        <f t="shared" si="465"/>
        <v>0.21882543875739766</v>
      </c>
      <c r="T545" s="7">
        <f t="shared" si="465"/>
        <v>0.3295473257355172</v>
      </c>
      <c r="U545" s="7">
        <f t="shared" si="465"/>
        <v>0.24024995695168955</v>
      </c>
      <c r="V545" s="7">
        <f t="shared" si="465"/>
        <v>5.7892061728660855E-2</v>
      </c>
      <c r="W545" s="7">
        <f t="shared" si="465"/>
        <v>7.1013397798464536E-2</v>
      </c>
      <c r="X545" s="7">
        <f>SUM(R545:W545)</f>
        <v>0.99999999999999989</v>
      </c>
    </row>
    <row r="546" spans="1:24" ht="15.75" customHeight="1" x14ac:dyDescent="0.3">
      <c r="C546" t="s">
        <v>70</v>
      </c>
      <c r="D546" t="s">
        <v>69</v>
      </c>
      <c r="E546" t="s">
        <v>71</v>
      </c>
      <c r="F546" t="s">
        <v>72</v>
      </c>
      <c r="G546" t="s">
        <v>68</v>
      </c>
      <c r="H546" t="s">
        <v>73</v>
      </c>
      <c r="K546" t="s">
        <v>68</v>
      </c>
      <c r="L546" t="s">
        <v>69</v>
      </c>
      <c r="M546" t="s">
        <v>70</v>
      </c>
      <c r="N546" t="s">
        <v>71</v>
      </c>
      <c r="O546" t="s">
        <v>72</v>
      </c>
      <c r="P546" t="s">
        <v>73</v>
      </c>
    </row>
    <row r="547" spans="1:24" ht="15.75" customHeight="1" x14ac:dyDescent="0.3">
      <c r="A547">
        <v>273</v>
      </c>
      <c r="B547" s="16" t="s">
        <v>354</v>
      </c>
      <c r="C547" s="7">
        <f>Rankings!L282</f>
        <v>4.6194322779662844</v>
      </c>
      <c r="D547" s="7">
        <f>Rankings!M282</f>
        <v>3.0673873404371919</v>
      </c>
      <c r="E547" s="7">
        <f>Rankings!N282</f>
        <v>3.367705695822715</v>
      </c>
      <c r="F547" s="7">
        <f>Rankings!O282</f>
        <v>1.7775042564817045</v>
      </c>
      <c r="G547" s="7">
        <f>Rankings!P282</f>
        <v>1.1613557664474019</v>
      </c>
      <c r="H547" s="7">
        <f>Rankings!Q282</f>
        <v>1</v>
      </c>
      <c r="I547" s="7">
        <f>Rankings!R282</f>
        <v>14.993385337155296</v>
      </c>
      <c r="K547" s="7">
        <f>G547</f>
        <v>1.1613557664474019</v>
      </c>
      <c r="L547" s="7">
        <f>D547</f>
        <v>3.0673873404371919</v>
      </c>
      <c r="M547" s="7">
        <f>C547</f>
        <v>4.6194322779662844</v>
      </c>
      <c r="N547" s="7">
        <f t="shared" ref="N547:O547" si="466">E547</f>
        <v>3.367705695822715</v>
      </c>
      <c r="O547" s="7">
        <f t="shared" si="466"/>
        <v>1.7775042564817045</v>
      </c>
      <c r="P547" s="7">
        <f>H547</f>
        <v>1</v>
      </c>
      <c r="R547" s="7">
        <f t="shared" ref="R547:W547" si="467">K547/$I547</f>
        <v>7.7457874944988681E-2</v>
      </c>
      <c r="S547" s="7">
        <f t="shared" si="467"/>
        <v>0.20458270573730009</v>
      </c>
      <c r="T547" s="7">
        <f t="shared" si="467"/>
        <v>0.30809801616442228</v>
      </c>
      <c r="U547" s="7">
        <f t="shared" si="467"/>
        <v>0.22461276223436755</v>
      </c>
      <c r="V547" s="7">
        <f t="shared" si="467"/>
        <v>0.11855256278092506</v>
      </c>
      <c r="W547" s="7">
        <f t="shared" si="467"/>
        <v>6.6696078137996453E-2</v>
      </c>
      <c r="X547" s="7">
        <f>SUM(R547:W547)</f>
        <v>1</v>
      </c>
    </row>
    <row r="548" spans="1:24" ht="15.75" customHeight="1" x14ac:dyDescent="0.3">
      <c r="C548" t="s">
        <v>70</v>
      </c>
      <c r="D548" t="s">
        <v>69</v>
      </c>
      <c r="E548" t="s">
        <v>71</v>
      </c>
      <c r="F548" t="s">
        <v>72</v>
      </c>
      <c r="G548" t="s">
        <v>73</v>
      </c>
      <c r="H548" t="s">
        <v>68</v>
      </c>
      <c r="K548" t="s">
        <v>68</v>
      </c>
      <c r="L548" t="s">
        <v>69</v>
      </c>
      <c r="M548" t="s">
        <v>70</v>
      </c>
      <c r="N548" t="s">
        <v>71</v>
      </c>
      <c r="O548" t="s">
        <v>72</v>
      </c>
      <c r="P548" t="s">
        <v>73</v>
      </c>
    </row>
    <row r="549" spans="1:24" ht="15.75" customHeight="1" x14ac:dyDescent="0.3">
      <c r="A549">
        <v>274</v>
      </c>
      <c r="B549" s="16" t="s">
        <v>355</v>
      </c>
      <c r="C549" s="7">
        <f>Rankings!L283</f>
        <v>5.6333524836250408</v>
      </c>
      <c r="D549" s="7">
        <f>Rankings!M283</f>
        <v>3.7406488617469846</v>
      </c>
      <c r="E549" s="7">
        <f>Rankings!N283</f>
        <v>4.106884158941134</v>
      </c>
      <c r="F549" s="7">
        <f>Rankings!O283</f>
        <v>2.1676490562848283</v>
      </c>
      <c r="G549" s="7">
        <f>Rankings!P283</f>
        <v>1.6397534939100344</v>
      </c>
      <c r="H549" s="7">
        <f>Rankings!Q283</f>
        <v>1</v>
      </c>
      <c r="I549" s="7">
        <f>Rankings!R283</f>
        <v>18.288288054508023</v>
      </c>
      <c r="K549" s="7">
        <f>H549</f>
        <v>1</v>
      </c>
      <c r="L549" s="7">
        <f>D549</f>
        <v>3.7406488617469846</v>
      </c>
      <c r="M549" s="7">
        <f>C549</f>
        <v>5.6333524836250408</v>
      </c>
      <c r="N549" s="7">
        <f t="shared" ref="N549:P549" si="468">E549</f>
        <v>4.106884158941134</v>
      </c>
      <c r="O549" s="7">
        <f t="shared" si="468"/>
        <v>2.1676490562848283</v>
      </c>
      <c r="P549" s="7">
        <f t="shared" si="468"/>
        <v>1.6397534939100344</v>
      </c>
      <c r="R549" s="7">
        <f t="shared" ref="R549:W549" si="469">K549/$I549</f>
        <v>5.4679803654640174E-2</v>
      </c>
      <c r="S549" s="7">
        <f t="shared" si="469"/>
        <v>0.20453794530127836</v>
      </c>
      <c r="T549" s="7">
        <f t="shared" si="469"/>
        <v>0.30803060772199681</v>
      </c>
      <c r="U549" s="7">
        <f t="shared" si="469"/>
        <v>0.22456361944325326</v>
      </c>
      <c r="V549" s="7">
        <f t="shared" si="469"/>
        <v>0.11852662478982047</v>
      </c>
      <c r="W549" s="7">
        <f t="shared" si="469"/>
        <v>8.9661399089010899E-2</v>
      </c>
      <c r="X549" s="7">
        <f>SUM(R549:W549)</f>
        <v>1</v>
      </c>
    </row>
    <row r="550" spans="1:24" ht="15.75" customHeight="1" x14ac:dyDescent="0.3">
      <c r="C550" t="s">
        <v>70</v>
      </c>
      <c r="D550" t="s">
        <v>69</v>
      </c>
      <c r="E550" t="s">
        <v>71</v>
      </c>
      <c r="F550" t="s">
        <v>73</v>
      </c>
      <c r="G550" t="s">
        <v>68</v>
      </c>
      <c r="H550" t="s">
        <v>72</v>
      </c>
      <c r="K550" t="s">
        <v>68</v>
      </c>
      <c r="L550" t="s">
        <v>69</v>
      </c>
      <c r="M550" t="s">
        <v>70</v>
      </c>
      <c r="N550" t="s">
        <v>71</v>
      </c>
      <c r="O550" t="s">
        <v>72</v>
      </c>
      <c r="P550" t="s">
        <v>73</v>
      </c>
    </row>
    <row r="551" spans="1:24" ht="15.75" customHeight="1" x14ac:dyDescent="0.3">
      <c r="A551">
        <v>275</v>
      </c>
      <c r="B551" s="16" t="s">
        <v>356</v>
      </c>
      <c r="C551" s="7">
        <f>Rankings!L284</f>
        <v>3.6066378300211359</v>
      </c>
      <c r="D551" s="7">
        <f>Rankings!M284</f>
        <v>2.3948733427951003</v>
      </c>
      <c r="E551" s="7">
        <f>Rankings!N284</f>
        <v>2.6293479440896155</v>
      </c>
      <c r="F551" s="7">
        <f>Rankings!O284</f>
        <v>1.7786584458211274</v>
      </c>
      <c r="G551" s="7">
        <f>Rankings!P284</f>
        <v>1.0847108741813811</v>
      </c>
      <c r="H551" s="7">
        <f>Rankings!Q284</f>
        <v>1</v>
      </c>
      <c r="I551" s="7">
        <f>Rankings!R284</f>
        <v>12.494228436908362</v>
      </c>
      <c r="K551" s="7">
        <f>G551</f>
        <v>1.0847108741813811</v>
      </c>
      <c r="L551" s="7">
        <f>D551</f>
        <v>2.3948733427951003</v>
      </c>
      <c r="M551" s="7">
        <f>C551</f>
        <v>3.6066378300211359</v>
      </c>
      <c r="N551" s="7">
        <f>E551</f>
        <v>2.6293479440896155</v>
      </c>
      <c r="O551" s="7">
        <f>H551</f>
        <v>1</v>
      </c>
      <c r="P551" s="7">
        <f>F551</f>
        <v>1.7786584458211274</v>
      </c>
      <c r="R551" s="7">
        <f t="shared" ref="R551:W551" si="470">K551/$I551</f>
        <v>8.6816955497396667E-2</v>
      </c>
      <c r="S551" s="7">
        <f t="shared" si="470"/>
        <v>0.19167837012812777</v>
      </c>
      <c r="T551" s="7">
        <f t="shared" si="470"/>
        <v>0.2886643099438625</v>
      </c>
      <c r="U551" s="7">
        <f t="shared" si="470"/>
        <v>0.21044500325625831</v>
      </c>
      <c r="V551" s="7">
        <f t="shared" si="470"/>
        <v>8.0036955066866478E-2</v>
      </c>
      <c r="W551" s="7">
        <f t="shared" si="470"/>
        <v>0.14235840610748815</v>
      </c>
      <c r="X551" s="7">
        <f>SUM(R551:W551)</f>
        <v>0.99999999999999989</v>
      </c>
    </row>
    <row r="552" spans="1:24" ht="15.75" customHeight="1" x14ac:dyDescent="0.3">
      <c r="C552" t="s">
        <v>70</v>
      </c>
      <c r="D552" t="s">
        <v>69</v>
      </c>
      <c r="E552" t="s">
        <v>71</v>
      </c>
      <c r="F552" t="s">
        <v>73</v>
      </c>
      <c r="G552" t="s">
        <v>72</v>
      </c>
      <c r="H552" t="s">
        <v>68</v>
      </c>
      <c r="K552" t="s">
        <v>68</v>
      </c>
      <c r="L552" t="s">
        <v>69</v>
      </c>
      <c r="M552" t="s">
        <v>70</v>
      </c>
      <c r="N552" t="s">
        <v>71</v>
      </c>
      <c r="O552" t="s">
        <v>72</v>
      </c>
      <c r="P552" t="s">
        <v>73</v>
      </c>
    </row>
    <row r="553" spans="1:24" ht="15.75" customHeight="1" x14ac:dyDescent="0.3">
      <c r="A553">
        <v>276</v>
      </c>
      <c r="B553" s="16" t="s">
        <v>357</v>
      </c>
      <c r="C553" s="7">
        <f>Rankings!L285</f>
        <v>3.8069451530119456</v>
      </c>
      <c r="D553" s="7">
        <f>Rankings!M285</f>
        <v>2.5278810610096363</v>
      </c>
      <c r="E553" s="7">
        <f>Rankings!N285</f>
        <v>2.7753780343603904</v>
      </c>
      <c r="F553" s="7">
        <f>Rankings!O285</f>
        <v>1.8774425013844043</v>
      </c>
      <c r="G553" s="7">
        <f>Rankings!P285</f>
        <v>1.530542412441888</v>
      </c>
      <c r="H553" s="7">
        <f>Rankings!Q285</f>
        <v>1</v>
      </c>
      <c r="I553" s="7">
        <f>Rankings!R285</f>
        <v>13.518189162208264</v>
      </c>
      <c r="K553" s="7">
        <f>H553</f>
        <v>1</v>
      </c>
      <c r="L553" s="7">
        <f>D553</f>
        <v>2.5278810610096363</v>
      </c>
      <c r="M553" s="7">
        <f>C553</f>
        <v>3.8069451530119456</v>
      </c>
      <c r="N553" s="7">
        <f>E553</f>
        <v>2.7753780343603904</v>
      </c>
      <c r="O553" s="7">
        <f>G553</f>
        <v>1.530542412441888</v>
      </c>
      <c r="P553" s="7">
        <f>F553</f>
        <v>1.8774425013844043</v>
      </c>
      <c r="R553" s="7">
        <f t="shared" ref="R553:W553" si="471">K553/$I553</f>
        <v>7.3974405003565211E-2</v>
      </c>
      <c r="S553" s="7">
        <f t="shared" si="471"/>
        <v>0.18699849740796898</v>
      </c>
      <c r="T553" s="7">
        <f t="shared" si="471"/>
        <v>0.28161650257526522</v>
      </c>
      <c r="U553" s="7">
        <f t="shared" si="471"/>
        <v>0.20530693875177425</v>
      </c>
      <c r="V553" s="7">
        <f t="shared" si="471"/>
        <v>0.11322096429310997</v>
      </c>
      <c r="W553" s="7">
        <f t="shared" si="471"/>
        <v>0.13888269196831646</v>
      </c>
      <c r="X553" s="7">
        <f>SUM(R553:W553)</f>
        <v>1.0000000000000002</v>
      </c>
    </row>
    <row r="554" spans="1:24" ht="15.75" customHeight="1" x14ac:dyDescent="0.3">
      <c r="C554" t="s">
        <v>70</v>
      </c>
      <c r="D554" t="s">
        <v>69</v>
      </c>
      <c r="E554" t="s">
        <v>72</v>
      </c>
      <c r="F554" t="s">
        <v>68</v>
      </c>
      <c r="G554" t="s">
        <v>71</v>
      </c>
      <c r="H554" t="s">
        <v>73</v>
      </c>
      <c r="K554" t="s">
        <v>68</v>
      </c>
      <c r="L554" t="s">
        <v>69</v>
      </c>
      <c r="M554" t="s">
        <v>70</v>
      </c>
      <c r="N554" t="s">
        <v>71</v>
      </c>
      <c r="O554" t="s">
        <v>72</v>
      </c>
      <c r="P554" t="s">
        <v>73</v>
      </c>
    </row>
    <row r="555" spans="1:24" ht="15.75" customHeight="1" x14ac:dyDescent="0.3">
      <c r="A555">
        <v>277</v>
      </c>
      <c r="B555" s="16" t="s">
        <v>358</v>
      </c>
      <c r="C555" s="7">
        <f>Rankings!L286</f>
        <v>7.686887908792543</v>
      </c>
      <c r="D555" s="7">
        <f>Rankings!M286</f>
        <v>5.1042338625149251</v>
      </c>
      <c r="E555" s="7">
        <f>Rankings!N286</f>
        <v>2.8369871474697006</v>
      </c>
      <c r="F555" s="7">
        <f>Rankings!O286</f>
        <v>1.8535828373050172</v>
      </c>
      <c r="G555" s="7">
        <f>Rankings!P286</f>
        <v>1.478275916473532</v>
      </c>
      <c r="H555" s="7">
        <f>Rankings!Q286</f>
        <v>1</v>
      </c>
      <c r="I555" s="7">
        <f>Rankings!R286</f>
        <v>19.959967672555717</v>
      </c>
      <c r="K555" s="7">
        <f>F555</f>
        <v>1.8535828373050172</v>
      </c>
      <c r="L555" s="7">
        <f>D555</f>
        <v>5.1042338625149251</v>
      </c>
      <c r="M555" s="7">
        <f>C555</f>
        <v>7.686887908792543</v>
      </c>
      <c r="N555" s="7">
        <f>G555</f>
        <v>1.478275916473532</v>
      </c>
      <c r="O555" s="7">
        <f>E555</f>
        <v>2.8369871474697006</v>
      </c>
      <c r="P555" s="7">
        <f>H555</f>
        <v>1</v>
      </c>
      <c r="R555" s="7">
        <f t="shared" ref="R555:W555" si="472">K555/$I555</f>
        <v>9.2865022013719545E-2</v>
      </c>
      <c r="S555" s="7">
        <f t="shared" si="472"/>
        <v>0.25572355357734744</v>
      </c>
      <c r="T555" s="7">
        <f t="shared" si="472"/>
        <v>0.38511524842606609</v>
      </c>
      <c r="U555" s="7">
        <f t="shared" si="472"/>
        <v>7.4062039614729014E-2</v>
      </c>
      <c r="V555" s="7">
        <f t="shared" si="472"/>
        <v>0.14213385482434734</v>
      </c>
      <c r="W555" s="7">
        <f t="shared" si="472"/>
        <v>5.0100281543790592E-2</v>
      </c>
      <c r="X555" s="7">
        <f>SUM(R555:W555)</f>
        <v>1</v>
      </c>
    </row>
    <row r="556" spans="1:24" ht="15.75" customHeight="1" x14ac:dyDescent="0.3">
      <c r="C556" t="s">
        <v>70</v>
      </c>
      <c r="D556" t="s">
        <v>69</v>
      </c>
      <c r="E556" t="s">
        <v>72</v>
      </c>
      <c r="F556" t="s">
        <v>68</v>
      </c>
      <c r="G556" t="s">
        <v>73</v>
      </c>
      <c r="H556" t="s">
        <v>71</v>
      </c>
      <c r="K556" t="s">
        <v>68</v>
      </c>
      <c r="L556" t="s">
        <v>69</v>
      </c>
      <c r="M556" t="s">
        <v>70</v>
      </c>
      <c r="N556" t="s">
        <v>71</v>
      </c>
      <c r="O556" t="s">
        <v>72</v>
      </c>
      <c r="P556" t="s">
        <v>73</v>
      </c>
    </row>
    <row r="557" spans="1:24" ht="15.75" customHeight="1" x14ac:dyDescent="0.3">
      <c r="A557">
        <v>278</v>
      </c>
      <c r="B557" s="16" t="s">
        <v>359</v>
      </c>
      <c r="C557" s="7">
        <f>Rankings!L287</f>
        <v>4.2713922397791846</v>
      </c>
      <c r="D557" s="7">
        <f>Rankings!M287</f>
        <v>2.8362824031070168</v>
      </c>
      <c r="E557" s="7">
        <f>Rankings!N287</f>
        <v>1.5764357474491706</v>
      </c>
      <c r="F557" s="7">
        <f>Rankings!O287</f>
        <v>1.0299850135704913</v>
      </c>
      <c r="G557" s="7">
        <f>Rankings!P287</f>
        <v>0.88688155974910687</v>
      </c>
      <c r="H557" s="7">
        <f>Rankings!Q287</f>
        <v>1</v>
      </c>
      <c r="I557" s="7">
        <f>Rankings!R287</f>
        <v>11.600976963654968</v>
      </c>
      <c r="K557" s="7">
        <f>F557</f>
        <v>1.0299850135704913</v>
      </c>
      <c r="L557" s="7">
        <f>D557</f>
        <v>2.8362824031070168</v>
      </c>
      <c r="M557" s="7">
        <f>C557</f>
        <v>4.2713922397791846</v>
      </c>
      <c r="N557" s="7">
        <f>H557</f>
        <v>1</v>
      </c>
      <c r="O557" s="7">
        <f>E557</f>
        <v>1.5764357474491706</v>
      </c>
      <c r="P557" s="7">
        <f>G557</f>
        <v>0.88688155974910687</v>
      </c>
      <c r="R557" s="7">
        <f t="shared" ref="R557:W557" si="473">K557/$I557</f>
        <v>8.8784334008882249E-2</v>
      </c>
      <c r="S557" s="7">
        <f t="shared" si="473"/>
        <v>0.24448651281636768</v>
      </c>
      <c r="T557" s="7">
        <f t="shared" si="473"/>
        <v>0.36819245940761292</v>
      </c>
      <c r="U557" s="7">
        <f t="shared" si="473"/>
        <v>8.619963673171048E-2</v>
      </c>
      <c r="V557" s="7">
        <f t="shared" si="473"/>
        <v>0.13588818876100101</v>
      </c>
      <c r="W557" s="7">
        <f t="shared" si="473"/>
        <v>7.6448868274425805E-2</v>
      </c>
      <c r="X557" s="7">
        <f>SUM(R557:W557)</f>
        <v>1</v>
      </c>
    </row>
    <row r="558" spans="1:24" ht="15.75" customHeight="1" x14ac:dyDescent="0.3">
      <c r="C558" t="s">
        <v>70</v>
      </c>
      <c r="D558" t="s">
        <v>69</v>
      </c>
      <c r="E558" t="s">
        <v>72</v>
      </c>
      <c r="F558" t="s">
        <v>71</v>
      </c>
      <c r="G558" t="s">
        <v>68</v>
      </c>
      <c r="H558" t="s">
        <v>73</v>
      </c>
      <c r="K558" t="s">
        <v>68</v>
      </c>
      <c r="L558" t="s">
        <v>69</v>
      </c>
      <c r="M558" t="s">
        <v>70</v>
      </c>
      <c r="N558" t="s">
        <v>71</v>
      </c>
      <c r="O558" t="s">
        <v>72</v>
      </c>
      <c r="P558" t="s">
        <v>73</v>
      </c>
    </row>
    <row r="559" spans="1:24" ht="15.75" customHeight="1" x14ac:dyDescent="0.3">
      <c r="A559">
        <v>279</v>
      </c>
      <c r="B559" s="16" t="s">
        <v>360</v>
      </c>
      <c r="C559" s="7">
        <f>Rankings!L288</f>
        <v>11.495187523224274</v>
      </c>
      <c r="D559" s="7">
        <f>Rankings!M288</f>
        <v>7.6330143106271651</v>
      </c>
      <c r="E559" s="7">
        <f>Rankings!N288</f>
        <v>4.2425100571375403</v>
      </c>
      <c r="F559" s="7">
        <f>Rankings!O288</f>
        <v>3.3831638028857181</v>
      </c>
      <c r="G559" s="7">
        <f>Rankings!P288</f>
        <v>1.1613557664474019</v>
      </c>
      <c r="H559" s="7">
        <f>Rankings!Q288</f>
        <v>1</v>
      </c>
      <c r="I559" s="7">
        <f>Rankings!R288</f>
        <v>28.915231460322097</v>
      </c>
      <c r="K559" s="7">
        <f>G559</f>
        <v>1.1613557664474019</v>
      </c>
      <c r="L559" s="7">
        <f>D559</f>
        <v>7.6330143106271651</v>
      </c>
      <c r="M559" s="7">
        <f>C559</f>
        <v>11.495187523224274</v>
      </c>
      <c r="N559" s="7">
        <f>F559</f>
        <v>3.3831638028857181</v>
      </c>
      <c r="O559" s="7">
        <f>E559</f>
        <v>4.2425100571375403</v>
      </c>
      <c r="P559" s="7">
        <f>H559</f>
        <v>1</v>
      </c>
      <c r="R559" s="7">
        <f t="shared" ref="R559:W559" si="474">K559/$I559</f>
        <v>4.0164152517368962E-2</v>
      </c>
      <c r="S559" s="7">
        <f t="shared" si="474"/>
        <v>0.26397901469684926</v>
      </c>
      <c r="T559" s="7">
        <f t="shared" si="474"/>
        <v>0.39754783007696615</v>
      </c>
      <c r="U559" s="7">
        <f t="shared" si="474"/>
        <v>0.11700282626228134</v>
      </c>
      <c r="V559" s="7">
        <f t="shared" si="474"/>
        <v>0.14672232739894109</v>
      </c>
      <c r="W559" s="7">
        <f t="shared" si="474"/>
        <v>3.458384904759329E-2</v>
      </c>
      <c r="X559" s="7">
        <f>SUM(R559:W559)</f>
        <v>1</v>
      </c>
    </row>
    <row r="560" spans="1:24" ht="15.75" customHeight="1" x14ac:dyDescent="0.3">
      <c r="C560" t="s">
        <v>70</v>
      </c>
      <c r="D560" t="s">
        <v>69</v>
      </c>
      <c r="E560" t="s">
        <v>72</v>
      </c>
      <c r="F560" t="s">
        <v>71</v>
      </c>
      <c r="G560" t="s">
        <v>73</v>
      </c>
      <c r="H560" t="s">
        <v>68</v>
      </c>
      <c r="K560" t="s">
        <v>68</v>
      </c>
      <c r="L560" t="s">
        <v>69</v>
      </c>
      <c r="M560" t="s">
        <v>70</v>
      </c>
      <c r="N560" t="s">
        <v>71</v>
      </c>
      <c r="O560" t="s">
        <v>72</v>
      </c>
      <c r="P560" t="s">
        <v>73</v>
      </c>
    </row>
    <row r="561" spans="1:24" ht="15.75" customHeight="1" x14ac:dyDescent="0.3">
      <c r="A561">
        <v>280</v>
      </c>
      <c r="B561" s="16" t="s">
        <v>361</v>
      </c>
      <c r="C561" s="7">
        <f>Rankings!L289</f>
        <v>8.236204121141915</v>
      </c>
      <c r="D561" s="7">
        <f>Rankings!M289</f>
        <v>5.4689898529196999</v>
      </c>
      <c r="E561" s="7">
        <f>Rankings!N289</f>
        <v>3.0397223834745537</v>
      </c>
      <c r="F561" s="7">
        <f>Rankings!O289</f>
        <v>2.4240080990005324</v>
      </c>
      <c r="G561" s="7">
        <f>Rankings!P289</f>
        <v>1.6397534939100344</v>
      </c>
      <c r="H561" s="7">
        <f>Rankings!Q289</f>
        <v>1</v>
      </c>
      <c r="I561" s="7">
        <f>Rankings!R289</f>
        <v>21.808677950446736</v>
      </c>
      <c r="K561" s="7">
        <f>H561</f>
        <v>1</v>
      </c>
      <c r="L561" s="7">
        <f>D561</f>
        <v>5.4689898529196999</v>
      </c>
      <c r="M561" s="7">
        <f>C561</f>
        <v>8.236204121141915</v>
      </c>
      <c r="N561" s="7">
        <f>F561</f>
        <v>2.4240080990005324</v>
      </c>
      <c r="O561" s="7">
        <f>E561</f>
        <v>3.0397223834745537</v>
      </c>
      <c r="P561" s="7">
        <f>G561</f>
        <v>1.6397534939100344</v>
      </c>
      <c r="R561" s="7">
        <f t="shared" ref="R561:W561" si="475">K561/$I561</f>
        <v>4.5853306755786895E-2</v>
      </c>
      <c r="S561" s="7">
        <f t="shared" si="475"/>
        <v>0.25077126937021282</v>
      </c>
      <c r="T561" s="7">
        <f t="shared" si="475"/>
        <v>0.37765719406999643</v>
      </c>
      <c r="U561" s="7">
        <f t="shared" si="475"/>
        <v>0.11114878694198325</v>
      </c>
      <c r="V561" s="7">
        <f t="shared" si="475"/>
        <v>0.1393813229018904</v>
      </c>
      <c r="W561" s="7">
        <f t="shared" si="475"/>
        <v>7.5188119960130154E-2</v>
      </c>
      <c r="X561" s="7">
        <f>SUM(R561:W561)</f>
        <v>1</v>
      </c>
    </row>
    <row r="562" spans="1:24" ht="15.75" customHeight="1" x14ac:dyDescent="0.3">
      <c r="C562" t="s">
        <v>70</v>
      </c>
      <c r="D562" t="s">
        <v>69</v>
      </c>
      <c r="E562" t="s">
        <v>72</v>
      </c>
      <c r="F562" t="s">
        <v>73</v>
      </c>
      <c r="G562" t="s">
        <v>68</v>
      </c>
      <c r="H562" t="s">
        <v>71</v>
      </c>
      <c r="K562" t="s">
        <v>68</v>
      </c>
      <c r="L562" t="s">
        <v>69</v>
      </c>
      <c r="M562" t="s">
        <v>70</v>
      </c>
      <c r="N562" t="s">
        <v>71</v>
      </c>
      <c r="O562" t="s">
        <v>72</v>
      </c>
      <c r="P562" t="s">
        <v>73</v>
      </c>
    </row>
    <row r="563" spans="1:24" ht="15.75" customHeight="1" x14ac:dyDescent="0.3">
      <c r="A563">
        <v>281</v>
      </c>
      <c r="B563" s="16" t="s">
        <v>362</v>
      </c>
      <c r="C563" s="7">
        <f>Rankings!L290</f>
        <v>7.3644216975318262</v>
      </c>
      <c r="D563" s="7">
        <f>Rankings!M290</f>
        <v>4.8901104130040833</v>
      </c>
      <c r="E563" s="7">
        <f>Rankings!N290</f>
        <v>2.717975070320314</v>
      </c>
      <c r="F563" s="7">
        <f>Rankings!O290</f>
        <v>2.0560565858186979</v>
      </c>
      <c r="G563" s="7">
        <f>Rankings!P290</f>
        <v>1.2538815092968505</v>
      </c>
      <c r="H563" s="7">
        <f>Rankings!Q290</f>
        <v>1</v>
      </c>
      <c r="I563" s="7">
        <f>Rankings!R290</f>
        <v>19.282445275971771</v>
      </c>
      <c r="K563" s="7">
        <f>G563</f>
        <v>1.2538815092968505</v>
      </c>
      <c r="L563" s="7">
        <f>D563</f>
        <v>4.8901104130040833</v>
      </c>
      <c r="M563" s="7">
        <f>C563</f>
        <v>7.3644216975318262</v>
      </c>
      <c r="N563" s="7">
        <f>H563</f>
        <v>1</v>
      </c>
      <c r="O563" s="7">
        <f t="shared" ref="O563:P563" si="476">E563</f>
        <v>2.717975070320314</v>
      </c>
      <c r="P563" s="7">
        <f t="shared" si="476"/>
        <v>2.0560565858186979</v>
      </c>
      <c r="R563" s="7">
        <f t="shared" ref="R563:W563" si="477">K563/$I563</f>
        <v>6.5027100627083667E-2</v>
      </c>
      <c r="S563" s="7">
        <f t="shared" si="477"/>
        <v>0.25360426766504274</v>
      </c>
      <c r="T563" s="7">
        <f t="shared" si="477"/>
        <v>0.38192364049951566</v>
      </c>
      <c r="U563" s="7">
        <f t="shared" si="477"/>
        <v>5.1860642449021721E-2</v>
      </c>
      <c r="V563" s="7">
        <f t="shared" si="477"/>
        <v>0.14095593330723649</v>
      </c>
      <c r="W563" s="7">
        <f t="shared" si="477"/>
        <v>0.10662841545209983</v>
      </c>
      <c r="X563" s="7">
        <f>SUM(R563:W563)</f>
        <v>1.0000000000000002</v>
      </c>
    </row>
    <row r="564" spans="1:24" ht="15.75" customHeight="1" x14ac:dyDescent="0.3">
      <c r="C564" t="s">
        <v>70</v>
      </c>
      <c r="D564" t="s">
        <v>69</v>
      </c>
      <c r="E564" t="s">
        <v>72</v>
      </c>
      <c r="F564" t="s">
        <v>73</v>
      </c>
      <c r="G564" t="s">
        <v>71</v>
      </c>
      <c r="H564" t="s">
        <v>68</v>
      </c>
      <c r="K564" t="s">
        <v>68</v>
      </c>
      <c r="L564" t="s">
        <v>69</v>
      </c>
      <c r="M564" t="s">
        <v>70</v>
      </c>
      <c r="N564" t="s">
        <v>71</v>
      </c>
      <c r="O564" t="s">
        <v>72</v>
      </c>
      <c r="P564" t="s">
        <v>73</v>
      </c>
    </row>
    <row r="565" spans="1:24" ht="15.75" customHeight="1" x14ac:dyDescent="0.3">
      <c r="A565">
        <v>282</v>
      </c>
      <c r="B565" s="16" t="s">
        <v>363</v>
      </c>
      <c r="C565" s="7">
        <f>Rankings!L291</f>
        <v>9.2539458927988836</v>
      </c>
      <c r="D565" s="7">
        <f>Rankings!M291</f>
        <v>6.1447889637985558</v>
      </c>
      <c r="E565" s="7">
        <f>Rankings!N291</f>
        <v>3.4153386744746137</v>
      </c>
      <c r="F565" s="7">
        <f>Rankings!O291</f>
        <v>2.5835886616970591</v>
      </c>
      <c r="G565" s="7">
        <f>Rankings!P291</f>
        <v>2.9131157743633094</v>
      </c>
      <c r="H565" s="7">
        <f>Rankings!Q291</f>
        <v>1</v>
      </c>
      <c r="I565" s="7">
        <f>Rankings!R291</f>
        <v>25.310777967132424</v>
      </c>
      <c r="K565" s="7">
        <f>H565</f>
        <v>1</v>
      </c>
      <c r="L565" s="7">
        <f>D565</f>
        <v>6.1447889637985558</v>
      </c>
      <c r="M565" s="7">
        <f>C565</f>
        <v>9.2539458927988836</v>
      </c>
      <c r="N565" s="7">
        <f>G565</f>
        <v>2.9131157743633094</v>
      </c>
      <c r="O565" s="7">
        <f t="shared" ref="O565:P565" si="478">E565</f>
        <v>3.4153386744746137</v>
      </c>
      <c r="P565" s="7">
        <f t="shared" si="478"/>
        <v>2.5835886616970591</v>
      </c>
      <c r="R565" s="7">
        <f t="shared" ref="R565:W565" si="479">K565/$I565</f>
        <v>3.9508860663965389E-2</v>
      </c>
      <c r="S565" s="7">
        <f t="shared" si="479"/>
        <v>0.24277361098018937</v>
      </c>
      <c r="T565" s="7">
        <f t="shared" si="479"/>
        <v>0.36561285887046585</v>
      </c>
      <c r="U565" s="7">
        <f t="shared" si="479"/>
        <v>0.11509388522731961</v>
      </c>
      <c r="V565" s="7">
        <f t="shared" si="479"/>
        <v>0.13493613981006974</v>
      </c>
      <c r="W565" s="7">
        <f t="shared" si="479"/>
        <v>0.10207464444798992</v>
      </c>
      <c r="X565" s="7">
        <f>SUM(R565:W565)</f>
        <v>0.99999999999999978</v>
      </c>
    </row>
    <row r="566" spans="1:24" ht="15.75" customHeight="1" x14ac:dyDescent="0.3">
      <c r="C566" t="s">
        <v>70</v>
      </c>
      <c r="D566" t="s">
        <v>69</v>
      </c>
      <c r="E566" t="s">
        <v>73</v>
      </c>
      <c r="F566" t="s">
        <v>68</v>
      </c>
      <c r="G566" t="s">
        <v>71</v>
      </c>
      <c r="H566" t="s">
        <v>72</v>
      </c>
      <c r="K566" t="s">
        <v>68</v>
      </c>
      <c r="L566" t="s">
        <v>69</v>
      </c>
      <c r="M566" t="s">
        <v>70</v>
      </c>
      <c r="N566" t="s">
        <v>71</v>
      </c>
      <c r="O566" t="s">
        <v>72</v>
      </c>
      <c r="P566" t="s">
        <v>73</v>
      </c>
    </row>
    <row r="567" spans="1:24" ht="15.75" customHeight="1" x14ac:dyDescent="0.3">
      <c r="A567">
        <v>283</v>
      </c>
      <c r="B567" s="16" t="s">
        <v>364</v>
      </c>
      <c r="C567" s="7">
        <f>Rankings!L292</f>
        <v>7.8344401652833975</v>
      </c>
      <c r="D567" s="7">
        <f>Rankings!M292</f>
        <v>5.2022112537566585</v>
      </c>
      <c r="E567" s="7">
        <f>Rankings!N292</f>
        <v>3.895458168241356</v>
      </c>
      <c r="F567" s="7">
        <f>Rankings!O292</f>
        <v>2.3756364494473714</v>
      </c>
      <c r="G567" s="7">
        <f>Rankings!P292</f>
        <v>1.89462595295753</v>
      </c>
      <c r="H567" s="7">
        <f>Rankings!Q292</f>
        <v>1</v>
      </c>
      <c r="I567" s="7">
        <f>Rankings!R292</f>
        <v>22.202371989686309</v>
      </c>
      <c r="K567" s="7">
        <f>F567</f>
        <v>2.3756364494473714</v>
      </c>
      <c r="L567" s="7">
        <f>D567</f>
        <v>5.2022112537566585</v>
      </c>
      <c r="M567" s="7">
        <f>C567</f>
        <v>7.8344401652833975</v>
      </c>
      <c r="N567" s="7">
        <f t="shared" ref="N567:O567" si="480">G567</f>
        <v>1.89462595295753</v>
      </c>
      <c r="O567" s="7">
        <f t="shared" si="480"/>
        <v>1</v>
      </c>
      <c r="P567" s="7">
        <f>E567</f>
        <v>3.895458168241356</v>
      </c>
      <c r="R567" s="7">
        <f t="shared" ref="R567:W567" si="481">K567/$I567</f>
        <v>0.10699921839661673</v>
      </c>
      <c r="S567" s="7">
        <f t="shared" si="481"/>
        <v>0.23430880521113903</v>
      </c>
      <c r="T567" s="7">
        <f t="shared" si="481"/>
        <v>0.3528650077983892</v>
      </c>
      <c r="U567" s="7">
        <f t="shared" si="481"/>
        <v>8.5334393723231122E-2</v>
      </c>
      <c r="V567" s="7">
        <f t="shared" si="481"/>
        <v>4.5040232659128987E-2</v>
      </c>
      <c r="W567" s="7">
        <f t="shared" si="481"/>
        <v>0.17545234221149511</v>
      </c>
      <c r="X567" s="7">
        <f>SUM(R567:W567)</f>
        <v>1.0000000000000002</v>
      </c>
    </row>
    <row r="568" spans="1:24" ht="15.75" customHeight="1" x14ac:dyDescent="0.3">
      <c r="C568" t="s">
        <v>70</v>
      </c>
      <c r="D568" t="s">
        <v>69</v>
      </c>
      <c r="E568" t="s">
        <v>73</v>
      </c>
      <c r="F568" t="s">
        <v>68</v>
      </c>
      <c r="G568" t="s">
        <v>72</v>
      </c>
      <c r="H568" t="s">
        <v>71</v>
      </c>
      <c r="K568" t="s">
        <v>68</v>
      </c>
      <c r="L568" t="s">
        <v>69</v>
      </c>
      <c r="M568" t="s">
        <v>70</v>
      </c>
      <c r="N568" t="s">
        <v>71</v>
      </c>
      <c r="O568" t="s">
        <v>72</v>
      </c>
      <c r="P568" t="s">
        <v>73</v>
      </c>
    </row>
    <row r="569" spans="1:24" ht="15.75" customHeight="1" x14ac:dyDescent="0.3">
      <c r="A569">
        <v>284</v>
      </c>
      <c r="B569" s="16" t="s">
        <v>365</v>
      </c>
      <c r="C569" s="7">
        <f>Rankings!L293</f>
        <v>4.4858199379008346</v>
      </c>
      <c r="D569" s="7">
        <f>Rankings!M293</f>
        <v>2.9786663081151463</v>
      </c>
      <c r="E569" s="7">
        <f>Rankings!N293</f>
        <v>2.2304495981460644</v>
      </c>
      <c r="F569" s="7">
        <f>Rankings!O293</f>
        <v>1.3602346977334379</v>
      </c>
      <c r="G569" s="7">
        <f>Rankings!P293</f>
        <v>1.25400669441983</v>
      </c>
      <c r="H569" s="7">
        <f>Rankings!Q293</f>
        <v>1</v>
      </c>
      <c r="I569" s="7">
        <f>Rankings!R293</f>
        <v>13.309177236315314</v>
      </c>
      <c r="K569" s="7">
        <f>F569</f>
        <v>1.3602346977334379</v>
      </c>
      <c r="L569" s="7">
        <f>D569</f>
        <v>2.9786663081151463</v>
      </c>
      <c r="M569" s="7">
        <f>C569</f>
        <v>4.4858199379008346</v>
      </c>
      <c r="N569" s="7">
        <f>H569</f>
        <v>1</v>
      </c>
      <c r="O569" s="7">
        <f>G569</f>
        <v>1.25400669441983</v>
      </c>
      <c r="P569" s="7">
        <f>E569</f>
        <v>2.2304495981460644</v>
      </c>
      <c r="R569" s="7">
        <f t="shared" ref="R569:W569" si="482">K569/$I569</f>
        <v>0.10220276382088536</v>
      </c>
      <c r="S569" s="7">
        <f t="shared" si="482"/>
        <v>0.22380544305831176</v>
      </c>
      <c r="T569" s="7">
        <f t="shared" si="482"/>
        <v>0.33704712607334303</v>
      </c>
      <c r="U569" s="7">
        <f t="shared" si="482"/>
        <v>7.5136124663770204E-2</v>
      </c>
      <c r="V569" s="7">
        <f t="shared" si="482"/>
        <v>9.4221203321130736E-2</v>
      </c>
      <c r="W569" s="7">
        <f t="shared" si="482"/>
        <v>0.16758733906255885</v>
      </c>
      <c r="X569" s="7">
        <f>SUM(R569:W569)</f>
        <v>0.99999999999999989</v>
      </c>
    </row>
    <row r="570" spans="1:24" ht="15.75" customHeight="1" x14ac:dyDescent="0.3">
      <c r="C570" t="s">
        <v>70</v>
      </c>
      <c r="D570" t="s">
        <v>69</v>
      </c>
      <c r="E570" t="s">
        <v>73</v>
      </c>
      <c r="F570" t="s">
        <v>71</v>
      </c>
      <c r="G570" t="s">
        <v>68</v>
      </c>
      <c r="H570" t="s">
        <v>72</v>
      </c>
      <c r="K570" t="s">
        <v>68</v>
      </c>
      <c r="L570" t="s">
        <v>69</v>
      </c>
      <c r="M570" t="s">
        <v>70</v>
      </c>
      <c r="N570" t="s">
        <v>71</v>
      </c>
      <c r="O570" t="s">
        <v>72</v>
      </c>
      <c r="P570" t="s">
        <v>73</v>
      </c>
    </row>
    <row r="571" spans="1:24" ht="15.75" customHeight="1" x14ac:dyDescent="0.3">
      <c r="A571">
        <v>285</v>
      </c>
      <c r="B571" s="16" t="s">
        <v>366</v>
      </c>
      <c r="C571" s="7">
        <f>Rankings!L294</f>
        <v>5.6362050785122015</v>
      </c>
      <c r="D571" s="7">
        <f>Rankings!M294</f>
        <v>3.7425430368139101</v>
      </c>
      <c r="E571" s="7">
        <f>Rankings!N294</f>
        <v>2.8024467157545216</v>
      </c>
      <c r="F571" s="7">
        <f>Rankings!O294</f>
        <v>3.1598883582011963</v>
      </c>
      <c r="G571" s="7">
        <f>Rankings!P294</f>
        <v>1.0847108741813811</v>
      </c>
      <c r="H571" s="7">
        <f>Rankings!Q294</f>
        <v>1</v>
      </c>
      <c r="I571" s="7">
        <f>Rankings!R294</f>
        <v>17.425794063463211</v>
      </c>
      <c r="K571" s="7">
        <f>G571</f>
        <v>1.0847108741813811</v>
      </c>
      <c r="L571" s="7">
        <f>D571</f>
        <v>3.7425430368139101</v>
      </c>
      <c r="M571" s="7">
        <f>C571</f>
        <v>5.6362050785122015</v>
      </c>
      <c r="N571" s="7">
        <f>F571</f>
        <v>3.1598883582011963</v>
      </c>
      <c r="O571" s="7">
        <f>H571</f>
        <v>1</v>
      </c>
      <c r="P571" s="7">
        <f>E571</f>
        <v>2.8024467157545216</v>
      </c>
      <c r="R571" s="7">
        <f t="shared" ref="R571:W571" si="483">K571/$I571</f>
        <v>6.2247428738739792E-2</v>
      </c>
      <c r="S571" s="7">
        <f t="shared" si="483"/>
        <v>0.21477030103672159</v>
      </c>
      <c r="T571" s="7">
        <f t="shared" si="483"/>
        <v>0.32344035847007246</v>
      </c>
      <c r="U571" s="7">
        <f t="shared" si="483"/>
        <v>0.18133396657237888</v>
      </c>
      <c r="V571" s="7">
        <f t="shared" si="483"/>
        <v>5.7386194072883444E-2</v>
      </c>
      <c r="W571" s="7">
        <f t="shared" si="483"/>
        <v>0.1608217511092038</v>
      </c>
      <c r="X571" s="7">
        <f>SUM(R571:W571)</f>
        <v>1</v>
      </c>
    </row>
    <row r="572" spans="1:24" ht="15.75" customHeight="1" x14ac:dyDescent="0.3">
      <c r="C572" t="s">
        <v>70</v>
      </c>
      <c r="D572" t="s">
        <v>69</v>
      </c>
      <c r="E572" t="s">
        <v>73</v>
      </c>
      <c r="F572" t="s">
        <v>71</v>
      </c>
      <c r="G572" t="s">
        <v>72</v>
      </c>
      <c r="H572" t="s">
        <v>68</v>
      </c>
      <c r="K572" t="s">
        <v>68</v>
      </c>
      <c r="L572" t="s">
        <v>69</v>
      </c>
      <c r="M572" t="s">
        <v>70</v>
      </c>
      <c r="N572" t="s">
        <v>71</v>
      </c>
      <c r="O572" t="s">
        <v>72</v>
      </c>
      <c r="P572" t="s">
        <v>73</v>
      </c>
    </row>
    <row r="573" spans="1:24" ht="15.75" customHeight="1" x14ac:dyDescent="0.3">
      <c r="A573">
        <v>286</v>
      </c>
      <c r="B573" s="16" t="s">
        <v>367</v>
      </c>
      <c r="C573" s="7">
        <f>Rankings!L295</f>
        <v>5.1723022898948035</v>
      </c>
      <c r="D573" s="7">
        <f>Rankings!M295</f>
        <v>3.434503118621846</v>
      </c>
      <c r="E573" s="7">
        <f>Rankings!N295</f>
        <v>2.5717839154695166</v>
      </c>
      <c r="F573" s="7">
        <f>Rankings!O295</f>
        <v>2.899805376714629</v>
      </c>
      <c r="G573" s="7">
        <f>Rankings!P295</f>
        <v>1.530542412441888</v>
      </c>
      <c r="H573" s="7">
        <f>Rankings!Q295</f>
        <v>1</v>
      </c>
      <c r="I573" s="7">
        <f>Rankings!R295</f>
        <v>16.60893711314268</v>
      </c>
      <c r="K573" s="7">
        <f>H573</f>
        <v>1</v>
      </c>
      <c r="L573" s="7">
        <f>D573</f>
        <v>3.434503118621846</v>
      </c>
      <c r="M573" s="7">
        <f>C573</f>
        <v>5.1723022898948035</v>
      </c>
      <c r="N573" s="7">
        <f t="shared" ref="N573:O573" si="484">F573</f>
        <v>2.899805376714629</v>
      </c>
      <c r="O573" s="7">
        <f t="shared" si="484"/>
        <v>1.530542412441888</v>
      </c>
      <c r="P573" s="7">
        <f>E573</f>
        <v>2.5717839154695166</v>
      </c>
      <c r="R573" s="7">
        <f t="shared" ref="R573:W573" si="485">K573/$I573</f>
        <v>6.0208548758288592E-2</v>
      </c>
      <c r="S573" s="7">
        <f t="shared" si="485"/>
        <v>0.20678644847803765</v>
      </c>
      <c r="T573" s="7">
        <f t="shared" si="485"/>
        <v>0.31141681461373899</v>
      </c>
      <c r="U573" s="7">
        <f t="shared" si="485"/>
        <v>0.17459307341347016</v>
      </c>
      <c r="V573" s="7">
        <f t="shared" si="485"/>
        <v>9.2151737466136058E-2</v>
      </c>
      <c r="W573" s="7">
        <f t="shared" si="485"/>
        <v>0.15484337727032874</v>
      </c>
      <c r="X573" s="7">
        <f>SUM(R573:W573)</f>
        <v>1.0000000000000002</v>
      </c>
    </row>
    <row r="574" spans="1:24" ht="15.75" customHeight="1" x14ac:dyDescent="0.3">
      <c r="C574" t="s">
        <v>70</v>
      </c>
      <c r="D574" t="s">
        <v>69</v>
      </c>
      <c r="E574" t="s">
        <v>73</v>
      </c>
      <c r="F574" t="s">
        <v>72</v>
      </c>
      <c r="G574" t="s">
        <v>68</v>
      </c>
      <c r="H574" t="s">
        <v>71</v>
      </c>
      <c r="K574" t="s">
        <v>68</v>
      </c>
      <c r="L574" t="s">
        <v>69</v>
      </c>
      <c r="M574" t="s">
        <v>70</v>
      </c>
      <c r="N574" t="s">
        <v>71</v>
      </c>
      <c r="O574" t="s">
        <v>72</v>
      </c>
      <c r="P574" t="s">
        <v>73</v>
      </c>
    </row>
    <row r="575" spans="1:24" ht="15.75" customHeight="1" x14ac:dyDescent="0.3">
      <c r="A575">
        <v>287</v>
      </c>
      <c r="B575" s="16" t="s">
        <v>368</v>
      </c>
      <c r="C575" s="7">
        <f>Rankings!L296</f>
        <v>4.7344830512345162</v>
      </c>
      <c r="D575" s="7">
        <f>Rankings!M296</f>
        <v>3.1437831536443186</v>
      </c>
      <c r="E575" s="7">
        <f>Rankings!N296</f>
        <v>2.3540904372539311</v>
      </c>
      <c r="F575" s="7">
        <f>Rankings!O296</f>
        <v>1.9191188301554771</v>
      </c>
      <c r="G575" s="7">
        <f>Rankings!P296</f>
        <v>1.2538815092968505</v>
      </c>
      <c r="H575" s="7">
        <f>Rankings!Q296</f>
        <v>1</v>
      </c>
      <c r="I575" s="7">
        <f>Rankings!R296</f>
        <v>14.405356981585093</v>
      </c>
      <c r="K575" s="7">
        <f>G575</f>
        <v>1.2538815092968505</v>
      </c>
      <c r="L575" s="7">
        <f>D575</f>
        <v>3.1437831536443186</v>
      </c>
      <c r="M575" s="7">
        <f>C575</f>
        <v>4.7344830512345162</v>
      </c>
      <c r="N575" s="7">
        <f>H575</f>
        <v>1</v>
      </c>
      <c r="O575" s="7">
        <f>F575</f>
        <v>1.9191188301554771</v>
      </c>
      <c r="P575" s="7">
        <f>E575</f>
        <v>2.3540904372539311</v>
      </c>
      <c r="R575" s="7">
        <f t="shared" ref="R575:W575" si="486">K575/$I575</f>
        <v>8.7042723821404364E-2</v>
      </c>
      <c r="S575" s="7">
        <f t="shared" si="486"/>
        <v>0.21823708761005606</v>
      </c>
      <c r="T575" s="7">
        <f t="shared" si="486"/>
        <v>0.32866127908435611</v>
      </c>
      <c r="U575" s="7">
        <f t="shared" si="486"/>
        <v>6.9418619842488968E-2</v>
      </c>
      <c r="V575" s="7">
        <f t="shared" si="486"/>
        <v>0.13322258050312522</v>
      </c>
      <c r="W575" s="7">
        <f t="shared" si="486"/>
        <v>0.16341770913856929</v>
      </c>
      <c r="X575" s="7">
        <f>SUM(R575:W575)</f>
        <v>1</v>
      </c>
    </row>
    <row r="576" spans="1:24" ht="15.75" customHeight="1" x14ac:dyDescent="0.3">
      <c r="C576" t="s">
        <v>70</v>
      </c>
      <c r="D576" t="s">
        <v>69</v>
      </c>
      <c r="E576" t="s">
        <v>73</v>
      </c>
      <c r="F576" t="s">
        <v>72</v>
      </c>
      <c r="G576" t="s">
        <v>71</v>
      </c>
      <c r="H576" t="s">
        <v>68</v>
      </c>
      <c r="K576" t="s">
        <v>68</v>
      </c>
      <c r="L576" t="s">
        <v>69</v>
      </c>
      <c r="M576" t="s">
        <v>70</v>
      </c>
      <c r="N576" t="s">
        <v>71</v>
      </c>
      <c r="O576" t="s">
        <v>72</v>
      </c>
      <c r="P576" t="s">
        <v>73</v>
      </c>
    </row>
    <row r="577" spans="1:24" ht="15.75" customHeight="1" x14ac:dyDescent="0.3">
      <c r="A577">
        <v>288</v>
      </c>
      <c r="B577" s="16" t="s">
        <v>369</v>
      </c>
      <c r="C577" s="7">
        <f>Rankings!L297</f>
        <v>9.0121476702602052</v>
      </c>
      <c r="D577" s="7">
        <f>Rankings!M297</f>
        <v>5.98423053104632</v>
      </c>
      <c r="E577" s="7">
        <f>Rankings!N297</f>
        <v>4.4810405740385795</v>
      </c>
      <c r="F577" s="7">
        <f>Rankings!O297</f>
        <v>3.653066682671597</v>
      </c>
      <c r="G577" s="7">
        <f>Rankings!P297</f>
        <v>2.9131157743633094</v>
      </c>
      <c r="H577" s="7">
        <f>Rankings!Q297</f>
        <v>1</v>
      </c>
      <c r="I577" s="7">
        <f>Rankings!R297</f>
        <v>27.043601232380009</v>
      </c>
      <c r="K577" s="7">
        <f>H577</f>
        <v>1</v>
      </c>
      <c r="L577" s="7">
        <f>D577</f>
        <v>5.98423053104632</v>
      </c>
      <c r="M577" s="7">
        <f>C577</f>
        <v>9.0121476702602052</v>
      </c>
      <c r="N577" s="7">
        <f>G577</f>
        <v>2.9131157743633094</v>
      </c>
      <c r="O577" s="7">
        <f>F577</f>
        <v>3.653066682671597</v>
      </c>
      <c r="P577" s="7">
        <f>E577</f>
        <v>4.4810405740385795</v>
      </c>
      <c r="R577" s="7">
        <f t="shared" ref="R577:W577" si="487">K577/$I577</f>
        <v>3.6977323818939985E-2</v>
      </c>
      <c r="S577" s="7">
        <f t="shared" si="487"/>
        <v>0.22128083015368696</v>
      </c>
      <c r="T577" s="7">
        <f t="shared" si="487"/>
        <v>0.33324510270731716</v>
      </c>
      <c r="U577" s="7">
        <f t="shared" si="487"/>
        <v>0.10771922531069419</v>
      </c>
      <c r="V577" s="7">
        <f t="shared" si="487"/>
        <v>0.1350806296573285</v>
      </c>
      <c r="W577" s="7">
        <f t="shared" si="487"/>
        <v>0.16569688835203325</v>
      </c>
      <c r="X577" s="7">
        <f>SUM(R577:W577)</f>
        <v>1</v>
      </c>
    </row>
    <row r="578" spans="1:24" ht="15.75" customHeight="1" x14ac:dyDescent="0.3">
      <c r="C578" t="s">
        <v>70</v>
      </c>
      <c r="D578" t="s">
        <v>71</v>
      </c>
      <c r="E578" t="s">
        <v>68</v>
      </c>
      <c r="F578" t="s">
        <v>69</v>
      </c>
      <c r="G578" t="s">
        <v>72</v>
      </c>
      <c r="H578" t="s">
        <v>73</v>
      </c>
      <c r="K578" t="s">
        <v>68</v>
      </c>
      <c r="L578" t="s">
        <v>69</v>
      </c>
      <c r="M578" t="s">
        <v>70</v>
      </c>
      <c r="N578" t="s">
        <v>71</v>
      </c>
      <c r="O578" t="s">
        <v>72</v>
      </c>
      <c r="P578" t="s">
        <v>73</v>
      </c>
    </row>
    <row r="579" spans="1:24" ht="15.75" customHeight="1" x14ac:dyDescent="0.3">
      <c r="A579">
        <v>289</v>
      </c>
      <c r="B579" s="16" t="s">
        <v>370</v>
      </c>
      <c r="C579" s="7">
        <f>Rankings!L298</f>
        <v>16.266217222721359</v>
      </c>
      <c r="D579" s="7">
        <f>Rankings!M298</f>
        <v>11.344326305792029</v>
      </c>
      <c r="E579" s="7">
        <f>Rankings!N298</f>
        <v>3.8942243235325735</v>
      </c>
      <c r="F579" s="7">
        <f>Rankings!O298</f>
        <v>2.3783929132752433</v>
      </c>
      <c r="G579" s="7">
        <f>Rankings!P298</f>
        <v>1.3219359277692486</v>
      </c>
      <c r="H579" s="7">
        <f>Rankings!Q298</f>
        <v>1</v>
      </c>
      <c r="I579" s="7">
        <f>Rankings!R298</f>
        <v>36.205096693090454</v>
      </c>
      <c r="K579" s="7">
        <f t="shared" ref="K579:L579" si="488">E579</f>
        <v>3.8942243235325735</v>
      </c>
      <c r="L579" s="7">
        <f t="shared" si="488"/>
        <v>2.3783929132752433</v>
      </c>
      <c r="M579" s="7">
        <f t="shared" ref="M579:N579" si="489">C579</f>
        <v>16.266217222721359</v>
      </c>
      <c r="N579" s="7">
        <f t="shared" si="489"/>
        <v>11.344326305792029</v>
      </c>
      <c r="O579" s="7">
        <f t="shared" ref="O579:P579" si="490">G579</f>
        <v>1.3219359277692486</v>
      </c>
      <c r="P579" s="7">
        <f t="shared" si="490"/>
        <v>1</v>
      </c>
      <c r="R579" s="7">
        <f t="shared" ref="R579:W579" si="491">K579/$I579</f>
        <v>0.10756011388517477</v>
      </c>
      <c r="S579" s="7">
        <f t="shared" si="491"/>
        <v>6.5692212713497511E-2</v>
      </c>
      <c r="T579" s="7">
        <f t="shared" si="491"/>
        <v>0.44927976192439445</v>
      </c>
      <c r="U579" s="7">
        <f t="shared" si="491"/>
        <v>0.31333506445121667</v>
      </c>
      <c r="V579" s="7">
        <f t="shared" si="491"/>
        <v>3.6512426385026969E-2</v>
      </c>
      <c r="W579" s="7">
        <f t="shared" si="491"/>
        <v>2.7620420640689647E-2</v>
      </c>
      <c r="X579" s="7">
        <f>SUM(R579:W579)</f>
        <v>1</v>
      </c>
    </row>
    <row r="580" spans="1:24" ht="15.75" customHeight="1" x14ac:dyDescent="0.3">
      <c r="C580" t="s">
        <v>70</v>
      </c>
      <c r="D580" t="s">
        <v>71</v>
      </c>
      <c r="E580" t="s">
        <v>68</v>
      </c>
      <c r="F580" t="s">
        <v>69</v>
      </c>
      <c r="G580" t="s">
        <v>73</v>
      </c>
      <c r="H580" t="s">
        <v>72</v>
      </c>
      <c r="K580" t="s">
        <v>68</v>
      </c>
      <c r="L580" t="s">
        <v>69</v>
      </c>
      <c r="M580" t="s">
        <v>70</v>
      </c>
      <c r="N580" t="s">
        <v>71</v>
      </c>
      <c r="O580" t="s">
        <v>72</v>
      </c>
      <c r="P580" t="s">
        <v>73</v>
      </c>
    </row>
    <row r="581" spans="1:24" ht="15.75" customHeight="1" x14ac:dyDescent="0.3">
      <c r="A581">
        <v>290</v>
      </c>
      <c r="B581" s="16" t="s">
        <v>371</v>
      </c>
      <c r="C581" s="7">
        <f>Rankings!L299</f>
        <v>11.203499037976762</v>
      </c>
      <c r="D581" s="7">
        <f>Rankings!M299</f>
        <v>7.8135037245108254</v>
      </c>
      <c r="E581" s="7">
        <f>Rankings!N299</f>
        <v>2.6821809806781691</v>
      </c>
      <c r="F581" s="7">
        <f>Rankings!O299</f>
        <v>1.6381388709471552</v>
      </c>
      <c r="G581" s="7">
        <f>Rankings!P299</f>
        <v>1.2266517321719024</v>
      </c>
      <c r="H581" s="7">
        <f>Rankings!Q299</f>
        <v>1</v>
      </c>
      <c r="I581" s="7">
        <f>Rankings!R299</f>
        <v>25.563974346284812</v>
      </c>
      <c r="K581" s="7">
        <f t="shared" ref="K581:L581" si="492">E581</f>
        <v>2.6821809806781691</v>
      </c>
      <c r="L581" s="7">
        <f t="shared" si="492"/>
        <v>1.6381388709471552</v>
      </c>
      <c r="M581" s="7">
        <f t="shared" ref="M581:N581" si="493">C581</f>
        <v>11.203499037976762</v>
      </c>
      <c r="N581" s="7">
        <f t="shared" si="493"/>
        <v>7.8135037245108254</v>
      </c>
      <c r="O581" s="7">
        <f>H581</f>
        <v>1</v>
      </c>
      <c r="P581" s="7">
        <f>G581</f>
        <v>1.2266517321719024</v>
      </c>
      <c r="R581" s="7">
        <f t="shared" ref="R581:W581" si="494">K581/$I581</f>
        <v>0.10492034393188819</v>
      </c>
      <c r="S581" s="7">
        <f t="shared" si="494"/>
        <v>6.4079976327515928E-2</v>
      </c>
      <c r="T581" s="7">
        <f t="shared" si="494"/>
        <v>0.43825341420767605</v>
      </c>
      <c r="U581" s="7">
        <f t="shared" si="494"/>
        <v>0.30564510895960723</v>
      </c>
      <c r="V581" s="7">
        <f t="shared" si="494"/>
        <v>3.9117548251855802E-2</v>
      </c>
      <c r="W581" s="7">
        <f t="shared" si="494"/>
        <v>4.7983608321456893E-2</v>
      </c>
      <c r="X581" s="7">
        <f>SUM(R581:W581)</f>
        <v>1</v>
      </c>
    </row>
    <row r="582" spans="1:24" ht="15.75" customHeight="1" x14ac:dyDescent="0.3">
      <c r="C582" t="s">
        <v>70</v>
      </c>
      <c r="D582" t="s">
        <v>71</v>
      </c>
      <c r="E582" t="s">
        <v>68</v>
      </c>
      <c r="F582" t="s">
        <v>72</v>
      </c>
      <c r="G582" t="s">
        <v>69</v>
      </c>
      <c r="H582" t="s">
        <v>73</v>
      </c>
      <c r="K582" t="s">
        <v>68</v>
      </c>
      <c r="L582" t="s">
        <v>69</v>
      </c>
      <c r="M582" t="s">
        <v>70</v>
      </c>
      <c r="N582" t="s">
        <v>71</v>
      </c>
      <c r="O582" t="s">
        <v>72</v>
      </c>
      <c r="P582" t="s">
        <v>73</v>
      </c>
    </row>
    <row r="583" spans="1:24" ht="15.75" customHeight="1" x14ac:dyDescent="0.3">
      <c r="A583">
        <v>291</v>
      </c>
      <c r="B583" s="16" t="s">
        <v>372</v>
      </c>
      <c r="C583" s="7">
        <f>Rankings!L300</f>
        <v>11.038504850151906</v>
      </c>
      <c r="D583" s="7">
        <f>Rankings!M300</f>
        <v>7.6984340755804164</v>
      </c>
      <c r="E583" s="7">
        <f>Rankings!N300</f>
        <v>2.6426804397305448</v>
      </c>
      <c r="F583" s="7">
        <f>Rankings!O300</f>
        <v>2.436299388742595</v>
      </c>
      <c r="G583" s="7">
        <f>Rankings!P300</f>
        <v>1.3354555559520354</v>
      </c>
      <c r="H583" s="7">
        <f>Rankings!Q300</f>
        <v>1</v>
      </c>
      <c r="I583" s="7">
        <f>Rankings!R300</f>
        <v>26.151374310157493</v>
      </c>
      <c r="K583" s="7">
        <f>E583</f>
        <v>2.6426804397305448</v>
      </c>
      <c r="L583" s="7">
        <f>G583</f>
        <v>1.3354555559520354</v>
      </c>
      <c r="M583" s="7">
        <f t="shared" ref="M583:N583" si="495">C583</f>
        <v>11.038504850151906</v>
      </c>
      <c r="N583" s="7">
        <f t="shared" si="495"/>
        <v>7.6984340755804164</v>
      </c>
      <c r="O583" s="7">
        <f>F583</f>
        <v>2.436299388742595</v>
      </c>
      <c r="P583" s="7">
        <f>H583</f>
        <v>1</v>
      </c>
      <c r="R583" s="7">
        <f t="shared" ref="R583:W583" si="496">K583/$I583</f>
        <v>0.10105321458016443</v>
      </c>
      <c r="S583" s="7">
        <f t="shared" si="496"/>
        <v>5.1066362330079502E-2</v>
      </c>
      <c r="T583" s="7">
        <f t="shared" si="496"/>
        <v>0.42210037297597869</v>
      </c>
      <c r="U583" s="7">
        <f t="shared" si="496"/>
        <v>0.29437971344359737</v>
      </c>
      <c r="V583" s="7">
        <f t="shared" si="496"/>
        <v>9.3161428529448587E-2</v>
      </c>
      <c r="W583" s="7">
        <f t="shared" si="496"/>
        <v>3.8238908140731574E-2</v>
      </c>
      <c r="X583" s="7">
        <f>SUM(R583:W583)</f>
        <v>1</v>
      </c>
    </row>
    <row r="584" spans="1:24" ht="15.75" customHeight="1" x14ac:dyDescent="0.3">
      <c r="C584" t="s">
        <v>70</v>
      </c>
      <c r="D584" t="s">
        <v>71</v>
      </c>
      <c r="E584" t="s">
        <v>68</v>
      </c>
      <c r="F584" t="s">
        <v>72</v>
      </c>
      <c r="G584" t="s">
        <v>73</v>
      </c>
      <c r="H584" t="s">
        <v>69</v>
      </c>
      <c r="K584" t="s">
        <v>68</v>
      </c>
      <c r="L584" t="s">
        <v>69</v>
      </c>
      <c r="M584" t="s">
        <v>70</v>
      </c>
      <c r="N584" t="s">
        <v>71</v>
      </c>
      <c r="O584" t="s">
        <v>72</v>
      </c>
      <c r="P584" t="s">
        <v>73</v>
      </c>
    </row>
    <row r="585" spans="1:24" ht="15.75" customHeight="1" x14ac:dyDescent="0.3">
      <c r="A585">
        <v>292</v>
      </c>
      <c r="B585" s="16" t="s">
        <v>373</v>
      </c>
      <c r="C585" s="7">
        <f>Rankings!L301</f>
        <v>7.4385543064383892</v>
      </c>
      <c r="D585" s="7">
        <f>Rankings!M301</f>
        <v>5.1877696049526749</v>
      </c>
      <c r="E585" s="7">
        <f>Rankings!N301</f>
        <v>1.7808319362406786</v>
      </c>
      <c r="F585" s="7">
        <f>Rankings!O301</f>
        <v>1.6417572448369266</v>
      </c>
      <c r="G585" s="7">
        <f>Rankings!P301</f>
        <v>1.2419340531937677</v>
      </c>
      <c r="H585" s="7">
        <f>Rankings!Q301</f>
        <v>1</v>
      </c>
      <c r="I585" s="7">
        <f>Rankings!R301</f>
        <v>18.290847145662436</v>
      </c>
      <c r="K585" s="7">
        <f>E585</f>
        <v>1.7808319362406786</v>
      </c>
      <c r="L585" s="7">
        <f>H585</f>
        <v>1</v>
      </c>
      <c r="M585" s="7">
        <f t="shared" ref="M585:N585" si="497">C585</f>
        <v>7.4385543064383892</v>
      </c>
      <c r="N585" s="7">
        <f t="shared" si="497"/>
        <v>5.1877696049526749</v>
      </c>
      <c r="O585" s="7">
        <f t="shared" ref="O585:P585" si="498">F585</f>
        <v>1.6417572448369266</v>
      </c>
      <c r="P585" s="7">
        <f t="shared" si="498"/>
        <v>1.2419340531937677</v>
      </c>
      <c r="R585" s="7">
        <f t="shared" ref="R585:W585" si="499">K585/$I585</f>
        <v>9.7361916703950599E-2</v>
      </c>
      <c r="S585" s="7">
        <f t="shared" si="499"/>
        <v>5.4672153347317426E-2</v>
      </c>
      <c r="T585" s="7">
        <f t="shared" si="499"/>
        <v>0.40668178172394803</v>
      </c>
      <c r="U585" s="7">
        <f t="shared" si="499"/>
        <v>0.28362653537252502</v>
      </c>
      <c r="V585" s="7">
        <f t="shared" si="499"/>
        <v>8.9758403848793814E-2</v>
      </c>
      <c r="W585" s="7">
        <f t="shared" si="499"/>
        <v>6.7899209003465147E-2</v>
      </c>
      <c r="X585" s="7">
        <f>SUM(R585:W585)</f>
        <v>1</v>
      </c>
    </row>
    <row r="586" spans="1:24" ht="15.75" customHeight="1" x14ac:dyDescent="0.3">
      <c r="C586" t="s">
        <v>70</v>
      </c>
      <c r="D586" t="s">
        <v>71</v>
      </c>
      <c r="E586" t="s">
        <v>68</v>
      </c>
      <c r="F586" t="s">
        <v>73</v>
      </c>
      <c r="G586" t="s">
        <v>69</v>
      </c>
      <c r="H586" t="s">
        <v>72</v>
      </c>
      <c r="K586" t="s">
        <v>68</v>
      </c>
      <c r="L586" t="s">
        <v>69</v>
      </c>
      <c r="M586" t="s">
        <v>70</v>
      </c>
      <c r="N586" t="s">
        <v>71</v>
      </c>
      <c r="O586" t="s">
        <v>72</v>
      </c>
      <c r="P586" t="s">
        <v>73</v>
      </c>
    </row>
    <row r="587" spans="1:24" ht="15.75" customHeight="1" x14ac:dyDescent="0.3">
      <c r="A587">
        <v>293</v>
      </c>
      <c r="B587" s="16" t="s">
        <v>374</v>
      </c>
      <c r="C587" s="7">
        <f>Rankings!L302</f>
        <v>10.839334399903667</v>
      </c>
      <c r="D587" s="7">
        <f>Rankings!M302</f>
        <v>7.5595293414833327</v>
      </c>
      <c r="E587" s="7">
        <f>Rankings!N302</f>
        <v>2.5949979084286627</v>
      </c>
      <c r="F587" s="7">
        <f>Rankings!O302</f>
        <v>2.2344556107615374</v>
      </c>
      <c r="G587" s="7">
        <f>Rankings!P302</f>
        <v>1.7991741228251155</v>
      </c>
      <c r="H587" s="7">
        <f>Rankings!Q302</f>
        <v>1</v>
      </c>
      <c r="I587" s="7">
        <f>Rankings!R302</f>
        <v>26.027491383402314</v>
      </c>
      <c r="K587" s="7">
        <f>E587</f>
        <v>2.5949979084286627</v>
      </c>
      <c r="L587" s="7">
        <f>G587</f>
        <v>1.7991741228251155</v>
      </c>
      <c r="M587" s="7">
        <f t="shared" ref="M587:N587" si="500">C587</f>
        <v>10.839334399903667</v>
      </c>
      <c r="N587" s="7">
        <f t="shared" si="500"/>
        <v>7.5595293414833327</v>
      </c>
      <c r="O587" s="7">
        <f>H587</f>
        <v>1</v>
      </c>
      <c r="P587" s="7">
        <f>F587</f>
        <v>2.2344556107615374</v>
      </c>
      <c r="R587" s="7">
        <f t="shared" ref="R587:W587" si="501">K587/$I587</f>
        <v>9.970219066457893E-2</v>
      </c>
      <c r="S587" s="7">
        <f t="shared" si="501"/>
        <v>6.9125913685728679E-2</v>
      </c>
      <c r="T587" s="7">
        <f t="shared" si="501"/>
        <v>0.41645713143203233</v>
      </c>
      <c r="U587" s="7">
        <f t="shared" si="501"/>
        <v>0.2904440243635632</v>
      </c>
      <c r="V587" s="7">
        <f t="shared" si="501"/>
        <v>3.8420913689657325E-2</v>
      </c>
      <c r="W587" s="7">
        <f t="shared" si="501"/>
        <v>8.5849826164439563E-2</v>
      </c>
      <c r="X587" s="7">
        <f>SUM(R587:W587)</f>
        <v>1</v>
      </c>
    </row>
    <row r="588" spans="1:24" ht="15.75" customHeight="1" x14ac:dyDescent="0.3">
      <c r="C588" t="s">
        <v>70</v>
      </c>
      <c r="D588" t="s">
        <v>71</v>
      </c>
      <c r="E588" t="s">
        <v>68</v>
      </c>
      <c r="F588" t="s">
        <v>73</v>
      </c>
      <c r="G588" t="s">
        <v>72</v>
      </c>
      <c r="H588" t="s">
        <v>69</v>
      </c>
      <c r="K588" t="s">
        <v>68</v>
      </c>
      <c r="L588" t="s">
        <v>69</v>
      </c>
      <c r="M588" t="s">
        <v>70</v>
      </c>
      <c r="N588" t="s">
        <v>71</v>
      </c>
      <c r="O588" t="s">
        <v>72</v>
      </c>
      <c r="P588" t="s">
        <v>73</v>
      </c>
    </row>
    <row r="589" spans="1:24" ht="15.75" customHeight="1" x14ac:dyDescent="0.3">
      <c r="A589">
        <v>294</v>
      </c>
      <c r="B589" s="16" t="s">
        <v>375</v>
      </c>
      <c r="C589" s="7">
        <f>Rankings!L303</f>
        <v>10.855588610757534</v>
      </c>
      <c r="D589" s="7">
        <f>Rankings!M303</f>
        <v>7.570865294350841</v>
      </c>
      <c r="E589" s="7">
        <f>Rankings!N303</f>
        <v>2.5988892583596437</v>
      </c>
      <c r="F589" s="7">
        <f>Rankings!O303</f>
        <v>2.2378063065977365</v>
      </c>
      <c r="G589" s="7">
        <f>Rankings!P303</f>
        <v>1.8243208303594776</v>
      </c>
      <c r="H589" s="7">
        <f>Rankings!Q303</f>
        <v>1</v>
      </c>
      <c r="I589" s="7">
        <f>Rankings!R303</f>
        <v>26.087470300425235</v>
      </c>
      <c r="K589" s="7">
        <f>E589</f>
        <v>2.5988892583596437</v>
      </c>
      <c r="L589" s="7">
        <f>H589</f>
        <v>1</v>
      </c>
      <c r="M589" s="7">
        <f t="shared" ref="M589:N589" si="502">C589</f>
        <v>10.855588610757534</v>
      </c>
      <c r="N589" s="7">
        <f t="shared" si="502"/>
        <v>7.570865294350841</v>
      </c>
      <c r="O589" s="7">
        <f>G589</f>
        <v>1.8243208303594776</v>
      </c>
      <c r="P589" s="7">
        <f>F589</f>
        <v>2.2378063065977365</v>
      </c>
      <c r="R589" s="7">
        <f t="shared" ref="R589:W589" si="503">K589/$I589</f>
        <v>9.9622126194324062E-2</v>
      </c>
      <c r="S589" s="7">
        <f t="shared" si="503"/>
        <v>3.8332578378966073E-2</v>
      </c>
      <c r="T589" s="7">
        <f t="shared" si="503"/>
        <v>0.41612270127167467</v>
      </c>
      <c r="U589" s="7">
        <f t="shared" si="503"/>
        <v>0.29021078729229771</v>
      </c>
      <c r="V589" s="7">
        <f t="shared" si="503"/>
        <v>6.9930921218135142E-2</v>
      </c>
      <c r="W589" s="7">
        <f t="shared" si="503"/>
        <v>8.5780885644602331E-2</v>
      </c>
      <c r="X589" s="7">
        <f>SUM(R589:W589)</f>
        <v>1</v>
      </c>
    </row>
    <row r="590" spans="1:24" ht="15.75" customHeight="1" x14ac:dyDescent="0.3">
      <c r="C590" t="s">
        <v>70</v>
      </c>
      <c r="D590" t="s">
        <v>71</v>
      </c>
      <c r="E590" t="s">
        <v>69</v>
      </c>
      <c r="F590" t="s">
        <v>68</v>
      </c>
      <c r="G590" t="s">
        <v>72</v>
      </c>
      <c r="H590" t="s">
        <v>73</v>
      </c>
      <c r="K590" t="s">
        <v>68</v>
      </c>
      <c r="L590" t="s">
        <v>69</v>
      </c>
      <c r="M590" t="s">
        <v>70</v>
      </c>
      <c r="N590" t="s">
        <v>71</v>
      </c>
      <c r="O590" t="s">
        <v>72</v>
      </c>
      <c r="P590" t="s">
        <v>73</v>
      </c>
    </row>
    <row r="591" spans="1:24" ht="15.75" customHeight="1" x14ac:dyDescent="0.3">
      <c r="A591">
        <v>295</v>
      </c>
      <c r="B591" s="16" t="s">
        <v>376</v>
      </c>
      <c r="C591" s="7">
        <f>Rankings!L304</f>
        <v>5.1550155098570922</v>
      </c>
      <c r="D591" s="7">
        <f>Rankings!M304</f>
        <v>3.5951922474974736</v>
      </c>
      <c r="E591" s="7">
        <f>Rankings!N304</f>
        <v>2.5007673907088717</v>
      </c>
      <c r="F591" s="7">
        <f>Rankings!O304</f>
        <v>1.4339182758223568</v>
      </c>
      <c r="G591" s="7">
        <f>Rankings!P304</f>
        <v>1.3219359277692486</v>
      </c>
      <c r="H591" s="7">
        <f>Rankings!Q304</f>
        <v>1</v>
      </c>
      <c r="I591" s="7">
        <f>Rankings!R304</f>
        <v>15.006829351655043</v>
      </c>
      <c r="K591" s="7">
        <f>F591</f>
        <v>1.4339182758223568</v>
      </c>
      <c r="L591" s="7">
        <f>E591</f>
        <v>2.5007673907088717</v>
      </c>
      <c r="M591" s="7">
        <f t="shared" ref="M591:N591" si="504">C591</f>
        <v>5.1550155098570922</v>
      </c>
      <c r="N591" s="7">
        <f t="shared" si="504"/>
        <v>3.5951922474974736</v>
      </c>
      <c r="O591" s="7">
        <f t="shared" ref="O591:P591" si="505">G591</f>
        <v>1.3219359277692486</v>
      </c>
      <c r="P591" s="7">
        <f t="shared" si="505"/>
        <v>1</v>
      </c>
      <c r="R591" s="7">
        <f t="shared" ref="R591:W591" si="506">K591/$I591</f>
        <v>9.5551048274178957E-2</v>
      </c>
      <c r="S591" s="7">
        <f t="shared" si="506"/>
        <v>0.16664195561290049</v>
      </c>
      <c r="T591" s="7">
        <f t="shared" si="506"/>
        <v>0.34351130335793195</v>
      </c>
      <c r="U591" s="7">
        <f t="shared" si="506"/>
        <v>0.23957040912849284</v>
      </c>
      <c r="V591" s="7">
        <f t="shared" si="506"/>
        <v>8.8088955820868162E-2</v>
      </c>
      <c r="W591" s="7">
        <f t="shared" si="506"/>
        <v>6.6636327805627643E-2</v>
      </c>
      <c r="X591" s="7">
        <f>SUM(R591:W591)</f>
        <v>1</v>
      </c>
    </row>
    <row r="592" spans="1:24" ht="15.75" customHeight="1" x14ac:dyDescent="0.3">
      <c r="C592" t="s">
        <v>70</v>
      </c>
      <c r="D592" t="s">
        <v>71</v>
      </c>
      <c r="E592" t="s">
        <v>69</v>
      </c>
      <c r="F592" t="s">
        <v>68</v>
      </c>
      <c r="G592" t="s">
        <v>73</v>
      </c>
      <c r="H592" t="s">
        <v>72</v>
      </c>
      <c r="K592" t="s">
        <v>68</v>
      </c>
      <c r="L592" t="s">
        <v>69</v>
      </c>
      <c r="M592" t="s">
        <v>70</v>
      </c>
      <c r="N592" t="s">
        <v>71</v>
      </c>
      <c r="O592" t="s">
        <v>72</v>
      </c>
      <c r="P592" t="s">
        <v>73</v>
      </c>
    </row>
    <row r="593" spans="1:24" ht="15.75" customHeight="1" x14ac:dyDescent="0.3">
      <c r="A593">
        <v>296</v>
      </c>
      <c r="B593" s="16" t="s">
        <v>377</v>
      </c>
      <c r="C593" s="7">
        <f>Rankings!L305</f>
        <v>5.121440521712211</v>
      </c>
      <c r="D593" s="7">
        <f>Rankings!M305</f>
        <v>3.5717765008605356</v>
      </c>
      <c r="E593" s="7">
        <f>Rankings!N305</f>
        <v>2.4844797121683104</v>
      </c>
      <c r="F593" s="7">
        <f>Rankings!O305</f>
        <v>1.4245790625805328</v>
      </c>
      <c r="G593" s="7">
        <f>Rankings!P305</f>
        <v>1.2266517321719024</v>
      </c>
      <c r="H593" s="7">
        <f>Rankings!Q305</f>
        <v>1</v>
      </c>
      <c r="I593" s="7">
        <f>Rankings!R305</f>
        <v>14.828927529493491</v>
      </c>
      <c r="K593" s="7">
        <f>F593</f>
        <v>1.4245790625805328</v>
      </c>
      <c r="L593" s="7">
        <f>E593</f>
        <v>2.4844797121683104</v>
      </c>
      <c r="M593" s="7">
        <f t="shared" ref="M593:N593" si="507">C593</f>
        <v>5.121440521712211</v>
      </c>
      <c r="N593" s="7">
        <f t="shared" si="507"/>
        <v>3.5717765008605356</v>
      </c>
      <c r="O593" s="7">
        <f>H593</f>
        <v>1</v>
      </c>
      <c r="P593" s="7">
        <f>G593</f>
        <v>1.2266517321719024</v>
      </c>
      <c r="R593" s="7">
        <f t="shared" ref="R593:W593" si="508">K593/$I593</f>
        <v>9.60675719634589E-2</v>
      </c>
      <c r="S593" s="7">
        <f t="shared" si="508"/>
        <v>0.16754277794040662</v>
      </c>
      <c r="T593" s="7">
        <f t="shared" si="508"/>
        <v>0.34536823458919036</v>
      </c>
      <c r="U593" s="7">
        <f t="shared" si="508"/>
        <v>0.24086546338274106</v>
      </c>
      <c r="V593" s="7">
        <f t="shared" si="508"/>
        <v>6.7435760139166107E-2</v>
      </c>
      <c r="W593" s="7">
        <f t="shared" si="508"/>
        <v>8.2720191985037023E-2</v>
      </c>
      <c r="X593" s="7">
        <f>SUM(R593:W593)</f>
        <v>1</v>
      </c>
    </row>
    <row r="594" spans="1:24" ht="15.75" customHeight="1" x14ac:dyDescent="0.3">
      <c r="C594" t="s">
        <v>70</v>
      </c>
      <c r="D594" t="s">
        <v>71</v>
      </c>
      <c r="E594" t="s">
        <v>69</v>
      </c>
      <c r="F594" t="s">
        <v>72</v>
      </c>
      <c r="G594" t="s">
        <v>68</v>
      </c>
      <c r="H594" t="s">
        <v>73</v>
      </c>
      <c r="K594" t="s">
        <v>68</v>
      </c>
      <c r="L594" t="s">
        <v>69</v>
      </c>
      <c r="M594" t="s">
        <v>70</v>
      </c>
      <c r="N594" t="s">
        <v>71</v>
      </c>
      <c r="O594" t="s">
        <v>72</v>
      </c>
      <c r="P594" t="s">
        <v>73</v>
      </c>
    </row>
    <row r="595" spans="1:24" ht="15.75" customHeight="1" x14ac:dyDescent="0.3">
      <c r="A595">
        <v>297</v>
      </c>
      <c r="B595" s="16" t="s">
        <v>378</v>
      </c>
      <c r="C595" s="7">
        <f>Rankings!L306</f>
        <v>6.5923540579119049</v>
      </c>
      <c r="D595" s="7">
        <f>Rankings!M306</f>
        <v>4.5976156922213463</v>
      </c>
      <c r="E595" s="7">
        <f>Rankings!N306</f>
        <v>3.1980396614733797</v>
      </c>
      <c r="F595" s="7">
        <f>Rankings!O306</f>
        <v>1.7775042564817045</v>
      </c>
      <c r="G595" s="7">
        <f>Rankings!P306</f>
        <v>1.1613557664474019</v>
      </c>
      <c r="H595" s="7">
        <f>Rankings!Q306</f>
        <v>1</v>
      </c>
      <c r="I595" s="7">
        <f>Rankings!R306</f>
        <v>18.326869434535737</v>
      </c>
      <c r="K595" s="7">
        <f>G595</f>
        <v>1.1613557664474019</v>
      </c>
      <c r="L595" s="7">
        <f>E595</f>
        <v>3.1980396614733797</v>
      </c>
      <c r="M595" s="7">
        <f t="shared" ref="M595:N595" si="509">C595</f>
        <v>6.5923540579119049</v>
      </c>
      <c r="N595" s="7">
        <f t="shared" si="509"/>
        <v>4.5976156922213463</v>
      </c>
      <c r="O595" s="7">
        <f>F595</f>
        <v>1.7775042564817045</v>
      </c>
      <c r="P595" s="7">
        <f>H595</f>
        <v>1</v>
      </c>
      <c r="R595" s="7">
        <f t="shared" ref="R595:W595" si="510">K595/$I595</f>
        <v>6.3369020584547089E-2</v>
      </c>
      <c r="S595" s="7">
        <f t="shared" si="510"/>
        <v>0.17450005157164986</v>
      </c>
      <c r="T595" s="7">
        <f t="shared" si="510"/>
        <v>0.35970977375377938</v>
      </c>
      <c r="U595" s="7">
        <f t="shared" si="510"/>
        <v>0.25086748768763817</v>
      </c>
      <c r="V595" s="7">
        <f t="shared" si="510"/>
        <v>9.6988973639552362E-2</v>
      </c>
      <c r="W595" s="7">
        <f t="shared" si="510"/>
        <v>5.4564692762833135E-2</v>
      </c>
      <c r="X595" s="7">
        <f>SUM(R595:W595)</f>
        <v>1</v>
      </c>
    </row>
    <row r="596" spans="1:24" ht="15.75" customHeight="1" x14ac:dyDescent="0.3">
      <c r="C596" t="s">
        <v>70</v>
      </c>
      <c r="D596" t="s">
        <v>71</v>
      </c>
      <c r="E596" t="s">
        <v>69</v>
      </c>
      <c r="F596" t="s">
        <v>72</v>
      </c>
      <c r="G596" t="s">
        <v>73</v>
      </c>
      <c r="H596" t="s">
        <v>68</v>
      </c>
      <c r="K596" t="s">
        <v>68</v>
      </c>
      <c r="L596" t="s">
        <v>69</v>
      </c>
      <c r="M596" t="s">
        <v>70</v>
      </c>
      <c r="N596" t="s">
        <v>71</v>
      </c>
      <c r="O596" t="s">
        <v>72</v>
      </c>
      <c r="P596" t="s">
        <v>73</v>
      </c>
    </row>
    <row r="597" spans="1:24" ht="15.75" customHeight="1" x14ac:dyDescent="0.3">
      <c r="A597">
        <v>298</v>
      </c>
      <c r="B597" s="16" t="s">
        <v>379</v>
      </c>
      <c r="C597" s="7">
        <f>Rankings!L307</f>
        <v>8.0393112985354396</v>
      </c>
      <c r="D597" s="7">
        <f>Rankings!M307</f>
        <v>5.6067473706814717</v>
      </c>
      <c r="E597" s="7">
        <f>Rankings!N307</f>
        <v>3.8999780894339455</v>
      </c>
      <c r="F597" s="7">
        <f>Rankings!O307</f>
        <v>2.1676490562848283</v>
      </c>
      <c r="G597" s="7">
        <f>Rankings!P307</f>
        <v>1.6397534939100344</v>
      </c>
      <c r="H597" s="7">
        <f>Rankings!Q307</f>
        <v>1</v>
      </c>
      <c r="I597" s="7">
        <f>Rankings!R307</f>
        <v>22.353439308845722</v>
      </c>
      <c r="K597" s="7">
        <f>H597</f>
        <v>1</v>
      </c>
      <c r="L597" s="7">
        <f>E597</f>
        <v>3.8999780894339455</v>
      </c>
      <c r="M597" s="7">
        <f t="shared" ref="M597:N597" si="511">C597</f>
        <v>8.0393112985354396</v>
      </c>
      <c r="N597" s="7">
        <f t="shared" si="511"/>
        <v>5.6067473706814717</v>
      </c>
      <c r="O597" s="7">
        <f t="shared" ref="O597:P597" si="512">F597</f>
        <v>2.1676490562848283</v>
      </c>
      <c r="P597" s="7">
        <f t="shared" si="512"/>
        <v>1.6397534939100344</v>
      </c>
      <c r="R597" s="7">
        <f t="shared" ref="R597:W597" si="513">K597/$I597</f>
        <v>4.4735845172795365E-2</v>
      </c>
      <c r="S597" s="7">
        <f t="shared" si="513"/>
        <v>0.17446881598621125</v>
      </c>
      <c r="T597" s="7">
        <f t="shared" si="513"/>
        <v>0.35964538554718584</v>
      </c>
      <c r="U597" s="7">
        <f t="shared" si="513"/>
        <v>0.25082258229778381</v>
      </c>
      <c r="V597" s="7">
        <f t="shared" si="513"/>
        <v>9.6971612570914065E-2</v>
      </c>
      <c r="W597" s="7">
        <f t="shared" si="513"/>
        <v>7.3355758425109538E-2</v>
      </c>
      <c r="X597" s="7">
        <f>SUM(R597:W597)</f>
        <v>0.99999999999999978</v>
      </c>
    </row>
    <row r="598" spans="1:24" ht="15.75" customHeight="1" x14ac:dyDescent="0.3">
      <c r="C598" t="s">
        <v>70</v>
      </c>
      <c r="D598" t="s">
        <v>71</v>
      </c>
      <c r="E598" t="s">
        <v>69</v>
      </c>
      <c r="F598" t="s">
        <v>73</v>
      </c>
      <c r="G598" t="s">
        <v>68</v>
      </c>
      <c r="H598" t="s">
        <v>72</v>
      </c>
      <c r="K598" t="s">
        <v>68</v>
      </c>
      <c r="L598" t="s">
        <v>69</v>
      </c>
      <c r="M598" t="s">
        <v>70</v>
      </c>
      <c r="N598" t="s">
        <v>71</v>
      </c>
      <c r="O598" t="s">
        <v>72</v>
      </c>
      <c r="P598" t="s">
        <v>73</v>
      </c>
    </row>
    <row r="599" spans="1:24" ht="15.75" customHeight="1" x14ac:dyDescent="0.3">
      <c r="A599">
        <v>299</v>
      </c>
      <c r="B599" s="16" t="s">
        <v>380</v>
      </c>
      <c r="C599" s="7">
        <f>Rankings!L308</f>
        <v>4.8964201534618494</v>
      </c>
      <c r="D599" s="7">
        <f>Rankings!M308</f>
        <v>3.4148436105683877</v>
      </c>
      <c r="E599" s="7">
        <f>Rankings!N308</f>
        <v>2.3753193036128368</v>
      </c>
      <c r="F599" s="7">
        <f>Rankings!O308</f>
        <v>1.7786584458211274</v>
      </c>
      <c r="G599" s="7">
        <f>Rankings!P308</f>
        <v>1.0847108741813811</v>
      </c>
      <c r="H599" s="7">
        <f>Rankings!Q308</f>
        <v>1</v>
      </c>
      <c r="I599" s="7">
        <f>Rankings!R308</f>
        <v>14.549952387645583</v>
      </c>
      <c r="K599" s="7">
        <f>G599</f>
        <v>1.0847108741813811</v>
      </c>
      <c r="L599" s="7">
        <f>E599</f>
        <v>2.3753193036128368</v>
      </c>
      <c r="M599" s="7">
        <f t="shared" ref="M599:N599" si="514">C599</f>
        <v>4.8964201534618494</v>
      </c>
      <c r="N599" s="7">
        <f t="shared" si="514"/>
        <v>3.4148436105683877</v>
      </c>
      <c r="O599" s="7">
        <f>H599</f>
        <v>1</v>
      </c>
      <c r="P599" s="7">
        <f>F599</f>
        <v>1.7786584458211274</v>
      </c>
      <c r="R599" s="7">
        <f t="shared" ref="R599:W599" si="515">K599/$I599</f>
        <v>7.4550819499754034E-2</v>
      </c>
      <c r="S599" s="7">
        <f t="shared" si="515"/>
        <v>0.16325272003156033</v>
      </c>
      <c r="T599" s="7">
        <f t="shared" si="515"/>
        <v>0.33652482310659776</v>
      </c>
      <c r="U599" s="7">
        <f t="shared" si="515"/>
        <v>0.23469792337382106</v>
      </c>
      <c r="V599" s="7">
        <f t="shared" si="515"/>
        <v>6.8728747239688817E-2</v>
      </c>
      <c r="W599" s="7">
        <f t="shared" si="515"/>
        <v>0.122244966748578</v>
      </c>
      <c r="X599" s="7">
        <f>SUM(R599:W599)</f>
        <v>1</v>
      </c>
    </row>
    <row r="600" spans="1:24" ht="15.75" customHeight="1" x14ac:dyDescent="0.3">
      <c r="C600" t="s">
        <v>70</v>
      </c>
      <c r="D600" t="s">
        <v>71</v>
      </c>
      <c r="E600" t="s">
        <v>69</v>
      </c>
      <c r="F600" t="s">
        <v>73</v>
      </c>
      <c r="G600" t="s">
        <v>72</v>
      </c>
      <c r="H600" t="s">
        <v>68</v>
      </c>
      <c r="K600" t="s">
        <v>68</v>
      </c>
      <c r="L600" t="s">
        <v>69</v>
      </c>
      <c r="M600" t="s">
        <v>70</v>
      </c>
      <c r="N600" t="s">
        <v>71</v>
      </c>
      <c r="O600" t="s">
        <v>72</v>
      </c>
      <c r="P600" t="s">
        <v>73</v>
      </c>
    </row>
    <row r="601" spans="1:24" ht="15.75" customHeight="1" x14ac:dyDescent="0.3">
      <c r="A601">
        <v>300</v>
      </c>
      <c r="B601" s="16" t="s">
        <v>381</v>
      </c>
      <c r="C601" s="7">
        <f>Rankings!L309</f>
        <v>5.1683600762936477</v>
      </c>
      <c r="D601" s="7">
        <f>Rankings!M309</f>
        <v>3.6044989666930189</v>
      </c>
      <c r="E601" s="7">
        <f>Rankings!N309</f>
        <v>2.5072410194542893</v>
      </c>
      <c r="F601" s="7">
        <f>Rankings!O309</f>
        <v>1.8774425013844043</v>
      </c>
      <c r="G601" s="7">
        <f>Rankings!P309</f>
        <v>1.530542412441888</v>
      </c>
      <c r="H601" s="7">
        <f>Rankings!Q309</f>
        <v>1</v>
      </c>
      <c r="I601" s="7">
        <f>Rankings!R309</f>
        <v>15.688084976267248</v>
      </c>
      <c r="K601" s="7">
        <f>H601</f>
        <v>1</v>
      </c>
      <c r="L601" s="7">
        <f>E601</f>
        <v>2.5072410194542893</v>
      </c>
      <c r="M601" s="7">
        <f t="shared" ref="M601:N601" si="516">C601</f>
        <v>5.1683600762936477</v>
      </c>
      <c r="N601" s="7">
        <f t="shared" si="516"/>
        <v>3.6044989666930189</v>
      </c>
      <c r="O601" s="7">
        <f>G601</f>
        <v>1.530542412441888</v>
      </c>
      <c r="P601" s="7">
        <f>F601</f>
        <v>1.8774425013844043</v>
      </c>
      <c r="R601" s="7">
        <f t="shared" ref="R601:W601" si="517">K601/$I601</f>
        <v>6.3742643000263471E-2</v>
      </c>
      <c r="S601" s="7">
        <f t="shared" si="517"/>
        <v>0.15981816921869141</v>
      </c>
      <c r="T601" s="7">
        <f t="shared" si="517"/>
        <v>0.32944493124000046</v>
      </c>
      <c r="U601" s="7">
        <f t="shared" si="517"/>
        <v>0.22976029082873167</v>
      </c>
      <c r="V601" s="7">
        <f t="shared" si="517"/>
        <v>9.7560818593045273E-2</v>
      </c>
      <c r="W601" s="7">
        <f t="shared" si="517"/>
        <v>0.11967314711926773</v>
      </c>
      <c r="X601" s="7">
        <f>SUM(R601:W601)</f>
        <v>0.99999999999999989</v>
      </c>
    </row>
    <row r="602" spans="1:24" ht="15.75" customHeight="1" x14ac:dyDescent="0.3">
      <c r="C602" t="s">
        <v>70</v>
      </c>
      <c r="D602" t="s">
        <v>71</v>
      </c>
      <c r="E602" t="s">
        <v>72</v>
      </c>
      <c r="F602" t="s">
        <v>68</v>
      </c>
      <c r="G602" t="s">
        <v>69</v>
      </c>
      <c r="H602" t="s">
        <v>73</v>
      </c>
      <c r="K602" t="s">
        <v>68</v>
      </c>
      <c r="L602" t="s">
        <v>69</v>
      </c>
      <c r="M602" t="s">
        <v>70</v>
      </c>
      <c r="N602" t="s">
        <v>71</v>
      </c>
      <c r="O602" t="s">
        <v>72</v>
      </c>
      <c r="P602" t="s">
        <v>73</v>
      </c>
    </row>
    <row r="603" spans="1:24" ht="15.75" customHeight="1" x14ac:dyDescent="0.3">
      <c r="A603">
        <v>301</v>
      </c>
      <c r="B603" s="16" t="s">
        <v>382</v>
      </c>
      <c r="C603" s="7">
        <f>Rankings!L310</f>
        <v>9.091666794213495</v>
      </c>
      <c r="D603" s="7">
        <f>Rankings!M310</f>
        <v>6.3406773292700924</v>
      </c>
      <c r="E603" s="7">
        <f>Rankings!N310</f>
        <v>3.3466644534095145</v>
      </c>
      <c r="F603" s="7">
        <f>Rankings!O310</f>
        <v>2.186587203467373</v>
      </c>
      <c r="G603" s="7">
        <f>Rankings!P310</f>
        <v>1.3354555559520354</v>
      </c>
      <c r="H603" s="7">
        <f>Rankings!Q310</f>
        <v>1</v>
      </c>
      <c r="I603" s="7">
        <f>Rankings!R310</f>
        <v>23.301051336312508</v>
      </c>
      <c r="K603" s="7">
        <f t="shared" ref="K603:L603" si="518">F603</f>
        <v>2.186587203467373</v>
      </c>
      <c r="L603" s="7">
        <f t="shared" si="518"/>
        <v>1.3354555559520354</v>
      </c>
      <c r="M603" s="7">
        <f t="shared" ref="M603:O603" si="519">C603</f>
        <v>9.091666794213495</v>
      </c>
      <c r="N603" s="7">
        <f t="shared" si="519"/>
        <v>6.3406773292700924</v>
      </c>
      <c r="O603" s="7">
        <f t="shared" si="519"/>
        <v>3.3466644534095145</v>
      </c>
      <c r="P603" s="7">
        <f>H603</f>
        <v>1</v>
      </c>
      <c r="R603" s="7">
        <f t="shared" ref="R603:W603" si="520">K603/$I603</f>
        <v>9.3840710099624622E-2</v>
      </c>
      <c r="S603" s="7">
        <f t="shared" si="520"/>
        <v>5.7313103030284855E-2</v>
      </c>
      <c r="T603" s="7">
        <f t="shared" si="520"/>
        <v>0.39018268587928406</v>
      </c>
      <c r="U603" s="7">
        <f t="shared" si="520"/>
        <v>0.27211979570161027</v>
      </c>
      <c r="V603" s="7">
        <f t="shared" si="520"/>
        <v>0.14362718682113931</v>
      </c>
      <c r="W603" s="7">
        <f t="shared" si="520"/>
        <v>4.2916518468057004E-2</v>
      </c>
      <c r="X603" s="7">
        <f>SUM(R603:W603)</f>
        <v>1.0000000000000002</v>
      </c>
    </row>
    <row r="604" spans="1:24" ht="15.75" customHeight="1" x14ac:dyDescent="0.3">
      <c r="C604" t="s">
        <v>70</v>
      </c>
      <c r="D604" t="s">
        <v>71</v>
      </c>
      <c r="E604" t="s">
        <v>72</v>
      </c>
      <c r="F604" t="s">
        <v>68</v>
      </c>
      <c r="G604" t="s">
        <v>73</v>
      </c>
      <c r="H604" t="s">
        <v>69</v>
      </c>
      <c r="K604" t="s">
        <v>68</v>
      </c>
      <c r="L604" t="s">
        <v>69</v>
      </c>
      <c r="M604" t="s">
        <v>70</v>
      </c>
      <c r="N604" t="s">
        <v>71</v>
      </c>
      <c r="O604" t="s">
        <v>72</v>
      </c>
      <c r="P604" t="s">
        <v>73</v>
      </c>
    </row>
    <row r="605" spans="1:24" ht="15.75" customHeight="1" x14ac:dyDescent="0.3">
      <c r="A605">
        <v>302</v>
      </c>
      <c r="B605" s="16" t="s">
        <v>383</v>
      </c>
      <c r="C605" s="7">
        <f>Rankings!L311</f>
        <v>5.9970894207450067</v>
      </c>
      <c r="D605" s="7">
        <f>Rankings!M311</f>
        <v>4.1824683847768425</v>
      </c>
      <c r="E605" s="7">
        <f>Rankings!N311</f>
        <v>2.2075430658214978</v>
      </c>
      <c r="F605" s="7">
        <f>Rankings!O311</f>
        <v>1.4423272742239766</v>
      </c>
      <c r="G605" s="7">
        <f>Rankings!P311</f>
        <v>1.2419340531937677</v>
      </c>
      <c r="H605" s="7">
        <f>Rankings!Q311</f>
        <v>1</v>
      </c>
      <c r="I605" s="7">
        <f>Rankings!R311</f>
        <v>16.071362198761094</v>
      </c>
      <c r="K605" s="7">
        <f>F605</f>
        <v>1.4423272742239766</v>
      </c>
      <c r="L605" s="7">
        <f>H605</f>
        <v>1</v>
      </c>
      <c r="M605" s="7">
        <f t="shared" ref="M605:O605" si="521">C605</f>
        <v>5.9970894207450067</v>
      </c>
      <c r="N605" s="7">
        <f t="shared" si="521"/>
        <v>4.1824683847768425</v>
      </c>
      <c r="O605" s="7">
        <f t="shared" si="521"/>
        <v>2.2075430658214978</v>
      </c>
      <c r="P605" s="7">
        <f>G605</f>
        <v>1.2419340531937677</v>
      </c>
      <c r="R605" s="7">
        <f t="shared" ref="R605:W605" si="522">K605/$I605</f>
        <v>8.9745178808499651E-2</v>
      </c>
      <c r="S605" s="7">
        <f t="shared" si="522"/>
        <v>6.2222479192030646E-2</v>
      </c>
      <c r="T605" s="7">
        <f t="shared" si="522"/>
        <v>0.37315377169505332</v>
      </c>
      <c r="U605" s="7">
        <f t="shared" si="522"/>
        <v>0.26024355204310312</v>
      </c>
      <c r="V605" s="7">
        <f t="shared" si="522"/>
        <v>0.13735880247858967</v>
      </c>
      <c r="W605" s="7">
        <f t="shared" si="522"/>
        <v>7.7276215782723492E-2</v>
      </c>
      <c r="X605" s="7">
        <f>SUM(R605:W605)</f>
        <v>0.99999999999999989</v>
      </c>
    </row>
    <row r="606" spans="1:24" ht="15.75" customHeight="1" x14ac:dyDescent="0.3">
      <c r="C606" t="s">
        <v>70</v>
      </c>
      <c r="D606" t="s">
        <v>71</v>
      </c>
      <c r="E606" t="s">
        <v>72</v>
      </c>
      <c r="F606" t="s">
        <v>69</v>
      </c>
      <c r="G606" t="s">
        <v>68</v>
      </c>
      <c r="H606" t="s">
        <v>73</v>
      </c>
      <c r="K606" t="s">
        <v>68</v>
      </c>
      <c r="L606" t="s">
        <v>69</v>
      </c>
      <c r="M606" t="s">
        <v>70</v>
      </c>
      <c r="N606" t="s">
        <v>71</v>
      </c>
      <c r="O606" t="s">
        <v>72</v>
      </c>
      <c r="P606" t="s">
        <v>73</v>
      </c>
    </row>
    <row r="607" spans="1:24" ht="15.75" customHeight="1" x14ac:dyDescent="0.3">
      <c r="A607">
        <v>303</v>
      </c>
      <c r="B607" s="16" t="s">
        <v>384</v>
      </c>
      <c r="C607" s="7">
        <f>Rankings!L312</f>
        <v>10.037989453015184</v>
      </c>
      <c r="D607" s="7">
        <f>Rankings!M312</f>
        <v>7.000658250772565</v>
      </c>
      <c r="E607" s="7">
        <f>Rankings!N312</f>
        <v>3.6950081042880618</v>
      </c>
      <c r="F607" s="7">
        <f>Rankings!O312</f>
        <v>2.0254157288550885</v>
      </c>
      <c r="G607" s="7">
        <f>Rankings!P312</f>
        <v>1.1613557664474019</v>
      </c>
      <c r="H607" s="7">
        <f>Rankings!Q312</f>
        <v>1</v>
      </c>
      <c r="I607" s="7">
        <f>Rankings!R312</f>
        <v>24.920427303378297</v>
      </c>
      <c r="K607" s="7">
        <f>G607</f>
        <v>1.1613557664474019</v>
      </c>
      <c r="L607" s="7">
        <f>F607</f>
        <v>2.0254157288550885</v>
      </c>
      <c r="M607" s="7">
        <f t="shared" ref="M607:O607" si="523">C607</f>
        <v>10.037989453015184</v>
      </c>
      <c r="N607" s="7">
        <f t="shared" si="523"/>
        <v>7.000658250772565</v>
      </c>
      <c r="O607" s="7">
        <f t="shared" si="523"/>
        <v>3.6950081042880618</v>
      </c>
      <c r="P607" s="7">
        <f>H607</f>
        <v>1</v>
      </c>
      <c r="R607" s="7">
        <f t="shared" ref="R607:W607" si="524">K607/$I607</f>
        <v>4.6602562320027498E-2</v>
      </c>
      <c r="S607" s="7">
        <f t="shared" si="524"/>
        <v>8.1275321012674456E-2</v>
      </c>
      <c r="T607" s="7">
        <f t="shared" si="524"/>
        <v>0.40280165868802742</v>
      </c>
      <c r="U607" s="7">
        <f t="shared" si="524"/>
        <v>0.28092047401705394</v>
      </c>
      <c r="V607" s="7">
        <f t="shared" si="524"/>
        <v>0.14827226111757538</v>
      </c>
      <c r="W607" s="7">
        <f t="shared" si="524"/>
        <v>4.0127722844641459E-2</v>
      </c>
      <c r="X607" s="7">
        <f>SUM(R607:W607)</f>
        <v>1</v>
      </c>
    </row>
    <row r="608" spans="1:24" ht="15.75" customHeight="1" x14ac:dyDescent="0.3">
      <c r="C608" t="s">
        <v>70</v>
      </c>
      <c r="D608" t="s">
        <v>71</v>
      </c>
      <c r="E608" t="s">
        <v>72</v>
      </c>
      <c r="F608" t="s">
        <v>69</v>
      </c>
      <c r="G608" t="s">
        <v>73</v>
      </c>
      <c r="H608" t="s">
        <v>68</v>
      </c>
      <c r="K608" t="s">
        <v>68</v>
      </c>
      <c r="L608" t="s">
        <v>69</v>
      </c>
      <c r="M608" t="s">
        <v>70</v>
      </c>
      <c r="N608" t="s">
        <v>71</v>
      </c>
      <c r="O608" t="s">
        <v>72</v>
      </c>
      <c r="P608" t="s">
        <v>73</v>
      </c>
    </row>
    <row r="609" spans="1:24" ht="15.75" customHeight="1" x14ac:dyDescent="0.3">
      <c r="A609">
        <v>304</v>
      </c>
      <c r="B609" s="16" t="s">
        <v>385</v>
      </c>
      <c r="C609" s="7">
        <f>Rankings!L313</f>
        <v>10.852769043871323</v>
      </c>
      <c r="D609" s="7">
        <f>Rankings!M313</f>
        <v>7.5688988822243903</v>
      </c>
      <c r="E609" s="7">
        <f>Rankings!N313</f>
        <v>3.9949304349015513</v>
      </c>
      <c r="F609" s="7">
        <f>Rankings!O313</f>
        <v>2.1898179138339176</v>
      </c>
      <c r="G609" s="7">
        <f>Rankings!P313</f>
        <v>1.6397534939100344</v>
      </c>
      <c r="H609" s="7">
        <f>Rankings!Q313</f>
        <v>1</v>
      </c>
      <c r="I609" s="7">
        <f>Rankings!R313</f>
        <v>27.246169768741218</v>
      </c>
      <c r="K609" s="7">
        <f>H609</f>
        <v>1</v>
      </c>
      <c r="L609" s="7">
        <f>F609</f>
        <v>2.1898179138339176</v>
      </c>
      <c r="M609" s="7">
        <f t="shared" ref="M609:O609" si="525">C609</f>
        <v>10.852769043871323</v>
      </c>
      <c r="N609" s="7">
        <f t="shared" si="525"/>
        <v>7.5688988822243903</v>
      </c>
      <c r="O609" s="7">
        <f t="shared" si="525"/>
        <v>3.9949304349015513</v>
      </c>
      <c r="P609" s="7">
        <f>G609</f>
        <v>1.6397534939100344</v>
      </c>
      <c r="R609" s="7">
        <f t="shared" ref="R609:W609" si="526">K609/$I609</f>
        <v>3.6702406557976915E-2</v>
      </c>
      <c r="S609" s="7">
        <f t="shared" si="526"/>
        <v>8.0371587361473304E-2</v>
      </c>
      <c r="T609" s="7">
        <f t="shared" si="526"/>
        <v>0.39832274172799165</v>
      </c>
      <c r="U609" s="7">
        <f t="shared" si="526"/>
        <v>0.2777968039716166</v>
      </c>
      <c r="V609" s="7">
        <f t="shared" si="526"/>
        <v>0.14662356099259224</v>
      </c>
      <c r="W609" s="7">
        <f t="shared" si="526"/>
        <v>6.0182899388349205E-2</v>
      </c>
      <c r="X609" s="7">
        <f>SUM(R609:W609)</f>
        <v>0.99999999999999978</v>
      </c>
    </row>
    <row r="610" spans="1:24" ht="15.75" customHeight="1" x14ac:dyDescent="0.3">
      <c r="C610" t="s">
        <v>70</v>
      </c>
      <c r="D610" t="s">
        <v>71</v>
      </c>
      <c r="E610" t="s">
        <v>72</v>
      </c>
      <c r="F610" t="s">
        <v>73</v>
      </c>
      <c r="G610" t="s">
        <v>68</v>
      </c>
      <c r="H610" t="s">
        <v>69</v>
      </c>
      <c r="K610" t="s">
        <v>68</v>
      </c>
      <c r="L610" t="s">
        <v>69</v>
      </c>
      <c r="M610" t="s">
        <v>70</v>
      </c>
      <c r="N610" t="s">
        <v>71</v>
      </c>
      <c r="O610" t="s">
        <v>72</v>
      </c>
      <c r="P610" t="s">
        <v>73</v>
      </c>
    </row>
    <row r="611" spans="1:24" ht="15.75" customHeight="1" x14ac:dyDescent="0.3">
      <c r="A611">
        <v>305</v>
      </c>
      <c r="B611" s="16" t="s">
        <v>386</v>
      </c>
      <c r="C611" s="7">
        <f>Rankings!L314</f>
        <v>9.6417901209507519</v>
      </c>
      <c r="D611" s="7">
        <f>Rankings!M314</f>
        <v>6.7243423474783759</v>
      </c>
      <c r="E611" s="7">
        <f>Rankings!N314</f>
        <v>3.5491661755090016</v>
      </c>
      <c r="F611" s="7">
        <f>Rankings!O314</f>
        <v>2.6848246582556978</v>
      </c>
      <c r="G611" s="7">
        <f>Rankings!P314</f>
        <v>1.6373343116675814</v>
      </c>
      <c r="H611" s="7">
        <f>Rankings!Q314</f>
        <v>1</v>
      </c>
      <c r="I611" s="7">
        <f>Rankings!R314</f>
        <v>25.237457613861409</v>
      </c>
      <c r="K611" s="7">
        <f t="shared" ref="K611:L611" si="527">G611</f>
        <v>1.6373343116675814</v>
      </c>
      <c r="L611" s="7">
        <f t="shared" si="527"/>
        <v>1</v>
      </c>
      <c r="M611" s="7">
        <f t="shared" ref="M611:P611" si="528">C611</f>
        <v>9.6417901209507519</v>
      </c>
      <c r="N611" s="7">
        <f t="shared" si="528"/>
        <v>6.7243423474783759</v>
      </c>
      <c r="O611" s="7">
        <f t="shared" si="528"/>
        <v>3.5491661755090016</v>
      </c>
      <c r="P611" s="7">
        <f t="shared" si="528"/>
        <v>2.6848246582556978</v>
      </c>
      <c r="R611" s="7">
        <f t="shared" ref="R611:W611" si="529">K611/$I611</f>
        <v>6.4877149541730891E-2</v>
      </c>
      <c r="S611" s="7">
        <f t="shared" si="529"/>
        <v>3.9623642575263227E-2</v>
      </c>
      <c r="T611" s="7">
        <f t="shared" si="529"/>
        <v>0.38204284553825657</v>
      </c>
      <c r="U611" s="7">
        <f t="shared" si="529"/>
        <v>0.26644293773018962</v>
      </c>
      <c r="V611" s="7">
        <f t="shared" si="529"/>
        <v>0.14063089197858264</v>
      </c>
      <c r="W611" s="7">
        <f t="shared" si="529"/>
        <v>0.10638253263597701</v>
      </c>
      <c r="X611" s="7">
        <f>SUM(R611:W611)</f>
        <v>0.99999999999999989</v>
      </c>
    </row>
    <row r="612" spans="1:24" ht="15.75" customHeight="1" x14ac:dyDescent="0.3">
      <c r="C612" t="s">
        <v>70</v>
      </c>
      <c r="D612" t="s">
        <v>71</v>
      </c>
      <c r="E612" t="s">
        <v>72</v>
      </c>
      <c r="F612" t="s">
        <v>73</v>
      </c>
      <c r="G612" t="s">
        <v>69</v>
      </c>
      <c r="H612" t="s">
        <v>68</v>
      </c>
      <c r="K612" t="s">
        <v>68</v>
      </c>
      <c r="L612" t="s">
        <v>69</v>
      </c>
      <c r="M612" t="s">
        <v>70</v>
      </c>
      <c r="N612" t="s">
        <v>71</v>
      </c>
      <c r="O612" t="s">
        <v>72</v>
      </c>
      <c r="P612" t="s">
        <v>73</v>
      </c>
    </row>
    <row r="613" spans="1:24" ht="15.75" customHeight="1" x14ac:dyDescent="0.3">
      <c r="A613">
        <v>306</v>
      </c>
      <c r="B613" s="16" t="s">
        <v>387</v>
      </c>
      <c r="C613" s="7">
        <f>Rankings!L315</f>
        <v>7.7783804071756766</v>
      </c>
      <c r="D613" s="7">
        <f>Rankings!M315</f>
        <v>5.4247698934157969</v>
      </c>
      <c r="E613" s="7">
        <f>Rankings!N315</f>
        <v>2.8632405699645762</v>
      </c>
      <c r="F613" s="7">
        <f>Rankings!O315</f>
        <v>2.1659450430371923</v>
      </c>
      <c r="G613" s="7">
        <f>Rankings!P315</f>
        <v>1.7440097060445605</v>
      </c>
      <c r="H613" s="7">
        <f>Rankings!Q315</f>
        <v>1</v>
      </c>
      <c r="I613" s="7">
        <f>Rankings!R315</f>
        <v>20.976345619637801</v>
      </c>
      <c r="K613" s="7">
        <f>H613</f>
        <v>1</v>
      </c>
      <c r="L613" s="7">
        <f>G613</f>
        <v>1.7440097060445605</v>
      </c>
      <c r="M613" s="7">
        <f t="shared" ref="M613:P613" si="530">C613</f>
        <v>7.7783804071756766</v>
      </c>
      <c r="N613" s="7">
        <f t="shared" si="530"/>
        <v>5.4247698934157969</v>
      </c>
      <c r="O613" s="7">
        <f t="shared" si="530"/>
        <v>2.8632405699645762</v>
      </c>
      <c r="P613" s="7">
        <f t="shared" si="530"/>
        <v>2.1659450430371923</v>
      </c>
      <c r="R613" s="7">
        <f t="shared" ref="R613:W613" si="531">K613/$I613</f>
        <v>4.7672746155737064E-2</v>
      </c>
      <c r="S613" s="7">
        <f t="shared" si="531"/>
        <v>8.3141732009403946E-2</v>
      </c>
      <c r="T613" s="7">
        <f t="shared" si="531"/>
        <v>0.37081675465404473</v>
      </c>
      <c r="U613" s="7">
        <f t="shared" si="531"/>
        <v>0.25861367808209612</v>
      </c>
      <c r="V613" s="7">
        <f t="shared" si="531"/>
        <v>0.13649854087472915</v>
      </c>
      <c r="W613" s="7">
        <f t="shared" si="531"/>
        <v>0.10325654822398905</v>
      </c>
      <c r="X613" s="7">
        <f>SUM(R613:W613)</f>
        <v>1</v>
      </c>
    </row>
    <row r="614" spans="1:24" ht="15.75" customHeight="1" x14ac:dyDescent="0.3">
      <c r="C614" t="s">
        <v>70</v>
      </c>
      <c r="D614" t="s">
        <v>71</v>
      </c>
      <c r="E614" t="s">
        <v>73</v>
      </c>
      <c r="F614" t="s">
        <v>68</v>
      </c>
      <c r="G614" t="s">
        <v>69</v>
      </c>
      <c r="H614" t="s">
        <v>72</v>
      </c>
      <c r="K614" t="s">
        <v>68</v>
      </c>
      <c r="L614" t="s">
        <v>69</v>
      </c>
      <c r="M614" t="s">
        <v>70</v>
      </c>
      <c r="N614" t="s">
        <v>71</v>
      </c>
      <c r="O614" t="s">
        <v>72</v>
      </c>
      <c r="P614" t="s">
        <v>73</v>
      </c>
    </row>
    <row r="615" spans="1:24" ht="15.75" customHeight="1" x14ac:dyDescent="0.3">
      <c r="A615">
        <v>307</v>
      </c>
      <c r="B615" s="16" t="s">
        <v>388</v>
      </c>
      <c r="C615" s="7">
        <f>Rankings!L316</f>
        <v>10.238880711231122</v>
      </c>
      <c r="D615" s="7">
        <f>Rankings!M316</f>
        <v>7.1407631045304099</v>
      </c>
      <c r="E615" s="7">
        <f>Rankings!N316</f>
        <v>4.8304670494564359</v>
      </c>
      <c r="F615" s="7">
        <f>Rankings!O316</f>
        <v>2.9458495239659848</v>
      </c>
      <c r="G615" s="7">
        <f>Rankings!P316</f>
        <v>1.7991741228251155</v>
      </c>
      <c r="H615" s="7">
        <f>Rankings!Q316</f>
        <v>1</v>
      </c>
      <c r="I615" s="7">
        <f>Rankings!R316</f>
        <v>27.955134512009071</v>
      </c>
      <c r="K615" s="7">
        <f t="shared" ref="K615:L615" si="532">F615</f>
        <v>2.9458495239659848</v>
      </c>
      <c r="L615" s="7">
        <f t="shared" si="532"/>
        <v>1.7991741228251155</v>
      </c>
      <c r="M615" s="7">
        <f t="shared" ref="M615:N615" si="533">C615</f>
        <v>10.238880711231122</v>
      </c>
      <c r="N615" s="7">
        <f t="shared" si="533"/>
        <v>7.1407631045304099</v>
      </c>
      <c r="O615" s="7">
        <f>H615</f>
        <v>1</v>
      </c>
      <c r="P615" s="7">
        <f>E615</f>
        <v>4.8304670494564359</v>
      </c>
      <c r="R615" s="7">
        <f t="shared" ref="R615:W615" si="534">K615/$I615</f>
        <v>0.10537776245363784</v>
      </c>
      <c r="S615" s="7">
        <f t="shared" si="534"/>
        <v>6.4359344150256889E-2</v>
      </c>
      <c r="T615" s="7">
        <f t="shared" si="534"/>
        <v>0.36626118564490062</v>
      </c>
      <c r="U615" s="7">
        <f t="shared" si="534"/>
        <v>0.25543654964217233</v>
      </c>
      <c r="V615" s="7">
        <f t="shared" si="534"/>
        <v>3.577160394525794E-2</v>
      </c>
      <c r="W615" s="7">
        <f t="shared" si="534"/>
        <v>0.17279355416377432</v>
      </c>
      <c r="X615" s="7">
        <f>SUM(R615:W615)</f>
        <v>0.99999999999999989</v>
      </c>
    </row>
    <row r="616" spans="1:24" ht="15.75" customHeight="1" x14ac:dyDescent="0.3">
      <c r="C616" t="s">
        <v>70</v>
      </c>
      <c r="D616" t="s">
        <v>71</v>
      </c>
      <c r="E616" t="s">
        <v>73</v>
      </c>
      <c r="F616" t="s">
        <v>68</v>
      </c>
      <c r="G616" t="s">
        <v>72</v>
      </c>
      <c r="H616" t="s">
        <v>69</v>
      </c>
      <c r="K616" t="s">
        <v>68</v>
      </c>
      <c r="L616" t="s">
        <v>69</v>
      </c>
      <c r="M616" t="s">
        <v>70</v>
      </c>
      <c r="N616" t="s">
        <v>71</v>
      </c>
      <c r="O616" t="s">
        <v>72</v>
      </c>
      <c r="P616" t="s">
        <v>73</v>
      </c>
    </row>
    <row r="617" spans="1:24" ht="15.75" customHeight="1" x14ac:dyDescent="0.3">
      <c r="A617">
        <v>308</v>
      </c>
      <c r="B617" s="16" t="s">
        <v>389</v>
      </c>
      <c r="C617" s="7">
        <f>Rankings!L317</f>
        <v>6.877920239910905</v>
      </c>
      <c r="D617" s="7">
        <f>Rankings!M317</f>
        <v>4.7967742246655529</v>
      </c>
      <c r="E617" s="7">
        <f>Rankings!N317</f>
        <v>3.2448436528062969</v>
      </c>
      <c r="F617" s="7">
        <f>Rankings!O317</f>
        <v>1.9788606426865321</v>
      </c>
      <c r="G617" s="7">
        <f>Rankings!P317</f>
        <v>1.8243208303594776</v>
      </c>
      <c r="H617" s="7">
        <f>Rankings!Q317</f>
        <v>1</v>
      </c>
      <c r="I617" s="7">
        <f>Rankings!R317</f>
        <v>19.722719590428767</v>
      </c>
      <c r="K617" s="7">
        <f>F617</f>
        <v>1.9788606426865321</v>
      </c>
      <c r="L617" s="7">
        <f>H617</f>
        <v>1</v>
      </c>
      <c r="M617" s="7">
        <f t="shared" ref="M617:N617" si="535">C617</f>
        <v>6.877920239910905</v>
      </c>
      <c r="N617" s="7">
        <f t="shared" si="535"/>
        <v>4.7967742246655529</v>
      </c>
      <c r="O617" s="7">
        <f>G617</f>
        <v>1.8243208303594776</v>
      </c>
      <c r="P617" s="7">
        <f>E617</f>
        <v>3.2448436528062969</v>
      </c>
      <c r="R617" s="7">
        <f t="shared" ref="R617:W617" si="536">K617/$I617</f>
        <v>0.10033406567554977</v>
      </c>
      <c r="S617" s="7">
        <f t="shared" si="536"/>
        <v>5.0702946691250923E-2</v>
      </c>
      <c r="T617" s="7">
        <f t="shared" si="536"/>
        <v>0.3487308232708784</v>
      </c>
      <c r="U617" s="7">
        <f t="shared" si="536"/>
        <v>0.243210587803184</v>
      </c>
      <c r="V617" s="7">
        <f t="shared" si="536"/>
        <v>9.2498441809455212E-2</v>
      </c>
      <c r="W617" s="7">
        <f t="shared" si="536"/>
        <v>0.16452313474968158</v>
      </c>
      <c r="X617" s="7">
        <f>SUM(R617:W617)</f>
        <v>1</v>
      </c>
    </row>
    <row r="618" spans="1:24" ht="15.75" customHeight="1" x14ac:dyDescent="0.3">
      <c r="C618" t="s">
        <v>70</v>
      </c>
      <c r="D618" t="s">
        <v>71</v>
      </c>
      <c r="E618" t="s">
        <v>73</v>
      </c>
      <c r="F618" t="s">
        <v>69</v>
      </c>
      <c r="G618" t="s">
        <v>68</v>
      </c>
      <c r="H618" t="s">
        <v>72</v>
      </c>
      <c r="K618" t="s">
        <v>68</v>
      </c>
      <c r="L618" t="s">
        <v>69</v>
      </c>
      <c r="M618" t="s">
        <v>70</v>
      </c>
      <c r="N618" t="s">
        <v>71</v>
      </c>
      <c r="O618" t="s">
        <v>72</v>
      </c>
      <c r="P618" t="s">
        <v>73</v>
      </c>
    </row>
    <row r="619" spans="1:24" ht="15.75" customHeight="1" x14ac:dyDescent="0.3">
      <c r="A619">
        <v>309</v>
      </c>
      <c r="B619" s="16" t="s">
        <v>390</v>
      </c>
      <c r="C619" s="7">
        <f>Rankings!L318</f>
        <v>4.9799477512478481</v>
      </c>
      <c r="D619" s="7">
        <f>Rankings!M318</f>
        <v>3.4730971253130285</v>
      </c>
      <c r="E619" s="7">
        <f>Rankings!N318</f>
        <v>2.3494241410617018</v>
      </c>
      <c r="F619" s="7">
        <f>Rankings!O318</f>
        <v>1.8917462928244089</v>
      </c>
      <c r="G619" s="7">
        <f>Rankings!P318</f>
        <v>1.0847108741813811</v>
      </c>
      <c r="H619" s="7">
        <f>Rankings!Q318</f>
        <v>1</v>
      </c>
      <c r="I619" s="7">
        <f>Rankings!R318</f>
        <v>14.77892618462837</v>
      </c>
      <c r="K619" s="7">
        <f>G619</f>
        <v>1.0847108741813811</v>
      </c>
      <c r="L619" s="7">
        <f>F619</f>
        <v>1.8917462928244089</v>
      </c>
      <c r="M619" s="7">
        <f t="shared" ref="M619:N619" si="537">C619</f>
        <v>4.9799477512478481</v>
      </c>
      <c r="N619" s="7">
        <f t="shared" si="537"/>
        <v>3.4730971253130285</v>
      </c>
      <c r="O619" s="7">
        <f>H619</f>
        <v>1</v>
      </c>
      <c r="P619" s="7">
        <f>E619</f>
        <v>2.3494241410617018</v>
      </c>
      <c r="R619" s="7">
        <f t="shared" ref="R619:W619" si="538">K619/$I619</f>
        <v>7.3395784012345491E-2</v>
      </c>
      <c r="S619" s="7">
        <f t="shared" si="538"/>
        <v>0.12800295970028072</v>
      </c>
      <c r="T619" s="7">
        <f t="shared" si="538"/>
        <v>0.33696275961020195</v>
      </c>
      <c r="U619" s="7">
        <f t="shared" si="538"/>
        <v>0.23500334746413531</v>
      </c>
      <c r="V619" s="7">
        <f t="shared" si="538"/>
        <v>6.7663914651668308E-2</v>
      </c>
      <c r="W619" s="7">
        <f t="shared" si="538"/>
        <v>0.15897123456136814</v>
      </c>
      <c r="X619" s="7">
        <f>SUM(R619:W619)</f>
        <v>1</v>
      </c>
    </row>
    <row r="620" spans="1:24" ht="15.75" customHeight="1" x14ac:dyDescent="0.3">
      <c r="C620" t="s">
        <v>70</v>
      </c>
      <c r="D620" t="s">
        <v>71</v>
      </c>
      <c r="E620" t="s">
        <v>73</v>
      </c>
      <c r="F620" t="s">
        <v>69</v>
      </c>
      <c r="G620" t="s">
        <v>72</v>
      </c>
      <c r="H620" t="s">
        <v>68</v>
      </c>
      <c r="K620" t="s">
        <v>68</v>
      </c>
      <c r="L620" t="s">
        <v>69</v>
      </c>
      <c r="M620" t="s">
        <v>70</v>
      </c>
      <c r="N620" t="s">
        <v>71</v>
      </c>
      <c r="O620" t="s">
        <v>72</v>
      </c>
      <c r="P620" t="s">
        <v>73</v>
      </c>
    </row>
    <row r="621" spans="1:24" ht="15.75" customHeight="1" x14ac:dyDescent="0.3">
      <c r="A621">
        <v>310</v>
      </c>
      <c r="B621" s="16" t="s">
        <v>391</v>
      </c>
      <c r="C621" s="7">
        <f>Rankings!L319</f>
        <v>7.2490393874148857</v>
      </c>
      <c r="D621" s="7">
        <f>Rankings!M319</f>
        <v>5.0555987964739053</v>
      </c>
      <c r="E621" s="7">
        <f>Rankings!N319</f>
        <v>3.4199290809892759</v>
      </c>
      <c r="F621" s="7">
        <f>Rankings!O319</f>
        <v>2.75371230235177</v>
      </c>
      <c r="G621" s="7">
        <f>Rankings!P319</f>
        <v>1.530542412441888</v>
      </c>
      <c r="H621" s="7">
        <f>Rankings!Q319</f>
        <v>1</v>
      </c>
      <c r="I621" s="7">
        <f>Rankings!R319</f>
        <v>21.008821979671726</v>
      </c>
      <c r="K621" s="7">
        <f>H621</f>
        <v>1</v>
      </c>
      <c r="L621" s="7">
        <f>F621</f>
        <v>2.75371230235177</v>
      </c>
      <c r="M621" s="7">
        <f t="shared" ref="M621:N621" si="539">C621</f>
        <v>7.2490393874148857</v>
      </c>
      <c r="N621" s="7">
        <f t="shared" si="539"/>
        <v>5.0555987964739053</v>
      </c>
      <c r="O621" s="7">
        <f>G621</f>
        <v>1.530542412441888</v>
      </c>
      <c r="P621" s="7">
        <f>E621</f>
        <v>3.4199290809892759</v>
      </c>
      <c r="R621" s="7">
        <f t="shared" ref="R621:W621" si="540">K621/$I621</f>
        <v>4.7599051530238419E-2</v>
      </c>
      <c r="S621" s="7">
        <f t="shared" si="540"/>
        <v>0.13107409377909338</v>
      </c>
      <c r="T621" s="7">
        <f t="shared" si="540"/>
        <v>0.34504739934628909</v>
      </c>
      <c r="U621" s="7">
        <f t="shared" si="540"/>
        <v>0.24064170762957274</v>
      </c>
      <c r="V621" s="7">
        <f t="shared" si="540"/>
        <v>7.2852367159036854E-2</v>
      </c>
      <c r="W621" s="7">
        <f t="shared" si="540"/>
        <v>0.16278538055576947</v>
      </c>
      <c r="X621" s="7">
        <f>SUM(R621:W621)</f>
        <v>1</v>
      </c>
    </row>
    <row r="622" spans="1:24" ht="15.75" customHeight="1" x14ac:dyDescent="0.3">
      <c r="C622" t="s">
        <v>70</v>
      </c>
      <c r="D622" t="s">
        <v>71</v>
      </c>
      <c r="E622" t="s">
        <v>73</v>
      </c>
      <c r="F622" t="s">
        <v>72</v>
      </c>
      <c r="G622" t="s">
        <v>68</v>
      </c>
      <c r="H622" t="s">
        <v>69</v>
      </c>
      <c r="K622" t="s">
        <v>68</v>
      </c>
      <c r="L622" t="s">
        <v>69</v>
      </c>
      <c r="M622" t="s">
        <v>70</v>
      </c>
      <c r="N622" t="s">
        <v>71</v>
      </c>
      <c r="O622" t="s">
        <v>72</v>
      </c>
      <c r="P622" t="s">
        <v>73</v>
      </c>
    </row>
    <row r="623" spans="1:24" ht="15.75" customHeight="1" x14ac:dyDescent="0.3">
      <c r="A623">
        <v>311</v>
      </c>
      <c r="B623" s="16" t="s">
        <v>392</v>
      </c>
      <c r="C623" s="7">
        <f>Rankings!L320</f>
        <v>6.5157943292218601</v>
      </c>
      <c r="D623" s="7">
        <f>Rankings!M320</f>
        <v>4.5442216835067946</v>
      </c>
      <c r="E623" s="7">
        <f>Rankings!N320</f>
        <v>3.0740010256996957</v>
      </c>
      <c r="F623" s="7">
        <f>Rankings!O320</f>
        <v>2.5060096073535783</v>
      </c>
      <c r="G623" s="7">
        <f>Rankings!P320</f>
        <v>1.6373343116675814</v>
      </c>
      <c r="H623" s="7">
        <f>Rankings!Q320</f>
        <v>1</v>
      </c>
      <c r="I623" s="7">
        <f>Rankings!R320</f>
        <v>19.27736095744951</v>
      </c>
      <c r="K623" s="7">
        <f t="shared" ref="K623:L623" si="541">G623</f>
        <v>1.6373343116675814</v>
      </c>
      <c r="L623" s="7">
        <f t="shared" si="541"/>
        <v>1</v>
      </c>
      <c r="M623" s="7">
        <f t="shared" ref="M623:N623" si="542">C623</f>
        <v>6.5157943292218601</v>
      </c>
      <c r="N623" s="7">
        <f t="shared" si="542"/>
        <v>4.5442216835067946</v>
      </c>
      <c r="O623" s="7">
        <f>F623</f>
        <v>2.5060096073535783</v>
      </c>
      <c r="P623" s="7">
        <f>E623</f>
        <v>3.0740010256996957</v>
      </c>
      <c r="R623" s="7">
        <f t="shared" ref="R623:W623" si="543">K623/$I623</f>
        <v>8.4935604789557709E-2</v>
      </c>
      <c r="S623" s="7">
        <f t="shared" si="543"/>
        <v>5.1874320463640107E-2</v>
      </c>
      <c r="T623" s="7">
        <f t="shared" si="543"/>
        <v>0.33800240310922369</v>
      </c>
      <c r="U623" s="7">
        <f t="shared" si="543"/>
        <v>0.23572841186805363</v>
      </c>
      <c r="V623" s="7">
        <f t="shared" si="543"/>
        <v>0.12999754545682043</v>
      </c>
      <c r="W623" s="7">
        <f t="shared" si="543"/>
        <v>0.15946171431270442</v>
      </c>
      <c r="X623" s="7">
        <f>SUM(R623:W623)</f>
        <v>0.99999999999999989</v>
      </c>
    </row>
    <row r="624" spans="1:24" ht="15.75" customHeight="1" x14ac:dyDescent="0.3">
      <c r="C624" t="s">
        <v>70</v>
      </c>
      <c r="D624" t="s">
        <v>71</v>
      </c>
      <c r="E624" t="s">
        <v>73</v>
      </c>
      <c r="F624" t="s">
        <v>72</v>
      </c>
      <c r="G624" t="s">
        <v>69</v>
      </c>
      <c r="H624" t="s">
        <v>68</v>
      </c>
      <c r="K624" t="s">
        <v>68</v>
      </c>
      <c r="L624" t="s">
        <v>69</v>
      </c>
      <c r="M624" t="s">
        <v>70</v>
      </c>
      <c r="N624" t="s">
        <v>71</v>
      </c>
      <c r="O624" t="s">
        <v>72</v>
      </c>
      <c r="P624" t="s">
        <v>73</v>
      </c>
    </row>
    <row r="625" spans="1:24" ht="15.75" customHeight="1" x14ac:dyDescent="0.3">
      <c r="A625">
        <v>312</v>
      </c>
      <c r="B625" s="16" t="s">
        <v>393</v>
      </c>
      <c r="C625" s="7">
        <f>Rankings!L321</f>
        <v>8.2724614183466336</v>
      </c>
      <c r="D625" s="7">
        <f>Rankings!M321</f>
        <v>5.7693500828644941</v>
      </c>
      <c r="E625" s="7">
        <f>Rankings!N321</f>
        <v>3.9027559189541821</v>
      </c>
      <c r="F625" s="7">
        <f>Rankings!O321</f>
        <v>3.1816332350862009</v>
      </c>
      <c r="G625" s="7">
        <f>Rankings!P321</f>
        <v>1.7440097060445605</v>
      </c>
      <c r="H625" s="7">
        <f>Rankings!Q321</f>
        <v>1</v>
      </c>
      <c r="I625" s="7">
        <f>Rankings!R321</f>
        <v>23.870210361296071</v>
      </c>
      <c r="K625" s="7">
        <f>H625</f>
        <v>1</v>
      </c>
      <c r="L625" s="7">
        <f>G625</f>
        <v>1.7440097060445605</v>
      </c>
      <c r="M625" s="7">
        <f t="shared" ref="M625:N625" si="544">C625</f>
        <v>8.2724614183466336</v>
      </c>
      <c r="N625" s="7">
        <f t="shared" si="544"/>
        <v>5.7693500828644941</v>
      </c>
      <c r="O625" s="7">
        <f>F625</f>
        <v>3.1816332350862009</v>
      </c>
      <c r="P625" s="7">
        <f>E625</f>
        <v>3.9027559189541821</v>
      </c>
      <c r="R625" s="7">
        <f t="shared" ref="R625:W625" si="545">K625/$I625</f>
        <v>4.1893221084529371E-2</v>
      </c>
      <c r="S625" s="7">
        <f t="shared" si="545"/>
        <v>7.306218418888985E-2</v>
      </c>
      <c r="T625" s="7">
        <f t="shared" si="545"/>
        <v>0.34656005511203491</v>
      </c>
      <c r="U625" s="7">
        <f t="shared" si="545"/>
        <v>0.24169665853549011</v>
      </c>
      <c r="V625" s="7">
        <f t="shared" si="545"/>
        <v>0.13328886452735261</v>
      </c>
      <c r="W625" s="7">
        <f t="shared" si="545"/>
        <v>0.16349901655170315</v>
      </c>
      <c r="X625" s="7">
        <f>SUM(R625:W625)</f>
        <v>1</v>
      </c>
    </row>
    <row r="626" spans="1:24" ht="15.75" customHeight="1" x14ac:dyDescent="0.3">
      <c r="C626" t="s">
        <v>70</v>
      </c>
      <c r="D626" t="s">
        <v>72</v>
      </c>
      <c r="E626" t="s">
        <v>68</v>
      </c>
      <c r="F626" t="s">
        <v>69</v>
      </c>
      <c r="G626" t="s">
        <v>71</v>
      </c>
      <c r="H626" t="s">
        <v>73</v>
      </c>
      <c r="K626" t="s">
        <v>68</v>
      </c>
      <c r="L626" t="s">
        <v>69</v>
      </c>
      <c r="M626" t="s">
        <v>70</v>
      </c>
      <c r="N626" t="s">
        <v>71</v>
      </c>
      <c r="O626" t="s">
        <v>72</v>
      </c>
      <c r="P626" t="s">
        <v>73</v>
      </c>
    </row>
    <row r="627" spans="1:24" ht="15.75" customHeight="1" x14ac:dyDescent="0.3">
      <c r="A627">
        <v>313</v>
      </c>
      <c r="B627" s="16" t="s">
        <v>394</v>
      </c>
      <c r="C627" s="7">
        <f>Rankings!L322</f>
        <v>7.5632066165579488</v>
      </c>
      <c r="D627" s="7">
        <f>Rankings!M322</f>
        <v>3.3742147738032076</v>
      </c>
      <c r="E627" s="7">
        <f>Rankings!N322</f>
        <v>2.2045875673708717</v>
      </c>
      <c r="F627" s="7">
        <f>Rankings!O322</f>
        <v>1.3464492569788988</v>
      </c>
      <c r="G627" s="7">
        <f>Rankings!P322</f>
        <v>1.478275916473532</v>
      </c>
      <c r="H627" s="7">
        <f>Rankings!Q322</f>
        <v>1</v>
      </c>
      <c r="I627" s="7">
        <f>Rankings!R322</f>
        <v>16.966734131184459</v>
      </c>
      <c r="K627" s="7">
        <f t="shared" ref="K627:L627" si="546">E627</f>
        <v>2.2045875673708717</v>
      </c>
      <c r="L627" s="7">
        <f t="shared" si="546"/>
        <v>1.3464492569788988</v>
      </c>
      <c r="M627" s="7">
        <f>C627</f>
        <v>7.5632066165579488</v>
      </c>
      <c r="N627" s="7">
        <f>G627</f>
        <v>1.478275916473532</v>
      </c>
      <c r="O627" s="7">
        <f>D627</f>
        <v>3.3742147738032076</v>
      </c>
      <c r="P627" s="7">
        <f>H627</f>
        <v>1</v>
      </c>
      <c r="R627" s="7">
        <f t="shared" ref="R627:W627" si="547">K627/$I627</f>
        <v>0.12993588219897259</v>
      </c>
      <c r="S627" s="7">
        <f t="shared" si="547"/>
        <v>7.9358186824190088E-2</v>
      </c>
      <c r="T627" s="7">
        <f t="shared" si="547"/>
        <v>0.44576679036049444</v>
      </c>
      <c r="U627" s="7">
        <f t="shared" si="547"/>
        <v>8.7127900104033304E-2</v>
      </c>
      <c r="V627" s="7">
        <f t="shared" si="547"/>
        <v>0.19887237860358051</v>
      </c>
      <c r="W627" s="7">
        <f t="shared" si="547"/>
        <v>5.8938861908729004E-2</v>
      </c>
      <c r="X627" s="7">
        <f>SUM(R627:W627)</f>
        <v>0.99999999999999989</v>
      </c>
    </row>
    <row r="628" spans="1:24" ht="15.75" customHeight="1" x14ac:dyDescent="0.3">
      <c r="C628" t="s">
        <v>70</v>
      </c>
      <c r="D628" t="s">
        <v>72</v>
      </c>
      <c r="E628" t="s">
        <v>68</v>
      </c>
      <c r="F628" t="s">
        <v>69</v>
      </c>
      <c r="G628" t="s">
        <v>73</v>
      </c>
      <c r="H628" t="s">
        <v>71</v>
      </c>
      <c r="K628" t="s">
        <v>68</v>
      </c>
      <c r="L628" t="s">
        <v>69</v>
      </c>
      <c r="M628" t="s">
        <v>70</v>
      </c>
      <c r="N628" t="s">
        <v>71</v>
      </c>
      <c r="O628" t="s">
        <v>72</v>
      </c>
      <c r="P628" t="s">
        <v>73</v>
      </c>
    </row>
    <row r="629" spans="1:24" ht="15.75" customHeight="1" x14ac:dyDescent="0.3">
      <c r="A629">
        <v>314</v>
      </c>
      <c r="B629" s="16" t="s">
        <v>395</v>
      </c>
      <c r="C629" s="7">
        <f>Rankings!L323</f>
        <v>6.6529006523904917</v>
      </c>
      <c r="D629" s="7">
        <f>Rankings!M323</f>
        <v>2.9680949903967222</v>
      </c>
      <c r="E629" s="7">
        <f>Rankings!N323</f>
        <v>1.9392438695385814</v>
      </c>
      <c r="F629" s="7">
        <f>Rankings!O323</f>
        <v>1.1843909064383518</v>
      </c>
      <c r="G629" s="7">
        <f>Rankings!P323</f>
        <v>0.88688155974910687</v>
      </c>
      <c r="H629" s="7">
        <f>Rankings!Q323</f>
        <v>1</v>
      </c>
      <c r="I629" s="7">
        <f>Rankings!R323</f>
        <v>14.631511978513254</v>
      </c>
      <c r="K629" s="7">
        <f t="shared" ref="K629:L629" si="548">E629</f>
        <v>1.9392438695385814</v>
      </c>
      <c r="L629" s="7">
        <f t="shared" si="548"/>
        <v>1.1843909064383518</v>
      </c>
      <c r="M629" s="7">
        <f>C629</f>
        <v>6.6529006523904917</v>
      </c>
      <c r="N629" s="7">
        <f>H629</f>
        <v>1</v>
      </c>
      <c r="O629" s="7">
        <f>D629</f>
        <v>2.9680949903967222</v>
      </c>
      <c r="P629" s="7">
        <f>G629</f>
        <v>0.88688155974910687</v>
      </c>
      <c r="R629" s="7">
        <f t="shared" ref="R629:W629" si="549">K629/$I629</f>
        <v>0.13253885670779686</v>
      </c>
      <c r="S629" s="7">
        <f t="shared" si="549"/>
        <v>8.0947950435857882E-2</v>
      </c>
      <c r="T629" s="7">
        <f t="shared" si="549"/>
        <v>0.45469673005499667</v>
      </c>
      <c r="U629" s="7">
        <f t="shared" si="549"/>
        <v>6.8345636559538431E-2</v>
      </c>
      <c r="V629" s="7">
        <f t="shared" si="549"/>
        <v>0.2028563414878411</v>
      </c>
      <c r="W629" s="7">
        <f t="shared" si="549"/>
        <v>6.0614484753969029E-2</v>
      </c>
      <c r="X629" s="7">
        <f>SUM(R629:W629)</f>
        <v>0.99999999999999989</v>
      </c>
    </row>
    <row r="630" spans="1:24" ht="15.75" customHeight="1" x14ac:dyDescent="0.3">
      <c r="C630" t="s">
        <v>70</v>
      </c>
      <c r="D630" t="s">
        <v>72</v>
      </c>
      <c r="E630" t="s">
        <v>68</v>
      </c>
      <c r="F630" t="s">
        <v>71</v>
      </c>
      <c r="G630" t="s">
        <v>69</v>
      </c>
      <c r="H630" t="s">
        <v>73</v>
      </c>
      <c r="K630" t="s">
        <v>68</v>
      </c>
      <c r="L630" t="s">
        <v>69</v>
      </c>
      <c r="M630" t="s">
        <v>70</v>
      </c>
      <c r="N630" t="s">
        <v>71</v>
      </c>
      <c r="O630" t="s">
        <v>72</v>
      </c>
      <c r="P630" t="s">
        <v>73</v>
      </c>
    </row>
    <row r="631" spans="1:24" ht="15.75" customHeight="1" x14ac:dyDescent="0.3">
      <c r="A631">
        <v>315</v>
      </c>
      <c r="B631" s="16" t="s">
        <v>396</v>
      </c>
      <c r="C631" s="7">
        <f>Rankings!L324</f>
        <v>8.2587319220600524</v>
      </c>
      <c r="D631" s="7">
        <f>Rankings!M324</f>
        <v>3.6845132861089893</v>
      </c>
      <c r="E631" s="7">
        <f>Rankings!N324</f>
        <v>2.4073251784186569</v>
      </c>
      <c r="F631" s="7">
        <f>Rankings!O324</f>
        <v>1.9198984597584763</v>
      </c>
      <c r="G631" s="7">
        <f>Rankings!P324</f>
        <v>1.3354555559520354</v>
      </c>
      <c r="H631" s="7">
        <f>Rankings!Q324</f>
        <v>1</v>
      </c>
      <c r="I631" s="7">
        <f>Rankings!R324</f>
        <v>18.605924402298207</v>
      </c>
      <c r="K631" s="7">
        <f>E631</f>
        <v>2.4073251784186569</v>
      </c>
      <c r="L631" s="7">
        <f>G631</f>
        <v>1.3354555559520354</v>
      </c>
      <c r="M631" s="7">
        <f>C631</f>
        <v>8.2587319220600524</v>
      </c>
      <c r="N631" s="7">
        <f>F631</f>
        <v>1.9198984597584763</v>
      </c>
      <c r="O631" s="7">
        <f>D631</f>
        <v>3.6845132861089893</v>
      </c>
      <c r="P631" s="7">
        <f>H631</f>
        <v>1</v>
      </c>
      <c r="R631" s="7">
        <f t="shared" ref="R631:W631" si="550">K631/$I631</f>
        <v>0.12938487367611273</v>
      </c>
      <c r="S631" s="7">
        <f t="shared" si="550"/>
        <v>7.17758240373738E-2</v>
      </c>
      <c r="T631" s="7">
        <f t="shared" si="550"/>
        <v>0.44387646340430859</v>
      </c>
      <c r="U631" s="7">
        <f t="shared" si="550"/>
        <v>0.10318748040926846</v>
      </c>
      <c r="V631" s="7">
        <f t="shared" si="550"/>
        <v>0.19802903668972649</v>
      </c>
      <c r="W631" s="7">
        <f t="shared" si="550"/>
        <v>5.3746321783210073E-2</v>
      </c>
      <c r="X631" s="7">
        <f>SUM(R631:W631)</f>
        <v>1.0000000000000002</v>
      </c>
    </row>
    <row r="632" spans="1:24" ht="15.75" customHeight="1" x14ac:dyDescent="0.3">
      <c r="C632" t="s">
        <v>70</v>
      </c>
      <c r="D632" t="s">
        <v>72</v>
      </c>
      <c r="E632" t="s">
        <v>68</v>
      </c>
      <c r="F632" t="s">
        <v>71</v>
      </c>
      <c r="G632" t="s">
        <v>73</v>
      </c>
      <c r="H632" t="s">
        <v>69</v>
      </c>
      <c r="K632" t="s">
        <v>68</v>
      </c>
      <c r="L632" t="s">
        <v>69</v>
      </c>
      <c r="M632" t="s">
        <v>70</v>
      </c>
      <c r="N632" t="s">
        <v>71</v>
      </c>
      <c r="O632" t="s">
        <v>72</v>
      </c>
      <c r="P632" t="s">
        <v>73</v>
      </c>
    </row>
    <row r="633" spans="1:24" ht="15.75" customHeight="1" x14ac:dyDescent="0.3">
      <c r="A633">
        <v>316</v>
      </c>
      <c r="B633" s="16" t="s">
        <v>397</v>
      </c>
      <c r="C633" s="7">
        <f>Rankings!L325</f>
        <v>7.897491114394156</v>
      </c>
      <c r="D633" s="7">
        <f>Rankings!M325</f>
        <v>3.5233509469156705</v>
      </c>
      <c r="E633" s="7">
        <f>Rankings!N325</f>
        <v>2.3020276460646238</v>
      </c>
      <c r="F633" s="7">
        <f>Rankings!O325</f>
        <v>1.8359212006847052</v>
      </c>
      <c r="G633" s="7">
        <f>Rankings!P325</f>
        <v>1.2419340531937677</v>
      </c>
      <c r="H633" s="7">
        <f>Rankings!Q325</f>
        <v>1</v>
      </c>
      <c r="I633" s="7">
        <f>Rankings!R325</f>
        <v>17.800724961252921</v>
      </c>
      <c r="K633" s="7">
        <f>E633</f>
        <v>2.3020276460646238</v>
      </c>
      <c r="L633" s="7">
        <f>H633</f>
        <v>1</v>
      </c>
      <c r="M633" s="7">
        <f>C633</f>
        <v>7.897491114394156</v>
      </c>
      <c r="N633" s="7">
        <f>F633</f>
        <v>1.8359212006847052</v>
      </c>
      <c r="O633" s="7">
        <f>D633</f>
        <v>3.5233509469156705</v>
      </c>
      <c r="P633" s="7">
        <f>G633</f>
        <v>1.2419340531937677</v>
      </c>
      <c r="R633" s="7">
        <f t="shared" ref="R633:W633" si="551">K633/$I633</f>
        <v>0.12932212879393837</v>
      </c>
      <c r="S633" s="7">
        <f t="shared" si="551"/>
        <v>5.61774872751932E-2</v>
      </c>
      <c r="T633" s="7">
        <f t="shared" si="551"/>
        <v>0.4436612065848291</v>
      </c>
      <c r="U633" s="7">
        <f t="shared" si="551"/>
        <v>0.10313743988972245</v>
      </c>
      <c r="V633" s="7">
        <f t="shared" si="551"/>
        <v>0.19793300298639499</v>
      </c>
      <c r="W633" s="7">
        <f t="shared" si="551"/>
        <v>6.9768734469922003E-2</v>
      </c>
      <c r="X633" s="7">
        <f>SUM(R633:W633)</f>
        <v>1.0000000000000002</v>
      </c>
    </row>
    <row r="634" spans="1:24" ht="15.75" customHeight="1" x14ac:dyDescent="0.3">
      <c r="C634" t="s">
        <v>70</v>
      </c>
      <c r="D634" t="s">
        <v>72</v>
      </c>
      <c r="E634" t="s">
        <v>68</v>
      </c>
      <c r="F634" t="s">
        <v>73</v>
      </c>
      <c r="G634" t="s">
        <v>69</v>
      </c>
      <c r="H634" t="s">
        <v>71</v>
      </c>
      <c r="K634" t="s">
        <v>68</v>
      </c>
      <c r="L634" t="s">
        <v>69</v>
      </c>
      <c r="M634" t="s">
        <v>70</v>
      </c>
      <c r="N634" t="s">
        <v>71</v>
      </c>
      <c r="O634" t="s">
        <v>72</v>
      </c>
      <c r="P634" t="s">
        <v>73</v>
      </c>
    </row>
    <row r="635" spans="1:24" ht="15.75" customHeight="1" x14ac:dyDescent="0.3">
      <c r="A635">
        <v>317</v>
      </c>
      <c r="B635" s="16" t="s">
        <v>398</v>
      </c>
      <c r="C635" s="7">
        <f>Rankings!L326</f>
        <v>4.5068895650799803</v>
      </c>
      <c r="D635" s="7">
        <f>Rankings!M326</f>
        <v>2.0106833153413515</v>
      </c>
      <c r="E635" s="7">
        <f>Rankings!N326</f>
        <v>1.3137063690599906</v>
      </c>
      <c r="F635" s="7">
        <f>Rankings!O326</f>
        <v>1.1311834039268005</v>
      </c>
      <c r="G635" s="7">
        <f>Rankings!P326</f>
        <v>0.9108240498099236</v>
      </c>
      <c r="H635" s="7">
        <f>Rankings!Q326</f>
        <v>1</v>
      </c>
      <c r="I635" s="7">
        <f>Rankings!R326</f>
        <v>10.873286703218046</v>
      </c>
      <c r="K635" s="7">
        <f>E635</f>
        <v>1.3137063690599906</v>
      </c>
      <c r="L635" s="7">
        <f>G635</f>
        <v>0.9108240498099236</v>
      </c>
      <c r="M635" s="7">
        <f>C635</f>
        <v>4.5068895650799803</v>
      </c>
      <c r="N635" s="7">
        <f>H635</f>
        <v>1</v>
      </c>
      <c r="O635" s="7">
        <f>D635</f>
        <v>2.0106833153413515</v>
      </c>
      <c r="P635" s="7">
        <f>F635</f>
        <v>1.1311834039268005</v>
      </c>
      <c r="R635" s="7">
        <f t="shared" ref="R635:W635" si="552">K635/$I635</f>
        <v>0.12081962013115938</v>
      </c>
      <c r="S635" s="7">
        <f t="shared" si="552"/>
        <v>8.3767132668391531E-2</v>
      </c>
      <c r="T635" s="7">
        <f t="shared" si="552"/>
        <v>0.41449192761063924</v>
      </c>
      <c r="U635" s="7">
        <f t="shared" si="552"/>
        <v>9.1968512124677174E-2</v>
      </c>
      <c r="V635" s="7">
        <f t="shared" si="552"/>
        <v>0.18491955286585718</v>
      </c>
      <c r="W635" s="7">
        <f t="shared" si="552"/>
        <v>0.10403325459927555</v>
      </c>
      <c r="X635" s="7">
        <f>SUM(R635:W635)</f>
        <v>1</v>
      </c>
    </row>
    <row r="636" spans="1:24" ht="15.75" customHeight="1" x14ac:dyDescent="0.3">
      <c r="C636" t="s">
        <v>70</v>
      </c>
      <c r="D636" t="s">
        <v>72</v>
      </c>
      <c r="E636" t="s">
        <v>68</v>
      </c>
      <c r="F636" t="s">
        <v>73</v>
      </c>
      <c r="G636" t="s">
        <v>71</v>
      </c>
      <c r="H636" t="s">
        <v>69</v>
      </c>
      <c r="K636" t="s">
        <v>68</v>
      </c>
      <c r="L636" t="s">
        <v>69</v>
      </c>
      <c r="M636" t="s">
        <v>70</v>
      </c>
      <c r="N636" t="s">
        <v>71</v>
      </c>
      <c r="O636" t="s">
        <v>72</v>
      </c>
      <c r="P636" t="s">
        <v>73</v>
      </c>
    </row>
    <row r="637" spans="1:24" ht="15.75" customHeight="1" x14ac:dyDescent="0.3">
      <c r="A637">
        <v>318</v>
      </c>
      <c r="B637" s="16" t="s">
        <v>399</v>
      </c>
      <c r="C637" s="7">
        <f>Rankings!L327</f>
        <v>5.0799371324459521</v>
      </c>
      <c r="D637" s="7">
        <f>Rankings!M327</f>
        <v>2.2663401638089176</v>
      </c>
      <c r="E637" s="7">
        <f>Rankings!N327</f>
        <v>1.4807431309225263</v>
      </c>
      <c r="F637" s="7">
        <f>Rankings!O327</f>
        <v>1.2750125101217977</v>
      </c>
      <c r="G637" s="7">
        <f>Rankings!P327</f>
        <v>1.4376356077157479</v>
      </c>
      <c r="H637" s="7">
        <f>Rankings!Q327</f>
        <v>1</v>
      </c>
      <c r="I637" s="7">
        <f>Rankings!R327</f>
        <v>12.539668545014942</v>
      </c>
      <c r="K637" s="7">
        <f>E637</f>
        <v>1.4807431309225263</v>
      </c>
      <c r="L637" s="7">
        <f>H637</f>
        <v>1</v>
      </c>
      <c r="M637" s="7">
        <f>C637</f>
        <v>5.0799371324459521</v>
      </c>
      <c r="N637" s="7">
        <f>G637</f>
        <v>1.4376356077157479</v>
      </c>
      <c r="O637" s="7">
        <f>D637</f>
        <v>2.2663401638089176</v>
      </c>
      <c r="P637" s="7">
        <f>F637</f>
        <v>1.2750125101217977</v>
      </c>
      <c r="R637" s="7">
        <f t="shared" ref="R637:W637" si="553">K637/$I637</f>
        <v>0.11808471058122069</v>
      </c>
      <c r="S637" s="7">
        <f t="shared" si="553"/>
        <v>7.9746924443034259E-2</v>
      </c>
      <c r="T637" s="7">
        <f t="shared" si="553"/>
        <v>0.40510936267653147</v>
      </c>
      <c r="U637" s="7">
        <f t="shared" si="553"/>
        <v>0.11464701818512339</v>
      </c>
      <c r="V637" s="7">
        <f t="shared" si="553"/>
        <v>0.18073365780548364</v>
      </c>
      <c r="W637" s="7">
        <f t="shared" si="553"/>
        <v>0.10167832630860646</v>
      </c>
      <c r="X637" s="7">
        <f>SUM(R637:W637)</f>
        <v>1</v>
      </c>
    </row>
    <row r="638" spans="1:24" ht="15.75" customHeight="1" x14ac:dyDescent="0.3">
      <c r="C638" t="s">
        <v>70</v>
      </c>
      <c r="D638" t="s">
        <v>72</v>
      </c>
      <c r="E638" t="s">
        <v>69</v>
      </c>
      <c r="F638" t="s">
        <v>68</v>
      </c>
      <c r="G638" t="s">
        <v>71</v>
      </c>
      <c r="H638" t="s">
        <v>73</v>
      </c>
      <c r="K638" t="s">
        <v>68</v>
      </c>
      <c r="L638" t="s">
        <v>69</v>
      </c>
      <c r="M638" t="s">
        <v>70</v>
      </c>
      <c r="N638" t="s">
        <v>71</v>
      </c>
      <c r="O638" t="s">
        <v>72</v>
      </c>
      <c r="P638" t="s">
        <v>73</v>
      </c>
    </row>
    <row r="639" spans="1:24" ht="15.75" customHeight="1" x14ac:dyDescent="0.3">
      <c r="A639">
        <v>319</v>
      </c>
      <c r="B639" s="16" t="s">
        <v>400</v>
      </c>
      <c r="C639" s="7">
        <f>Rankings!L328</f>
        <v>13.218901195193702</v>
      </c>
      <c r="D639" s="7">
        <f>Rankings!M328</f>
        <v>5.897420759155021</v>
      </c>
      <c r="E639" s="7">
        <f>Rankings!N328</f>
        <v>3.2326664592175653</v>
      </c>
      <c r="F639" s="7">
        <f>Rankings!O328</f>
        <v>1.8535828373050172</v>
      </c>
      <c r="G639" s="7">
        <f>Rankings!P328</f>
        <v>1.478275916473532</v>
      </c>
      <c r="H639" s="7">
        <f>Rankings!Q328</f>
        <v>1</v>
      </c>
      <c r="I639" s="7">
        <f>Rankings!R328</f>
        <v>26.680847167344837</v>
      </c>
      <c r="K639" s="7">
        <f>F639</f>
        <v>1.8535828373050172</v>
      </c>
      <c r="L639" s="7">
        <f>E639</f>
        <v>3.2326664592175653</v>
      </c>
      <c r="M639" s="7">
        <f>C639</f>
        <v>13.218901195193702</v>
      </c>
      <c r="N639" s="7">
        <f>G639</f>
        <v>1.478275916473532</v>
      </c>
      <c r="O639" s="7">
        <f>D639</f>
        <v>5.897420759155021</v>
      </c>
      <c r="P639" s="7">
        <f>H639</f>
        <v>1</v>
      </c>
      <c r="R639" s="7">
        <f t="shared" ref="R639:W639" si="554">K639/$I639</f>
        <v>6.9472413138877018E-2</v>
      </c>
      <c r="S639" s="7">
        <f t="shared" si="554"/>
        <v>0.12116056281653917</v>
      </c>
      <c r="T639" s="7">
        <f t="shared" si="554"/>
        <v>0.49544533246202732</v>
      </c>
      <c r="U639" s="7">
        <f t="shared" si="554"/>
        <v>5.5405883748804653E-2</v>
      </c>
      <c r="V639" s="7">
        <f t="shared" si="554"/>
        <v>0.22103573856429037</v>
      </c>
      <c r="W639" s="7">
        <f t="shared" si="554"/>
        <v>3.7480069269461493E-2</v>
      </c>
      <c r="X639" s="7">
        <f>SUM(R639:W639)</f>
        <v>1</v>
      </c>
    </row>
    <row r="640" spans="1:24" ht="15.75" customHeight="1" x14ac:dyDescent="0.3">
      <c r="C640" t="s">
        <v>70</v>
      </c>
      <c r="D640" t="s">
        <v>72</v>
      </c>
      <c r="E640" t="s">
        <v>69</v>
      </c>
      <c r="F640" t="s">
        <v>68</v>
      </c>
      <c r="G640" t="s">
        <v>73</v>
      </c>
      <c r="H640" t="s">
        <v>71</v>
      </c>
      <c r="K640" t="s">
        <v>68</v>
      </c>
      <c r="L640" t="s">
        <v>69</v>
      </c>
      <c r="M640" t="s">
        <v>70</v>
      </c>
      <c r="N640" t="s">
        <v>71</v>
      </c>
      <c r="O640" t="s">
        <v>72</v>
      </c>
      <c r="P640" t="s">
        <v>73</v>
      </c>
    </row>
    <row r="641" spans="1:24" ht="15.75" customHeight="1" x14ac:dyDescent="0.3">
      <c r="A641">
        <v>320</v>
      </c>
      <c r="B641" s="16" t="s">
        <v>401</v>
      </c>
      <c r="C641" s="7">
        <f>Rankings!L329</f>
        <v>7.3453799058229521</v>
      </c>
      <c r="D641" s="7">
        <f>Rankings!M329</f>
        <v>3.277034550816587</v>
      </c>
      <c r="E641" s="7">
        <f>Rankings!N329</f>
        <v>1.7963038607473749</v>
      </c>
      <c r="F641" s="7">
        <f>Rankings!O329</f>
        <v>1.0299850135704913</v>
      </c>
      <c r="G641" s="7">
        <f>Rankings!P329</f>
        <v>0.88688155974910687</v>
      </c>
      <c r="H641" s="7">
        <f>Rankings!Q329</f>
        <v>1</v>
      </c>
      <c r="I641" s="7">
        <f>Rankings!R329</f>
        <v>15.335584890706514</v>
      </c>
      <c r="K641" s="7">
        <f>F641</f>
        <v>1.0299850135704913</v>
      </c>
      <c r="L641" s="7">
        <f>E641</f>
        <v>1.7963038607473749</v>
      </c>
      <c r="M641" s="7">
        <f>C641</f>
        <v>7.3453799058229521</v>
      </c>
      <c r="N641" s="7">
        <f>H641</f>
        <v>1</v>
      </c>
      <c r="O641" s="7">
        <f>D641</f>
        <v>3.277034550816587</v>
      </c>
      <c r="P641" s="7">
        <f>G641</f>
        <v>0.88688155974910687</v>
      </c>
      <c r="R641" s="7">
        <f t="shared" ref="R641:W641" si="555">K641/$I641</f>
        <v>6.7163073395046735E-2</v>
      </c>
      <c r="S641" s="7">
        <f t="shared" si="555"/>
        <v>0.11713305188874468</v>
      </c>
      <c r="T641" s="7">
        <f t="shared" si="555"/>
        <v>0.47897618240007989</v>
      </c>
      <c r="U641" s="7">
        <f t="shared" si="555"/>
        <v>6.5207816143093955E-2</v>
      </c>
      <c r="V641" s="7">
        <f t="shared" si="555"/>
        <v>0.21368826648421449</v>
      </c>
      <c r="W641" s="7">
        <f t="shared" si="555"/>
        <v>5.783160968882016E-2</v>
      </c>
      <c r="X641" s="7">
        <f>SUM(R641:W641)</f>
        <v>1</v>
      </c>
    </row>
    <row r="642" spans="1:24" ht="15.75" customHeight="1" x14ac:dyDescent="0.3">
      <c r="C642" t="s">
        <v>70</v>
      </c>
      <c r="D642" t="s">
        <v>72</v>
      </c>
      <c r="E642" t="s">
        <v>69</v>
      </c>
      <c r="F642" t="s">
        <v>71</v>
      </c>
      <c r="G642" t="s">
        <v>68</v>
      </c>
      <c r="H642" t="s">
        <v>73</v>
      </c>
      <c r="K642" t="s">
        <v>68</v>
      </c>
      <c r="L642" t="s">
        <v>69</v>
      </c>
      <c r="M642" t="s">
        <v>70</v>
      </c>
      <c r="N642" t="s">
        <v>71</v>
      </c>
      <c r="O642" t="s">
        <v>72</v>
      </c>
      <c r="P642" t="s">
        <v>73</v>
      </c>
    </row>
    <row r="643" spans="1:24" ht="15.75" customHeight="1" x14ac:dyDescent="0.3">
      <c r="A643">
        <v>321</v>
      </c>
      <c r="B643" s="16" t="s">
        <v>402</v>
      </c>
      <c r="C643" s="7">
        <f>Rankings!L330</f>
        <v>12.600621729157243</v>
      </c>
      <c r="D643" s="7">
        <f>Rankings!M330</f>
        <v>5.6215843561044823</v>
      </c>
      <c r="E643" s="7">
        <f>Rankings!N330</f>
        <v>3.0814669561147117</v>
      </c>
      <c r="F643" s="7">
        <f>Rankings!O330</f>
        <v>3.3831638028857181</v>
      </c>
      <c r="G643" s="7">
        <f>Rankings!P330</f>
        <v>1.1613557664474019</v>
      </c>
      <c r="H643" s="7">
        <f>Rankings!Q330</f>
        <v>1</v>
      </c>
      <c r="I643" s="7">
        <f>Rankings!R330</f>
        <v>26.848192610709553</v>
      </c>
      <c r="K643" s="7">
        <f>G643</f>
        <v>1.1613557664474019</v>
      </c>
      <c r="L643" s="7">
        <f>E643</f>
        <v>3.0814669561147117</v>
      </c>
      <c r="M643" s="7">
        <f>C643</f>
        <v>12.600621729157243</v>
      </c>
      <c r="N643" s="7">
        <f>F643</f>
        <v>3.3831638028857181</v>
      </c>
      <c r="O643" s="7">
        <f>D643</f>
        <v>5.6215843561044823</v>
      </c>
      <c r="P643" s="7">
        <f>H643</f>
        <v>1</v>
      </c>
      <c r="R643" s="7">
        <f t="shared" ref="R643:W643" si="556">K643/$I643</f>
        <v>4.325638538454709E-2</v>
      </c>
      <c r="S643" s="7">
        <f t="shared" si="556"/>
        <v>0.1147737205552353</v>
      </c>
      <c r="T643" s="7">
        <f t="shared" si="556"/>
        <v>0.46932849118979225</v>
      </c>
      <c r="U643" s="7">
        <f t="shared" si="556"/>
        <v>0.12601085860566263</v>
      </c>
      <c r="V643" s="7">
        <f t="shared" si="556"/>
        <v>0.20938408918677351</v>
      </c>
      <c r="W643" s="7">
        <f t="shared" si="556"/>
        <v>3.724645507798939E-2</v>
      </c>
      <c r="X643" s="7">
        <f>SUM(R643:W643)</f>
        <v>1.0000000000000002</v>
      </c>
    </row>
    <row r="644" spans="1:24" ht="15.75" customHeight="1" x14ac:dyDescent="0.3">
      <c r="C644" t="s">
        <v>70</v>
      </c>
      <c r="D644" t="s">
        <v>72</v>
      </c>
      <c r="E644" t="s">
        <v>69</v>
      </c>
      <c r="F644" t="s">
        <v>71</v>
      </c>
      <c r="G644" t="s">
        <v>73</v>
      </c>
      <c r="H644" t="s">
        <v>68</v>
      </c>
      <c r="K644" t="s">
        <v>68</v>
      </c>
      <c r="L644" t="s">
        <v>69</v>
      </c>
      <c r="M644" t="s">
        <v>70</v>
      </c>
      <c r="N644" t="s">
        <v>71</v>
      </c>
      <c r="O644" t="s">
        <v>72</v>
      </c>
      <c r="P644" t="s">
        <v>73</v>
      </c>
    </row>
    <row r="645" spans="1:24" ht="15.75" customHeight="1" x14ac:dyDescent="0.3">
      <c r="A645">
        <v>322</v>
      </c>
      <c r="B645" s="16" t="s">
        <v>403</v>
      </c>
      <c r="C645" s="7">
        <f>Rankings!L331</f>
        <v>9.0282383306023473</v>
      </c>
      <c r="D645" s="7">
        <f>Rankings!M331</f>
        <v>4.0278173929352201</v>
      </c>
      <c r="E645" s="7">
        <f>Rankings!N331</f>
        <v>2.2078448735037193</v>
      </c>
      <c r="F645" s="7">
        <f>Rankings!O331</f>
        <v>2.4240080990005324</v>
      </c>
      <c r="G645" s="7">
        <f>Rankings!P331</f>
        <v>1.6397534939100344</v>
      </c>
      <c r="H645" s="7">
        <f>Rankings!Q331</f>
        <v>1</v>
      </c>
      <c r="I645" s="7">
        <f>Rankings!R331</f>
        <v>20.327662189951855</v>
      </c>
      <c r="K645" s="7">
        <f>H645</f>
        <v>1</v>
      </c>
      <c r="L645" s="7">
        <f>E645</f>
        <v>2.2078448735037193</v>
      </c>
      <c r="M645" s="7">
        <f>C645</f>
        <v>9.0282383306023473</v>
      </c>
      <c r="N645" s="7">
        <f>F645</f>
        <v>2.4240080990005324</v>
      </c>
      <c r="O645" s="7">
        <f>D645</f>
        <v>4.0278173929352201</v>
      </c>
      <c r="P645" s="7">
        <f>G645</f>
        <v>1.6397534939100344</v>
      </c>
      <c r="R645" s="7">
        <f t="shared" ref="R645:W645" si="557">K645/$I645</f>
        <v>4.9194048516523897E-2</v>
      </c>
      <c r="S645" s="7">
        <f t="shared" si="557"/>
        <v>0.10861282782410053</v>
      </c>
      <c r="T645" s="7">
        <f t="shared" si="557"/>
        <v>0.4441355944543926</v>
      </c>
      <c r="U645" s="7">
        <f t="shared" si="557"/>
        <v>0.11924677202667905</v>
      </c>
      <c r="V645" s="7">
        <f t="shared" si="557"/>
        <v>0.19814464424375403</v>
      </c>
      <c r="W645" s="7">
        <f t="shared" si="557"/>
        <v>8.0666112934549811E-2</v>
      </c>
      <c r="X645" s="7">
        <f>SUM(R645:W645)</f>
        <v>1</v>
      </c>
    </row>
    <row r="646" spans="1:24" ht="15.75" customHeight="1" x14ac:dyDescent="0.3">
      <c r="C646" t="s">
        <v>70</v>
      </c>
      <c r="D646" t="s">
        <v>72</v>
      </c>
      <c r="E646" t="s">
        <v>69</v>
      </c>
      <c r="F646" t="s">
        <v>73</v>
      </c>
      <c r="G646" t="s">
        <v>68</v>
      </c>
      <c r="H646" t="s">
        <v>71</v>
      </c>
      <c r="K646" t="s">
        <v>68</v>
      </c>
      <c r="L646" t="s">
        <v>69</v>
      </c>
      <c r="M646" t="s">
        <v>70</v>
      </c>
      <c r="N646" t="s">
        <v>71</v>
      </c>
      <c r="O646" t="s">
        <v>72</v>
      </c>
      <c r="P646" t="s">
        <v>73</v>
      </c>
    </row>
    <row r="647" spans="1:24" ht="15.75" customHeight="1" x14ac:dyDescent="0.3">
      <c r="A647">
        <v>323</v>
      </c>
      <c r="B647" s="16" t="s">
        <v>404</v>
      </c>
      <c r="C647" s="7">
        <f>Rankings!L332</f>
        <v>11.227910999696112</v>
      </c>
      <c r="D647" s="7">
        <f>Rankings!M332</f>
        <v>5.0091694032502803</v>
      </c>
      <c r="E647" s="7">
        <f>Rankings!N332</f>
        <v>2.7457721908833532</v>
      </c>
      <c r="F647" s="7">
        <f>Rankings!O332</f>
        <v>2.0560565858186979</v>
      </c>
      <c r="G647" s="7">
        <f>Rankings!P332</f>
        <v>1.2538815092968505</v>
      </c>
      <c r="H647" s="7">
        <f>Rankings!Q332</f>
        <v>1</v>
      </c>
      <c r="I647" s="7">
        <f>Rankings!R332</f>
        <v>23.292790688945296</v>
      </c>
      <c r="K647" s="7">
        <f>G647</f>
        <v>1.2538815092968505</v>
      </c>
      <c r="L647" s="7">
        <f>E647</f>
        <v>2.7457721908833532</v>
      </c>
      <c r="M647" s="7">
        <f>C647</f>
        <v>11.227910999696112</v>
      </c>
      <c r="N647" s="7">
        <f>H647</f>
        <v>1</v>
      </c>
      <c r="O647" s="7">
        <f>D647</f>
        <v>5.0091694032502803</v>
      </c>
      <c r="P647" s="7">
        <f>F647</f>
        <v>2.0560565858186979</v>
      </c>
      <c r="R647" s="7">
        <f t="shared" ref="R647:W647" si="558">K647/$I647</f>
        <v>5.3831313132090254E-2</v>
      </c>
      <c r="S647" s="7">
        <f t="shared" si="558"/>
        <v>0.11788077382185426</v>
      </c>
      <c r="T647" s="7">
        <f t="shared" si="558"/>
        <v>0.48203373952202527</v>
      </c>
      <c r="U647" s="7">
        <f t="shared" si="558"/>
        <v>4.2931738551817138E-2</v>
      </c>
      <c r="V647" s="7">
        <f t="shared" si="558"/>
        <v>0.21505235118210289</v>
      </c>
      <c r="W647" s="7">
        <f t="shared" si="558"/>
        <v>8.8270083790110115E-2</v>
      </c>
      <c r="X647" s="7">
        <f>SUM(R647:W647)</f>
        <v>0.99999999999999989</v>
      </c>
    </row>
    <row r="648" spans="1:24" ht="15.75" customHeight="1" x14ac:dyDescent="0.3">
      <c r="C648" t="s">
        <v>70</v>
      </c>
      <c r="D648" t="s">
        <v>72</v>
      </c>
      <c r="E648" t="s">
        <v>69</v>
      </c>
      <c r="F648" t="s">
        <v>73</v>
      </c>
      <c r="G648" t="s">
        <v>71</v>
      </c>
      <c r="H648" t="s">
        <v>68</v>
      </c>
      <c r="K648" t="s">
        <v>68</v>
      </c>
      <c r="L648" t="s">
        <v>69</v>
      </c>
      <c r="M648" t="s">
        <v>70</v>
      </c>
      <c r="N648" t="s">
        <v>71</v>
      </c>
      <c r="O648" t="s">
        <v>72</v>
      </c>
      <c r="P648" t="s">
        <v>73</v>
      </c>
    </row>
    <row r="649" spans="1:24" ht="15.75" customHeight="1" x14ac:dyDescent="0.3">
      <c r="A649">
        <v>324</v>
      </c>
      <c r="B649" s="16" t="s">
        <v>405</v>
      </c>
      <c r="C649" s="7">
        <f>Rankings!L333</f>
        <v>14.108708755118135</v>
      </c>
      <c r="D649" s="7">
        <f>Rankings!M333</f>
        <v>6.2943954772548443</v>
      </c>
      <c r="E649" s="7">
        <f>Rankings!N333</f>
        <v>3.4502678325580209</v>
      </c>
      <c r="F649" s="7">
        <f>Rankings!O333</f>
        <v>2.5835886616970591</v>
      </c>
      <c r="G649" s="7">
        <f>Rankings!P333</f>
        <v>2.9131157743633094</v>
      </c>
      <c r="H649" s="7">
        <f>Rankings!Q333</f>
        <v>1</v>
      </c>
      <c r="I649" s="7">
        <f>Rankings!R333</f>
        <v>30.350076500991371</v>
      </c>
      <c r="K649" s="7">
        <f>H649</f>
        <v>1</v>
      </c>
      <c r="L649" s="7">
        <f>E649</f>
        <v>3.4502678325580209</v>
      </c>
      <c r="M649" s="7">
        <f>C649</f>
        <v>14.108708755118135</v>
      </c>
      <c r="N649" s="7">
        <f>G649</f>
        <v>2.9131157743633094</v>
      </c>
      <c r="O649" s="7">
        <f>D649</f>
        <v>6.2943954772548443</v>
      </c>
      <c r="P649" s="7">
        <f>F649</f>
        <v>2.5835886616970591</v>
      </c>
      <c r="R649" s="7">
        <f t="shared" ref="R649:W649" si="559">K649/$I649</f>
        <v>3.2948846108092525E-2</v>
      </c>
      <c r="S649" s="7">
        <f t="shared" si="559"/>
        <v>0.11368234384665619</v>
      </c>
      <c r="T649" s="7">
        <f t="shared" si="559"/>
        <v>0.46486567355628516</v>
      </c>
      <c r="U649" s="7">
        <f t="shared" si="559"/>
        <v>9.5983803344553476E-2</v>
      </c>
      <c r="V649" s="7">
        <f t="shared" si="559"/>
        <v>0.20739306792354348</v>
      </c>
      <c r="W649" s="7">
        <f t="shared" si="559"/>
        <v>8.5126265220869135E-2</v>
      </c>
      <c r="X649" s="7">
        <f>SUM(R649:W649)</f>
        <v>1</v>
      </c>
    </row>
    <row r="650" spans="1:24" ht="15.75" customHeight="1" x14ac:dyDescent="0.3">
      <c r="C650" t="s">
        <v>70</v>
      </c>
      <c r="D650" t="s">
        <v>72</v>
      </c>
      <c r="E650" t="s">
        <v>71</v>
      </c>
      <c r="F650" t="s">
        <v>68</v>
      </c>
      <c r="G650" t="s">
        <v>69</v>
      </c>
      <c r="H650" t="s">
        <v>73</v>
      </c>
      <c r="K650" t="s">
        <v>68</v>
      </c>
      <c r="L650" t="s">
        <v>69</v>
      </c>
      <c r="M650" t="s">
        <v>70</v>
      </c>
      <c r="N650" t="s">
        <v>71</v>
      </c>
      <c r="O650" t="s">
        <v>72</v>
      </c>
      <c r="P650" t="s">
        <v>73</v>
      </c>
    </row>
    <row r="651" spans="1:24" ht="15.75" customHeight="1" x14ac:dyDescent="0.3">
      <c r="A651">
        <v>325</v>
      </c>
      <c r="B651" s="16" t="s">
        <v>406</v>
      </c>
      <c r="C651" s="7">
        <f>Rankings!L334</f>
        <v>17.904312289653681</v>
      </c>
      <c r="D651" s="7">
        <f>Rankings!M334</f>
        <v>7.9877488617427197</v>
      </c>
      <c r="E651" s="7">
        <f>Rankings!N334</f>
        <v>6.3697816744417599</v>
      </c>
      <c r="F651" s="7">
        <f>Rankings!O334</f>
        <v>2.186587203467373</v>
      </c>
      <c r="G651" s="7">
        <f>Rankings!P334</f>
        <v>1.3354555559520354</v>
      </c>
      <c r="H651" s="7">
        <f>Rankings!Q334</f>
        <v>1</v>
      </c>
      <c r="I651" s="7">
        <f>Rankings!R334</f>
        <v>36.783885585257572</v>
      </c>
      <c r="K651" s="7">
        <f t="shared" ref="K651:L651" si="560">F651</f>
        <v>2.186587203467373</v>
      </c>
      <c r="L651" s="7">
        <f t="shared" si="560"/>
        <v>1.3354555559520354</v>
      </c>
      <c r="M651" s="7">
        <f>C651</f>
        <v>17.904312289653681</v>
      </c>
      <c r="N651" s="7">
        <f>E651</f>
        <v>6.3697816744417599</v>
      </c>
      <c r="O651" s="7">
        <f>D651</f>
        <v>7.9877488617427197</v>
      </c>
      <c r="P651" s="7">
        <f>H651</f>
        <v>1</v>
      </c>
      <c r="R651" s="7">
        <f t="shared" ref="R651:W651" si="561">K651/$I651</f>
        <v>5.9444160633854416E-2</v>
      </c>
      <c r="S651" s="7">
        <f t="shared" si="561"/>
        <v>3.6305451006711099E-2</v>
      </c>
      <c r="T651" s="7">
        <f t="shared" si="561"/>
        <v>0.48674336614480612</v>
      </c>
      <c r="U651" s="7">
        <f t="shared" si="561"/>
        <v>0.17316772203626776</v>
      </c>
      <c r="V651" s="7">
        <f t="shared" si="561"/>
        <v>0.21715348269091206</v>
      </c>
      <c r="W651" s="7">
        <f t="shared" si="561"/>
        <v>2.7185817487448496E-2</v>
      </c>
      <c r="X651" s="7">
        <f>SUM(R651:W651)</f>
        <v>1</v>
      </c>
    </row>
    <row r="652" spans="1:24" ht="15.75" customHeight="1" x14ac:dyDescent="0.3">
      <c r="C652" t="s">
        <v>70</v>
      </c>
      <c r="D652" t="s">
        <v>72</v>
      </c>
      <c r="E652" t="s">
        <v>71</v>
      </c>
      <c r="F652" t="s">
        <v>68</v>
      </c>
      <c r="G652" t="s">
        <v>73</v>
      </c>
      <c r="H652" t="s">
        <v>69</v>
      </c>
      <c r="K652" t="s">
        <v>68</v>
      </c>
      <c r="L652" t="s">
        <v>69</v>
      </c>
      <c r="M652" t="s">
        <v>70</v>
      </c>
      <c r="N652" t="s">
        <v>71</v>
      </c>
      <c r="O652" t="s">
        <v>72</v>
      </c>
      <c r="P652" t="s">
        <v>73</v>
      </c>
    </row>
    <row r="653" spans="1:24" ht="15.75" customHeight="1" x14ac:dyDescent="0.3">
      <c r="A653">
        <v>326</v>
      </c>
      <c r="B653" s="16" t="s">
        <v>407</v>
      </c>
      <c r="C653" s="7">
        <f>Rankings!L335</f>
        <v>11.810129456827019</v>
      </c>
      <c r="D653" s="7">
        <f>Rankings!M335</f>
        <v>5.2689177109761482</v>
      </c>
      <c r="E653" s="7">
        <f>Rankings!N335</f>
        <v>4.2016663343363012</v>
      </c>
      <c r="F653" s="7">
        <f>Rankings!O335</f>
        <v>1.4423272742239766</v>
      </c>
      <c r="G653" s="7">
        <f>Rankings!P335</f>
        <v>1.2419340531937677</v>
      </c>
      <c r="H653" s="7">
        <f>Rankings!Q335</f>
        <v>1</v>
      </c>
      <c r="I653" s="7">
        <f>Rankings!R335</f>
        <v>24.964974829557214</v>
      </c>
      <c r="K653" s="7">
        <f>F653</f>
        <v>1.4423272742239766</v>
      </c>
      <c r="L653" s="7">
        <f>H653</f>
        <v>1</v>
      </c>
      <c r="M653" s="7">
        <f>C653</f>
        <v>11.810129456827019</v>
      </c>
      <c r="N653" s="7">
        <f>E653</f>
        <v>4.2016663343363012</v>
      </c>
      <c r="O653" s="7">
        <f>D653</f>
        <v>5.2689177109761482</v>
      </c>
      <c r="P653" s="7">
        <f>G653</f>
        <v>1.2419340531937677</v>
      </c>
      <c r="R653" s="7">
        <f t="shared" ref="R653:W653" si="562">K653/$I653</f>
        <v>5.7774032782774411E-2</v>
      </c>
      <c r="S653" s="7">
        <f t="shared" si="562"/>
        <v>4.0056118895663885E-2</v>
      </c>
      <c r="T653" s="7">
        <f t="shared" si="562"/>
        <v>0.47306794969584542</v>
      </c>
      <c r="U653" s="7">
        <f t="shared" si="562"/>
        <v>0.16830244624808313</v>
      </c>
      <c r="V653" s="7">
        <f t="shared" si="562"/>
        <v>0.2110523942823298</v>
      </c>
      <c r="W653" s="7">
        <f t="shared" si="562"/>
        <v>4.9747058095303318E-2</v>
      </c>
      <c r="X653" s="7">
        <f>SUM(R653:W653)</f>
        <v>1</v>
      </c>
    </row>
    <row r="654" spans="1:24" ht="15.75" customHeight="1" x14ac:dyDescent="0.3">
      <c r="C654" t="s">
        <v>70</v>
      </c>
      <c r="D654" t="s">
        <v>72</v>
      </c>
      <c r="E654" t="s">
        <v>71</v>
      </c>
      <c r="F654" t="s">
        <v>69</v>
      </c>
      <c r="G654" t="s">
        <v>68</v>
      </c>
      <c r="H654" t="s">
        <v>73</v>
      </c>
      <c r="K654" t="s">
        <v>68</v>
      </c>
      <c r="L654" t="s">
        <v>69</v>
      </c>
      <c r="M654" t="s">
        <v>70</v>
      </c>
      <c r="N654" t="s">
        <v>71</v>
      </c>
      <c r="O654" t="s">
        <v>72</v>
      </c>
      <c r="P654" t="s">
        <v>73</v>
      </c>
    </row>
    <row r="655" spans="1:24" ht="15.75" customHeight="1" x14ac:dyDescent="0.3">
      <c r="A655">
        <v>327</v>
      </c>
      <c r="B655" s="16" t="s">
        <v>408</v>
      </c>
      <c r="C655" s="7">
        <f>Rankings!L336</f>
        <v>8.1845743158274615</v>
      </c>
      <c r="D655" s="7">
        <f>Rankings!M336</f>
        <v>3.6514289472530241</v>
      </c>
      <c r="E655" s="7">
        <f>Rankings!N336</f>
        <v>2.9118097722296197</v>
      </c>
      <c r="F655" s="7">
        <f>Rankings!O336</f>
        <v>2.0254157288550885</v>
      </c>
      <c r="G655" s="7">
        <f>Rankings!P336</f>
        <v>1.1613557664474019</v>
      </c>
      <c r="H655" s="7">
        <f>Rankings!Q336</f>
        <v>1</v>
      </c>
      <c r="I655" s="7">
        <f>Rankings!R336</f>
        <v>18.934584530612597</v>
      </c>
      <c r="K655" s="7">
        <f>G655</f>
        <v>1.1613557664474019</v>
      </c>
      <c r="L655" s="7">
        <f>F655</f>
        <v>2.0254157288550885</v>
      </c>
      <c r="M655" s="7">
        <f>C655</f>
        <v>8.1845743158274615</v>
      </c>
      <c r="N655" s="7">
        <f>E655</f>
        <v>2.9118097722296197</v>
      </c>
      <c r="O655" s="7">
        <f>D655</f>
        <v>3.6514289472530241</v>
      </c>
      <c r="P655" s="7">
        <f>H655</f>
        <v>1</v>
      </c>
      <c r="R655" s="7">
        <f t="shared" ref="R655:W655" si="563">K655/$I655</f>
        <v>6.1335159721607482E-2</v>
      </c>
      <c r="S655" s="7">
        <f t="shared" si="563"/>
        <v>0.10696911387627683</v>
      </c>
      <c r="T655" s="7">
        <f t="shared" si="563"/>
        <v>0.43225528939359642</v>
      </c>
      <c r="U655" s="7">
        <f t="shared" si="563"/>
        <v>0.15378260703433627</v>
      </c>
      <c r="V655" s="7">
        <f t="shared" si="563"/>
        <v>0.19284441870639177</v>
      </c>
      <c r="W655" s="7">
        <f t="shared" si="563"/>
        <v>5.281341126779119E-2</v>
      </c>
      <c r="X655" s="7">
        <f>SUM(R655:W655)</f>
        <v>1</v>
      </c>
    </row>
    <row r="656" spans="1:24" ht="15.75" customHeight="1" x14ac:dyDescent="0.3">
      <c r="C656" t="s">
        <v>70</v>
      </c>
      <c r="D656" t="s">
        <v>72</v>
      </c>
      <c r="E656" t="s">
        <v>71</v>
      </c>
      <c r="F656" t="s">
        <v>69</v>
      </c>
      <c r="G656" t="s">
        <v>73</v>
      </c>
      <c r="H656" t="s">
        <v>68</v>
      </c>
      <c r="K656" t="s">
        <v>68</v>
      </c>
      <c r="L656" t="s">
        <v>69</v>
      </c>
      <c r="M656" t="s">
        <v>70</v>
      </c>
      <c r="N656" t="s">
        <v>71</v>
      </c>
      <c r="O656" t="s">
        <v>72</v>
      </c>
      <c r="P656" t="s">
        <v>73</v>
      </c>
    </row>
    <row r="657" spans="1:24" ht="15.75" customHeight="1" x14ac:dyDescent="0.3">
      <c r="A657">
        <v>328</v>
      </c>
      <c r="B657" s="16" t="s">
        <v>409</v>
      </c>
      <c r="C657" s="7">
        <f>Rankings!L337</f>
        <v>8.8489129409670255</v>
      </c>
      <c r="D657" s="7">
        <f>Rankings!M337</f>
        <v>3.9478139751123051</v>
      </c>
      <c r="E657" s="7">
        <f>Rankings!N337</f>
        <v>3.148160207341455</v>
      </c>
      <c r="F657" s="7">
        <f>Rankings!O337</f>
        <v>2.1898179138339176</v>
      </c>
      <c r="G657" s="7">
        <f>Rankings!P337</f>
        <v>1.6397534939100344</v>
      </c>
      <c r="H657" s="7">
        <f>Rankings!Q337</f>
        <v>1</v>
      </c>
      <c r="I657" s="7">
        <f>Rankings!R337</f>
        <v>20.77445853116474</v>
      </c>
      <c r="K657" s="7">
        <f>H657</f>
        <v>1</v>
      </c>
      <c r="L657" s="7">
        <f>F657</f>
        <v>2.1898179138339176</v>
      </c>
      <c r="M657" s="7">
        <f>C657</f>
        <v>8.8489129409670255</v>
      </c>
      <c r="N657" s="7">
        <f>E657</f>
        <v>3.148160207341455</v>
      </c>
      <c r="O657" s="7">
        <f>D657</f>
        <v>3.9478139751123051</v>
      </c>
      <c r="P657" s="7">
        <f>G657</f>
        <v>1.6397534939100344</v>
      </c>
      <c r="R657" s="7">
        <f t="shared" ref="R657:W657" si="564">K657/$I657</f>
        <v>4.8136031969249794E-2</v>
      </c>
      <c r="S657" s="7">
        <f t="shared" si="564"/>
        <v>0.10540914510714534</v>
      </c>
      <c r="T657" s="7">
        <f t="shared" si="564"/>
        <v>0.42595155621949693</v>
      </c>
      <c r="U657" s="7">
        <f t="shared" si="564"/>
        <v>0.15153994038490834</v>
      </c>
      <c r="V657" s="7">
        <f t="shared" si="564"/>
        <v>0.19003209971465704</v>
      </c>
      <c r="W657" s="7">
        <f t="shared" si="564"/>
        <v>7.8931226604542465E-2</v>
      </c>
      <c r="X657" s="7">
        <f>SUM(R657:W657)</f>
        <v>0.99999999999999989</v>
      </c>
    </row>
    <row r="658" spans="1:24" ht="15.75" customHeight="1" x14ac:dyDescent="0.3">
      <c r="C658" t="s">
        <v>70</v>
      </c>
      <c r="D658" t="s">
        <v>72</v>
      </c>
      <c r="E658" t="s">
        <v>71</v>
      </c>
      <c r="F658" t="s">
        <v>73</v>
      </c>
      <c r="G658" t="s">
        <v>68</v>
      </c>
      <c r="H658" t="s">
        <v>69</v>
      </c>
      <c r="K658" t="s">
        <v>68</v>
      </c>
      <c r="L658" t="s">
        <v>69</v>
      </c>
      <c r="M658" t="s">
        <v>70</v>
      </c>
      <c r="N658" t="s">
        <v>71</v>
      </c>
      <c r="O658" t="s">
        <v>72</v>
      </c>
      <c r="P658" t="s">
        <v>73</v>
      </c>
    </row>
    <row r="659" spans="1:24" ht="15.75" customHeight="1" x14ac:dyDescent="0.3">
      <c r="A659">
        <v>329</v>
      </c>
      <c r="B659" s="16" t="s">
        <v>410</v>
      </c>
      <c r="C659" s="7">
        <f>Rankings!L338</f>
        <v>11.155897791447719</v>
      </c>
      <c r="D659" s="7">
        <f>Rankings!M338</f>
        <v>4.9770417564068481</v>
      </c>
      <c r="E659" s="7">
        <f>Rankings!N338</f>
        <v>3.968911632253679</v>
      </c>
      <c r="F659" s="7">
        <f>Rankings!O338</f>
        <v>2.6848246582556978</v>
      </c>
      <c r="G659" s="7">
        <f>Rankings!P338</f>
        <v>1.6373343116675814</v>
      </c>
      <c r="H659" s="7">
        <f>Rankings!Q338</f>
        <v>1</v>
      </c>
      <c r="I659" s="7">
        <f>Rankings!R338</f>
        <v>25.424010150031528</v>
      </c>
      <c r="K659" s="7">
        <f t="shared" ref="K659:L659" si="565">G659</f>
        <v>1.6373343116675814</v>
      </c>
      <c r="L659" s="7">
        <f t="shared" si="565"/>
        <v>1</v>
      </c>
      <c r="M659" s="7">
        <f>C659</f>
        <v>11.155897791447719</v>
      </c>
      <c r="N659" s="7">
        <f>E659</f>
        <v>3.968911632253679</v>
      </c>
      <c r="O659" s="7">
        <f>D659</f>
        <v>4.9770417564068481</v>
      </c>
      <c r="P659" s="7">
        <f>F659</f>
        <v>2.6848246582556978</v>
      </c>
      <c r="R659" s="7">
        <f t="shared" ref="R659:W659" si="566">K659/$I659</f>
        <v>6.4401103602672649E-2</v>
      </c>
      <c r="S659" s="7">
        <f t="shared" si="566"/>
        <v>3.9332898079367698E-2</v>
      </c>
      <c r="T659" s="7">
        <f t="shared" si="566"/>
        <v>0.43879379081485637</v>
      </c>
      <c r="U659" s="7">
        <f t="shared" si="566"/>
        <v>0.15610879671745087</v>
      </c>
      <c r="V659" s="7">
        <f t="shared" si="566"/>
        <v>0.19576147614150777</v>
      </c>
      <c r="W659" s="7">
        <f t="shared" si="566"/>
        <v>0.10560193464414458</v>
      </c>
      <c r="X659" s="7">
        <f>SUM(R659:W659)</f>
        <v>0.99999999999999989</v>
      </c>
    </row>
    <row r="660" spans="1:24" ht="15.75" customHeight="1" x14ac:dyDescent="0.3">
      <c r="C660" t="s">
        <v>70</v>
      </c>
      <c r="D660" t="s">
        <v>72</v>
      </c>
      <c r="E660" t="s">
        <v>71</v>
      </c>
      <c r="F660" t="s">
        <v>73</v>
      </c>
      <c r="G660" t="s">
        <v>69</v>
      </c>
      <c r="H660" t="s">
        <v>68</v>
      </c>
      <c r="K660" t="s">
        <v>68</v>
      </c>
      <c r="L660" t="s">
        <v>69</v>
      </c>
      <c r="M660" t="s">
        <v>70</v>
      </c>
      <c r="N660" t="s">
        <v>71</v>
      </c>
      <c r="O660" t="s">
        <v>72</v>
      </c>
      <c r="P660" t="s">
        <v>73</v>
      </c>
    </row>
    <row r="661" spans="1:24" ht="15.75" customHeight="1" x14ac:dyDescent="0.3">
      <c r="A661">
        <v>330</v>
      </c>
      <c r="B661" s="16" t="s">
        <v>411</v>
      </c>
      <c r="C661" s="7">
        <f>Rankings!L339</f>
        <v>8.999865763194471</v>
      </c>
      <c r="D661" s="7">
        <f>Rankings!M339</f>
        <v>4.0151593841074842</v>
      </c>
      <c r="E661" s="7">
        <f>Rankings!N339</f>
        <v>3.2018643935271092</v>
      </c>
      <c r="F661" s="7">
        <f>Rankings!O339</f>
        <v>2.1659450430371923</v>
      </c>
      <c r="G661" s="7">
        <f>Rankings!P339</f>
        <v>1.7440097060445605</v>
      </c>
      <c r="H661" s="7">
        <f>Rankings!Q339</f>
        <v>1</v>
      </c>
      <c r="I661" s="7">
        <f>Rankings!R339</f>
        <v>21.126844289910817</v>
      </c>
      <c r="K661" s="7">
        <f>H661</f>
        <v>1</v>
      </c>
      <c r="L661" s="7">
        <f>G661</f>
        <v>1.7440097060445605</v>
      </c>
      <c r="M661" s="7">
        <f>C661</f>
        <v>8.999865763194471</v>
      </c>
      <c r="N661" s="7">
        <f>E661</f>
        <v>3.2018643935271092</v>
      </c>
      <c r="O661" s="7">
        <f>D661</f>
        <v>4.0151593841074842</v>
      </c>
      <c r="P661" s="7">
        <f>F661</f>
        <v>2.1659450430371923</v>
      </c>
      <c r="R661" s="7">
        <f t="shared" ref="R661:W661" si="567">K661/$I661</f>
        <v>4.7333145749436548E-2</v>
      </c>
      <c r="S661" s="7">
        <f t="shared" si="567"/>
        <v>8.2549465604639174E-2</v>
      </c>
      <c r="T661" s="7">
        <f t="shared" si="567"/>
        <v>0.42599195789464789</v>
      </c>
      <c r="U661" s="7">
        <f t="shared" si="567"/>
        <v>0.15155431400874991</v>
      </c>
      <c r="V661" s="7">
        <f t="shared" si="567"/>
        <v>0.19005012433517743</v>
      </c>
      <c r="W661" s="7">
        <f t="shared" si="567"/>
        <v>0.10252099240734903</v>
      </c>
      <c r="X661" s="7">
        <f>SUM(R661:W661)</f>
        <v>1</v>
      </c>
    </row>
    <row r="662" spans="1:24" ht="15.75" customHeight="1" x14ac:dyDescent="0.3">
      <c r="C662" t="s">
        <v>70</v>
      </c>
      <c r="D662" t="s">
        <v>72</v>
      </c>
      <c r="E662" t="s">
        <v>73</v>
      </c>
      <c r="F662" t="s">
        <v>68</v>
      </c>
      <c r="G662" t="s">
        <v>69</v>
      </c>
      <c r="H662" t="s">
        <v>71</v>
      </c>
      <c r="K662" t="s">
        <v>68</v>
      </c>
      <c r="L662" t="s">
        <v>69</v>
      </c>
      <c r="M662" t="s">
        <v>70</v>
      </c>
      <c r="N662" t="s">
        <v>71</v>
      </c>
      <c r="O662" t="s">
        <v>72</v>
      </c>
      <c r="P662" t="s">
        <v>73</v>
      </c>
    </row>
    <row r="663" spans="1:24" ht="15.75" customHeight="1" x14ac:dyDescent="0.3">
      <c r="A663">
        <v>331</v>
      </c>
      <c r="B663" s="16" t="s">
        <v>412</v>
      </c>
      <c r="C663" s="7">
        <f>Rankings!L340</f>
        <v>7.2459288558358557</v>
      </c>
      <c r="D663" s="7">
        <f>Rankings!M340</f>
        <v>3.2326659094255068</v>
      </c>
      <c r="E663" s="7">
        <f>Rankings!N340</f>
        <v>2.4454028682619988</v>
      </c>
      <c r="F663" s="7">
        <f>Rankings!O340</f>
        <v>1.4913234686458101</v>
      </c>
      <c r="G663" s="7">
        <f>Rankings!P340</f>
        <v>0.9108240498099236</v>
      </c>
      <c r="H663" s="7">
        <f>Rankings!Q340</f>
        <v>1</v>
      </c>
      <c r="I663" s="7">
        <f>Rankings!R340</f>
        <v>16.326145151979095</v>
      </c>
      <c r="K663" s="7">
        <f t="shared" ref="K663:L663" si="568">F663</f>
        <v>1.4913234686458101</v>
      </c>
      <c r="L663" s="7">
        <f t="shared" si="568"/>
        <v>0.9108240498099236</v>
      </c>
      <c r="M663" s="7">
        <f>C663</f>
        <v>7.2459288558358557</v>
      </c>
      <c r="N663" s="7">
        <f>H663</f>
        <v>1</v>
      </c>
      <c r="O663" s="7">
        <f t="shared" ref="O663:P663" si="569">D663</f>
        <v>3.2326659094255068</v>
      </c>
      <c r="P663" s="7">
        <f t="shared" si="569"/>
        <v>2.4454028682619988</v>
      </c>
      <c r="R663" s="7">
        <f t="shared" ref="R663:W663" si="570">K663/$I663</f>
        <v>9.1345719075946616E-2</v>
      </c>
      <c r="S663" s="7">
        <f t="shared" si="570"/>
        <v>5.5789290204828992E-2</v>
      </c>
      <c r="T663" s="7">
        <f t="shared" si="570"/>
        <v>0.44382362084766142</v>
      </c>
      <c r="U663" s="7">
        <f t="shared" si="570"/>
        <v>6.1251446112420331E-2</v>
      </c>
      <c r="V663" s="7">
        <f t="shared" si="570"/>
        <v>0.19800546175063471</v>
      </c>
      <c r="W663" s="7">
        <f t="shared" si="570"/>
        <v>0.14978446200850795</v>
      </c>
      <c r="X663" s="7">
        <f>SUM(R663:W663)</f>
        <v>1</v>
      </c>
    </row>
    <row r="664" spans="1:24" ht="15.75" customHeight="1" x14ac:dyDescent="0.3">
      <c r="C664" t="s">
        <v>70</v>
      </c>
      <c r="D664" t="s">
        <v>72</v>
      </c>
      <c r="E664" t="s">
        <v>73</v>
      </c>
      <c r="F664" t="s">
        <v>68</v>
      </c>
      <c r="G664" t="s">
        <v>71</v>
      </c>
      <c r="H664" t="s">
        <v>69</v>
      </c>
      <c r="K664" t="s">
        <v>68</v>
      </c>
      <c r="L664" t="s">
        <v>69</v>
      </c>
      <c r="M664" t="s">
        <v>70</v>
      </c>
      <c r="N664" t="s">
        <v>71</v>
      </c>
      <c r="O664" t="s">
        <v>72</v>
      </c>
      <c r="P664" t="s">
        <v>73</v>
      </c>
    </row>
    <row r="665" spans="1:24" ht="15.75" customHeight="1" x14ac:dyDescent="0.3">
      <c r="A665">
        <v>332</v>
      </c>
      <c r="B665" s="16" t="s">
        <v>413</v>
      </c>
      <c r="C665" s="7">
        <f>Rankings!L341</f>
        <v>8.7584555901652763</v>
      </c>
      <c r="D665" s="7">
        <f>Rankings!M341</f>
        <v>3.9074577419761973</v>
      </c>
      <c r="E665" s="7">
        <f>Rankings!N341</f>
        <v>2.9558601592514298</v>
      </c>
      <c r="F665" s="7">
        <f>Rankings!O341</f>
        <v>1.802624705621517</v>
      </c>
      <c r="G665" s="7">
        <f>Rankings!P341</f>
        <v>1.4376356077157479</v>
      </c>
      <c r="H665" s="7">
        <f>Rankings!Q341</f>
        <v>1</v>
      </c>
      <c r="I665" s="7">
        <f>Rankings!R341</f>
        <v>19.862033804730167</v>
      </c>
      <c r="K665" s="7">
        <f>F665</f>
        <v>1.802624705621517</v>
      </c>
      <c r="L665" s="7">
        <f>H665</f>
        <v>1</v>
      </c>
      <c r="M665" s="7">
        <f>C665</f>
        <v>8.7584555901652763</v>
      </c>
      <c r="N665" s="7">
        <f>G665</f>
        <v>1.4376356077157479</v>
      </c>
      <c r="O665" s="7">
        <f t="shared" ref="O665:P665" si="571">D665</f>
        <v>3.9074577419761973</v>
      </c>
      <c r="P665" s="7">
        <f t="shared" si="571"/>
        <v>2.9558601592514298</v>
      </c>
      <c r="R665" s="7">
        <f t="shared" ref="R665:W665" si="572">K665/$I665</f>
        <v>9.0757307300132567E-2</v>
      </c>
      <c r="S665" s="7">
        <f t="shared" si="572"/>
        <v>5.0347311349447449E-2</v>
      </c>
      <c r="T665" s="7">
        <f t="shared" si="572"/>
        <v>0.44096469053835963</v>
      </c>
      <c r="U665" s="7">
        <f t="shared" si="572"/>
        <v>7.238108754871686E-2</v>
      </c>
      <c r="V665" s="7">
        <f t="shared" si="572"/>
        <v>0.1967299915200845</v>
      </c>
      <c r="W665" s="7">
        <f t="shared" si="572"/>
        <v>0.14881961174325906</v>
      </c>
      <c r="X665" s="7">
        <f>SUM(R665:W665)</f>
        <v>1</v>
      </c>
    </row>
    <row r="666" spans="1:24" ht="15.75" customHeight="1" x14ac:dyDescent="0.3">
      <c r="C666" t="s">
        <v>70</v>
      </c>
      <c r="D666" t="s">
        <v>72</v>
      </c>
      <c r="E666" t="s">
        <v>73</v>
      </c>
      <c r="F666" t="s">
        <v>69</v>
      </c>
      <c r="G666" t="s">
        <v>68</v>
      </c>
      <c r="H666" t="s">
        <v>71</v>
      </c>
      <c r="K666" t="s">
        <v>68</v>
      </c>
      <c r="L666" t="s">
        <v>69</v>
      </c>
      <c r="M666" t="s">
        <v>70</v>
      </c>
      <c r="N666" t="s">
        <v>71</v>
      </c>
      <c r="O666" t="s">
        <v>72</v>
      </c>
      <c r="P666" t="s">
        <v>73</v>
      </c>
    </row>
    <row r="667" spans="1:24" ht="15.75" customHeight="1" x14ac:dyDescent="0.3">
      <c r="A667">
        <v>333</v>
      </c>
      <c r="B667" s="16" t="s">
        <v>414</v>
      </c>
      <c r="C667" s="7">
        <f>Rankings!L342</f>
        <v>8.047251589018888</v>
      </c>
      <c r="D667" s="7">
        <f>Rankings!M342</f>
        <v>3.5901644073471575</v>
      </c>
      <c r="E667" s="7">
        <f>Rankings!N342</f>
        <v>2.7158384396175066</v>
      </c>
      <c r="F667" s="7">
        <f>Rankings!O342</f>
        <v>2.1867815224435101</v>
      </c>
      <c r="G667" s="7">
        <f>Rankings!P342</f>
        <v>1.2538815092968505</v>
      </c>
      <c r="H667" s="7">
        <f>Rankings!Q342</f>
        <v>1</v>
      </c>
      <c r="I667" s="7">
        <f>Rankings!R342</f>
        <v>18.793917467723912</v>
      </c>
      <c r="K667" s="7">
        <f>G667</f>
        <v>1.2538815092968505</v>
      </c>
      <c r="L667" s="7">
        <f>F667</f>
        <v>2.1867815224435101</v>
      </c>
      <c r="M667" s="7">
        <f>C667</f>
        <v>8.047251589018888</v>
      </c>
      <c r="N667" s="7">
        <f>H667</f>
        <v>1</v>
      </c>
      <c r="O667" s="7">
        <f t="shared" ref="O667:P667" si="573">D667</f>
        <v>3.5901644073471575</v>
      </c>
      <c r="P667" s="7">
        <f t="shared" si="573"/>
        <v>2.7158384396175066</v>
      </c>
      <c r="R667" s="7">
        <f t="shared" ref="R667:W667" si="574">K667/$I667</f>
        <v>6.6717410643641895E-2</v>
      </c>
      <c r="S667" s="7">
        <f t="shared" si="574"/>
        <v>0.11635581172467212</v>
      </c>
      <c r="T667" s="7">
        <f t="shared" si="574"/>
        <v>0.42818383143583488</v>
      </c>
      <c r="U667" s="7">
        <f t="shared" si="574"/>
        <v>5.3208704450116315E-2</v>
      </c>
      <c r="V667" s="7">
        <f t="shared" si="574"/>
        <v>0.1910279968778619</v>
      </c>
      <c r="W667" s="7">
        <f t="shared" si="574"/>
        <v>0.14450624486787297</v>
      </c>
      <c r="X667" s="7">
        <f>SUM(R667:W667)</f>
        <v>1</v>
      </c>
    </row>
    <row r="668" spans="1:24" ht="15.75" customHeight="1" x14ac:dyDescent="0.3">
      <c r="C668" t="s">
        <v>70</v>
      </c>
      <c r="D668" t="s">
        <v>72</v>
      </c>
      <c r="E668" t="s">
        <v>73</v>
      </c>
      <c r="F668" t="s">
        <v>69</v>
      </c>
      <c r="G668" t="s">
        <v>71</v>
      </c>
      <c r="H668" t="s">
        <v>68</v>
      </c>
      <c r="K668" t="s">
        <v>68</v>
      </c>
      <c r="L668" t="s">
        <v>69</v>
      </c>
      <c r="M668" t="s">
        <v>70</v>
      </c>
      <c r="N668" t="s">
        <v>71</v>
      </c>
      <c r="O668" t="s">
        <v>72</v>
      </c>
      <c r="P668" t="s">
        <v>73</v>
      </c>
    </row>
    <row r="669" spans="1:24" ht="15.75" customHeight="1" x14ac:dyDescent="0.3">
      <c r="A669">
        <v>334</v>
      </c>
      <c r="B669" s="16" t="s">
        <v>415</v>
      </c>
      <c r="C669" s="7">
        <f>Rankings!L343</f>
        <v>9.7641494479622182</v>
      </c>
      <c r="D669" s="7">
        <f>Rankings!M343</f>
        <v>4.3561334485835559</v>
      </c>
      <c r="E669" s="7">
        <f>Rankings!N343</f>
        <v>3.2952682176771457</v>
      </c>
      <c r="F669" s="7">
        <f>Rankings!O343</f>
        <v>2.653335907170761</v>
      </c>
      <c r="G669" s="7">
        <f>Rankings!P343</f>
        <v>2.9131157743633094</v>
      </c>
      <c r="H669" s="7">
        <f>Rankings!Q343</f>
        <v>1</v>
      </c>
      <c r="I669" s="7">
        <f>Rankings!R343</f>
        <v>23.982002795756991</v>
      </c>
      <c r="K669" s="7">
        <f>H669</f>
        <v>1</v>
      </c>
      <c r="L669" s="7">
        <f>F669</f>
        <v>2.653335907170761</v>
      </c>
      <c r="M669" s="7">
        <f>C669</f>
        <v>9.7641494479622182</v>
      </c>
      <c r="N669" s="7">
        <f>G669</f>
        <v>2.9131157743633094</v>
      </c>
      <c r="O669" s="7">
        <f t="shared" ref="O669:P669" si="575">D669</f>
        <v>4.3561334485835559</v>
      </c>
      <c r="P669" s="7">
        <f t="shared" si="575"/>
        <v>3.2952682176771457</v>
      </c>
      <c r="R669" s="7">
        <f t="shared" ref="R669:W669" si="576">K669/$I669</f>
        <v>4.1697935260724961E-2</v>
      </c>
      <c r="S669" s="7">
        <f t="shared" si="576"/>
        <v>0.11063862888216332</v>
      </c>
      <c r="T669" s="7">
        <f t="shared" si="576"/>
        <v>0.40714487155717194</v>
      </c>
      <c r="U669" s="7">
        <f t="shared" si="576"/>
        <v>0.12147091296639793</v>
      </c>
      <c r="V669" s="7">
        <f t="shared" si="576"/>
        <v>0.18164177052611569</v>
      </c>
      <c r="W669" s="7">
        <f t="shared" si="576"/>
        <v>0.13740588080742616</v>
      </c>
      <c r="X669" s="7">
        <f>SUM(R669:W669)</f>
        <v>0.99999999999999978</v>
      </c>
    </row>
    <row r="670" spans="1:24" ht="15.75" customHeight="1" x14ac:dyDescent="0.3">
      <c r="C670" t="s">
        <v>70</v>
      </c>
      <c r="D670" t="s">
        <v>72</v>
      </c>
      <c r="E670" t="s">
        <v>73</v>
      </c>
      <c r="F670" t="s">
        <v>71</v>
      </c>
      <c r="G670" t="s">
        <v>68</v>
      </c>
      <c r="H670" t="s">
        <v>69</v>
      </c>
      <c r="K670" t="s">
        <v>68</v>
      </c>
      <c r="L670" t="s">
        <v>69</v>
      </c>
      <c r="M670" t="s">
        <v>70</v>
      </c>
      <c r="N670" t="s">
        <v>71</v>
      </c>
      <c r="O670" t="s">
        <v>72</v>
      </c>
      <c r="P670" t="s">
        <v>73</v>
      </c>
    </row>
    <row r="671" spans="1:24" ht="15.75" customHeight="1" x14ac:dyDescent="0.3">
      <c r="A671">
        <v>335</v>
      </c>
      <c r="B671" s="16" t="s">
        <v>416</v>
      </c>
      <c r="C671" s="7">
        <f>Rankings!L344</f>
        <v>12.534423993044323</v>
      </c>
      <c r="D671" s="7">
        <f>Rankings!M344</f>
        <v>5.5920511976825615</v>
      </c>
      <c r="E671" s="7">
        <f>Rankings!N344</f>
        <v>4.2301983630319224</v>
      </c>
      <c r="F671" s="7">
        <f>Rankings!O344</f>
        <v>4.7697444112251226</v>
      </c>
      <c r="G671" s="7">
        <f>Rankings!P344</f>
        <v>1.6373343116675814</v>
      </c>
      <c r="H671" s="7">
        <f>Rankings!Q344</f>
        <v>1</v>
      </c>
      <c r="I671" s="7">
        <f>Rankings!R344</f>
        <v>29.763752276651513</v>
      </c>
      <c r="K671" s="7">
        <f t="shared" ref="K671:L671" si="577">G671</f>
        <v>1.6373343116675814</v>
      </c>
      <c r="L671" s="7">
        <f t="shared" si="577"/>
        <v>1</v>
      </c>
      <c r="M671" s="7">
        <f>C671</f>
        <v>12.534423993044323</v>
      </c>
      <c r="N671" s="7">
        <f>F671</f>
        <v>4.7697444112251226</v>
      </c>
      <c r="O671" s="7">
        <f t="shared" ref="O671:P671" si="578">D671</f>
        <v>5.5920511976825615</v>
      </c>
      <c r="P671" s="7">
        <f t="shared" si="578"/>
        <v>4.2301983630319224</v>
      </c>
      <c r="R671" s="7">
        <f t="shared" ref="R671:W671" si="579">K671/$I671</f>
        <v>5.50110179808211E-2</v>
      </c>
      <c r="S671" s="7">
        <f t="shared" si="579"/>
        <v>3.3597914359220778E-2</v>
      </c>
      <c r="T671" s="7">
        <f t="shared" si="579"/>
        <v>0.4211305038604653</v>
      </c>
      <c r="U671" s="7">
        <f t="shared" si="579"/>
        <v>0.16025346424371362</v>
      </c>
      <c r="V671" s="7">
        <f t="shared" si="579"/>
        <v>0.18788125723211668</v>
      </c>
      <c r="W671" s="7">
        <f t="shared" si="579"/>
        <v>0.14212584232366246</v>
      </c>
      <c r="X671" s="7">
        <f>SUM(R671:W671)</f>
        <v>1</v>
      </c>
    </row>
    <row r="672" spans="1:24" ht="15.75" customHeight="1" x14ac:dyDescent="0.3">
      <c r="C672" t="s">
        <v>70</v>
      </c>
      <c r="D672" t="s">
        <v>72</v>
      </c>
      <c r="E672" t="s">
        <v>73</v>
      </c>
      <c r="F672" t="s">
        <v>71</v>
      </c>
      <c r="G672" t="s">
        <v>69</v>
      </c>
      <c r="H672" t="s">
        <v>68</v>
      </c>
      <c r="K672" t="s">
        <v>68</v>
      </c>
      <c r="L672" t="s">
        <v>69</v>
      </c>
      <c r="M672" t="s">
        <v>70</v>
      </c>
      <c r="N672" t="s">
        <v>71</v>
      </c>
      <c r="O672" t="s">
        <v>72</v>
      </c>
      <c r="P672" t="s">
        <v>73</v>
      </c>
    </row>
    <row r="673" spans="1:24" ht="15.75" customHeight="1" x14ac:dyDescent="0.3">
      <c r="A673">
        <v>336</v>
      </c>
      <c r="B673" s="16" t="s">
        <v>417</v>
      </c>
      <c r="C673" s="7">
        <f>Rankings!L345</f>
        <v>6.5888101191249326</v>
      </c>
      <c r="D673" s="7">
        <f>Rankings!M345</f>
        <v>2.9395019299173053</v>
      </c>
      <c r="E673" s="7">
        <f>Rankings!N345</f>
        <v>2.2236341929806538</v>
      </c>
      <c r="F673" s="7">
        <f>Rankings!O345</f>
        <v>2.5072504536115345</v>
      </c>
      <c r="G673" s="7">
        <f>Rankings!P345</f>
        <v>1.7440097060445605</v>
      </c>
      <c r="H673" s="7">
        <f>Rankings!Q345</f>
        <v>1</v>
      </c>
      <c r="I673" s="7">
        <f>Rankings!R345</f>
        <v>17.003206401678987</v>
      </c>
      <c r="K673" s="7">
        <f>H673</f>
        <v>1</v>
      </c>
      <c r="L673" s="7">
        <f>G673</f>
        <v>1.7440097060445605</v>
      </c>
      <c r="M673" s="7">
        <f>C673</f>
        <v>6.5888101191249326</v>
      </c>
      <c r="N673" s="7">
        <f>F673</f>
        <v>2.5072504536115345</v>
      </c>
      <c r="O673" s="7">
        <f t="shared" ref="O673:P673" si="580">D673</f>
        <v>2.9395019299173053</v>
      </c>
      <c r="P673" s="7">
        <f t="shared" si="580"/>
        <v>2.2236341929806538</v>
      </c>
      <c r="R673" s="7">
        <f t="shared" ref="R673:W673" si="581">K673/$I673</f>
        <v>5.8812436688485688E-2</v>
      </c>
      <c r="S673" s="7">
        <f t="shared" si="581"/>
        <v>0.10256946042085024</v>
      </c>
      <c r="T673" s="7">
        <f t="shared" si="581"/>
        <v>0.38750397798348896</v>
      </c>
      <c r="U673" s="7">
        <f t="shared" si="581"/>
        <v>0.1474575085652054</v>
      </c>
      <c r="V673" s="7">
        <f t="shared" si="581"/>
        <v>0.17287927114894303</v>
      </c>
      <c r="W673" s="7">
        <f t="shared" si="581"/>
        <v>0.13077734519302667</v>
      </c>
      <c r="X673" s="7">
        <f>SUM(R673:W673)</f>
        <v>1.0000000000000002</v>
      </c>
    </row>
    <row r="674" spans="1:24" ht="15.75" customHeight="1" x14ac:dyDescent="0.3">
      <c r="C674" t="s">
        <v>70</v>
      </c>
      <c r="D674" t="s">
        <v>73</v>
      </c>
      <c r="E674" t="s">
        <v>68</v>
      </c>
      <c r="F674" t="s">
        <v>69</v>
      </c>
      <c r="G674" t="s">
        <v>71</v>
      </c>
      <c r="H674" t="s">
        <v>72</v>
      </c>
      <c r="K674" t="s">
        <v>68</v>
      </c>
      <c r="L674" t="s">
        <v>69</v>
      </c>
      <c r="M674" t="s">
        <v>70</v>
      </c>
      <c r="N674" t="s">
        <v>71</v>
      </c>
      <c r="O674" t="s">
        <v>72</v>
      </c>
      <c r="P674" t="s">
        <v>73</v>
      </c>
    </row>
    <row r="675" spans="1:24" ht="15.75" customHeight="1" x14ac:dyDescent="0.3">
      <c r="A675">
        <v>337</v>
      </c>
      <c r="B675" s="16" t="s">
        <v>418</v>
      </c>
      <c r="C675" s="7">
        <f>Rankings!L346</f>
        <v>9.3336695897406496</v>
      </c>
      <c r="D675" s="7">
        <f>Rankings!M346</f>
        <v>4.633123739645967</v>
      </c>
      <c r="E675" s="7">
        <f>Rankings!N346</f>
        <v>2.8255001479509971</v>
      </c>
      <c r="F675" s="7">
        <f>Rankings!O346</f>
        <v>1.7256708833477632</v>
      </c>
      <c r="G675" s="7">
        <f>Rankings!P346</f>
        <v>1.89462595295753</v>
      </c>
      <c r="H675" s="7">
        <f>Rankings!Q346</f>
        <v>1</v>
      </c>
      <c r="I675" s="7">
        <f>Rankings!R346</f>
        <v>21.412590313642909</v>
      </c>
      <c r="K675" s="7">
        <f t="shared" ref="K675:L675" si="582">E675</f>
        <v>2.8255001479509971</v>
      </c>
      <c r="L675" s="7">
        <f t="shared" si="582"/>
        <v>1.7256708833477632</v>
      </c>
      <c r="M675" s="7">
        <f>C675</f>
        <v>9.3336695897406496</v>
      </c>
      <c r="N675" s="7">
        <f t="shared" ref="N675:O675" si="583">G675</f>
        <v>1.89462595295753</v>
      </c>
      <c r="O675" s="7">
        <f t="shared" si="583"/>
        <v>1</v>
      </c>
      <c r="P675" s="7">
        <f>D675</f>
        <v>4.633123739645967</v>
      </c>
      <c r="R675" s="7">
        <f t="shared" ref="R675:W675" si="584">K675/$I675</f>
        <v>0.13195508374111775</v>
      </c>
      <c r="S675" s="7">
        <f t="shared" si="584"/>
        <v>8.059141178488162E-2</v>
      </c>
      <c r="T675" s="7">
        <f t="shared" si="584"/>
        <v>0.43589633262603245</v>
      </c>
      <c r="U675" s="7">
        <f t="shared" si="584"/>
        <v>8.8481866285480645E-2</v>
      </c>
      <c r="V675" s="7">
        <f t="shared" si="584"/>
        <v>4.6701495958798397E-2</v>
      </c>
      <c r="W675" s="7">
        <f t="shared" si="584"/>
        <v>0.21637380960368904</v>
      </c>
      <c r="X675" s="7">
        <f>SUM(R675:W675)</f>
        <v>0.99999999999999978</v>
      </c>
    </row>
    <row r="676" spans="1:24" ht="15.75" customHeight="1" x14ac:dyDescent="0.3">
      <c r="C676" t="s">
        <v>70</v>
      </c>
      <c r="D676" t="s">
        <v>73</v>
      </c>
      <c r="E676" t="s">
        <v>68</v>
      </c>
      <c r="F676" t="s">
        <v>69</v>
      </c>
      <c r="G676" t="s">
        <v>72</v>
      </c>
      <c r="H676" t="s">
        <v>71</v>
      </c>
      <c r="K676" t="s">
        <v>68</v>
      </c>
      <c r="L676" t="s">
        <v>69</v>
      </c>
      <c r="M676" t="s">
        <v>70</v>
      </c>
      <c r="N676" t="s">
        <v>71</v>
      </c>
      <c r="O676" t="s">
        <v>72</v>
      </c>
      <c r="P676" t="s">
        <v>73</v>
      </c>
    </row>
    <row r="677" spans="1:24" ht="15.75" customHeight="1" x14ac:dyDescent="0.3">
      <c r="A677">
        <v>338</v>
      </c>
      <c r="B677" s="16" t="s">
        <v>419</v>
      </c>
      <c r="C677" s="7">
        <f>Rankings!L347</f>
        <v>12.20302504096974</v>
      </c>
      <c r="D677" s="7">
        <f>Rankings!M347</f>
        <v>6.0574380171927746</v>
      </c>
      <c r="E677" s="7">
        <f>Rankings!N347</f>
        <v>3.6941150238068143</v>
      </c>
      <c r="F677" s="7">
        <f>Rankings!O347</f>
        <v>2.2561763944496205</v>
      </c>
      <c r="G677" s="7">
        <f>Rankings!P347</f>
        <v>1.25400669441983</v>
      </c>
      <c r="H677" s="7">
        <f>Rankings!Q347</f>
        <v>1</v>
      </c>
      <c r="I677" s="7">
        <f>Rankings!R347</f>
        <v>26.464761170838781</v>
      </c>
      <c r="K677" s="7">
        <f t="shared" ref="K677:L677" si="585">E677</f>
        <v>3.6941150238068143</v>
      </c>
      <c r="L677" s="7">
        <f t="shared" si="585"/>
        <v>2.2561763944496205</v>
      </c>
      <c r="M677" s="7">
        <f>C677</f>
        <v>12.20302504096974</v>
      </c>
      <c r="N677" s="7">
        <f>H677</f>
        <v>1</v>
      </c>
      <c r="O677" s="7">
        <f>G677</f>
        <v>1.25400669441983</v>
      </c>
      <c r="P677" s="7">
        <f>D677</f>
        <v>6.0574380171927746</v>
      </c>
      <c r="R677" s="7">
        <f t="shared" ref="R677:W677" si="586">K677/$I677</f>
        <v>0.13958618405660572</v>
      </c>
      <c r="S677" s="7">
        <f t="shared" si="586"/>
        <v>8.5252097303476729E-2</v>
      </c>
      <c r="T677" s="7">
        <f t="shared" si="586"/>
        <v>0.46110467282115941</v>
      </c>
      <c r="U677" s="7">
        <f t="shared" si="586"/>
        <v>3.7786095765031447E-2</v>
      </c>
      <c r="V677" s="7">
        <f t="shared" si="586"/>
        <v>4.7384017045338227E-2</v>
      </c>
      <c r="W677" s="7">
        <f t="shared" si="586"/>
        <v>0.22888693300838842</v>
      </c>
      <c r="X677" s="7">
        <f>SUM(R677:W677)</f>
        <v>1</v>
      </c>
    </row>
    <row r="678" spans="1:24" ht="15.75" customHeight="1" x14ac:dyDescent="0.3">
      <c r="C678" t="s">
        <v>70</v>
      </c>
      <c r="D678" t="s">
        <v>73</v>
      </c>
      <c r="E678" t="s">
        <v>68</v>
      </c>
      <c r="F678" t="s">
        <v>71</v>
      </c>
      <c r="G678" t="s">
        <v>69</v>
      </c>
      <c r="H678" t="s">
        <v>72</v>
      </c>
      <c r="K678" t="s">
        <v>68</v>
      </c>
      <c r="L678" t="s">
        <v>69</v>
      </c>
      <c r="M678" t="s">
        <v>70</v>
      </c>
      <c r="N678" t="s">
        <v>71</v>
      </c>
      <c r="O678" t="s">
        <v>72</v>
      </c>
      <c r="P678" t="s">
        <v>73</v>
      </c>
    </row>
    <row r="679" spans="1:24" ht="15.75" customHeight="1" x14ac:dyDescent="0.3">
      <c r="A679">
        <v>339</v>
      </c>
      <c r="B679" s="16" t="s">
        <v>420</v>
      </c>
      <c r="C679" s="7">
        <f>Rankings!L348</f>
        <v>10.713604339014614</v>
      </c>
      <c r="D679" s="7">
        <f>Rankings!M348</f>
        <v>5.318107109214897</v>
      </c>
      <c r="E679" s="7">
        <f>Rankings!N348</f>
        <v>3.2432357235194749</v>
      </c>
      <c r="F679" s="7">
        <f>Rankings!O348</f>
        <v>2.5865567834541325</v>
      </c>
      <c r="G679" s="7">
        <f>Rankings!P348</f>
        <v>1.7991741228251155</v>
      </c>
      <c r="H679" s="7">
        <f>Rankings!Q348</f>
        <v>1</v>
      </c>
      <c r="I679" s="7">
        <f>Rankings!R348</f>
        <v>24.660678078028234</v>
      </c>
      <c r="K679" s="7">
        <f>E679</f>
        <v>3.2432357235194749</v>
      </c>
      <c r="L679" s="7">
        <f>G679</f>
        <v>1.7991741228251155</v>
      </c>
      <c r="M679" s="7">
        <f>C679</f>
        <v>10.713604339014614</v>
      </c>
      <c r="N679" s="7">
        <f>F679</f>
        <v>2.5865567834541325</v>
      </c>
      <c r="O679" s="7">
        <f>H679</f>
        <v>1</v>
      </c>
      <c r="P679" s="7">
        <f>D679</f>
        <v>5.318107109214897</v>
      </c>
      <c r="R679" s="7">
        <f t="shared" ref="R679:W679" si="587">K679/$I679</f>
        <v>0.13151445849370541</v>
      </c>
      <c r="S679" s="7">
        <f t="shared" si="587"/>
        <v>7.2957204061153288E-2</v>
      </c>
      <c r="T679" s="7">
        <f t="shared" si="587"/>
        <v>0.43444078484443804</v>
      </c>
      <c r="U679" s="7">
        <f t="shared" si="587"/>
        <v>0.10488587439769795</v>
      </c>
      <c r="V679" s="7">
        <f t="shared" si="587"/>
        <v>4.0550385388265685E-2</v>
      </c>
      <c r="W679" s="7">
        <f t="shared" si="587"/>
        <v>0.21565129281473963</v>
      </c>
      <c r="X679" s="7">
        <f>SUM(R679:W679)</f>
        <v>1</v>
      </c>
    </row>
    <row r="680" spans="1:24" ht="15.75" customHeight="1" x14ac:dyDescent="0.3">
      <c r="C680" t="s">
        <v>70</v>
      </c>
      <c r="D680" t="s">
        <v>73</v>
      </c>
      <c r="E680" t="s">
        <v>68</v>
      </c>
      <c r="F680" t="s">
        <v>71</v>
      </c>
      <c r="G680" t="s">
        <v>72</v>
      </c>
      <c r="H680" t="s">
        <v>69</v>
      </c>
      <c r="K680" t="s">
        <v>68</v>
      </c>
      <c r="L680" t="s">
        <v>69</v>
      </c>
      <c r="M680" t="s">
        <v>70</v>
      </c>
      <c r="N680" t="s">
        <v>71</v>
      </c>
      <c r="O680" t="s">
        <v>72</v>
      </c>
      <c r="P680" t="s">
        <v>73</v>
      </c>
    </row>
    <row r="681" spans="1:24" ht="15.75" customHeight="1" x14ac:dyDescent="0.3">
      <c r="A681">
        <v>340</v>
      </c>
      <c r="B681" s="16" t="s">
        <v>421</v>
      </c>
      <c r="C681" s="7">
        <f>Rankings!L349</f>
        <v>14.316547072048253</v>
      </c>
      <c r="D681" s="7">
        <f>Rankings!M349</f>
        <v>7.1065654801166804</v>
      </c>
      <c r="E681" s="7">
        <f>Rankings!N349</f>
        <v>4.33392306008807</v>
      </c>
      <c r="F681" s="7">
        <f>Rankings!O349</f>
        <v>3.4564055917200975</v>
      </c>
      <c r="G681" s="7">
        <f>Rankings!P349</f>
        <v>1.8243208303594776</v>
      </c>
      <c r="H681" s="7">
        <f>Rankings!Q349</f>
        <v>1</v>
      </c>
      <c r="I681" s="7">
        <f>Rankings!R349</f>
        <v>32.037762034332587</v>
      </c>
      <c r="K681" s="7">
        <f>E681</f>
        <v>4.33392306008807</v>
      </c>
      <c r="L681" s="7">
        <f>H681</f>
        <v>1</v>
      </c>
      <c r="M681" s="7">
        <f>C681</f>
        <v>14.316547072048253</v>
      </c>
      <c r="N681" s="7">
        <f t="shared" ref="N681:O681" si="588">F681</f>
        <v>3.4564055917200975</v>
      </c>
      <c r="O681" s="7">
        <f t="shared" si="588"/>
        <v>1.8243208303594776</v>
      </c>
      <c r="P681" s="7">
        <f>D681</f>
        <v>7.1065654801166804</v>
      </c>
      <c r="R681" s="7">
        <f t="shared" ref="R681:W681" si="589">K681/$I681</f>
        <v>0.13527546198276003</v>
      </c>
      <c r="S681" s="7">
        <f t="shared" si="589"/>
        <v>3.1213166479243191E-2</v>
      </c>
      <c r="T681" s="7">
        <f t="shared" si="589"/>
        <v>0.4468647671677638</v>
      </c>
      <c r="U681" s="7">
        <f t="shared" si="589"/>
        <v>0.10788536315414647</v>
      </c>
      <c r="V681" s="7">
        <f t="shared" si="589"/>
        <v>5.6942829789561548E-2</v>
      </c>
      <c r="W681" s="7">
        <f t="shared" si="589"/>
        <v>0.22181841142652475</v>
      </c>
      <c r="X681" s="7">
        <f>SUM(R681:W681)</f>
        <v>0.99999999999999978</v>
      </c>
    </row>
    <row r="682" spans="1:24" ht="15.75" customHeight="1" x14ac:dyDescent="0.3">
      <c r="C682" t="s">
        <v>70</v>
      </c>
      <c r="D682" t="s">
        <v>73</v>
      </c>
      <c r="E682" t="s">
        <v>68</v>
      </c>
      <c r="F682" t="s">
        <v>72</v>
      </c>
      <c r="G682" t="s">
        <v>69</v>
      </c>
      <c r="H682" t="s">
        <v>71</v>
      </c>
      <c r="K682" t="s">
        <v>68</v>
      </c>
      <c r="L682" t="s">
        <v>69</v>
      </c>
      <c r="M682" t="s">
        <v>70</v>
      </c>
      <c r="N682" t="s">
        <v>71</v>
      </c>
      <c r="O682" t="s">
        <v>72</v>
      </c>
      <c r="P682" t="s">
        <v>73</v>
      </c>
    </row>
    <row r="683" spans="1:24" ht="15.75" customHeight="1" x14ac:dyDescent="0.3">
      <c r="A683">
        <v>341</v>
      </c>
      <c r="B683" s="16" t="s">
        <v>422</v>
      </c>
      <c r="C683" s="7">
        <f>Rankings!L350</f>
        <v>5.9539720126281077</v>
      </c>
      <c r="D683" s="7">
        <f>Rankings!M350</f>
        <v>2.9554816368490568</v>
      </c>
      <c r="E683" s="7">
        <f>Rankings!N350</f>
        <v>1.8023938645812152</v>
      </c>
      <c r="F683" s="7">
        <f>Rankings!O350</f>
        <v>1.6616352868606219</v>
      </c>
      <c r="G683" s="7">
        <f>Rankings!P350</f>
        <v>0.9108240498099236</v>
      </c>
      <c r="H683" s="7">
        <f>Rankings!Q350</f>
        <v>1</v>
      </c>
      <c r="I683" s="7">
        <f>Rankings!R350</f>
        <v>14.284306850728926</v>
      </c>
      <c r="K683" s="7">
        <f>E683</f>
        <v>1.8023938645812152</v>
      </c>
      <c r="L683" s="7">
        <f>G683</f>
        <v>0.9108240498099236</v>
      </c>
      <c r="M683" s="7">
        <f>C683</f>
        <v>5.9539720126281077</v>
      </c>
      <c r="N683" s="7">
        <f>H683</f>
        <v>1</v>
      </c>
      <c r="O683" s="7">
        <f>F683</f>
        <v>1.6616352868606219</v>
      </c>
      <c r="P683" s="7">
        <f>D683</f>
        <v>2.9554816368490568</v>
      </c>
      <c r="R683" s="7">
        <f t="shared" ref="R683:W683" si="590">K683/$I683</f>
        <v>0.12618000183111716</v>
      </c>
      <c r="S683" s="7">
        <f t="shared" si="590"/>
        <v>6.3763965541208209E-2</v>
      </c>
      <c r="T683" s="7">
        <f t="shared" si="590"/>
        <v>0.41681910608944089</v>
      </c>
      <c r="U683" s="7">
        <f t="shared" si="590"/>
        <v>7.0006897110934732E-2</v>
      </c>
      <c r="V683" s="7">
        <f t="shared" si="590"/>
        <v>0.11632593056315006</v>
      </c>
      <c r="W683" s="7">
        <f t="shared" si="590"/>
        <v>0.20690409886414887</v>
      </c>
      <c r="X683" s="7">
        <f>SUM(R683:W683)</f>
        <v>1</v>
      </c>
    </row>
    <row r="684" spans="1:24" ht="15.75" customHeight="1" x14ac:dyDescent="0.3">
      <c r="C684" t="s">
        <v>70</v>
      </c>
      <c r="D684" t="s">
        <v>73</v>
      </c>
      <c r="E684" t="s">
        <v>68</v>
      </c>
      <c r="F684" t="s">
        <v>72</v>
      </c>
      <c r="G684" t="s">
        <v>71</v>
      </c>
      <c r="H684" t="s">
        <v>69</v>
      </c>
      <c r="K684" t="s">
        <v>68</v>
      </c>
      <c r="L684" t="s">
        <v>69</v>
      </c>
      <c r="M684" t="s">
        <v>70</v>
      </c>
      <c r="N684" t="s">
        <v>71</v>
      </c>
      <c r="O684" t="s">
        <v>72</v>
      </c>
      <c r="P684" t="s">
        <v>73</v>
      </c>
    </row>
    <row r="685" spans="1:24" ht="15.75" customHeight="1" x14ac:dyDescent="0.3">
      <c r="A685">
        <v>342</v>
      </c>
      <c r="B685" s="16" t="s">
        <v>423</v>
      </c>
      <c r="C685" s="7">
        <f>Rankings!L351</f>
        <v>6.4598102070162033</v>
      </c>
      <c r="D685" s="7">
        <f>Rankings!M351</f>
        <v>3.2065737635100628</v>
      </c>
      <c r="E685" s="7">
        <f>Rankings!N351</f>
        <v>1.9555218363120577</v>
      </c>
      <c r="F685" s="7">
        <f>Rankings!O351</f>
        <v>1.8028046762118686</v>
      </c>
      <c r="G685" s="7">
        <f>Rankings!P351</f>
        <v>1.4376356077157479</v>
      </c>
      <c r="H685" s="7">
        <f>Rankings!Q351</f>
        <v>1</v>
      </c>
      <c r="I685" s="7">
        <f>Rankings!R351</f>
        <v>15.862346090765939</v>
      </c>
      <c r="K685" s="7">
        <f>E685</f>
        <v>1.9555218363120577</v>
      </c>
      <c r="L685" s="7">
        <f>H685</f>
        <v>1</v>
      </c>
      <c r="M685" s="7">
        <f>C685</f>
        <v>6.4598102070162033</v>
      </c>
      <c r="N685" s="7">
        <f>G685</f>
        <v>1.4376356077157479</v>
      </c>
      <c r="O685" s="7">
        <f>F685</f>
        <v>1.8028046762118686</v>
      </c>
      <c r="P685" s="7">
        <f>D685</f>
        <v>3.2065737635100628</v>
      </c>
      <c r="R685" s="7">
        <f t="shared" ref="R685:W685" si="591">K685/$I685</f>
        <v>0.12328074454575415</v>
      </c>
      <c r="S685" s="7">
        <f t="shared" si="591"/>
        <v>6.3042376851311865E-2</v>
      </c>
      <c r="T685" s="7">
        <f t="shared" si="591"/>
        <v>0.40724178945866646</v>
      </c>
      <c r="U685" s="7">
        <f t="shared" si="591"/>
        <v>9.0631965756480942E-2</v>
      </c>
      <c r="V685" s="7">
        <f t="shared" si="591"/>
        <v>0.11365309178705589</v>
      </c>
      <c r="W685" s="7">
        <f t="shared" si="591"/>
        <v>0.20215003160073078</v>
      </c>
      <c r="X685" s="7">
        <f>SUM(R685:W685)</f>
        <v>1</v>
      </c>
    </row>
    <row r="686" spans="1:24" ht="15.75" customHeight="1" x14ac:dyDescent="0.3">
      <c r="C686" t="s">
        <v>70</v>
      </c>
      <c r="D686" t="s">
        <v>73</v>
      </c>
      <c r="E686" t="s">
        <v>69</v>
      </c>
      <c r="F686" t="s">
        <v>68</v>
      </c>
      <c r="G686" t="s">
        <v>71</v>
      </c>
      <c r="H686" t="s">
        <v>72</v>
      </c>
      <c r="K686" t="s">
        <v>68</v>
      </c>
      <c r="L686" t="s">
        <v>69</v>
      </c>
      <c r="M686" t="s">
        <v>70</v>
      </c>
      <c r="N686" t="s">
        <v>71</v>
      </c>
      <c r="O686" t="s">
        <v>72</v>
      </c>
      <c r="P686" t="s">
        <v>73</v>
      </c>
    </row>
    <row r="687" spans="1:24" ht="15.75" customHeight="1" x14ac:dyDescent="0.3">
      <c r="A687">
        <v>343</v>
      </c>
      <c r="B687" s="16" t="s">
        <v>424</v>
      </c>
      <c r="C687" s="7">
        <f>Rankings!L352</f>
        <v>10.365874262886802</v>
      </c>
      <c r="D687" s="7">
        <f>Rankings!M352</f>
        <v>5.1454979917390098</v>
      </c>
      <c r="E687" s="7">
        <f>Rankings!N352</f>
        <v>4.1431330258694539</v>
      </c>
      <c r="F687" s="7">
        <f>Rankings!O352</f>
        <v>2.3756364494473714</v>
      </c>
      <c r="G687" s="7">
        <f>Rankings!P352</f>
        <v>1.89462595295753</v>
      </c>
      <c r="H687" s="7">
        <f>Rankings!Q352</f>
        <v>1</v>
      </c>
      <c r="I687" s="7">
        <f>Rankings!R352</f>
        <v>24.924767682900164</v>
      </c>
      <c r="K687" s="7">
        <f>F687</f>
        <v>2.3756364494473714</v>
      </c>
      <c r="L687" s="7">
        <f>E687</f>
        <v>4.1431330258694539</v>
      </c>
      <c r="M687" s="7">
        <f>C687</f>
        <v>10.365874262886802</v>
      </c>
      <c r="N687" s="7">
        <f t="shared" ref="N687:O687" si="592">G687</f>
        <v>1.89462595295753</v>
      </c>
      <c r="O687" s="7">
        <f t="shared" si="592"/>
        <v>1</v>
      </c>
      <c r="P687" s="7">
        <f>D687</f>
        <v>5.1454979917390098</v>
      </c>
      <c r="R687" s="7">
        <f t="shared" ref="R687:W687" si="593">K687/$I687</f>
        <v>9.5312280526377607E-2</v>
      </c>
      <c r="S687" s="7">
        <f t="shared" si="593"/>
        <v>0.16622554234324452</v>
      </c>
      <c r="T687" s="7">
        <f t="shared" si="593"/>
        <v>0.41588649470134853</v>
      </c>
      <c r="U687" s="7">
        <f t="shared" si="593"/>
        <v>7.6013785847936041E-2</v>
      </c>
      <c r="V687" s="7">
        <f t="shared" si="593"/>
        <v>4.0120735034415503E-2</v>
      </c>
      <c r="W687" s="7">
        <f t="shared" si="593"/>
        <v>0.20644116154667791</v>
      </c>
      <c r="X687" s="7">
        <f>SUM(R687:W687)</f>
        <v>1</v>
      </c>
    </row>
    <row r="688" spans="1:24" ht="15.75" customHeight="1" x14ac:dyDescent="0.3">
      <c r="C688" t="s">
        <v>70</v>
      </c>
      <c r="D688" t="s">
        <v>73</v>
      </c>
      <c r="E688" t="s">
        <v>69</v>
      </c>
      <c r="F688" t="s">
        <v>68</v>
      </c>
      <c r="G688" t="s">
        <v>72</v>
      </c>
      <c r="H688" t="s">
        <v>71</v>
      </c>
      <c r="K688" t="s">
        <v>68</v>
      </c>
      <c r="L688" t="s">
        <v>69</v>
      </c>
      <c r="M688" t="s">
        <v>70</v>
      </c>
      <c r="N688" t="s">
        <v>71</v>
      </c>
      <c r="O688" t="s">
        <v>72</v>
      </c>
      <c r="P688" t="s">
        <v>73</v>
      </c>
    </row>
    <row r="689" spans="1:24" ht="15.75" customHeight="1" x14ac:dyDescent="0.3">
      <c r="A689">
        <v>344</v>
      </c>
      <c r="B689" s="16" t="s">
        <v>425</v>
      </c>
      <c r="C689" s="7">
        <f>Rankings!L353</f>
        <v>5.9352607794852821</v>
      </c>
      <c r="D689" s="7">
        <f>Rankings!M353</f>
        <v>2.9461936009229333</v>
      </c>
      <c r="E689" s="7">
        <f>Rankings!N353</f>
        <v>2.3722625153457049</v>
      </c>
      <c r="F689" s="7">
        <f>Rankings!O353</f>
        <v>1.3602346977334379</v>
      </c>
      <c r="G689" s="7">
        <f>Rankings!P353</f>
        <v>1.25400669441983</v>
      </c>
      <c r="H689" s="7">
        <f>Rankings!Q353</f>
        <v>1</v>
      </c>
      <c r="I689" s="7">
        <f>Rankings!R353</f>
        <v>14.867958287907188</v>
      </c>
      <c r="K689" s="7">
        <f>F689</f>
        <v>1.3602346977334379</v>
      </c>
      <c r="L689" s="7">
        <f>E689</f>
        <v>2.3722625153457049</v>
      </c>
      <c r="M689" s="7">
        <f>C689</f>
        <v>5.9352607794852821</v>
      </c>
      <c r="N689" s="7">
        <f>H689</f>
        <v>1</v>
      </c>
      <c r="O689" s="7">
        <f>G689</f>
        <v>1.25400669441983</v>
      </c>
      <c r="P689" s="7">
        <f>D689</f>
        <v>2.9461936009229333</v>
      </c>
      <c r="R689" s="7">
        <f t="shared" ref="R689:W689" si="594">K689/$I689</f>
        <v>9.1487658990796403E-2</v>
      </c>
      <c r="S689" s="7">
        <f t="shared" si="594"/>
        <v>0.15955536526324385</v>
      </c>
      <c r="T689" s="7">
        <f t="shared" si="594"/>
        <v>0.3991981053856406</v>
      </c>
      <c r="U689" s="7">
        <f t="shared" si="594"/>
        <v>6.7258730528814245E-2</v>
      </c>
      <c r="V689" s="7">
        <f t="shared" si="594"/>
        <v>8.4342898341312464E-2</v>
      </c>
      <c r="W689" s="7">
        <f t="shared" si="594"/>
        <v>0.19815724149019248</v>
      </c>
      <c r="X689" s="7">
        <f>SUM(R689:W689)</f>
        <v>1</v>
      </c>
    </row>
    <row r="690" spans="1:24" ht="15.75" customHeight="1" x14ac:dyDescent="0.3">
      <c r="C690" t="s">
        <v>70</v>
      </c>
      <c r="D690" t="s">
        <v>73</v>
      </c>
      <c r="E690" t="s">
        <v>69</v>
      </c>
      <c r="F690" t="s">
        <v>71</v>
      </c>
      <c r="G690" t="s">
        <v>68</v>
      </c>
      <c r="H690" t="s">
        <v>72</v>
      </c>
      <c r="K690" t="s">
        <v>68</v>
      </c>
      <c r="L690" t="s">
        <v>69</v>
      </c>
      <c r="M690" t="s">
        <v>70</v>
      </c>
      <c r="N690" t="s">
        <v>71</v>
      </c>
      <c r="O690" t="s">
        <v>72</v>
      </c>
      <c r="P690" t="s">
        <v>73</v>
      </c>
    </row>
    <row r="691" spans="1:24" ht="15.75" customHeight="1" x14ac:dyDescent="0.3">
      <c r="A691">
        <v>345</v>
      </c>
      <c r="B691" s="16" t="s">
        <v>426</v>
      </c>
      <c r="C691" s="7">
        <f>Rankings!L354</f>
        <v>7.2008420895592087</v>
      </c>
      <c r="D691" s="7">
        <f>Rankings!M354</f>
        <v>3.5744132690586983</v>
      </c>
      <c r="E691" s="7">
        <f>Rankings!N354</f>
        <v>2.878102311364044</v>
      </c>
      <c r="F691" s="7">
        <f>Rankings!O354</f>
        <v>3.1598883582011963</v>
      </c>
      <c r="G691" s="7">
        <f>Rankings!P354</f>
        <v>1.0847108741813811</v>
      </c>
      <c r="H691" s="7">
        <f>Rankings!Q354</f>
        <v>1</v>
      </c>
      <c r="I691" s="7">
        <f>Rankings!R354</f>
        <v>18.89795690236453</v>
      </c>
      <c r="K691" s="7">
        <f>G691</f>
        <v>1.0847108741813811</v>
      </c>
      <c r="L691" s="7">
        <f>E691</f>
        <v>2.878102311364044</v>
      </c>
      <c r="M691" s="7">
        <f>C691</f>
        <v>7.2008420895592087</v>
      </c>
      <c r="N691" s="7">
        <f>F691</f>
        <v>3.1598883582011963</v>
      </c>
      <c r="O691" s="7">
        <f>H691</f>
        <v>1</v>
      </c>
      <c r="P691" s="7">
        <f>D691</f>
        <v>3.5744132690586983</v>
      </c>
      <c r="R691" s="7">
        <f t="shared" ref="R691:W691" si="595">K691/$I691</f>
        <v>5.7398314526035409E-2</v>
      </c>
      <c r="S691" s="7">
        <f t="shared" si="595"/>
        <v>0.15229700894301082</v>
      </c>
      <c r="T691" s="7">
        <f t="shared" si="595"/>
        <v>0.38103812633090683</v>
      </c>
      <c r="U691" s="7">
        <f t="shared" si="595"/>
        <v>0.16720793546766041</v>
      </c>
      <c r="V691" s="7">
        <f t="shared" si="595"/>
        <v>5.2915773126505493E-2</v>
      </c>
      <c r="W691" s="7">
        <f t="shared" si="595"/>
        <v>0.18914284160588091</v>
      </c>
      <c r="X691" s="7">
        <f>SUM(R691:W691)</f>
        <v>0.99999999999999989</v>
      </c>
    </row>
    <row r="692" spans="1:24" ht="15.75" customHeight="1" x14ac:dyDescent="0.3">
      <c r="C692" t="s">
        <v>70</v>
      </c>
      <c r="D692" t="s">
        <v>73</v>
      </c>
      <c r="E692" t="s">
        <v>69</v>
      </c>
      <c r="F692" t="s">
        <v>71</v>
      </c>
      <c r="G692" t="s">
        <v>72</v>
      </c>
      <c r="H692" t="s">
        <v>68</v>
      </c>
      <c r="K692" t="s">
        <v>68</v>
      </c>
      <c r="L692" t="s">
        <v>69</v>
      </c>
      <c r="M692" t="s">
        <v>70</v>
      </c>
      <c r="N692" t="s">
        <v>71</v>
      </c>
      <c r="O692" t="s">
        <v>72</v>
      </c>
      <c r="P692" t="s">
        <v>73</v>
      </c>
    </row>
    <row r="693" spans="1:24" ht="15.75" customHeight="1" x14ac:dyDescent="0.3">
      <c r="A693">
        <v>346</v>
      </c>
      <c r="B693" s="16" t="s">
        <v>427</v>
      </c>
      <c r="C693" s="7">
        <f>Rankings!L355</f>
        <v>6.6081577072120279</v>
      </c>
      <c r="D693" s="7">
        <f>Rankings!M355</f>
        <v>3.2802117167572922</v>
      </c>
      <c r="E693" s="7">
        <f>Rankings!N355</f>
        <v>2.6412124768798093</v>
      </c>
      <c r="F693" s="7">
        <f>Rankings!O355</f>
        <v>2.899805376714629</v>
      </c>
      <c r="G693" s="7">
        <f>Rankings!P355</f>
        <v>1.530542412441888</v>
      </c>
      <c r="H693" s="7">
        <f>Rankings!Q355</f>
        <v>1</v>
      </c>
      <c r="I693" s="7">
        <f>Rankings!R355</f>
        <v>17.959929690005648</v>
      </c>
      <c r="K693" s="7">
        <f>H693</f>
        <v>1</v>
      </c>
      <c r="L693" s="7">
        <f>E693</f>
        <v>2.6412124768798093</v>
      </c>
      <c r="M693" s="7">
        <f>C693</f>
        <v>6.6081577072120279</v>
      </c>
      <c r="N693" s="7">
        <f t="shared" ref="N693:O693" si="596">F693</f>
        <v>2.899805376714629</v>
      </c>
      <c r="O693" s="7">
        <f t="shared" si="596"/>
        <v>1.530542412441888</v>
      </c>
      <c r="P693" s="7">
        <f>D693</f>
        <v>3.2802117167572922</v>
      </c>
      <c r="R693" s="7">
        <f t="shared" ref="R693:W693" si="597">K693/$I693</f>
        <v>5.5679505279827492E-2</v>
      </c>
      <c r="S693" s="7">
        <f t="shared" si="597"/>
        <v>0.14706140405157558</v>
      </c>
      <c r="T693" s="7">
        <f t="shared" si="597"/>
        <v>0.36793895194864484</v>
      </c>
      <c r="U693" s="7">
        <f t="shared" si="597"/>
        <v>0.16145972878325435</v>
      </c>
      <c r="V693" s="7">
        <f t="shared" si="597"/>
        <v>8.5219844334558009E-2</v>
      </c>
      <c r="W693" s="7">
        <f t="shared" si="597"/>
        <v>0.18264056560213965</v>
      </c>
      <c r="X693" s="7">
        <f>SUM(R693:W693)</f>
        <v>0.99999999999999978</v>
      </c>
    </row>
    <row r="694" spans="1:24" ht="15.75" customHeight="1" x14ac:dyDescent="0.3">
      <c r="C694" t="s">
        <v>70</v>
      </c>
      <c r="D694" t="s">
        <v>73</v>
      </c>
      <c r="E694" t="s">
        <v>69</v>
      </c>
      <c r="F694" t="s">
        <v>72</v>
      </c>
      <c r="G694" t="s">
        <v>68</v>
      </c>
      <c r="H694" t="s">
        <v>71</v>
      </c>
      <c r="K694" t="s">
        <v>68</v>
      </c>
      <c r="L694" t="s">
        <v>69</v>
      </c>
      <c r="M694" t="s">
        <v>70</v>
      </c>
      <c r="N694" t="s">
        <v>71</v>
      </c>
      <c r="O694" t="s">
        <v>72</v>
      </c>
      <c r="P694" t="s">
        <v>73</v>
      </c>
    </row>
    <row r="695" spans="1:24" ht="15.75" customHeight="1" x14ac:dyDescent="0.3">
      <c r="A695">
        <v>347</v>
      </c>
      <c r="B695" s="16" t="s">
        <v>428</v>
      </c>
      <c r="C695" s="7">
        <f>Rankings!L356</f>
        <v>8.6387741830755314</v>
      </c>
      <c r="D695" s="7">
        <f>Rankings!M356</f>
        <v>4.2881858377590243</v>
      </c>
      <c r="E695" s="7">
        <f>Rankings!N356</f>
        <v>3.4528289378421424</v>
      </c>
      <c r="F695" s="7">
        <f>Rankings!O356</f>
        <v>1.9191188301554771</v>
      </c>
      <c r="G695" s="7">
        <f>Rankings!P356</f>
        <v>1.2538815092968505</v>
      </c>
      <c r="H695" s="7">
        <f>Rankings!Q356</f>
        <v>1</v>
      </c>
      <c r="I695" s="7">
        <f>Rankings!R356</f>
        <v>20.552789298129024</v>
      </c>
      <c r="K695" s="7">
        <f>G695</f>
        <v>1.2538815092968505</v>
      </c>
      <c r="L695" s="7">
        <f>E695</f>
        <v>3.4528289378421424</v>
      </c>
      <c r="M695" s="7">
        <f>C695</f>
        <v>8.6387741830755314</v>
      </c>
      <c r="N695" s="7">
        <f>H695</f>
        <v>1</v>
      </c>
      <c r="O695" s="7">
        <f>F695</f>
        <v>1.9191188301554771</v>
      </c>
      <c r="P695" s="7">
        <f>D695</f>
        <v>4.2881858377590243</v>
      </c>
      <c r="R695" s="7">
        <f t="shared" ref="R695:W695" si="598">K695/$I695</f>
        <v>6.1007851105202286E-2</v>
      </c>
      <c r="S695" s="7">
        <f t="shared" si="598"/>
        <v>0.16799807012844056</v>
      </c>
      <c r="T695" s="7">
        <f t="shared" si="598"/>
        <v>0.42032125458815178</v>
      </c>
      <c r="U695" s="7">
        <f t="shared" si="598"/>
        <v>4.8655196406408578E-2</v>
      </c>
      <c r="V695" s="7">
        <f t="shared" si="598"/>
        <v>9.3375103608451804E-2</v>
      </c>
      <c r="W695" s="7">
        <f t="shared" si="598"/>
        <v>0.20864252416334503</v>
      </c>
      <c r="X695" s="7">
        <f>SUM(R695:W695)</f>
        <v>1</v>
      </c>
    </row>
    <row r="696" spans="1:24" ht="15.75" customHeight="1" x14ac:dyDescent="0.3">
      <c r="C696" t="s">
        <v>70</v>
      </c>
      <c r="D696" t="s">
        <v>73</v>
      </c>
      <c r="E696" t="s">
        <v>69</v>
      </c>
      <c r="F696" t="s">
        <v>72</v>
      </c>
      <c r="G696" t="s">
        <v>71</v>
      </c>
      <c r="H696" t="s">
        <v>68</v>
      </c>
      <c r="K696" t="s">
        <v>68</v>
      </c>
      <c r="L696" t="s">
        <v>69</v>
      </c>
      <c r="M696" t="s">
        <v>70</v>
      </c>
      <c r="N696" t="s">
        <v>71</v>
      </c>
      <c r="O696" t="s">
        <v>72</v>
      </c>
      <c r="P696" t="s">
        <v>73</v>
      </c>
    </row>
    <row r="697" spans="1:24" ht="15.75" customHeight="1" x14ac:dyDescent="0.3">
      <c r="A697">
        <v>348</v>
      </c>
      <c r="B697" s="16" t="s">
        <v>429</v>
      </c>
      <c r="C697" s="7">
        <f>Rankings!L357</f>
        <v>16.444014644345966</v>
      </c>
      <c r="D697" s="7">
        <f>Rankings!M357</f>
        <v>8.1626153455815871</v>
      </c>
      <c r="E697" s="7">
        <f>Rankings!N357</f>
        <v>6.5725030444173251</v>
      </c>
      <c r="F697" s="7">
        <f>Rankings!O357</f>
        <v>3.653066682671597</v>
      </c>
      <c r="G697" s="7">
        <f>Rankings!P357</f>
        <v>2.9131157743633094</v>
      </c>
      <c r="H697" s="7">
        <f>Rankings!Q357</f>
        <v>1</v>
      </c>
      <c r="I697" s="7">
        <f>Rankings!R357</f>
        <v>38.745315491379792</v>
      </c>
      <c r="K697" s="7">
        <f>H697</f>
        <v>1</v>
      </c>
      <c r="L697" s="7">
        <f>E697</f>
        <v>6.5725030444173251</v>
      </c>
      <c r="M697" s="7">
        <f>C697</f>
        <v>16.444014644345966</v>
      </c>
      <c r="N697" s="7">
        <f>G697</f>
        <v>2.9131157743633094</v>
      </c>
      <c r="O697" s="7">
        <f>F697</f>
        <v>3.653066682671597</v>
      </c>
      <c r="P697" s="7">
        <f>D697</f>
        <v>8.1626153455815871</v>
      </c>
      <c r="R697" s="7">
        <f t="shared" ref="R697:W697" si="599">K697/$I697</f>
        <v>2.5809571746098801E-2</v>
      </c>
      <c r="S697" s="7">
        <f t="shared" si="599"/>
        <v>0.16963348887634175</v>
      </c>
      <c r="T697" s="7">
        <f t="shared" si="599"/>
        <v>0.42441297575714654</v>
      </c>
      <c r="U697" s="7">
        <f t="shared" si="599"/>
        <v>7.5186270583121995E-2</v>
      </c>
      <c r="V697" s="7">
        <f t="shared" si="599"/>
        <v>9.4284086639695716E-2</v>
      </c>
      <c r="W697" s="7">
        <f t="shared" si="599"/>
        <v>0.21067360639759503</v>
      </c>
      <c r="X697" s="7">
        <f>SUM(R697:W697)</f>
        <v>0.99999999999999978</v>
      </c>
    </row>
    <row r="698" spans="1:24" ht="15.75" customHeight="1" x14ac:dyDescent="0.3">
      <c r="C698" t="s">
        <v>70</v>
      </c>
      <c r="D698" t="s">
        <v>73</v>
      </c>
      <c r="E698" t="s">
        <v>71</v>
      </c>
      <c r="F698" t="s">
        <v>68</v>
      </c>
      <c r="G698" t="s">
        <v>69</v>
      </c>
      <c r="H698" t="s">
        <v>72</v>
      </c>
      <c r="K698" t="s">
        <v>68</v>
      </c>
      <c r="L698" t="s">
        <v>69</v>
      </c>
      <c r="M698" t="s">
        <v>70</v>
      </c>
      <c r="N698" t="s">
        <v>71</v>
      </c>
      <c r="O698" t="s">
        <v>72</v>
      </c>
      <c r="P698" t="s">
        <v>73</v>
      </c>
    </row>
    <row r="699" spans="1:24" ht="15.75" customHeight="1" x14ac:dyDescent="0.3">
      <c r="A699">
        <v>349</v>
      </c>
      <c r="B699" s="16" t="s">
        <v>430</v>
      </c>
      <c r="C699" s="7">
        <f>Rankings!L358</f>
        <v>15.332481611223704</v>
      </c>
      <c r="D699" s="7">
        <f>Rankings!M358</f>
        <v>7.6108634291841986</v>
      </c>
      <c r="E699" s="7">
        <f>Rankings!N358</f>
        <v>8.5816007171659567</v>
      </c>
      <c r="F699" s="7">
        <f>Rankings!O358</f>
        <v>2.9458495239659848</v>
      </c>
      <c r="G699" s="7">
        <f>Rankings!P358</f>
        <v>1.7991741228251155</v>
      </c>
      <c r="H699" s="7">
        <f>Rankings!Q358</f>
        <v>1</v>
      </c>
      <c r="I699" s="7">
        <f>Rankings!R358</f>
        <v>37.269969404364957</v>
      </c>
      <c r="K699" s="7">
        <f t="shared" ref="K699:L699" si="600">F699</f>
        <v>2.9458495239659848</v>
      </c>
      <c r="L699" s="7">
        <f t="shared" si="600"/>
        <v>1.7991741228251155</v>
      </c>
      <c r="M699" s="7">
        <f>C699</f>
        <v>15.332481611223704</v>
      </c>
      <c r="N699" s="7">
        <f>E699</f>
        <v>8.5816007171659567</v>
      </c>
      <c r="O699" s="7">
        <f>H699</f>
        <v>1</v>
      </c>
      <c r="P699" s="7">
        <f>D699</f>
        <v>7.6108634291841986</v>
      </c>
      <c r="R699" s="7">
        <f t="shared" ref="R699:W699" si="601">K699/$I699</f>
        <v>7.9040835585472063E-2</v>
      </c>
      <c r="S699" s="7">
        <f t="shared" si="601"/>
        <v>4.8274097123739548E-2</v>
      </c>
      <c r="T699" s="7">
        <f t="shared" si="601"/>
        <v>0.41138970211840331</v>
      </c>
      <c r="U699" s="7">
        <f t="shared" si="601"/>
        <v>0.2302551049628955</v>
      </c>
      <c r="V699" s="7">
        <f t="shared" si="601"/>
        <v>2.6831253579802584E-2</v>
      </c>
      <c r="W699" s="7">
        <f t="shared" si="601"/>
        <v>0.20420900662968708</v>
      </c>
      <c r="X699" s="7">
        <f>SUM(R699:W699)</f>
        <v>1</v>
      </c>
    </row>
    <row r="700" spans="1:24" ht="15.75" customHeight="1" x14ac:dyDescent="0.3">
      <c r="C700" t="s">
        <v>70</v>
      </c>
      <c r="D700" t="s">
        <v>73</v>
      </c>
      <c r="E700" t="s">
        <v>71</v>
      </c>
      <c r="F700" t="s">
        <v>68</v>
      </c>
      <c r="G700" t="s">
        <v>72</v>
      </c>
      <c r="H700" t="s">
        <v>69</v>
      </c>
      <c r="K700" t="s">
        <v>68</v>
      </c>
      <c r="L700" t="s">
        <v>69</v>
      </c>
      <c r="M700" t="s">
        <v>70</v>
      </c>
      <c r="N700" t="s">
        <v>71</v>
      </c>
      <c r="O700" t="s">
        <v>72</v>
      </c>
      <c r="P700" t="s">
        <v>73</v>
      </c>
    </row>
    <row r="701" spans="1:24" ht="15.75" customHeight="1" x14ac:dyDescent="0.3">
      <c r="A701">
        <v>350</v>
      </c>
      <c r="B701" s="16" t="s">
        <v>431</v>
      </c>
      <c r="C701" s="7">
        <f>Rankings!L359</f>
        <v>10.299522826379068</v>
      </c>
      <c r="D701" s="7">
        <f>Rankings!M359</f>
        <v>5.1125619195234799</v>
      </c>
      <c r="E701" s="7">
        <f>Rankings!N359</f>
        <v>5.7646501534768531</v>
      </c>
      <c r="F701" s="7">
        <f>Rankings!O359</f>
        <v>1.9788606426865321</v>
      </c>
      <c r="G701" s="7">
        <f>Rankings!P359</f>
        <v>1.8243208303594776</v>
      </c>
      <c r="H701" s="7">
        <f>Rankings!Q359</f>
        <v>1</v>
      </c>
      <c r="I701" s="7">
        <f>Rankings!R359</f>
        <v>25.979916372425411</v>
      </c>
      <c r="K701" s="7">
        <f>F701</f>
        <v>1.9788606426865321</v>
      </c>
      <c r="L701" s="7">
        <f>H701</f>
        <v>1</v>
      </c>
      <c r="M701" s="7">
        <f>C701</f>
        <v>10.299522826379068</v>
      </c>
      <c r="N701" s="7">
        <f>E701</f>
        <v>5.7646501534768531</v>
      </c>
      <c r="O701" s="7">
        <f>G701</f>
        <v>1.8243208303594776</v>
      </c>
      <c r="P701" s="7">
        <f>D701</f>
        <v>5.1125619195234799</v>
      </c>
      <c r="R701" s="7">
        <f t="shared" ref="R701:W701" si="602">K701/$I701</f>
        <v>7.6168861143327507E-2</v>
      </c>
      <c r="S701" s="7">
        <f t="shared" si="602"/>
        <v>3.8491270936552399E-2</v>
      </c>
      <c r="T701" s="7">
        <f t="shared" si="602"/>
        <v>0.39644172362736263</v>
      </c>
      <c r="U701" s="7">
        <f t="shared" si="602"/>
        <v>0.22188871091191592</v>
      </c>
      <c r="V701" s="7">
        <f t="shared" si="602"/>
        <v>7.0220427356562892E-2</v>
      </c>
      <c r="W701" s="7">
        <f t="shared" si="602"/>
        <v>0.19678900602427865</v>
      </c>
      <c r="X701" s="7">
        <f>SUM(R701:W701)</f>
        <v>1</v>
      </c>
    </row>
    <row r="702" spans="1:24" ht="15.75" customHeight="1" x14ac:dyDescent="0.3">
      <c r="C702" t="s">
        <v>70</v>
      </c>
      <c r="D702" t="s">
        <v>73</v>
      </c>
      <c r="E702" t="s">
        <v>71</v>
      </c>
      <c r="F702" t="s">
        <v>69</v>
      </c>
      <c r="G702" t="s">
        <v>68</v>
      </c>
      <c r="H702" t="s">
        <v>72</v>
      </c>
      <c r="K702" t="s">
        <v>68</v>
      </c>
      <c r="L702" t="s">
        <v>69</v>
      </c>
      <c r="M702" t="s">
        <v>70</v>
      </c>
      <c r="N702" t="s">
        <v>71</v>
      </c>
      <c r="O702" t="s">
        <v>72</v>
      </c>
      <c r="P702" t="s">
        <v>73</v>
      </c>
    </row>
    <row r="703" spans="1:24" ht="15.75" customHeight="1" x14ac:dyDescent="0.3">
      <c r="A703">
        <v>351</v>
      </c>
      <c r="B703" s="16" t="s">
        <v>432</v>
      </c>
      <c r="C703" s="7">
        <f>Rankings!L360</f>
        <v>4.8591002707163833</v>
      </c>
      <c r="D703" s="7">
        <f>Rankings!M360</f>
        <v>2.4120001893276548</v>
      </c>
      <c r="E703" s="7">
        <f>Rankings!N360</f>
        <v>2.7196418313286319</v>
      </c>
      <c r="F703" s="7">
        <f>Rankings!O360</f>
        <v>1.8917462928244089</v>
      </c>
      <c r="G703" s="7">
        <f>Rankings!P360</f>
        <v>1.0847108741813811</v>
      </c>
      <c r="H703" s="7">
        <f>Rankings!Q360</f>
        <v>1</v>
      </c>
      <c r="I703" s="7">
        <f>Rankings!R360</f>
        <v>13.96719945837846</v>
      </c>
      <c r="K703" s="7">
        <f>G703</f>
        <v>1.0847108741813811</v>
      </c>
      <c r="L703" s="7">
        <f>F703</f>
        <v>1.8917462928244089</v>
      </c>
      <c r="M703" s="7">
        <f>C703</f>
        <v>4.8591002707163833</v>
      </c>
      <c r="N703" s="7">
        <f>E703</f>
        <v>2.7196418313286319</v>
      </c>
      <c r="O703" s="7">
        <f>H703</f>
        <v>1</v>
      </c>
      <c r="P703" s="7">
        <f>D703</f>
        <v>2.4120001893276548</v>
      </c>
      <c r="R703" s="7">
        <f t="shared" ref="R703:W703" si="603">K703/$I703</f>
        <v>7.7661300492898669E-2</v>
      </c>
      <c r="S703" s="7">
        <f t="shared" si="603"/>
        <v>0.13544206184365851</v>
      </c>
      <c r="T703" s="7">
        <f t="shared" si="603"/>
        <v>0.34789366939279803</v>
      </c>
      <c r="U703" s="7">
        <f t="shared" si="603"/>
        <v>0.19471633088888188</v>
      </c>
      <c r="V703" s="7">
        <f t="shared" si="603"/>
        <v>7.1596314134408187E-2</v>
      </c>
      <c r="W703" s="7">
        <f t="shared" si="603"/>
        <v>0.17269032324735478</v>
      </c>
      <c r="X703" s="7">
        <f>SUM(R703:W703)</f>
        <v>1</v>
      </c>
    </row>
    <row r="704" spans="1:24" ht="15.75" customHeight="1" x14ac:dyDescent="0.3">
      <c r="C704" t="s">
        <v>70</v>
      </c>
      <c r="D704" t="s">
        <v>73</v>
      </c>
      <c r="E704" t="s">
        <v>71</v>
      </c>
      <c r="F704" t="s">
        <v>69</v>
      </c>
      <c r="G704" t="s">
        <v>72</v>
      </c>
      <c r="H704" t="s">
        <v>68</v>
      </c>
      <c r="K704" t="s">
        <v>68</v>
      </c>
      <c r="L704" t="s">
        <v>69</v>
      </c>
      <c r="M704" t="s">
        <v>70</v>
      </c>
      <c r="N704" t="s">
        <v>71</v>
      </c>
      <c r="O704" t="s">
        <v>72</v>
      </c>
      <c r="P704" t="s">
        <v>73</v>
      </c>
    </row>
    <row r="705" spans="1:24" ht="15.75" customHeight="1" x14ac:dyDescent="0.3">
      <c r="A705">
        <v>352</v>
      </c>
      <c r="B705" s="16" t="s">
        <v>433</v>
      </c>
      <c r="C705" s="7">
        <f>Rankings!L361</f>
        <v>7.0731282754914844</v>
      </c>
      <c r="D705" s="7">
        <f>Rankings!M361</f>
        <v>3.5110176347748046</v>
      </c>
      <c r="E705" s="7">
        <f>Rankings!N361</f>
        <v>3.958834859265818</v>
      </c>
      <c r="F705" s="7">
        <f>Rankings!O361</f>
        <v>2.75371230235177</v>
      </c>
      <c r="G705" s="7">
        <f>Rankings!P361</f>
        <v>1.530542412441888</v>
      </c>
      <c r="H705" s="7">
        <f>Rankings!Q361</f>
        <v>1</v>
      </c>
      <c r="I705" s="7">
        <f>Rankings!R361</f>
        <v>19.827235484325765</v>
      </c>
      <c r="K705" s="7">
        <f>H705</f>
        <v>1</v>
      </c>
      <c r="L705" s="7">
        <f>F705</f>
        <v>2.75371230235177</v>
      </c>
      <c r="M705" s="7">
        <f>C705</f>
        <v>7.0731282754914844</v>
      </c>
      <c r="N705" s="7">
        <f>E705</f>
        <v>3.958834859265818</v>
      </c>
      <c r="O705" s="7">
        <f>G705</f>
        <v>1.530542412441888</v>
      </c>
      <c r="P705" s="7">
        <f>D705</f>
        <v>3.5110176347748046</v>
      </c>
      <c r="R705" s="7">
        <f t="shared" ref="R705:W705" si="604">K705/$I705</f>
        <v>5.0435674746009879E-2</v>
      </c>
      <c r="S705" s="7">
        <f t="shared" si="604"/>
        <v>0.1388853380254999</v>
      </c>
      <c r="T705" s="7">
        <f t="shared" si="604"/>
        <v>0.35673799713949428</v>
      </c>
      <c r="U705" s="7">
        <f t="shared" si="604"/>
        <v>0.19966650733509661</v>
      </c>
      <c r="V705" s="7">
        <f t="shared" si="604"/>
        <v>7.7193939298892372E-2</v>
      </c>
      <c r="W705" s="7">
        <f t="shared" si="604"/>
        <v>0.17708054345500696</v>
      </c>
      <c r="X705" s="7">
        <f>SUM(R705:W705)</f>
        <v>1</v>
      </c>
    </row>
    <row r="706" spans="1:24" ht="15.75" customHeight="1" x14ac:dyDescent="0.3">
      <c r="C706" t="s">
        <v>70</v>
      </c>
      <c r="D706" t="s">
        <v>73</v>
      </c>
      <c r="E706" t="s">
        <v>71</v>
      </c>
      <c r="F706" t="s">
        <v>72</v>
      </c>
      <c r="G706" t="s">
        <v>68</v>
      </c>
      <c r="H706" t="s">
        <v>69</v>
      </c>
      <c r="K706" t="s">
        <v>68</v>
      </c>
      <c r="L706" t="s">
        <v>69</v>
      </c>
      <c r="M706" t="s">
        <v>70</v>
      </c>
      <c r="N706" t="s">
        <v>71</v>
      </c>
      <c r="O706" t="s">
        <v>72</v>
      </c>
      <c r="P706" t="s">
        <v>73</v>
      </c>
    </row>
    <row r="707" spans="1:24" ht="15.75" customHeight="1" x14ac:dyDescent="0.3">
      <c r="A707">
        <v>353</v>
      </c>
      <c r="B707" s="16" t="s">
        <v>434</v>
      </c>
      <c r="C707" s="7">
        <f>Rankings!L362</f>
        <v>8.483017487241117</v>
      </c>
      <c r="D707" s="7">
        <f>Rankings!M362</f>
        <v>4.2108700469930378</v>
      </c>
      <c r="E707" s="7">
        <f>Rankings!N362</f>
        <v>4.7479508404529982</v>
      </c>
      <c r="F707" s="7">
        <f>Rankings!O362</f>
        <v>2.5060096073535783</v>
      </c>
      <c r="G707" s="7">
        <f>Rankings!P362</f>
        <v>1.6373343116675814</v>
      </c>
      <c r="H707" s="7">
        <f>Rankings!Q362</f>
        <v>1</v>
      </c>
      <c r="I707" s="7">
        <f>Rankings!R362</f>
        <v>22.585182293708311</v>
      </c>
      <c r="K707" s="7">
        <f t="shared" ref="K707:L707" si="605">G707</f>
        <v>1.6373343116675814</v>
      </c>
      <c r="L707" s="7">
        <f t="shared" si="605"/>
        <v>1</v>
      </c>
      <c r="M707" s="7">
        <f>C707</f>
        <v>8.483017487241117</v>
      </c>
      <c r="N707" s="7">
        <f t="shared" ref="N707:O707" si="606">E707</f>
        <v>4.7479508404529982</v>
      </c>
      <c r="O707" s="7">
        <f t="shared" si="606"/>
        <v>2.5060096073535783</v>
      </c>
      <c r="P707" s="7">
        <f>D707</f>
        <v>4.2108700469930378</v>
      </c>
      <c r="R707" s="7">
        <f t="shared" ref="R707:W707" si="607">K707/$I707</f>
        <v>7.2495952894022178E-2</v>
      </c>
      <c r="S707" s="7">
        <f t="shared" si="607"/>
        <v>4.427681773808733E-2</v>
      </c>
      <c r="T707" s="7">
        <f t="shared" si="607"/>
        <v>0.3756010191515825</v>
      </c>
      <c r="U707" s="7">
        <f t="shared" si="607"/>
        <v>0.21022415399213595</v>
      </c>
      <c r="V707" s="7">
        <f t="shared" si="607"/>
        <v>0.11095813063469018</v>
      </c>
      <c r="W707" s="7">
        <f t="shared" si="607"/>
        <v>0.18644392558948197</v>
      </c>
      <c r="X707" s="7">
        <f>SUM(R707:W707)</f>
        <v>1</v>
      </c>
    </row>
    <row r="708" spans="1:24" ht="15.75" customHeight="1" x14ac:dyDescent="0.3">
      <c r="C708" t="s">
        <v>70</v>
      </c>
      <c r="D708" t="s">
        <v>73</v>
      </c>
      <c r="E708" t="s">
        <v>71</v>
      </c>
      <c r="F708" t="s">
        <v>72</v>
      </c>
      <c r="G708" t="s">
        <v>69</v>
      </c>
      <c r="H708" t="s">
        <v>68</v>
      </c>
      <c r="K708" t="s">
        <v>68</v>
      </c>
      <c r="L708" t="s">
        <v>69</v>
      </c>
      <c r="M708" t="s">
        <v>70</v>
      </c>
      <c r="N708" t="s">
        <v>71</v>
      </c>
      <c r="O708" t="s">
        <v>72</v>
      </c>
      <c r="P708" t="s">
        <v>73</v>
      </c>
    </row>
    <row r="709" spans="1:24" ht="15.75" customHeight="1" x14ac:dyDescent="0.3">
      <c r="A709">
        <v>354</v>
      </c>
      <c r="B709" s="16" t="s">
        <v>435</v>
      </c>
      <c r="C709" s="7">
        <f>Rankings!L363</f>
        <v>10.770050638283813</v>
      </c>
      <c r="D709" s="7">
        <f>Rankings!M363</f>
        <v>5.3461263878753238</v>
      </c>
      <c r="E709" s="7">
        <f>Rankings!N363</f>
        <v>6.0280048999865423</v>
      </c>
      <c r="F709" s="7">
        <f>Rankings!O363</f>
        <v>3.1816332350862009</v>
      </c>
      <c r="G709" s="7">
        <f>Rankings!P363</f>
        <v>1.7440097060445605</v>
      </c>
      <c r="H709" s="7">
        <f>Rankings!Q363</f>
        <v>1</v>
      </c>
      <c r="I709" s="7">
        <f>Rankings!R363</f>
        <v>28.069824867276441</v>
      </c>
      <c r="K709" s="7">
        <f>H709</f>
        <v>1</v>
      </c>
      <c r="L709" s="7">
        <f>G709</f>
        <v>1.7440097060445605</v>
      </c>
      <c r="M709" s="7">
        <f>C709</f>
        <v>10.770050638283813</v>
      </c>
      <c r="N709" s="7">
        <f t="shared" ref="N709:O709" si="608">E709</f>
        <v>6.0280048999865423</v>
      </c>
      <c r="O709" s="7">
        <f t="shared" si="608"/>
        <v>3.1816332350862009</v>
      </c>
      <c r="P709" s="7">
        <f>D709</f>
        <v>5.3461263878753238</v>
      </c>
      <c r="R709" s="7">
        <f t="shared" ref="R709:W709" si="609">K709/$I709</f>
        <v>3.5625444929861007E-2</v>
      </c>
      <c r="S709" s="7">
        <f t="shared" si="609"/>
        <v>6.2131121739833581E-2</v>
      </c>
      <c r="T709" s="7">
        <f t="shared" si="609"/>
        <v>0.38368784590599442</v>
      </c>
      <c r="U709" s="7">
        <f t="shared" si="609"/>
        <v>0.21475035660140288</v>
      </c>
      <c r="V709" s="7">
        <f t="shared" si="609"/>
        <v>0.11334709960357899</v>
      </c>
      <c r="W709" s="7">
        <f t="shared" si="609"/>
        <v>0.19045813121932911</v>
      </c>
      <c r="X709" s="7">
        <f>SUM(R709:W709)</f>
        <v>1</v>
      </c>
    </row>
    <row r="710" spans="1:24" ht="15.75" customHeight="1" x14ac:dyDescent="0.3">
      <c r="C710" t="s">
        <v>70</v>
      </c>
      <c r="D710" t="s">
        <v>73</v>
      </c>
      <c r="E710" t="s">
        <v>72</v>
      </c>
      <c r="F710" t="s">
        <v>68</v>
      </c>
      <c r="G710" t="s">
        <v>69</v>
      </c>
      <c r="H710" t="s">
        <v>71</v>
      </c>
      <c r="K710" t="s">
        <v>68</v>
      </c>
      <c r="L710" t="s">
        <v>69</v>
      </c>
      <c r="M710" t="s">
        <v>70</v>
      </c>
      <c r="N710" t="s">
        <v>71</v>
      </c>
      <c r="O710" t="s">
        <v>72</v>
      </c>
      <c r="P710" t="s">
        <v>73</v>
      </c>
    </row>
    <row r="711" spans="1:24" ht="15.75" customHeight="1" x14ac:dyDescent="0.3">
      <c r="A711">
        <v>355</v>
      </c>
      <c r="B711" s="16" t="s">
        <v>436</v>
      </c>
      <c r="C711" s="7">
        <f>Rankings!L364</f>
        <v>5.6404924341970029</v>
      </c>
      <c r="D711" s="7">
        <f>Rankings!M364</f>
        <v>2.799874063347656</v>
      </c>
      <c r="E711" s="7">
        <f>Rankings!N364</f>
        <v>2.2825338194323628</v>
      </c>
      <c r="F711" s="7">
        <f>Rankings!O364</f>
        <v>1.4913234686458101</v>
      </c>
      <c r="G711" s="7">
        <f>Rankings!P364</f>
        <v>0.9108240498099236</v>
      </c>
      <c r="H711" s="7">
        <f>Rankings!Q364</f>
        <v>1</v>
      </c>
      <c r="I711" s="7">
        <f>Rankings!R364</f>
        <v>14.125047835432754</v>
      </c>
      <c r="K711" s="7">
        <f t="shared" ref="K711:L711" si="610">F711</f>
        <v>1.4913234686458101</v>
      </c>
      <c r="L711" s="7">
        <f t="shared" si="610"/>
        <v>0.9108240498099236</v>
      </c>
      <c r="M711" s="7">
        <f>C711</f>
        <v>5.6404924341970029</v>
      </c>
      <c r="N711" s="7">
        <f>H711</f>
        <v>1</v>
      </c>
      <c r="O711" s="7">
        <f>E711</f>
        <v>2.2825338194323628</v>
      </c>
      <c r="P711" s="7">
        <f>D711</f>
        <v>2.799874063347656</v>
      </c>
      <c r="R711" s="7">
        <f t="shared" ref="R711:W711" si="611">K711/$I711</f>
        <v>0.10558006500373171</v>
      </c>
      <c r="S711" s="7">
        <f t="shared" si="611"/>
        <v>6.4482900194158407E-2</v>
      </c>
      <c r="T711" s="7">
        <f t="shared" si="611"/>
        <v>0.39932554564861711</v>
      </c>
      <c r="U711" s="7">
        <f t="shared" si="611"/>
        <v>7.0796220419975853E-2</v>
      </c>
      <c r="V711" s="7">
        <f t="shared" si="611"/>
        <v>0.16159476739658291</v>
      </c>
      <c r="W711" s="7">
        <f t="shared" si="611"/>
        <v>0.19822050133693406</v>
      </c>
      <c r="X711" s="7">
        <f>SUM(R711:W711)</f>
        <v>1</v>
      </c>
    </row>
    <row r="712" spans="1:24" ht="15.75" customHeight="1" x14ac:dyDescent="0.3">
      <c r="C712" t="s">
        <v>70</v>
      </c>
      <c r="D712" t="s">
        <v>73</v>
      </c>
      <c r="E712" t="s">
        <v>72</v>
      </c>
      <c r="F712" t="s">
        <v>68</v>
      </c>
      <c r="G712" t="s">
        <v>71</v>
      </c>
      <c r="H712" t="s">
        <v>69</v>
      </c>
      <c r="K712" t="s">
        <v>68</v>
      </c>
      <c r="L712" t="s">
        <v>69</v>
      </c>
      <c r="M712" t="s">
        <v>70</v>
      </c>
      <c r="N712" t="s">
        <v>71</v>
      </c>
      <c r="O712" t="s">
        <v>72</v>
      </c>
      <c r="P712" t="s">
        <v>73</v>
      </c>
    </row>
    <row r="713" spans="1:24" ht="15.75" customHeight="1" x14ac:dyDescent="0.3">
      <c r="A713">
        <v>356</v>
      </c>
      <c r="B713" s="16" t="s">
        <v>437</v>
      </c>
      <c r="C713" s="7">
        <f>Rankings!L365</f>
        <v>6.8178978119264055</v>
      </c>
      <c r="D713" s="7">
        <f>Rankings!M365</f>
        <v>3.3843242363793862</v>
      </c>
      <c r="E713" s="7">
        <f>Rankings!N365</f>
        <v>2.7589935656693045</v>
      </c>
      <c r="F713" s="7">
        <f>Rankings!O365</f>
        <v>1.802624705621517</v>
      </c>
      <c r="G713" s="7">
        <f>Rankings!P365</f>
        <v>1.4376356077157479</v>
      </c>
      <c r="H713" s="7">
        <f>Rankings!Q365</f>
        <v>1</v>
      </c>
      <c r="I713" s="7">
        <f>Rankings!R365</f>
        <v>17.201475927312359</v>
      </c>
      <c r="K713" s="7">
        <f>F713</f>
        <v>1.802624705621517</v>
      </c>
      <c r="L713" s="7">
        <f>H713</f>
        <v>1</v>
      </c>
      <c r="M713" s="7">
        <f>C713</f>
        <v>6.8178978119264055</v>
      </c>
      <c r="N713" s="7">
        <f>G713</f>
        <v>1.4376356077157479</v>
      </c>
      <c r="O713" s="7">
        <f>E713</f>
        <v>2.7589935656693045</v>
      </c>
      <c r="P713" s="7">
        <f>D713</f>
        <v>3.3843242363793862</v>
      </c>
      <c r="R713" s="7">
        <f t="shared" ref="R713:W713" si="612">K713/$I713</f>
        <v>0.10479476954412525</v>
      </c>
      <c r="S713" s="7">
        <f t="shared" si="612"/>
        <v>5.8134546374140394E-2</v>
      </c>
      <c r="T713" s="7">
        <f t="shared" si="612"/>
        <v>0.39635539652158597</v>
      </c>
      <c r="U713" s="7">
        <f t="shared" si="612"/>
        <v>8.3576293905866655E-2</v>
      </c>
      <c r="V713" s="7">
        <f t="shared" si="612"/>
        <v>0.16039283938935714</v>
      </c>
      <c r="W713" s="7">
        <f t="shared" si="612"/>
        <v>0.1967461542649247</v>
      </c>
      <c r="X713" s="7">
        <f>SUM(R713:W713)</f>
        <v>1</v>
      </c>
    </row>
    <row r="714" spans="1:24" ht="15.75" customHeight="1" x14ac:dyDescent="0.3">
      <c r="C714" t="s">
        <v>70</v>
      </c>
      <c r="D714" t="s">
        <v>73</v>
      </c>
      <c r="E714" t="s">
        <v>72</v>
      </c>
      <c r="F714" t="s">
        <v>69</v>
      </c>
      <c r="G714" t="s">
        <v>68</v>
      </c>
      <c r="H714" t="s">
        <v>71</v>
      </c>
      <c r="K714" t="s">
        <v>68</v>
      </c>
      <c r="L714" t="s">
        <v>69</v>
      </c>
      <c r="M714" t="s">
        <v>70</v>
      </c>
      <c r="N714" t="s">
        <v>71</v>
      </c>
      <c r="O714" t="s">
        <v>72</v>
      </c>
      <c r="P714" t="s">
        <v>73</v>
      </c>
    </row>
    <row r="715" spans="1:24" ht="15.75" customHeight="1" x14ac:dyDescent="0.3">
      <c r="A715">
        <v>357</v>
      </c>
      <c r="B715" s="16" t="s">
        <v>438</v>
      </c>
      <c r="C715" s="7">
        <f>Rankings!L366</f>
        <v>9.8583994805395001</v>
      </c>
      <c r="D715" s="7">
        <f>Rankings!M366</f>
        <v>4.8935934820754863</v>
      </c>
      <c r="E715" s="7">
        <f>Rankings!N366</f>
        <v>3.9893910828389068</v>
      </c>
      <c r="F715" s="7">
        <f>Rankings!O366</f>
        <v>2.1867815224435101</v>
      </c>
      <c r="G715" s="7">
        <f>Rankings!P366</f>
        <v>1.2538815092968505</v>
      </c>
      <c r="H715" s="7">
        <f>Rankings!Q366</f>
        <v>1</v>
      </c>
      <c r="I715" s="7">
        <f>Rankings!R366</f>
        <v>23.182047077194252</v>
      </c>
      <c r="K715" s="7">
        <f>G715</f>
        <v>1.2538815092968505</v>
      </c>
      <c r="L715" s="7">
        <f>F715</f>
        <v>2.1867815224435101</v>
      </c>
      <c r="M715" s="7">
        <f>C715</f>
        <v>9.8583994805395001</v>
      </c>
      <c r="N715" s="7">
        <f>H715</f>
        <v>1</v>
      </c>
      <c r="O715" s="7">
        <f>E715</f>
        <v>3.9893910828389068</v>
      </c>
      <c r="P715" s="7">
        <f>D715</f>
        <v>4.8935934820754863</v>
      </c>
      <c r="R715" s="7">
        <f t="shared" ref="R715:W715" si="613">K715/$I715</f>
        <v>5.4088472218244199E-2</v>
      </c>
      <c r="S715" s="7">
        <f t="shared" si="613"/>
        <v>9.4330820533739451E-2</v>
      </c>
      <c r="T715" s="7">
        <f t="shared" si="613"/>
        <v>0.42526009233403184</v>
      </c>
      <c r="U715" s="7">
        <f t="shared" si="613"/>
        <v>4.3136828972440817E-2</v>
      </c>
      <c r="V715" s="7">
        <f t="shared" si="613"/>
        <v>0.17208968084460241</v>
      </c>
      <c r="W715" s="7">
        <f t="shared" si="613"/>
        <v>0.21109410509694138</v>
      </c>
      <c r="X715" s="7">
        <f>SUM(R715:W715)</f>
        <v>1</v>
      </c>
    </row>
    <row r="716" spans="1:24" ht="15.75" customHeight="1" x14ac:dyDescent="0.3">
      <c r="C716" t="s">
        <v>70</v>
      </c>
      <c r="D716" t="s">
        <v>73</v>
      </c>
      <c r="E716" t="s">
        <v>72</v>
      </c>
      <c r="F716" t="s">
        <v>69</v>
      </c>
      <c r="G716" t="s">
        <v>71</v>
      </c>
      <c r="H716" t="s">
        <v>68</v>
      </c>
      <c r="K716" t="s">
        <v>68</v>
      </c>
      <c r="L716" t="s">
        <v>69</v>
      </c>
      <c r="M716" t="s">
        <v>70</v>
      </c>
      <c r="N716" t="s">
        <v>71</v>
      </c>
      <c r="O716" t="s">
        <v>72</v>
      </c>
      <c r="P716" t="s">
        <v>73</v>
      </c>
    </row>
    <row r="717" spans="1:24" ht="15.75" customHeight="1" x14ac:dyDescent="0.3">
      <c r="A717">
        <v>358</v>
      </c>
      <c r="B717" s="16" t="s">
        <v>439</v>
      </c>
      <c r="C717" s="7">
        <f>Rankings!L367</f>
        <v>11.961709508008132</v>
      </c>
      <c r="D717" s="7">
        <f>Rankings!M367</f>
        <v>5.9376518265889553</v>
      </c>
      <c r="E717" s="7">
        <f>Rankings!N367</f>
        <v>4.8405359653923803</v>
      </c>
      <c r="F717" s="7">
        <f>Rankings!O367</f>
        <v>2.653335907170761</v>
      </c>
      <c r="G717" s="7">
        <f>Rankings!P367</f>
        <v>2.9131157743633094</v>
      </c>
      <c r="H717" s="7">
        <f>Rankings!Q367</f>
        <v>1</v>
      </c>
      <c r="I717" s="7">
        <f>Rankings!R367</f>
        <v>29.306348981523538</v>
      </c>
      <c r="K717" s="7">
        <f>H717</f>
        <v>1</v>
      </c>
      <c r="L717" s="7">
        <f>F717</f>
        <v>2.653335907170761</v>
      </c>
      <c r="M717" s="7">
        <f>C717</f>
        <v>11.961709508008132</v>
      </c>
      <c r="N717" s="7">
        <f>G717</f>
        <v>2.9131157743633094</v>
      </c>
      <c r="O717" s="7">
        <f>E717</f>
        <v>4.8405359653923803</v>
      </c>
      <c r="P717" s="7">
        <f>D717</f>
        <v>5.9376518265889553</v>
      </c>
      <c r="R717" s="7">
        <f t="shared" ref="R717:W717" si="614">K717/$I717</f>
        <v>3.4122298913128325E-2</v>
      </c>
      <c r="S717" s="7">
        <f t="shared" si="614"/>
        <v>9.0537920941417216E-2</v>
      </c>
      <c r="T717" s="7">
        <f t="shared" si="614"/>
        <v>0.40816102734426263</v>
      </c>
      <c r="U717" s="7">
        <f t="shared" si="614"/>
        <v>9.9402207221374134E-2</v>
      </c>
      <c r="V717" s="7">
        <f t="shared" si="614"/>
        <v>0.16517021511086699</v>
      </c>
      <c r="W717" s="7">
        <f t="shared" si="614"/>
        <v>0.20260633046895071</v>
      </c>
      <c r="X717" s="7">
        <f>SUM(R717:W717)</f>
        <v>1</v>
      </c>
    </row>
    <row r="718" spans="1:24" ht="15.75" customHeight="1" x14ac:dyDescent="0.3">
      <c r="C718" t="s">
        <v>70</v>
      </c>
      <c r="D718" t="s">
        <v>73</v>
      </c>
      <c r="E718" t="s">
        <v>72</v>
      </c>
      <c r="F718" t="s">
        <v>71</v>
      </c>
      <c r="G718" t="s">
        <v>68</v>
      </c>
      <c r="H718" t="s">
        <v>69</v>
      </c>
      <c r="K718" t="s">
        <v>68</v>
      </c>
      <c r="L718" t="s">
        <v>69</v>
      </c>
      <c r="M718" t="s">
        <v>70</v>
      </c>
      <c r="N718" t="s">
        <v>71</v>
      </c>
      <c r="O718" t="s">
        <v>72</v>
      </c>
      <c r="P718" t="s">
        <v>73</v>
      </c>
    </row>
    <row r="719" spans="1:24" ht="15.75" customHeight="1" x14ac:dyDescent="0.3">
      <c r="A719">
        <v>359</v>
      </c>
      <c r="B719" s="16" t="s">
        <v>440</v>
      </c>
      <c r="C719" s="7">
        <f>Rankings!L368</f>
        <v>14.78069184660348</v>
      </c>
      <c r="D719" s="7">
        <f>Rankings!M368</f>
        <v>7.3369614838479613</v>
      </c>
      <c r="E719" s="7">
        <f>Rankings!N368</f>
        <v>5.9812914223478737</v>
      </c>
      <c r="F719" s="7">
        <f>Rankings!O368</f>
        <v>4.7697444112251226</v>
      </c>
      <c r="G719" s="7">
        <f>Rankings!P368</f>
        <v>1.6373343116675814</v>
      </c>
      <c r="H719" s="7">
        <f>Rankings!Q368</f>
        <v>1</v>
      </c>
      <c r="I719" s="7">
        <f>Rankings!R368</f>
        <v>35.506023475692011</v>
      </c>
      <c r="K719" s="7">
        <f t="shared" ref="K719:L719" si="615">G719</f>
        <v>1.6373343116675814</v>
      </c>
      <c r="L719" s="7">
        <f t="shared" si="615"/>
        <v>1</v>
      </c>
      <c r="M719" s="7">
        <f>C719</f>
        <v>14.78069184660348</v>
      </c>
      <c r="N719" s="7">
        <f>F719</f>
        <v>4.7697444112251226</v>
      </c>
      <c r="O719" s="7">
        <f>E719</f>
        <v>5.9812914223478737</v>
      </c>
      <c r="P719" s="7">
        <f>D719</f>
        <v>7.3369614838479613</v>
      </c>
      <c r="R719" s="7">
        <f t="shared" ref="R719:W719" si="616">K719/$I719</f>
        <v>4.6114268830710556E-2</v>
      </c>
      <c r="S719" s="7">
        <f t="shared" si="616"/>
        <v>2.8164235307415259E-2</v>
      </c>
      <c r="T719" s="7">
        <f t="shared" si="616"/>
        <v>0.41628688317413459</v>
      </c>
      <c r="U719" s="7">
        <f t="shared" si="616"/>
        <v>0.13433620395397319</v>
      </c>
      <c r="V719" s="7">
        <f t="shared" si="616"/>
        <v>0.16845849906123003</v>
      </c>
      <c r="W719" s="7">
        <f t="shared" si="616"/>
        <v>0.20663990967253659</v>
      </c>
      <c r="X719" s="7">
        <f>SUM(R719:W719)</f>
        <v>1.0000000000000002</v>
      </c>
    </row>
    <row r="720" spans="1:24" ht="15.75" customHeight="1" x14ac:dyDescent="0.3">
      <c r="C720" t="s">
        <v>70</v>
      </c>
      <c r="D720" t="s">
        <v>73</v>
      </c>
      <c r="E720" t="s">
        <v>72</v>
      </c>
      <c r="F720" t="s">
        <v>71</v>
      </c>
      <c r="G720" t="s">
        <v>69</v>
      </c>
      <c r="H720" t="s">
        <v>68</v>
      </c>
      <c r="K720" t="s">
        <v>68</v>
      </c>
      <c r="L720" t="s">
        <v>69</v>
      </c>
      <c r="M720" t="s">
        <v>70</v>
      </c>
      <c r="N720" t="s">
        <v>71</v>
      </c>
      <c r="O720" t="s">
        <v>72</v>
      </c>
      <c r="P720" t="s">
        <v>73</v>
      </c>
    </row>
    <row r="721" spans="1:24" ht="15.75" customHeight="1" x14ac:dyDescent="0.3">
      <c r="A721">
        <v>360</v>
      </c>
      <c r="B721" s="16" t="s">
        <v>441</v>
      </c>
      <c r="C721" s="7">
        <f>Rankings!L369</f>
        <v>7.7695769714357086</v>
      </c>
      <c r="D721" s="7">
        <f>Rankings!M369</f>
        <v>3.8567265711797747</v>
      </c>
      <c r="E721" s="7">
        <f>Rankings!N369</f>
        <v>3.1441088534160202</v>
      </c>
      <c r="F721" s="7">
        <f>Rankings!O369</f>
        <v>2.5072504536115345</v>
      </c>
      <c r="G721" s="7">
        <f>Rankings!P369</f>
        <v>1.7440097060445605</v>
      </c>
      <c r="H721" s="7">
        <f>Rankings!Q369</f>
        <v>1</v>
      </c>
      <c r="I721" s="7">
        <f>Rankings!R369</f>
        <v>20.021672555687598</v>
      </c>
      <c r="K721" s="7">
        <f>H721</f>
        <v>1</v>
      </c>
      <c r="L721" s="7">
        <f>G721</f>
        <v>1.7440097060445605</v>
      </c>
      <c r="M721" s="7">
        <f>C721</f>
        <v>7.7695769714357086</v>
      </c>
      <c r="N721" s="7">
        <f>F721</f>
        <v>2.5072504536115345</v>
      </c>
      <c r="O721" s="7">
        <f>E721</f>
        <v>3.1441088534160202</v>
      </c>
      <c r="P721" s="7">
        <f>D721</f>
        <v>3.8567265711797747</v>
      </c>
      <c r="R721" s="7">
        <f t="shared" ref="R721:W721" si="617">K721/$I721</f>
        <v>4.9945877259686175E-2</v>
      </c>
      <c r="S721" s="7">
        <f t="shared" si="617"/>
        <v>8.7106094717802993E-2</v>
      </c>
      <c r="T721" s="7">
        <f t="shared" si="617"/>
        <v>0.38805833777501214</v>
      </c>
      <c r="U721" s="7">
        <f t="shared" si="617"/>
        <v>0.12522682341537419</v>
      </c>
      <c r="V721" s="7">
        <f t="shared" si="617"/>
        <v>0.15703527488380917</v>
      </c>
      <c r="W721" s="7">
        <f t="shared" si="617"/>
        <v>0.19262759194831536</v>
      </c>
      <c r="X721" s="7">
        <f>SUM(R721:W721)</f>
        <v>1</v>
      </c>
    </row>
    <row r="722" spans="1:24" ht="15.75" customHeight="1" x14ac:dyDescent="0.3">
      <c r="C722" t="s">
        <v>71</v>
      </c>
      <c r="D722" t="s">
        <v>68</v>
      </c>
      <c r="E722" t="s">
        <v>69</v>
      </c>
      <c r="F722" t="s">
        <v>70</v>
      </c>
      <c r="G722" t="s">
        <v>72</v>
      </c>
      <c r="H722" t="s">
        <v>73</v>
      </c>
      <c r="K722" t="s">
        <v>68</v>
      </c>
      <c r="L722" t="s">
        <v>69</v>
      </c>
      <c r="M722" t="s">
        <v>70</v>
      </c>
      <c r="N722" t="s">
        <v>71</v>
      </c>
      <c r="O722" t="s">
        <v>72</v>
      </c>
      <c r="P722" t="s">
        <v>73</v>
      </c>
    </row>
    <row r="723" spans="1:24" ht="15.75" customHeight="1" x14ac:dyDescent="0.3">
      <c r="A723">
        <v>361</v>
      </c>
      <c r="B723" s="16" t="s">
        <v>442</v>
      </c>
      <c r="C723" s="7">
        <f>Rankings!L370</f>
        <v>19.222830122498824</v>
      </c>
      <c r="D723" s="7">
        <f>Rankings!M370</f>
        <v>6.5987182149326564</v>
      </c>
      <c r="E723" s="7">
        <f>Rankings!N370</f>
        <v>4.0301593681329742</v>
      </c>
      <c r="F723" s="7">
        <f>Rankings!O370</f>
        <v>2.9630818503888054</v>
      </c>
      <c r="G723" s="7">
        <f>Rankings!P370</f>
        <v>1.3219359277692486</v>
      </c>
      <c r="H723" s="7">
        <f>Rankings!Q370</f>
        <v>1</v>
      </c>
      <c r="I723" s="7">
        <f>Rankings!R370</f>
        <v>35.136725483722508</v>
      </c>
      <c r="K723" s="7">
        <f t="shared" ref="K723:M723" si="618">D723</f>
        <v>6.5987182149326564</v>
      </c>
      <c r="L723" s="7">
        <f t="shared" si="618"/>
        <v>4.0301593681329742</v>
      </c>
      <c r="M723" s="7">
        <f t="shared" si="618"/>
        <v>2.9630818503888054</v>
      </c>
      <c r="N723" s="7">
        <f>C723</f>
        <v>19.222830122498824</v>
      </c>
      <c r="O723" s="7">
        <f t="shared" ref="O723:P723" si="619">G723</f>
        <v>1.3219359277692486</v>
      </c>
      <c r="P723" s="7">
        <f t="shared" si="619"/>
        <v>1</v>
      </c>
      <c r="R723" s="7">
        <f t="shared" ref="R723:W723" si="620">K723/$I723</f>
        <v>0.18780117168259144</v>
      </c>
      <c r="S723" s="7">
        <f t="shared" si="620"/>
        <v>0.11469934413780225</v>
      </c>
      <c r="T723" s="7">
        <f t="shared" si="620"/>
        <v>8.4330050953709018E-2</v>
      </c>
      <c r="U723" s="7">
        <f t="shared" si="620"/>
        <v>0.54708655567246922</v>
      </c>
      <c r="V723" s="7">
        <f t="shared" si="620"/>
        <v>3.7622627310039194E-2</v>
      </c>
      <c r="W723" s="7">
        <f t="shared" si="620"/>
        <v>2.8460250243388829E-2</v>
      </c>
      <c r="X723" s="7">
        <f>SUM(R723:W723)</f>
        <v>1</v>
      </c>
    </row>
    <row r="724" spans="1:24" ht="15.75" customHeight="1" x14ac:dyDescent="0.3">
      <c r="C724" t="s">
        <v>71</v>
      </c>
      <c r="D724" t="s">
        <v>68</v>
      </c>
      <c r="E724" t="s">
        <v>69</v>
      </c>
      <c r="F724" t="s">
        <v>70</v>
      </c>
      <c r="G724" t="s">
        <v>73</v>
      </c>
      <c r="H724" t="s">
        <v>72</v>
      </c>
      <c r="K724" t="s">
        <v>68</v>
      </c>
      <c r="L724" t="s">
        <v>69</v>
      </c>
      <c r="M724" t="s">
        <v>70</v>
      </c>
      <c r="N724" t="s">
        <v>71</v>
      </c>
      <c r="O724" t="s">
        <v>72</v>
      </c>
      <c r="P724" t="s">
        <v>73</v>
      </c>
    </row>
    <row r="725" spans="1:24" ht="15.75" customHeight="1" x14ac:dyDescent="0.3">
      <c r="A725">
        <v>362</v>
      </c>
      <c r="B725" s="16" t="s">
        <v>443</v>
      </c>
      <c r="C725" s="7">
        <f>Rankings!L371</f>
        <v>16.03147490880767</v>
      </c>
      <c r="D725" s="7">
        <f>Rankings!M371</f>
        <v>5.5032055539610365</v>
      </c>
      <c r="E725" s="7">
        <f>Rankings!N371</f>
        <v>3.3610763023442467</v>
      </c>
      <c r="F725" s="7">
        <f>Rankings!O371</f>
        <v>2.471153936987327</v>
      </c>
      <c r="G725" s="7">
        <f>Rankings!P371</f>
        <v>1.2266517321719024</v>
      </c>
      <c r="H725" s="7">
        <f>Rankings!Q371</f>
        <v>1</v>
      </c>
      <c r="I725" s="7">
        <f>Rankings!R371</f>
        <v>29.593562434272183</v>
      </c>
      <c r="K725" s="7">
        <f t="shared" ref="K725:M725" si="621">D725</f>
        <v>5.5032055539610365</v>
      </c>
      <c r="L725" s="7">
        <f t="shared" si="621"/>
        <v>3.3610763023442467</v>
      </c>
      <c r="M725" s="7">
        <f t="shared" si="621"/>
        <v>2.471153936987327</v>
      </c>
      <c r="N725" s="7">
        <f>C725</f>
        <v>16.03147490880767</v>
      </c>
      <c r="O725" s="7">
        <f>H725</f>
        <v>1</v>
      </c>
      <c r="P725" s="7">
        <f>G725</f>
        <v>1.2266517321719024</v>
      </c>
      <c r="R725" s="7">
        <f t="shared" ref="R725:W725" si="622">K725/$I725</f>
        <v>0.18595955002658945</v>
      </c>
      <c r="S725" s="7">
        <f t="shared" si="622"/>
        <v>0.1135745758831589</v>
      </c>
      <c r="T725" s="7">
        <f t="shared" si="622"/>
        <v>8.3503091000814891E-2</v>
      </c>
      <c r="U725" s="7">
        <f t="shared" si="622"/>
        <v>0.54172169857596075</v>
      </c>
      <c r="V725" s="7">
        <f t="shared" si="622"/>
        <v>3.3791132859418913E-2</v>
      </c>
      <c r="W725" s="7">
        <f t="shared" si="622"/>
        <v>4.1449951654057099E-2</v>
      </c>
      <c r="X725" s="7">
        <f>SUM(R725:W725)</f>
        <v>1</v>
      </c>
    </row>
    <row r="726" spans="1:24" ht="15.75" customHeight="1" x14ac:dyDescent="0.3">
      <c r="C726" t="s">
        <v>71</v>
      </c>
      <c r="D726" t="s">
        <v>68</v>
      </c>
      <c r="E726" t="s">
        <v>69</v>
      </c>
      <c r="F726" t="s">
        <v>72</v>
      </c>
      <c r="G726" t="s">
        <v>70</v>
      </c>
      <c r="H726" t="s">
        <v>73</v>
      </c>
      <c r="K726" t="s">
        <v>68</v>
      </c>
      <c r="L726" t="s">
        <v>69</v>
      </c>
      <c r="M726" t="s">
        <v>70</v>
      </c>
      <c r="N726" t="s">
        <v>71</v>
      </c>
      <c r="O726" t="s">
        <v>72</v>
      </c>
      <c r="P726" t="s">
        <v>73</v>
      </c>
    </row>
    <row r="727" spans="1:24" ht="15.75" customHeight="1" x14ac:dyDescent="0.3">
      <c r="A727">
        <v>363</v>
      </c>
      <c r="B727" s="16" t="s">
        <v>444</v>
      </c>
      <c r="C727" s="7">
        <f>Rankings!L372</f>
        <v>34.137683032505038</v>
      </c>
      <c r="D727" s="7">
        <f>Rankings!M372</f>
        <v>11.718615282280076</v>
      </c>
      <c r="E727" s="7">
        <f>Rankings!N372</f>
        <v>7.1571304643002192</v>
      </c>
      <c r="F727" s="7">
        <f>Rankings!O372</f>
        <v>3.9780087838646128</v>
      </c>
      <c r="G727" s="7">
        <f>Rankings!P372</f>
        <v>2.0145521929129111</v>
      </c>
      <c r="H727" s="7">
        <f>Rankings!Q372</f>
        <v>1</v>
      </c>
      <c r="I727" s="7">
        <f>Rankings!R372</f>
        <v>60.005989755862849</v>
      </c>
      <c r="K727" s="7">
        <f t="shared" ref="K727:L727" si="623">D727</f>
        <v>11.718615282280076</v>
      </c>
      <c r="L727" s="7">
        <f t="shared" si="623"/>
        <v>7.1571304643002192</v>
      </c>
      <c r="M727" s="7">
        <f>G727</f>
        <v>2.0145521929129111</v>
      </c>
      <c r="N727" s="7">
        <f>C727</f>
        <v>34.137683032505038</v>
      </c>
      <c r="O727" s="7">
        <f>F727</f>
        <v>3.9780087838646128</v>
      </c>
      <c r="P727" s="7">
        <f>H727</f>
        <v>1</v>
      </c>
      <c r="R727" s="7">
        <f t="shared" ref="R727:W727" si="624">K727/$I727</f>
        <v>0.19529075897185941</v>
      </c>
      <c r="S727" s="7">
        <f t="shared" si="624"/>
        <v>0.11927360074251481</v>
      </c>
      <c r="T727" s="7">
        <f t="shared" si="624"/>
        <v>3.3572518362070355E-2</v>
      </c>
      <c r="U727" s="7">
        <f t="shared" si="624"/>
        <v>0.56890459054830667</v>
      </c>
      <c r="V727" s="7">
        <f t="shared" si="624"/>
        <v>6.62935283635738E-2</v>
      </c>
      <c r="W727" s="7">
        <f t="shared" si="624"/>
        <v>1.6665003011675106E-2</v>
      </c>
      <c r="X727" s="7">
        <f>SUM(R727:W727)</f>
        <v>1.0000000000000002</v>
      </c>
    </row>
    <row r="728" spans="1:24" ht="15.75" customHeight="1" x14ac:dyDescent="0.3">
      <c r="C728" t="s">
        <v>71</v>
      </c>
      <c r="D728" t="s">
        <v>68</v>
      </c>
      <c r="E728" t="s">
        <v>69</v>
      </c>
      <c r="F728" t="s">
        <v>72</v>
      </c>
      <c r="G728" t="s">
        <v>73</v>
      </c>
      <c r="H728" t="s">
        <v>70</v>
      </c>
      <c r="K728" t="s">
        <v>68</v>
      </c>
      <c r="L728" t="s">
        <v>69</v>
      </c>
      <c r="M728" t="s">
        <v>70</v>
      </c>
      <c r="N728" t="s">
        <v>71</v>
      </c>
      <c r="O728" t="s">
        <v>72</v>
      </c>
      <c r="P728" t="s">
        <v>73</v>
      </c>
    </row>
    <row r="729" spans="1:24" ht="15.75" customHeight="1" x14ac:dyDescent="0.3">
      <c r="A729">
        <v>364</v>
      </c>
      <c r="B729" s="16" t="s">
        <v>445</v>
      </c>
      <c r="C729" s="7">
        <f>Rankings!L373</f>
        <v>15.918856714047518</v>
      </c>
      <c r="D729" s="7">
        <f>Rankings!M373</f>
        <v>5.4645465360973304</v>
      </c>
      <c r="E729" s="7">
        <f>Rankings!N373</f>
        <v>3.3374653527732137</v>
      </c>
      <c r="F729" s="7">
        <f>Rankings!O373</f>
        <v>1.8549985298435865</v>
      </c>
      <c r="G729" s="7">
        <f>Rankings!P373</f>
        <v>1.4032439022773779</v>
      </c>
      <c r="H729" s="7">
        <f>Rankings!Q373</f>
        <v>1</v>
      </c>
      <c r="I729" s="7">
        <f>Rankings!R373</f>
        <v>28.979111035039029</v>
      </c>
      <c r="K729" s="7">
        <f t="shared" ref="K729:L729" si="625">D729</f>
        <v>5.4645465360973304</v>
      </c>
      <c r="L729" s="7">
        <f t="shared" si="625"/>
        <v>3.3374653527732137</v>
      </c>
      <c r="M729" s="7">
        <f>H729</f>
        <v>1</v>
      </c>
      <c r="N729" s="7">
        <f>C729</f>
        <v>15.918856714047518</v>
      </c>
      <c r="O729" s="7">
        <f t="shared" ref="O729:P729" si="626">F729</f>
        <v>1.8549985298435865</v>
      </c>
      <c r="P729" s="7">
        <f t="shared" si="626"/>
        <v>1.4032439022773779</v>
      </c>
      <c r="R729" s="7">
        <f t="shared" ref="R729:W729" si="627">K729/$I729</f>
        <v>0.18856846676525288</v>
      </c>
      <c r="S729" s="7">
        <f t="shared" si="627"/>
        <v>0.11516796870469352</v>
      </c>
      <c r="T729" s="7">
        <f t="shared" si="627"/>
        <v>3.4507614770890892E-2</v>
      </c>
      <c r="U729" s="7">
        <f t="shared" si="627"/>
        <v>0.54932177508136171</v>
      </c>
      <c r="V729" s="7">
        <f t="shared" si="627"/>
        <v>6.4011574668411425E-2</v>
      </c>
      <c r="W729" s="7">
        <f t="shared" si="627"/>
        <v>4.8422600009389423E-2</v>
      </c>
      <c r="X729" s="7">
        <f>SUM(R729:W729)</f>
        <v>0.99999999999999989</v>
      </c>
    </row>
    <row r="730" spans="1:24" ht="15.75" customHeight="1" x14ac:dyDescent="0.3">
      <c r="C730" t="s">
        <v>71</v>
      </c>
      <c r="D730" t="s">
        <v>68</v>
      </c>
      <c r="E730" t="s">
        <v>69</v>
      </c>
      <c r="F730" t="s">
        <v>73</v>
      </c>
      <c r="G730" t="s">
        <v>70</v>
      </c>
      <c r="H730" t="s">
        <v>72</v>
      </c>
      <c r="K730" t="s">
        <v>68</v>
      </c>
      <c r="L730" t="s">
        <v>69</v>
      </c>
      <c r="M730" t="s">
        <v>70</v>
      </c>
      <c r="N730" t="s">
        <v>71</v>
      </c>
      <c r="O730" t="s">
        <v>72</v>
      </c>
      <c r="P730" t="s">
        <v>73</v>
      </c>
    </row>
    <row r="731" spans="1:24" ht="15.75" customHeight="1" x14ac:dyDescent="0.3">
      <c r="A731">
        <v>365</v>
      </c>
      <c r="B731" s="16" t="s">
        <v>446</v>
      </c>
      <c r="C731" s="7">
        <f>Rankings!L374</f>
        <v>20.035074100262435</v>
      </c>
      <c r="D731" s="7">
        <f>Rankings!M374</f>
        <v>6.8775413173001336</v>
      </c>
      <c r="E731" s="7">
        <f>Rankings!N374</f>
        <v>4.2004502490975959</v>
      </c>
      <c r="F731" s="7">
        <f>Rankings!O374</f>
        <v>3.1453313667957521</v>
      </c>
      <c r="G731" s="7">
        <f>Rankings!P374</f>
        <v>2.2414716085286912</v>
      </c>
      <c r="H731" s="7">
        <f>Rankings!Q374</f>
        <v>1</v>
      </c>
      <c r="I731" s="7">
        <f>Rankings!R374</f>
        <v>37.499868641984612</v>
      </c>
      <c r="K731" s="7">
        <f t="shared" ref="K731:L731" si="628">D731</f>
        <v>6.8775413173001336</v>
      </c>
      <c r="L731" s="7">
        <f t="shared" si="628"/>
        <v>4.2004502490975959</v>
      </c>
      <c r="M731" s="7">
        <f>G731</f>
        <v>2.2414716085286912</v>
      </c>
      <c r="N731" s="7">
        <f>C731</f>
        <v>20.035074100262435</v>
      </c>
      <c r="O731" s="7">
        <f>H731</f>
        <v>1</v>
      </c>
      <c r="P731" s="7">
        <f>F731</f>
        <v>3.1453313667957521</v>
      </c>
      <c r="R731" s="7">
        <f t="shared" ref="R731:W731" si="629">K731/$I731</f>
        <v>0.18340174422904731</v>
      </c>
      <c r="S731" s="7">
        <f t="shared" si="629"/>
        <v>0.11201239900864075</v>
      </c>
      <c r="T731" s="7">
        <f t="shared" si="629"/>
        <v>5.9772785604351529E-2</v>
      </c>
      <c r="U731" s="7">
        <f t="shared" si="629"/>
        <v>0.53427051415938276</v>
      </c>
      <c r="V731" s="7">
        <f t="shared" si="629"/>
        <v>2.6666760077138148E-2</v>
      </c>
      <c r="W731" s="7">
        <f t="shared" si="629"/>
        <v>8.387579692143933E-2</v>
      </c>
      <c r="X731" s="7">
        <f>SUM(R731:W731)</f>
        <v>0.99999999999999989</v>
      </c>
    </row>
    <row r="732" spans="1:24" ht="15.75" customHeight="1" x14ac:dyDescent="0.3">
      <c r="C732" t="s">
        <v>71</v>
      </c>
      <c r="D732" t="s">
        <v>68</v>
      </c>
      <c r="E732" t="s">
        <v>69</v>
      </c>
      <c r="F732" t="s">
        <v>73</v>
      </c>
      <c r="G732" t="s">
        <v>72</v>
      </c>
      <c r="H732" t="s">
        <v>70</v>
      </c>
      <c r="K732" t="s">
        <v>68</v>
      </c>
      <c r="L732" t="s">
        <v>69</v>
      </c>
      <c r="M732" t="s">
        <v>70</v>
      </c>
      <c r="N732" t="s">
        <v>71</v>
      </c>
      <c r="O732" t="s">
        <v>72</v>
      </c>
      <c r="P732" t="s">
        <v>73</v>
      </c>
    </row>
    <row r="733" spans="1:24" ht="15.75" customHeight="1" x14ac:dyDescent="0.3">
      <c r="A733">
        <v>366</v>
      </c>
      <c r="B733" s="16" t="s">
        <v>447</v>
      </c>
      <c r="C733" s="7">
        <f>Rankings!L375</f>
        <v>15.428831557806461</v>
      </c>
      <c r="D733" s="7">
        <f>Rankings!M375</f>
        <v>5.2963331198804093</v>
      </c>
      <c r="E733" s="7">
        <f>Rankings!N375</f>
        <v>3.2347292071869154</v>
      </c>
      <c r="F733" s="7">
        <f>Rankings!O375</f>
        <v>2.4221915830668759</v>
      </c>
      <c r="G733" s="7">
        <f>Rankings!P375</f>
        <v>1.9746367445127702</v>
      </c>
      <c r="H733" s="7">
        <f>Rankings!Q375</f>
        <v>1</v>
      </c>
      <c r="I733" s="7">
        <f>Rankings!R375</f>
        <v>29.356722212453434</v>
      </c>
      <c r="K733" s="7">
        <f t="shared" ref="K733:L733" si="630">D733</f>
        <v>5.2963331198804093</v>
      </c>
      <c r="L733" s="7">
        <f t="shared" si="630"/>
        <v>3.2347292071869154</v>
      </c>
      <c r="M733" s="7">
        <f>H733</f>
        <v>1</v>
      </c>
      <c r="N733" s="7">
        <f>C733</f>
        <v>15.428831557806461</v>
      </c>
      <c r="O733" s="7">
        <f>G733</f>
        <v>1.9746367445127702</v>
      </c>
      <c r="P733" s="7">
        <f>F733</f>
        <v>2.4221915830668759</v>
      </c>
      <c r="R733" s="7">
        <f t="shared" ref="R733:W733" si="631">K733/$I733</f>
        <v>0.18041295896561804</v>
      </c>
      <c r="S733" s="7">
        <f t="shared" si="631"/>
        <v>0.11018700193357107</v>
      </c>
      <c r="T733" s="7">
        <f t="shared" si="631"/>
        <v>3.406374842405905E-2</v>
      </c>
      <c r="U733" s="7">
        <f t="shared" si="631"/>
        <v>0.52556383666230244</v>
      </c>
      <c r="V733" s="7">
        <f t="shared" si="631"/>
        <v>6.7263529293985963E-2</v>
      </c>
      <c r="W733" s="7">
        <f t="shared" si="631"/>
        <v>8.2508924720463395E-2</v>
      </c>
      <c r="X733" s="7">
        <f>SUM(R733:W733)</f>
        <v>1</v>
      </c>
    </row>
    <row r="734" spans="1:24" ht="15.75" customHeight="1" x14ac:dyDescent="0.3">
      <c r="C734" t="s">
        <v>71</v>
      </c>
      <c r="D734" t="s">
        <v>68</v>
      </c>
      <c r="E734" t="s">
        <v>70</v>
      </c>
      <c r="F734" t="s">
        <v>69</v>
      </c>
      <c r="G734" t="s">
        <v>72</v>
      </c>
      <c r="H734" t="s">
        <v>73</v>
      </c>
      <c r="K734" t="s">
        <v>68</v>
      </c>
      <c r="L734" t="s">
        <v>69</v>
      </c>
      <c r="M734" t="s">
        <v>70</v>
      </c>
      <c r="N734" t="s">
        <v>71</v>
      </c>
      <c r="O734" t="s">
        <v>72</v>
      </c>
      <c r="P734" t="s">
        <v>73</v>
      </c>
    </row>
    <row r="735" spans="1:24" ht="15.75" customHeight="1" x14ac:dyDescent="0.3">
      <c r="A735">
        <v>367</v>
      </c>
      <c r="B735" s="16" t="s">
        <v>448</v>
      </c>
      <c r="C735" s="7">
        <f>Rankings!L376</f>
        <v>11.561959500987751</v>
      </c>
      <c r="D735" s="7">
        <f>Rankings!M376</f>
        <v>3.968932372251746</v>
      </c>
      <c r="E735" s="7">
        <f>Rankings!N376</f>
        <v>3.5818185882269375</v>
      </c>
      <c r="F735" s="7">
        <f>Rankings!O376</f>
        <v>2.3783929132752433</v>
      </c>
      <c r="G735" s="7">
        <f>Rankings!P376</f>
        <v>1.3219359277692486</v>
      </c>
      <c r="H735" s="7">
        <f>Rankings!Q376</f>
        <v>1</v>
      </c>
      <c r="I735" s="7">
        <f>Rankings!R376</f>
        <v>23.813039302510926</v>
      </c>
      <c r="K735" s="7">
        <f>D735</f>
        <v>3.968932372251746</v>
      </c>
      <c r="L735" s="7">
        <f>F735</f>
        <v>2.3783929132752433</v>
      </c>
      <c r="M735" s="7">
        <f>E735</f>
        <v>3.5818185882269375</v>
      </c>
      <c r="N735" s="7">
        <f>C735</f>
        <v>11.561959500987751</v>
      </c>
      <c r="O735" s="7">
        <f t="shared" ref="O735:P735" si="632">G735</f>
        <v>1.3219359277692486</v>
      </c>
      <c r="P735" s="7">
        <f t="shared" si="632"/>
        <v>1</v>
      </c>
      <c r="R735" s="7">
        <f t="shared" ref="R735:W735" si="633">K735/$I735</f>
        <v>0.16667055061019651</v>
      </c>
      <c r="S735" s="7">
        <f t="shared" si="633"/>
        <v>9.9877755336525126E-2</v>
      </c>
      <c r="T735" s="7">
        <f t="shared" si="633"/>
        <v>0.15041417194693241</v>
      </c>
      <c r="U735" s="7">
        <f t="shared" si="633"/>
        <v>0.4855306101043817</v>
      </c>
      <c r="V735" s="7">
        <f t="shared" si="633"/>
        <v>5.5513112416097986E-2</v>
      </c>
      <c r="W735" s="7">
        <f t="shared" si="633"/>
        <v>4.199379958586625E-2</v>
      </c>
      <c r="X735" s="7">
        <f>SUM(R735:W735)</f>
        <v>1</v>
      </c>
    </row>
    <row r="736" spans="1:24" ht="15.75" customHeight="1" x14ac:dyDescent="0.3">
      <c r="C736" t="s">
        <v>71</v>
      </c>
      <c r="D736" t="s">
        <v>68</v>
      </c>
      <c r="E736" t="s">
        <v>70</v>
      </c>
      <c r="F736" t="s">
        <v>69</v>
      </c>
      <c r="G736" t="s">
        <v>73</v>
      </c>
      <c r="H736" t="s">
        <v>72</v>
      </c>
      <c r="K736" t="s">
        <v>68</v>
      </c>
      <c r="L736" t="s">
        <v>69</v>
      </c>
      <c r="M736" t="s">
        <v>70</v>
      </c>
      <c r="N736" t="s">
        <v>71</v>
      </c>
      <c r="O736" t="s">
        <v>72</v>
      </c>
      <c r="P736" t="s">
        <v>73</v>
      </c>
    </row>
    <row r="737" spans="1:24" ht="15.75" customHeight="1" x14ac:dyDescent="0.3">
      <c r="A737">
        <v>368</v>
      </c>
      <c r="B737" s="16" t="s">
        <v>449</v>
      </c>
      <c r="C737" s="7">
        <f>Rankings!L377</f>
        <v>7.9634004865927448</v>
      </c>
      <c r="D737" s="7">
        <f>Rankings!M377</f>
        <v>2.7336368010753795</v>
      </c>
      <c r="E737" s="7">
        <f>Rankings!N377</f>
        <v>2.4670088046871763</v>
      </c>
      <c r="F737" s="7">
        <f>Rankings!O377</f>
        <v>1.6381388709471552</v>
      </c>
      <c r="G737" s="7">
        <f>Rankings!P377</f>
        <v>1.2266517321719024</v>
      </c>
      <c r="H737" s="7">
        <f>Rankings!Q377</f>
        <v>1</v>
      </c>
      <c r="I737" s="7">
        <f>Rankings!R377</f>
        <v>17.028836695474357</v>
      </c>
      <c r="K737" s="7">
        <f>D737</f>
        <v>2.7336368010753795</v>
      </c>
      <c r="L737" s="7">
        <f>F737</f>
        <v>1.6381388709471552</v>
      </c>
      <c r="M737" s="7">
        <f>E737</f>
        <v>2.4670088046871763</v>
      </c>
      <c r="N737" s="7">
        <f>C737</f>
        <v>7.9634004865927448</v>
      </c>
      <c r="O737" s="7">
        <f>H737</f>
        <v>1</v>
      </c>
      <c r="P737" s="7">
        <f>G737</f>
        <v>1.2266517321719024</v>
      </c>
      <c r="R737" s="7">
        <f t="shared" ref="R737:W737" si="634">K737/$I737</f>
        <v>0.16052986178450349</v>
      </c>
      <c r="S737" s="7">
        <f t="shared" si="634"/>
        <v>9.6197931793104374E-2</v>
      </c>
      <c r="T737" s="7">
        <f t="shared" si="634"/>
        <v>0.14487242134060849</v>
      </c>
      <c r="U737" s="7">
        <f t="shared" si="634"/>
        <v>0.46764207262079893</v>
      </c>
      <c r="V737" s="7">
        <f t="shared" si="634"/>
        <v>5.8723917428003959E-2</v>
      </c>
      <c r="W737" s="7">
        <f t="shared" si="634"/>
        <v>7.2033795032980824E-2</v>
      </c>
      <c r="X737" s="7">
        <f>SUM(R737:W737)</f>
        <v>1.0000000000000002</v>
      </c>
    </row>
    <row r="738" spans="1:24" ht="15.75" customHeight="1" x14ac:dyDescent="0.3">
      <c r="C738" t="s">
        <v>71</v>
      </c>
      <c r="D738" t="s">
        <v>68</v>
      </c>
      <c r="E738" t="s">
        <v>70</v>
      </c>
      <c r="F738" t="s">
        <v>72</v>
      </c>
      <c r="G738" t="s">
        <v>69</v>
      </c>
      <c r="H738" t="s">
        <v>73</v>
      </c>
      <c r="K738" t="s">
        <v>68</v>
      </c>
      <c r="L738" t="s">
        <v>69</v>
      </c>
      <c r="M738" t="s">
        <v>70</v>
      </c>
      <c r="N738" t="s">
        <v>71</v>
      </c>
      <c r="O738" t="s">
        <v>72</v>
      </c>
      <c r="P738" t="s">
        <v>73</v>
      </c>
    </row>
    <row r="739" spans="1:24" ht="15.75" customHeight="1" x14ac:dyDescent="0.3">
      <c r="A739">
        <v>369</v>
      </c>
      <c r="B739" s="16" t="s">
        <v>450</v>
      </c>
      <c r="C739" s="7">
        <f>Rankings!L378</f>
        <v>17.627541929421174</v>
      </c>
      <c r="D739" s="7">
        <f>Rankings!M378</f>
        <v>6.0510955604824348</v>
      </c>
      <c r="E739" s="7">
        <f>Rankings!N378</f>
        <v>5.460895909742332</v>
      </c>
      <c r="F739" s="7">
        <f>Rankings!O378</f>
        <v>2.436299388742595</v>
      </c>
      <c r="G739" s="7">
        <f>Rankings!P378</f>
        <v>1.3354555559520354</v>
      </c>
      <c r="H739" s="7">
        <f>Rankings!Q378</f>
        <v>1</v>
      </c>
      <c r="I739" s="7">
        <f>Rankings!R378</f>
        <v>33.911288344340569</v>
      </c>
      <c r="K739" s="7">
        <f>D739</f>
        <v>6.0510955604824348</v>
      </c>
      <c r="L739" s="7">
        <f>G739</f>
        <v>1.3354555559520354</v>
      </c>
      <c r="M739" s="7">
        <f>E739</f>
        <v>5.460895909742332</v>
      </c>
      <c r="N739" s="7">
        <f>C739</f>
        <v>17.627541929421174</v>
      </c>
      <c r="O739" s="7">
        <f>F739</f>
        <v>2.436299388742595</v>
      </c>
      <c r="P739" s="7">
        <f>H739</f>
        <v>1</v>
      </c>
      <c r="R739" s="7">
        <f t="shared" ref="R739:W739" si="635">K739/$I739</f>
        <v>0.17843897580766194</v>
      </c>
      <c r="S739" s="7">
        <f t="shared" si="635"/>
        <v>3.93808557903082E-2</v>
      </c>
      <c r="T739" s="7">
        <f t="shared" si="635"/>
        <v>0.16103475203570958</v>
      </c>
      <c r="U739" s="7">
        <f t="shared" si="635"/>
        <v>0.51981339518653302</v>
      </c>
      <c r="V739" s="7">
        <f t="shared" si="635"/>
        <v>7.1843315535641897E-2</v>
      </c>
      <c r="W739" s="7">
        <f t="shared" si="635"/>
        <v>2.9488705644145463E-2</v>
      </c>
      <c r="X739" s="7">
        <f>SUM(R739:W739)</f>
        <v>1.0000000000000002</v>
      </c>
    </row>
    <row r="740" spans="1:24" ht="15.75" customHeight="1" x14ac:dyDescent="0.3">
      <c r="C740" t="s">
        <v>71</v>
      </c>
      <c r="D740" t="s">
        <v>68</v>
      </c>
      <c r="E740" t="s">
        <v>70</v>
      </c>
      <c r="F740" t="s">
        <v>72</v>
      </c>
      <c r="G740" t="s">
        <v>73</v>
      </c>
      <c r="H740" t="s">
        <v>69</v>
      </c>
      <c r="K740" t="s">
        <v>68</v>
      </c>
      <c r="L740" t="s">
        <v>69</v>
      </c>
      <c r="M740" t="s">
        <v>70</v>
      </c>
      <c r="N740" t="s">
        <v>71</v>
      </c>
      <c r="O740" t="s">
        <v>72</v>
      </c>
      <c r="P740" t="s">
        <v>73</v>
      </c>
    </row>
    <row r="741" spans="1:24" ht="15.75" customHeight="1" x14ac:dyDescent="0.3">
      <c r="A741">
        <v>370</v>
      </c>
      <c r="B741" s="16" t="s">
        <v>451</v>
      </c>
      <c r="C741" s="7">
        <f>Rankings!L379</f>
        <v>11.878730834567211</v>
      </c>
      <c r="D741" s="7">
        <f>Rankings!M379</f>
        <v>4.0776720716372576</v>
      </c>
      <c r="E741" s="7">
        <f>Rankings!N379</f>
        <v>3.6799522523982584</v>
      </c>
      <c r="F741" s="7">
        <f>Rankings!O379</f>
        <v>1.6417572448369266</v>
      </c>
      <c r="G741" s="7">
        <f>Rankings!P379</f>
        <v>1.2419340531937677</v>
      </c>
      <c r="H741" s="7">
        <f>Rankings!Q379</f>
        <v>1</v>
      </c>
      <c r="I741" s="7">
        <f>Rankings!R379</f>
        <v>23.52004645663342</v>
      </c>
      <c r="K741" s="7">
        <f>D741</f>
        <v>4.0776720716372576</v>
      </c>
      <c r="L741" s="7">
        <f>H741</f>
        <v>1</v>
      </c>
      <c r="M741" s="7">
        <f>E741</f>
        <v>3.6799522523982584</v>
      </c>
      <c r="N741" s="7">
        <f>C741</f>
        <v>11.878730834567211</v>
      </c>
      <c r="O741" s="7">
        <f t="shared" ref="O741:P741" si="636">F741</f>
        <v>1.6417572448369266</v>
      </c>
      <c r="P741" s="7">
        <f t="shared" si="636"/>
        <v>1.2419340531937677</v>
      </c>
      <c r="R741" s="7">
        <f t="shared" ref="R741:W741" si="637">K741/$I741</f>
        <v>0.1733700687690275</v>
      </c>
      <c r="S741" s="7">
        <f t="shared" si="637"/>
        <v>4.2516922823422718E-2</v>
      </c>
      <c r="T741" s="7">
        <f t="shared" si="637"/>
        <v>0.15646024590909735</v>
      </c>
      <c r="U741" s="7">
        <f t="shared" si="637"/>
        <v>0.5050470821335058</v>
      </c>
      <c r="V741" s="7">
        <f t="shared" si="637"/>
        <v>6.980246607352672E-2</v>
      </c>
      <c r="W741" s="7">
        <f t="shared" si="637"/>
        <v>5.280321429141998E-2</v>
      </c>
      <c r="X741" s="7">
        <f>SUM(R741:W741)</f>
        <v>1</v>
      </c>
    </row>
    <row r="742" spans="1:24" ht="15.75" customHeight="1" x14ac:dyDescent="0.3">
      <c r="C742" t="s">
        <v>71</v>
      </c>
      <c r="D742" t="s">
        <v>68</v>
      </c>
      <c r="E742" t="s">
        <v>70</v>
      </c>
      <c r="F742" t="s">
        <v>73</v>
      </c>
      <c r="G742" t="s">
        <v>69</v>
      </c>
      <c r="H742" t="s">
        <v>72</v>
      </c>
      <c r="K742" t="s">
        <v>68</v>
      </c>
      <c r="L742" t="s">
        <v>69</v>
      </c>
      <c r="M742" t="s">
        <v>70</v>
      </c>
      <c r="N742" t="s">
        <v>71</v>
      </c>
      <c r="O742" t="s">
        <v>72</v>
      </c>
      <c r="P742" t="s">
        <v>73</v>
      </c>
    </row>
    <row r="743" spans="1:24" ht="15.75" customHeight="1" x14ac:dyDescent="0.3">
      <c r="A743">
        <v>371</v>
      </c>
      <c r="B743" s="16" t="s">
        <v>452</v>
      </c>
      <c r="C743" s="7">
        <f>Rankings!L380</f>
        <v>14.530418165744724</v>
      </c>
      <c r="D743" s="7">
        <f>Rankings!M380</f>
        <v>4.9879302064197892</v>
      </c>
      <c r="E743" s="7">
        <f>Rankings!N380</f>
        <v>4.5014274506262133</v>
      </c>
      <c r="F743" s="7">
        <f>Rankings!O380</f>
        <v>2.2344556107615374</v>
      </c>
      <c r="G743" s="7">
        <f>Rankings!P380</f>
        <v>1.7991741228251155</v>
      </c>
      <c r="H743" s="7">
        <f>Rankings!Q380</f>
        <v>1</v>
      </c>
      <c r="I743" s="7">
        <f>Rankings!R380</f>
        <v>29.053405556377378</v>
      </c>
      <c r="K743" s="7">
        <f>D743</f>
        <v>4.9879302064197892</v>
      </c>
      <c r="L743" s="7">
        <f>G743</f>
        <v>1.7991741228251155</v>
      </c>
      <c r="M743" s="7">
        <f>E743</f>
        <v>4.5014274506262133</v>
      </c>
      <c r="N743" s="7">
        <f>C743</f>
        <v>14.530418165744724</v>
      </c>
      <c r="O743" s="7">
        <f>H743</f>
        <v>1</v>
      </c>
      <c r="P743" s="7">
        <f>F743</f>
        <v>2.2344556107615374</v>
      </c>
      <c r="R743" s="7">
        <f t="shared" ref="R743:W743" si="638">K743/$I743</f>
        <v>0.17168142979799186</v>
      </c>
      <c r="S743" s="7">
        <f t="shared" si="638"/>
        <v>6.1926445054224878E-2</v>
      </c>
      <c r="T743" s="7">
        <f t="shared" si="638"/>
        <v>0.15493631002710889</v>
      </c>
      <c r="U743" s="7">
        <f t="shared" si="638"/>
        <v>0.50012788130977714</v>
      </c>
      <c r="V743" s="7">
        <f t="shared" si="638"/>
        <v>3.4419372904822672E-2</v>
      </c>
      <c r="W743" s="7">
        <f t="shared" si="638"/>
        <v>7.6908560906074661E-2</v>
      </c>
      <c r="X743" s="7">
        <f>SUM(R743:W743)</f>
        <v>1</v>
      </c>
    </row>
    <row r="744" spans="1:24" ht="15.75" customHeight="1" x14ac:dyDescent="0.3">
      <c r="C744" t="s">
        <v>71</v>
      </c>
      <c r="D744" t="s">
        <v>68</v>
      </c>
      <c r="E744" t="s">
        <v>70</v>
      </c>
      <c r="F744" t="s">
        <v>73</v>
      </c>
      <c r="G744" t="s">
        <v>72</v>
      </c>
      <c r="H744" t="s">
        <v>69</v>
      </c>
      <c r="K744" t="s">
        <v>68</v>
      </c>
      <c r="L744" t="s">
        <v>69</v>
      </c>
      <c r="M744" t="s">
        <v>70</v>
      </c>
      <c r="N744" t="s">
        <v>71</v>
      </c>
      <c r="O744" t="s">
        <v>72</v>
      </c>
      <c r="P744" t="s">
        <v>73</v>
      </c>
    </row>
    <row r="745" spans="1:24" ht="15.75" customHeight="1" x14ac:dyDescent="0.3">
      <c r="A745">
        <v>372</v>
      </c>
      <c r="B745" s="16" t="s">
        <v>453</v>
      </c>
      <c r="C745" s="7">
        <f>Rankings!L381</f>
        <v>14.552207370869993</v>
      </c>
      <c r="D745" s="7">
        <f>Rankings!M381</f>
        <v>4.9954098971746239</v>
      </c>
      <c r="E745" s="7">
        <f>Rankings!N381</f>
        <v>4.5081776022708127</v>
      </c>
      <c r="F745" s="7">
        <f>Rankings!O381</f>
        <v>2.2378063065977365</v>
      </c>
      <c r="G745" s="7">
        <f>Rankings!P381</f>
        <v>1.8243208303594776</v>
      </c>
      <c r="H745" s="7">
        <f>Rankings!Q381</f>
        <v>1</v>
      </c>
      <c r="I745" s="7">
        <f>Rankings!R381</f>
        <v>29.117922007272647</v>
      </c>
      <c r="K745" s="7">
        <f>D745</f>
        <v>4.9954098971746239</v>
      </c>
      <c r="L745" s="7">
        <f>H745</f>
        <v>1</v>
      </c>
      <c r="M745" s="7">
        <f>E745</f>
        <v>4.5081776022708127</v>
      </c>
      <c r="N745" s="7">
        <f>C745</f>
        <v>14.552207370869993</v>
      </c>
      <c r="O745" s="7">
        <f>G745</f>
        <v>1.8243208303594776</v>
      </c>
      <c r="P745" s="7">
        <f>F745</f>
        <v>2.2378063065977365</v>
      </c>
      <c r="R745" s="7">
        <f t="shared" ref="R745:W745" si="639">K745/$I745</f>
        <v>0.17155791185672328</v>
      </c>
      <c r="S745" s="7">
        <f t="shared" si="639"/>
        <v>3.4343110052641623E-2</v>
      </c>
      <c r="T745" s="7">
        <f t="shared" si="639"/>
        <v>0.15482483953164056</v>
      </c>
      <c r="U745" s="7">
        <f t="shared" si="639"/>
        <v>0.4997680592466508</v>
      </c>
      <c r="V745" s="7">
        <f t="shared" si="639"/>
        <v>6.2652851048362088E-2</v>
      </c>
      <c r="W745" s="7">
        <f t="shared" si="639"/>
        <v>7.6853228263981554E-2</v>
      </c>
      <c r="X745" s="7">
        <f>SUM(R745:W745)</f>
        <v>0.99999999999999989</v>
      </c>
    </row>
    <row r="746" spans="1:24" ht="15.75" customHeight="1" x14ac:dyDescent="0.3">
      <c r="C746" t="s">
        <v>71</v>
      </c>
      <c r="D746" t="s">
        <v>68</v>
      </c>
      <c r="E746" t="s">
        <v>72</v>
      </c>
      <c r="F746" t="s">
        <v>69</v>
      </c>
      <c r="G746" t="s">
        <v>70</v>
      </c>
      <c r="H746" t="s">
        <v>73</v>
      </c>
      <c r="K746" t="s">
        <v>68</v>
      </c>
      <c r="L746" t="s">
        <v>69</v>
      </c>
      <c r="M746" t="s">
        <v>70</v>
      </c>
      <c r="N746" t="s">
        <v>71</v>
      </c>
      <c r="O746" t="s">
        <v>72</v>
      </c>
      <c r="P746" t="s">
        <v>73</v>
      </c>
    </row>
    <row r="747" spans="1:24" ht="15.75" customHeight="1" x14ac:dyDescent="0.3">
      <c r="A747">
        <v>373</v>
      </c>
      <c r="B747" s="16" t="s">
        <v>454</v>
      </c>
      <c r="C747" s="7">
        <f>Rankings!L382</f>
        <v>15.79537900937062</v>
      </c>
      <c r="D747" s="7">
        <f>Rankings!M382</f>
        <v>5.4221597192864248</v>
      </c>
      <c r="E747" s="7">
        <f>Rankings!N382</f>
        <v>4.9987142641844224</v>
      </c>
      <c r="F747" s="7">
        <f>Rankings!O382</f>
        <v>2.740041214789747</v>
      </c>
      <c r="G747" s="7">
        <f>Rankings!P382</f>
        <v>2.0145521929129111</v>
      </c>
      <c r="H747" s="7">
        <f>Rankings!Q382</f>
        <v>1</v>
      </c>
      <c r="I747" s="7">
        <f>Rankings!R382</f>
        <v>31.970846400544129</v>
      </c>
      <c r="K747" s="7">
        <f>D747</f>
        <v>5.4221597192864248</v>
      </c>
      <c r="L747" s="7">
        <f t="shared" ref="L747:M747" si="640">F747</f>
        <v>2.740041214789747</v>
      </c>
      <c r="M747" s="7">
        <f t="shared" si="640"/>
        <v>2.0145521929129111</v>
      </c>
      <c r="N747" s="7">
        <f>C747</f>
        <v>15.79537900937062</v>
      </c>
      <c r="O747" s="7">
        <f>E747</f>
        <v>4.9987142641844224</v>
      </c>
      <c r="P747" s="7">
        <f>H747</f>
        <v>1</v>
      </c>
      <c r="R747" s="7">
        <f t="shared" ref="R747:W747" si="641">K747/$I747</f>
        <v>0.169597002574012</v>
      </c>
      <c r="S747" s="7">
        <f t="shared" si="641"/>
        <v>8.5704368926032337E-2</v>
      </c>
      <c r="T747" s="7">
        <f t="shared" si="641"/>
        <v>6.3012163258793941E-2</v>
      </c>
      <c r="U747" s="7">
        <f t="shared" si="641"/>
        <v>0.49405570348308919</v>
      </c>
      <c r="V747" s="7">
        <f t="shared" si="641"/>
        <v>0.15635226548457432</v>
      </c>
      <c r="W747" s="7">
        <f t="shared" si="641"/>
        <v>3.1278496273498109E-2</v>
      </c>
      <c r="X747" s="7">
        <f>SUM(R747:W747)</f>
        <v>0.99999999999999989</v>
      </c>
    </row>
    <row r="748" spans="1:24" ht="15.75" customHeight="1" x14ac:dyDescent="0.3">
      <c r="C748" t="s">
        <v>71</v>
      </c>
      <c r="D748" t="s">
        <v>68</v>
      </c>
      <c r="E748" t="s">
        <v>72</v>
      </c>
      <c r="F748" t="s">
        <v>69</v>
      </c>
      <c r="G748" t="s">
        <v>73</v>
      </c>
      <c r="H748" t="s">
        <v>70</v>
      </c>
      <c r="K748" t="s">
        <v>68</v>
      </c>
      <c r="L748" t="s">
        <v>69</v>
      </c>
      <c r="M748" t="s">
        <v>70</v>
      </c>
      <c r="N748" t="s">
        <v>71</v>
      </c>
      <c r="O748" t="s">
        <v>72</v>
      </c>
      <c r="P748" t="s">
        <v>73</v>
      </c>
    </row>
    <row r="749" spans="1:24" ht="15.75" customHeight="1" x14ac:dyDescent="0.3">
      <c r="A749">
        <v>374</v>
      </c>
      <c r="B749" s="16" t="s">
        <v>455</v>
      </c>
      <c r="C749" s="7">
        <f>Rankings!L383</f>
        <v>10.802780673642602</v>
      </c>
      <c r="D749" s="7">
        <f>Rankings!M383</f>
        <v>3.7083252127195867</v>
      </c>
      <c r="E749" s="7">
        <f>Rankings!N383</f>
        <v>3.4187222613751498</v>
      </c>
      <c r="F749" s="7">
        <f>Rankings!O383</f>
        <v>1.8739698656521393</v>
      </c>
      <c r="G749" s="7">
        <f>Rankings!P383</f>
        <v>1.4032439022773779</v>
      </c>
      <c r="H749" s="7">
        <f>Rankings!Q383</f>
        <v>1</v>
      </c>
      <c r="I749" s="7">
        <f>Rankings!R383</f>
        <v>22.207041915666856</v>
      </c>
      <c r="K749" s="7">
        <f>D749</f>
        <v>3.7083252127195867</v>
      </c>
      <c r="L749" s="7">
        <f>F749</f>
        <v>1.8739698656521393</v>
      </c>
      <c r="M749" s="7">
        <f>H749</f>
        <v>1</v>
      </c>
      <c r="N749" s="7">
        <f>C749</f>
        <v>10.802780673642602</v>
      </c>
      <c r="O749" s="7">
        <f>E749</f>
        <v>3.4187222613751498</v>
      </c>
      <c r="P749" s="7">
        <f>G749</f>
        <v>1.4032439022773779</v>
      </c>
      <c r="R749" s="7">
        <f t="shared" ref="R749:W749" si="642">K749/$I749</f>
        <v>0.16698870686164638</v>
      </c>
      <c r="S749" s="7">
        <f t="shared" si="642"/>
        <v>8.4386289392738595E-2</v>
      </c>
      <c r="T749" s="7">
        <f t="shared" si="642"/>
        <v>4.5030761134129689E-2</v>
      </c>
      <c r="U749" s="7">
        <f t="shared" si="642"/>
        <v>0.48645743609919262</v>
      </c>
      <c r="V749" s="7">
        <f t="shared" si="642"/>
        <v>0.15394766553591605</v>
      </c>
      <c r="W749" s="7">
        <f t="shared" si="642"/>
        <v>6.3189140976376637E-2</v>
      </c>
      <c r="X749" s="7">
        <f>SUM(R749:W749)</f>
        <v>0.99999999999999989</v>
      </c>
    </row>
    <row r="750" spans="1:24" ht="15.75" customHeight="1" x14ac:dyDescent="0.3">
      <c r="C750" t="s">
        <v>71</v>
      </c>
      <c r="D750" t="s">
        <v>68</v>
      </c>
      <c r="E750" t="s">
        <v>72</v>
      </c>
      <c r="F750" t="s">
        <v>70</v>
      </c>
      <c r="G750" t="s">
        <v>69</v>
      </c>
      <c r="H750" t="s">
        <v>73</v>
      </c>
      <c r="K750" t="s">
        <v>68</v>
      </c>
      <c r="L750" t="s">
        <v>69</v>
      </c>
      <c r="M750" t="s">
        <v>70</v>
      </c>
      <c r="N750" t="s">
        <v>71</v>
      </c>
      <c r="O750" t="s">
        <v>72</v>
      </c>
      <c r="P750" t="s">
        <v>73</v>
      </c>
    </row>
    <row r="751" spans="1:24" ht="15.75" customHeight="1" x14ac:dyDescent="0.3">
      <c r="A751">
        <v>375</v>
      </c>
      <c r="B751" s="16" t="s">
        <v>456</v>
      </c>
      <c r="C751" s="7">
        <f>Rankings!L384</f>
        <v>12.548978525146163</v>
      </c>
      <c r="D751" s="7">
        <f>Rankings!M384</f>
        <v>4.307751389622978</v>
      </c>
      <c r="E751" s="7">
        <f>Rankings!N384</f>
        <v>3.9713360418498511</v>
      </c>
      <c r="F751" s="7">
        <f>Rankings!O384</f>
        <v>2.0111729678309791</v>
      </c>
      <c r="G751" s="7">
        <f>Rankings!P384</f>
        <v>1.3354555559520354</v>
      </c>
      <c r="H751" s="7">
        <f>Rankings!Q384</f>
        <v>1</v>
      </c>
      <c r="I751" s="7">
        <f>Rankings!R384</f>
        <v>25.174694480402007</v>
      </c>
      <c r="K751" s="7">
        <f>D751</f>
        <v>4.307751389622978</v>
      </c>
      <c r="L751" s="7">
        <f>G751</f>
        <v>1.3354555559520354</v>
      </c>
      <c r="M751" s="7">
        <f>F751</f>
        <v>2.0111729678309791</v>
      </c>
      <c r="N751" s="7">
        <f>C751</f>
        <v>12.548978525146163</v>
      </c>
      <c r="O751" s="7">
        <f>E751</f>
        <v>3.9713360418498511</v>
      </c>
      <c r="P751" s="7">
        <f>H751</f>
        <v>1</v>
      </c>
      <c r="R751" s="7">
        <f t="shared" ref="R751:W751" si="643">K751/$I751</f>
        <v>0.17111434631218567</v>
      </c>
      <c r="S751" s="7">
        <f t="shared" si="643"/>
        <v>5.3047537756283819E-2</v>
      </c>
      <c r="T751" s="7">
        <f t="shared" si="643"/>
        <v>7.9888674295397574E-2</v>
      </c>
      <c r="U751" s="7">
        <f t="shared" si="643"/>
        <v>0.49847590146189424</v>
      </c>
      <c r="V751" s="7">
        <f t="shared" si="643"/>
        <v>0.15775111173410492</v>
      </c>
      <c r="W751" s="7">
        <f t="shared" si="643"/>
        <v>3.9722428440133795E-2</v>
      </c>
      <c r="X751" s="7">
        <f>SUM(R751:W751)</f>
        <v>1</v>
      </c>
    </row>
    <row r="752" spans="1:24" ht="15.75" customHeight="1" x14ac:dyDescent="0.3">
      <c r="C752" t="s">
        <v>71</v>
      </c>
      <c r="D752" t="s">
        <v>68</v>
      </c>
      <c r="E752" t="s">
        <v>72</v>
      </c>
      <c r="F752" t="s">
        <v>70</v>
      </c>
      <c r="G752" t="s">
        <v>73</v>
      </c>
      <c r="H752" t="s">
        <v>69</v>
      </c>
      <c r="K752" t="s">
        <v>68</v>
      </c>
      <c r="L752" t="s">
        <v>69</v>
      </c>
      <c r="M752" t="s">
        <v>70</v>
      </c>
      <c r="N752" t="s">
        <v>71</v>
      </c>
      <c r="O752" t="s">
        <v>72</v>
      </c>
      <c r="P752" t="s">
        <v>73</v>
      </c>
    </row>
    <row r="753" spans="1:24" ht="15.75" customHeight="1" x14ac:dyDescent="0.3">
      <c r="A753">
        <v>376</v>
      </c>
      <c r="B753" s="16" t="s">
        <v>457</v>
      </c>
      <c r="C753" s="7">
        <f>Rankings!L385</f>
        <v>15.611190091483692</v>
      </c>
      <c r="D753" s="7">
        <f>Rankings!M385</f>
        <v>5.3589322569562743</v>
      </c>
      <c r="E753" s="7">
        <f>Rankings!N385</f>
        <v>4.940424572585389</v>
      </c>
      <c r="F753" s="7">
        <f>Rankings!O385</f>
        <v>2.5019409703147248</v>
      </c>
      <c r="G753" s="7">
        <f>Rankings!P385</f>
        <v>1.2419340531937677</v>
      </c>
      <c r="H753" s="7">
        <f>Rankings!Q385</f>
        <v>1</v>
      </c>
      <c r="I753" s="7">
        <f>Rankings!R385</f>
        <v>30.654421944533844</v>
      </c>
      <c r="K753" s="7">
        <f>D753</f>
        <v>5.3589322569562743</v>
      </c>
      <c r="L753" s="7">
        <f>H753</f>
        <v>1</v>
      </c>
      <c r="M753" s="7">
        <f>F753</f>
        <v>2.5019409703147248</v>
      </c>
      <c r="N753" s="7">
        <f>C753</f>
        <v>15.611190091483692</v>
      </c>
      <c r="O753" s="7">
        <f>E753</f>
        <v>4.940424572585389</v>
      </c>
      <c r="P753" s="7">
        <f>G753</f>
        <v>1.2419340531937677</v>
      </c>
      <c r="R753" s="7">
        <f t="shared" ref="R753:W753" si="644">K753/$I753</f>
        <v>0.17481759292844387</v>
      </c>
      <c r="S753" s="7">
        <f t="shared" si="644"/>
        <v>3.2621720997035974E-2</v>
      </c>
      <c r="T753" s="7">
        <f t="shared" si="644"/>
        <v>8.1617620284660408E-2</v>
      </c>
      <c r="U753" s="7">
        <f t="shared" si="644"/>
        <v>0.50926388759607355</v>
      </c>
      <c r="V753" s="7">
        <f t="shared" si="644"/>
        <v>0.16116515201378126</v>
      </c>
      <c r="W753" s="7">
        <f t="shared" si="644"/>
        <v>4.0514026180005124E-2</v>
      </c>
      <c r="X753" s="7">
        <f>SUM(R753:W753)</f>
        <v>1.0000000000000002</v>
      </c>
    </row>
    <row r="754" spans="1:24" ht="15.75" customHeight="1" x14ac:dyDescent="0.3">
      <c r="C754" t="s">
        <v>71</v>
      </c>
      <c r="D754" t="s">
        <v>68</v>
      </c>
      <c r="E754" t="s">
        <v>72</v>
      </c>
      <c r="F754" t="s">
        <v>73</v>
      </c>
      <c r="G754" t="s">
        <v>69</v>
      </c>
      <c r="H754" t="s">
        <v>70</v>
      </c>
      <c r="K754" t="s">
        <v>68</v>
      </c>
      <c r="L754" t="s">
        <v>69</v>
      </c>
      <c r="M754" t="s">
        <v>70</v>
      </c>
      <c r="N754" t="s">
        <v>71</v>
      </c>
      <c r="O754" t="s">
        <v>72</v>
      </c>
      <c r="P754" t="s">
        <v>73</v>
      </c>
    </row>
    <row r="755" spans="1:24" ht="15.75" customHeight="1" x14ac:dyDescent="0.3">
      <c r="A755">
        <v>377</v>
      </c>
      <c r="B755" s="16" t="s">
        <v>458</v>
      </c>
      <c r="C755" s="7">
        <f>Rankings!L386</f>
        <v>7.0560110482172824</v>
      </c>
      <c r="D755" s="7">
        <f>Rankings!M386</f>
        <v>2.4221526347539157</v>
      </c>
      <c r="E755" s="7">
        <f>Rankings!N386</f>
        <v>2.2329937796391013</v>
      </c>
      <c r="F755" s="7">
        <f>Rankings!O386</f>
        <v>1.6891845759932191</v>
      </c>
      <c r="G755" s="7">
        <f>Rankings!P386</f>
        <v>1.3601242124324544</v>
      </c>
      <c r="H755" s="7">
        <f>Rankings!Q386</f>
        <v>1</v>
      </c>
      <c r="I755" s="7">
        <f>Rankings!R386</f>
        <v>15.760466251035972</v>
      </c>
      <c r="K755" s="7">
        <f>D755</f>
        <v>2.4221526347539157</v>
      </c>
      <c r="L755" s="7">
        <f t="shared" ref="L755:M755" si="645">G755</f>
        <v>1.3601242124324544</v>
      </c>
      <c r="M755" s="7">
        <f t="shared" si="645"/>
        <v>1</v>
      </c>
      <c r="N755" s="7">
        <f>C755</f>
        <v>7.0560110482172824</v>
      </c>
      <c r="O755" s="7">
        <f t="shared" ref="O755:P755" si="646">E755</f>
        <v>2.2329937796391013</v>
      </c>
      <c r="P755" s="7">
        <f t="shared" si="646"/>
        <v>1.6891845759932191</v>
      </c>
      <c r="R755" s="7">
        <f t="shared" ref="R755:W755" si="647">K755/$I755</f>
        <v>0.15368534129469058</v>
      </c>
      <c r="S755" s="7">
        <f t="shared" si="647"/>
        <v>8.6299744612127222E-2</v>
      </c>
      <c r="T755" s="7">
        <f t="shared" si="647"/>
        <v>6.3449899518947778E-2</v>
      </c>
      <c r="U755" s="7">
        <f t="shared" si="647"/>
        <v>0.44770319201397196</v>
      </c>
      <c r="V755" s="7">
        <f t="shared" si="647"/>
        <v>0.14168323094453639</v>
      </c>
      <c r="W755" s="7">
        <f t="shared" si="647"/>
        <v>0.10717859161572617</v>
      </c>
      <c r="X755" s="7">
        <f>SUM(R755:W755)</f>
        <v>1</v>
      </c>
    </row>
    <row r="756" spans="1:24" ht="15.75" customHeight="1" x14ac:dyDescent="0.3">
      <c r="C756" t="s">
        <v>71</v>
      </c>
      <c r="D756" t="s">
        <v>68</v>
      </c>
      <c r="E756" t="s">
        <v>72</v>
      </c>
      <c r="F756" t="s">
        <v>73</v>
      </c>
      <c r="G756" t="s">
        <v>70</v>
      </c>
      <c r="H756" t="s">
        <v>69</v>
      </c>
      <c r="K756" t="s">
        <v>68</v>
      </c>
      <c r="L756" t="s">
        <v>69</v>
      </c>
      <c r="M756" t="s">
        <v>70</v>
      </c>
      <c r="N756" t="s">
        <v>71</v>
      </c>
      <c r="O756" t="s">
        <v>72</v>
      </c>
      <c r="P756" t="s">
        <v>73</v>
      </c>
    </row>
    <row r="757" spans="1:24" ht="15.75" customHeight="1" x14ac:dyDescent="0.3">
      <c r="A757">
        <v>378</v>
      </c>
      <c r="B757" s="16" t="s">
        <v>459</v>
      </c>
      <c r="C757" s="7">
        <f>Rankings!L387</f>
        <v>8.8274505298063826</v>
      </c>
      <c r="D757" s="7">
        <f>Rankings!M387</f>
        <v>3.0302436338067307</v>
      </c>
      <c r="E757" s="7">
        <f>Rankings!N387</f>
        <v>2.7935956999542579</v>
      </c>
      <c r="F757" s="7">
        <f>Rankings!O387</f>
        <v>2.113261044858973</v>
      </c>
      <c r="G757" s="7">
        <f>Rankings!P387</f>
        <v>1.5059827029565431</v>
      </c>
      <c r="H757" s="7">
        <f>Rankings!Q387</f>
        <v>1</v>
      </c>
      <c r="I757" s="7">
        <f>Rankings!R387</f>
        <v>19.270533611382888</v>
      </c>
      <c r="K757" s="7">
        <f>D757</f>
        <v>3.0302436338067307</v>
      </c>
      <c r="L757" s="7">
        <f>H757</f>
        <v>1</v>
      </c>
      <c r="M757" s="7">
        <f>G757</f>
        <v>1.5059827029565431</v>
      </c>
      <c r="N757" s="7">
        <f>C757</f>
        <v>8.8274505298063826</v>
      </c>
      <c r="O757" s="7">
        <f t="shared" ref="O757:P757" si="648">E757</f>
        <v>2.7935956999542579</v>
      </c>
      <c r="P757" s="7">
        <f t="shared" si="648"/>
        <v>2.113261044858973</v>
      </c>
      <c r="R757" s="7">
        <f t="shared" ref="R757:W757" si="649">K757/$I757</f>
        <v>0.15724752074414794</v>
      </c>
      <c r="S757" s="7">
        <f t="shared" si="649"/>
        <v>5.1892698986254912E-2</v>
      </c>
      <c r="T757" s="7">
        <f t="shared" si="649"/>
        <v>7.8149507083030437E-2</v>
      </c>
      <c r="U757" s="7">
        <f t="shared" si="649"/>
        <v>0.45808023315929908</v>
      </c>
      <c r="V757" s="7">
        <f t="shared" si="649"/>
        <v>0.1449672207470224</v>
      </c>
      <c r="W757" s="7">
        <f t="shared" si="649"/>
        <v>0.10966281928024522</v>
      </c>
      <c r="X757" s="7">
        <f>SUM(R757:W757)</f>
        <v>1</v>
      </c>
    </row>
    <row r="758" spans="1:24" ht="15.75" customHeight="1" x14ac:dyDescent="0.3">
      <c r="C758" t="s">
        <v>71</v>
      </c>
      <c r="D758" t="s">
        <v>68</v>
      </c>
      <c r="E758" t="s">
        <v>73</v>
      </c>
      <c r="F758" t="s">
        <v>69</v>
      </c>
      <c r="G758" t="s">
        <v>70</v>
      </c>
      <c r="H758" t="s">
        <v>72</v>
      </c>
      <c r="K758" t="s">
        <v>68</v>
      </c>
      <c r="L758" t="s">
        <v>69</v>
      </c>
      <c r="M758" t="s">
        <v>70</v>
      </c>
      <c r="N758" t="s">
        <v>71</v>
      </c>
      <c r="O758" t="s">
        <v>72</v>
      </c>
      <c r="P758" t="s">
        <v>73</v>
      </c>
    </row>
    <row r="759" spans="1:24" ht="15.75" customHeight="1" x14ac:dyDescent="0.3">
      <c r="A759">
        <v>379</v>
      </c>
      <c r="B759" s="16" t="s">
        <v>460</v>
      </c>
      <c r="C759" s="7">
        <f>Rankings!L388</f>
        <v>12.809535306048655</v>
      </c>
      <c r="D759" s="7">
        <f>Rankings!M388</f>
        <v>4.3971940349155219</v>
      </c>
      <c r="E759" s="7">
        <f>Rankings!N388</f>
        <v>3.7862592686533763</v>
      </c>
      <c r="F759" s="7">
        <f>Rankings!O388</f>
        <v>3.0486798062397931</v>
      </c>
      <c r="G759" s="7">
        <f>Rankings!P388</f>
        <v>2.2414716085286912</v>
      </c>
      <c r="H759" s="7">
        <f>Rankings!Q388</f>
        <v>1</v>
      </c>
      <c r="I759" s="7">
        <f>Rankings!R388</f>
        <v>27.283140024386039</v>
      </c>
      <c r="K759" s="7">
        <f>D759</f>
        <v>4.3971940349155219</v>
      </c>
      <c r="L759" s="7">
        <f t="shared" ref="L759:M759" si="650">F759</f>
        <v>3.0486798062397931</v>
      </c>
      <c r="M759" s="7">
        <f t="shared" si="650"/>
        <v>2.2414716085286912</v>
      </c>
      <c r="N759" s="7">
        <f>C759</f>
        <v>12.809535306048655</v>
      </c>
      <c r="O759" s="7">
        <f>H759</f>
        <v>1</v>
      </c>
      <c r="P759" s="7">
        <f>E759</f>
        <v>3.7862592686533763</v>
      </c>
      <c r="R759" s="7">
        <f t="shared" ref="R759:W759" si="651">K759/$I759</f>
        <v>0.16116891351161378</v>
      </c>
      <c r="S759" s="7">
        <f t="shared" si="651"/>
        <v>0.11174226293288976</v>
      </c>
      <c r="T759" s="7">
        <f t="shared" si="651"/>
        <v>8.2155925107052691E-2</v>
      </c>
      <c r="U759" s="7">
        <f t="shared" si="651"/>
        <v>0.46950370428767801</v>
      </c>
      <c r="V759" s="7">
        <f t="shared" si="651"/>
        <v>3.6652672643478226E-2</v>
      </c>
      <c r="W759" s="7">
        <f t="shared" si="651"/>
        <v>0.13877652151728748</v>
      </c>
      <c r="X759" s="7">
        <f>SUM(R759:W759)</f>
        <v>1</v>
      </c>
    </row>
    <row r="760" spans="1:24" ht="15.75" customHeight="1" x14ac:dyDescent="0.3">
      <c r="C760" t="s">
        <v>71</v>
      </c>
      <c r="D760" t="s">
        <v>68</v>
      </c>
      <c r="E760" t="s">
        <v>73</v>
      </c>
      <c r="F760" t="s">
        <v>69</v>
      </c>
      <c r="G760" t="s">
        <v>72</v>
      </c>
      <c r="H760" t="s">
        <v>70</v>
      </c>
      <c r="K760" t="s">
        <v>68</v>
      </c>
      <c r="L760" t="s">
        <v>69</v>
      </c>
      <c r="M760" t="s">
        <v>70</v>
      </c>
      <c r="N760" t="s">
        <v>71</v>
      </c>
      <c r="O760" t="s">
        <v>72</v>
      </c>
      <c r="P760" t="s">
        <v>73</v>
      </c>
    </row>
    <row r="761" spans="1:24" ht="15.75" customHeight="1" x14ac:dyDescent="0.3">
      <c r="A761">
        <v>380</v>
      </c>
      <c r="B761" s="16" t="s">
        <v>461</v>
      </c>
      <c r="C761" s="7">
        <f>Rankings!L389</f>
        <v>14.927324408915414</v>
      </c>
      <c r="D761" s="7">
        <f>Rankings!M389</f>
        <v>5.1241782219170222</v>
      </c>
      <c r="E761" s="7">
        <f>Rankings!N389</f>
        <v>4.4122381529924555</v>
      </c>
      <c r="F761" s="7">
        <f>Rankings!O389</f>
        <v>3.5527153327070047</v>
      </c>
      <c r="G761" s="7">
        <f>Rankings!P389</f>
        <v>1.9746367445127702</v>
      </c>
      <c r="H761" s="7">
        <f>Rankings!Q389</f>
        <v>1</v>
      </c>
      <c r="I761" s="7">
        <f>Rankings!R389</f>
        <v>30.99109286104467</v>
      </c>
      <c r="K761" s="7">
        <f>D761</f>
        <v>5.1241782219170222</v>
      </c>
      <c r="L761" s="7">
        <f>F761</f>
        <v>3.5527153327070047</v>
      </c>
      <c r="M761" s="7">
        <f>H761</f>
        <v>1</v>
      </c>
      <c r="N761" s="7">
        <f>C761</f>
        <v>14.927324408915414</v>
      </c>
      <c r="O761" s="7">
        <f>G761</f>
        <v>1.9746367445127702</v>
      </c>
      <c r="P761" s="7">
        <f>E761</f>
        <v>4.4122381529924555</v>
      </c>
      <c r="R761" s="7">
        <f t="shared" ref="R761:W761" si="652">K761/$I761</f>
        <v>0.16534357935979843</v>
      </c>
      <c r="S761" s="7">
        <f t="shared" si="652"/>
        <v>0.11463665862434666</v>
      </c>
      <c r="T761" s="7">
        <f t="shared" si="652"/>
        <v>3.2267335794956255E-2</v>
      </c>
      <c r="U761" s="7">
        <f t="shared" si="652"/>
        <v>0.48166498922272061</v>
      </c>
      <c r="V761" s="7">
        <f t="shared" si="652"/>
        <v>6.37162669082528E-2</v>
      </c>
      <c r="W761" s="7">
        <f t="shared" si="652"/>
        <v>0.14237117008992514</v>
      </c>
      <c r="X761" s="7">
        <f>SUM(R761:W761)</f>
        <v>1</v>
      </c>
    </row>
    <row r="762" spans="1:24" ht="15.75" customHeight="1" x14ac:dyDescent="0.3">
      <c r="C762" t="s">
        <v>71</v>
      </c>
      <c r="D762" t="s">
        <v>68</v>
      </c>
      <c r="E762" t="s">
        <v>73</v>
      </c>
      <c r="F762" t="s">
        <v>70</v>
      </c>
      <c r="G762" t="s">
        <v>69</v>
      </c>
      <c r="H762" t="s">
        <v>72</v>
      </c>
      <c r="K762" t="s">
        <v>68</v>
      </c>
      <c r="L762" t="s">
        <v>69</v>
      </c>
      <c r="M762" t="s">
        <v>70</v>
      </c>
      <c r="N762" t="s">
        <v>71</v>
      </c>
      <c r="O762" t="s">
        <v>72</v>
      </c>
      <c r="P762" t="s">
        <v>73</v>
      </c>
    </row>
    <row r="763" spans="1:24" ht="15.75" customHeight="1" x14ac:dyDescent="0.3">
      <c r="A763">
        <v>381</v>
      </c>
      <c r="B763" s="16" t="s">
        <v>462</v>
      </c>
      <c r="C763" s="7">
        <f>Rankings!L390</f>
        <v>12.863210275733261</v>
      </c>
      <c r="D763" s="7">
        <f>Rankings!M390</f>
        <v>4.4156193134976398</v>
      </c>
      <c r="E763" s="7">
        <f>Rankings!N390</f>
        <v>3.8021245866846298</v>
      </c>
      <c r="F763" s="7">
        <f>Rankings!O390</f>
        <v>2.709525108581635</v>
      </c>
      <c r="G763" s="7">
        <f>Rankings!P390</f>
        <v>1.7991741228251155</v>
      </c>
      <c r="H763" s="7">
        <f>Rankings!Q390</f>
        <v>1</v>
      </c>
      <c r="I763" s="7">
        <f>Rankings!R390</f>
        <v>26.589653407322281</v>
      </c>
      <c r="K763" s="7">
        <f>D763</f>
        <v>4.4156193134976398</v>
      </c>
      <c r="L763" s="7">
        <f>G763</f>
        <v>1.7991741228251155</v>
      </c>
      <c r="M763" s="7">
        <f>F763</f>
        <v>2.709525108581635</v>
      </c>
      <c r="N763" s="7">
        <f>C763</f>
        <v>12.863210275733261</v>
      </c>
      <c r="O763" s="7">
        <f>H763</f>
        <v>1</v>
      </c>
      <c r="P763" s="7">
        <f>E763</f>
        <v>3.8021245866846298</v>
      </c>
      <c r="R763" s="7">
        <f t="shared" ref="R763:W763" si="653">K763/$I763</f>
        <v>0.16606532044083219</v>
      </c>
      <c r="S763" s="7">
        <f t="shared" si="653"/>
        <v>6.7664444333436005E-2</v>
      </c>
      <c r="T763" s="7">
        <f t="shared" si="653"/>
        <v>0.10190148277132051</v>
      </c>
      <c r="U763" s="7">
        <f t="shared" si="653"/>
        <v>0.48376750455088591</v>
      </c>
      <c r="V763" s="7">
        <f t="shared" si="653"/>
        <v>3.7608613571646597E-2</v>
      </c>
      <c r="W763" s="7">
        <f t="shared" si="653"/>
        <v>0.14299263433187878</v>
      </c>
      <c r="X763" s="7">
        <f>SUM(R763:W763)</f>
        <v>1</v>
      </c>
    </row>
    <row r="764" spans="1:24" ht="15.75" customHeight="1" x14ac:dyDescent="0.3">
      <c r="C764" t="s">
        <v>71</v>
      </c>
      <c r="D764" t="s">
        <v>68</v>
      </c>
      <c r="E764" t="s">
        <v>73</v>
      </c>
      <c r="F764" t="s">
        <v>70</v>
      </c>
      <c r="G764" t="s">
        <v>72</v>
      </c>
      <c r="H764" t="s">
        <v>69</v>
      </c>
      <c r="K764" t="s">
        <v>68</v>
      </c>
      <c r="L764" t="s">
        <v>69</v>
      </c>
      <c r="M764" t="s">
        <v>70</v>
      </c>
      <c r="N764" t="s">
        <v>71</v>
      </c>
      <c r="O764" t="s">
        <v>72</v>
      </c>
      <c r="P764" t="s">
        <v>73</v>
      </c>
    </row>
    <row r="765" spans="1:24" ht="15.75" customHeight="1" x14ac:dyDescent="0.3">
      <c r="A765">
        <v>382</v>
      </c>
      <c r="B765" s="16" t="s">
        <v>463</v>
      </c>
      <c r="C765" s="7">
        <f>Rankings!L391</f>
        <v>19.41291033107181</v>
      </c>
      <c r="D765" s="7">
        <f>Rankings!M391</f>
        <v>6.6639680104422538</v>
      </c>
      <c r="E765" s="7">
        <f>Rankings!N391</f>
        <v>5.7380935308285368</v>
      </c>
      <c r="F765" s="7">
        <f>Rankings!O391</f>
        <v>4.0891633460982559</v>
      </c>
      <c r="G765" s="7">
        <f>Rankings!P391</f>
        <v>1.8243208303594776</v>
      </c>
      <c r="H765" s="7">
        <f>Rankings!Q391</f>
        <v>1</v>
      </c>
      <c r="I765" s="7">
        <f>Rankings!R391</f>
        <v>38.728456048800332</v>
      </c>
      <c r="K765" s="7">
        <f>D765</f>
        <v>6.6639680104422538</v>
      </c>
      <c r="L765" s="7">
        <f>H765</f>
        <v>1</v>
      </c>
      <c r="M765" s="7">
        <f>F765</f>
        <v>4.0891633460982559</v>
      </c>
      <c r="N765" s="7">
        <f>C765</f>
        <v>19.41291033107181</v>
      </c>
      <c r="O765" s="7">
        <f>G765</f>
        <v>1.8243208303594776</v>
      </c>
      <c r="P765" s="7">
        <f>E765</f>
        <v>5.7380935308285368</v>
      </c>
      <c r="R765" s="7">
        <f t="shared" ref="R765:W765" si="654">K765/$I765</f>
        <v>0.17206903373698212</v>
      </c>
      <c r="S765" s="7">
        <f t="shared" si="654"/>
        <v>2.5820807282891319E-2</v>
      </c>
      <c r="T765" s="7">
        <f t="shared" si="654"/>
        <v>0.10558549870786609</v>
      </c>
      <c r="U765" s="7">
        <f t="shared" si="654"/>
        <v>0.50125701645865517</v>
      </c>
      <c r="V765" s="7">
        <f t="shared" si="654"/>
        <v>4.7105436582876338E-2</v>
      </c>
      <c r="W765" s="7">
        <f t="shared" si="654"/>
        <v>0.14816220723072904</v>
      </c>
      <c r="X765" s="7">
        <f>SUM(R765:W765)</f>
        <v>1</v>
      </c>
    </row>
    <row r="766" spans="1:24" ht="15.75" customHeight="1" x14ac:dyDescent="0.3">
      <c r="C766" t="s">
        <v>71</v>
      </c>
      <c r="D766" t="s">
        <v>68</v>
      </c>
      <c r="E766" t="s">
        <v>73</v>
      </c>
      <c r="F766" t="s">
        <v>72</v>
      </c>
      <c r="G766" t="s">
        <v>69</v>
      </c>
      <c r="H766" t="s">
        <v>70</v>
      </c>
      <c r="K766" t="s">
        <v>68</v>
      </c>
      <c r="L766" t="s">
        <v>69</v>
      </c>
      <c r="M766" t="s">
        <v>70</v>
      </c>
      <c r="N766" t="s">
        <v>71</v>
      </c>
      <c r="O766" t="s">
        <v>72</v>
      </c>
      <c r="P766" t="s">
        <v>73</v>
      </c>
    </row>
    <row r="767" spans="1:24" ht="15.75" customHeight="1" x14ac:dyDescent="0.3">
      <c r="A767">
        <v>383</v>
      </c>
      <c r="B767" s="16" t="s">
        <v>464</v>
      </c>
      <c r="C767" s="7">
        <f>Rankings!L392</f>
        <v>10.297317195911139</v>
      </c>
      <c r="D767" s="7">
        <f>Rankings!M392</f>
        <v>3.5348122057255758</v>
      </c>
      <c r="E767" s="7">
        <f>Rankings!N392</f>
        <v>3.0436945403376261</v>
      </c>
      <c r="F767" s="7">
        <f>Rankings!O392</f>
        <v>2.4813029326168055</v>
      </c>
      <c r="G767" s="7">
        <f>Rankings!P392</f>
        <v>1.3601242124324544</v>
      </c>
      <c r="H767" s="7">
        <f>Rankings!Q392</f>
        <v>1</v>
      </c>
      <c r="I767" s="7">
        <f>Rankings!R392</f>
        <v>21.717251087023602</v>
      </c>
      <c r="K767" s="7">
        <f>D767</f>
        <v>3.5348122057255758</v>
      </c>
      <c r="L767" s="7">
        <f t="shared" ref="L767:M767" si="655">G767</f>
        <v>1.3601242124324544</v>
      </c>
      <c r="M767" s="7">
        <f t="shared" si="655"/>
        <v>1</v>
      </c>
      <c r="N767" s="7">
        <f>C767</f>
        <v>10.297317195911139</v>
      </c>
      <c r="O767" s="7">
        <f>F767</f>
        <v>2.4813029326168055</v>
      </c>
      <c r="P767" s="7">
        <f>E767</f>
        <v>3.0436945403376261</v>
      </c>
      <c r="R767" s="7">
        <f t="shared" ref="R767:W767" si="656">K767/$I767</f>
        <v>0.16276517647473723</v>
      </c>
      <c r="S767" s="7">
        <f t="shared" si="656"/>
        <v>6.2628746473587987E-2</v>
      </c>
      <c r="T767" s="7">
        <f t="shared" si="656"/>
        <v>4.604634334211459E-2</v>
      </c>
      <c r="U767" s="7">
        <f t="shared" si="656"/>
        <v>0.47415380310558491</v>
      </c>
      <c r="V767" s="7">
        <f t="shared" si="656"/>
        <v>0.11425492677106924</v>
      </c>
      <c r="W767" s="7">
        <f t="shared" si="656"/>
        <v>0.14015100383290596</v>
      </c>
      <c r="X767" s="7">
        <f>SUM(R767:W767)</f>
        <v>1</v>
      </c>
    </row>
    <row r="768" spans="1:24" ht="15.75" customHeight="1" x14ac:dyDescent="0.3">
      <c r="C768" t="s">
        <v>71</v>
      </c>
      <c r="D768" t="s">
        <v>68</v>
      </c>
      <c r="E768" t="s">
        <v>73</v>
      </c>
      <c r="F768" t="s">
        <v>72</v>
      </c>
      <c r="G768" t="s">
        <v>70</v>
      </c>
      <c r="H768" t="s">
        <v>69</v>
      </c>
      <c r="K768" t="s">
        <v>68</v>
      </c>
      <c r="L768" t="s">
        <v>69</v>
      </c>
      <c r="M768" t="s">
        <v>70</v>
      </c>
      <c r="N768" t="s">
        <v>71</v>
      </c>
      <c r="O768" t="s">
        <v>72</v>
      </c>
      <c r="P768" t="s">
        <v>73</v>
      </c>
    </row>
    <row r="769" spans="1:24" ht="15.75" customHeight="1" x14ac:dyDescent="0.3">
      <c r="A769">
        <v>384</v>
      </c>
      <c r="B769" s="16" t="s">
        <v>465</v>
      </c>
      <c r="C769" s="7">
        <f>Rankings!L393</f>
        <v>12.341032612975926</v>
      </c>
      <c r="D769" s="7">
        <f>Rankings!M393</f>
        <v>4.2363687435914494</v>
      </c>
      <c r="E769" s="7">
        <f>Rankings!N393</f>
        <v>3.6477786273456418</v>
      </c>
      <c r="F769" s="7">
        <f>Rankings!O393</f>
        <v>2.9737687818586505</v>
      </c>
      <c r="G769" s="7">
        <f>Rankings!P393</f>
        <v>1.5059827029565431</v>
      </c>
      <c r="H769" s="7">
        <f>Rankings!Q393</f>
        <v>1</v>
      </c>
      <c r="I769" s="7">
        <f>Rankings!R393</f>
        <v>25.704931468728212</v>
      </c>
      <c r="K769" s="7">
        <f>D769</f>
        <v>4.2363687435914494</v>
      </c>
      <c r="L769" s="7">
        <f>H769</f>
        <v>1</v>
      </c>
      <c r="M769" s="7">
        <f>G769</f>
        <v>1.5059827029565431</v>
      </c>
      <c r="N769" s="7">
        <f>C769</f>
        <v>12.341032612975926</v>
      </c>
      <c r="O769" s="7">
        <f>F769</f>
        <v>2.9737687818586505</v>
      </c>
      <c r="P769" s="7">
        <f>E769</f>
        <v>3.6477786273456418</v>
      </c>
      <c r="R769" s="7">
        <f t="shared" ref="R769:W769" si="657">K769/$I769</f>
        <v>0.16480762645663066</v>
      </c>
      <c r="S769" s="7">
        <f t="shared" si="657"/>
        <v>3.8903040889899577E-2</v>
      </c>
      <c r="T769" s="7">
        <f t="shared" si="657"/>
        <v>5.8587306672599884E-2</v>
      </c>
      <c r="U769" s="7">
        <f t="shared" si="657"/>
        <v>0.48010369636618666</v>
      </c>
      <c r="V769" s="7">
        <f t="shared" si="657"/>
        <v>0.11568864851775393</v>
      </c>
      <c r="W769" s="7">
        <f t="shared" si="657"/>
        <v>0.14190968109692925</v>
      </c>
      <c r="X769" s="7">
        <f>SUM(R769:W769)</f>
        <v>1</v>
      </c>
    </row>
    <row r="770" spans="1:24" ht="15.75" customHeight="1" x14ac:dyDescent="0.3">
      <c r="C770" t="s">
        <v>71</v>
      </c>
      <c r="D770" t="s">
        <v>69</v>
      </c>
      <c r="E770" t="s">
        <v>68</v>
      </c>
      <c r="F770" t="s">
        <v>70</v>
      </c>
      <c r="G770" t="s">
        <v>72</v>
      </c>
      <c r="H770" t="s">
        <v>73</v>
      </c>
      <c r="K770" t="s">
        <v>68</v>
      </c>
      <c r="L770" t="s">
        <v>69</v>
      </c>
      <c r="M770" t="s">
        <v>70</v>
      </c>
      <c r="N770" t="s">
        <v>71</v>
      </c>
      <c r="O770" t="s">
        <v>72</v>
      </c>
      <c r="P770" t="s">
        <v>73</v>
      </c>
    </row>
    <row r="771" spans="1:24" ht="15.75" customHeight="1" x14ac:dyDescent="0.3">
      <c r="A771">
        <v>385</v>
      </c>
      <c r="B771" s="16" t="s">
        <v>466</v>
      </c>
      <c r="C771" s="7">
        <f>Rankings!L394</f>
        <v>8.2321159686378955</v>
      </c>
      <c r="D771" s="7">
        <f>Rankings!M394</f>
        <v>5.7261491886096669</v>
      </c>
      <c r="E771" s="7">
        <f>Rankings!N394</f>
        <v>3.283324151673821</v>
      </c>
      <c r="F771" s="7">
        <f>Rankings!O394</f>
        <v>2.9630818503888054</v>
      </c>
      <c r="G771" s="7">
        <f>Rankings!P394</f>
        <v>1.3219359277692486</v>
      </c>
      <c r="H771" s="7">
        <f>Rankings!Q394</f>
        <v>1</v>
      </c>
      <c r="I771" s="7">
        <f>Rankings!R394</f>
        <v>22.526607087079437</v>
      </c>
      <c r="K771" s="7">
        <f>E771</f>
        <v>3.283324151673821</v>
      </c>
      <c r="L771" s="7">
        <f>D771</f>
        <v>5.7261491886096669</v>
      </c>
      <c r="M771" s="7">
        <f>F771</f>
        <v>2.9630818503888054</v>
      </c>
      <c r="N771" s="7">
        <f>C771</f>
        <v>8.2321159686378955</v>
      </c>
      <c r="O771" s="7">
        <f t="shared" ref="O771:P771" si="658">G771</f>
        <v>1.3219359277692486</v>
      </c>
      <c r="P771" s="7">
        <f t="shared" si="658"/>
        <v>1</v>
      </c>
      <c r="R771" s="7">
        <f t="shared" ref="R771:W771" si="659">K771/$I771</f>
        <v>0.1457531593187433</v>
      </c>
      <c r="S771" s="7">
        <f t="shared" si="659"/>
        <v>0.25419492453854753</v>
      </c>
      <c r="T771" s="7">
        <f t="shared" si="659"/>
        <v>0.13153697931227012</v>
      </c>
      <c r="U771" s="7">
        <f t="shared" si="659"/>
        <v>0.36543967481723344</v>
      </c>
      <c r="V771" s="7">
        <f t="shared" si="659"/>
        <v>5.8683312700360903E-2</v>
      </c>
      <c r="W771" s="7">
        <f t="shared" si="659"/>
        <v>4.4391949312844764E-2</v>
      </c>
      <c r="X771" s="7">
        <f>SUM(R771:W771)</f>
        <v>1</v>
      </c>
    </row>
    <row r="772" spans="1:24" ht="15.75" customHeight="1" x14ac:dyDescent="0.3">
      <c r="C772" t="s">
        <v>71</v>
      </c>
      <c r="D772" t="s">
        <v>69</v>
      </c>
      <c r="E772" t="s">
        <v>68</v>
      </c>
      <c r="F772" t="s">
        <v>70</v>
      </c>
      <c r="G772" t="s">
        <v>73</v>
      </c>
      <c r="H772" t="s">
        <v>72</v>
      </c>
      <c r="K772" t="s">
        <v>68</v>
      </c>
      <c r="L772" t="s">
        <v>69</v>
      </c>
      <c r="M772" t="s">
        <v>70</v>
      </c>
      <c r="N772" t="s">
        <v>71</v>
      </c>
      <c r="O772" t="s">
        <v>72</v>
      </c>
      <c r="P772" t="s">
        <v>73</v>
      </c>
    </row>
    <row r="773" spans="1:24" ht="15.75" customHeight="1" x14ac:dyDescent="0.3">
      <c r="A773">
        <v>386</v>
      </c>
      <c r="B773" s="16" t="s">
        <v>467</v>
      </c>
      <c r="C773" s="7">
        <f>Rankings!L395</f>
        <v>6.8654282307343157</v>
      </c>
      <c r="D773" s="7">
        <f>Rankings!M395</f>
        <v>4.7754995729709</v>
      </c>
      <c r="E773" s="7">
        <f>Rankings!N395</f>
        <v>2.7382299286635301</v>
      </c>
      <c r="F773" s="7">
        <f>Rankings!O395</f>
        <v>2.471153936987327</v>
      </c>
      <c r="G773" s="7">
        <f>Rankings!P395</f>
        <v>1.2266517321719024</v>
      </c>
      <c r="H773" s="7">
        <f>Rankings!Q395</f>
        <v>1</v>
      </c>
      <c r="I773" s="7">
        <f>Rankings!R395</f>
        <v>19.076963401527976</v>
      </c>
      <c r="K773" s="7">
        <f>E773</f>
        <v>2.7382299286635301</v>
      </c>
      <c r="L773" s="7">
        <f>D773</f>
        <v>4.7754995729709</v>
      </c>
      <c r="M773" s="7">
        <f>F773</f>
        <v>2.471153936987327</v>
      </c>
      <c r="N773" s="7">
        <f>C773</f>
        <v>6.8654282307343157</v>
      </c>
      <c r="O773" s="7">
        <f>H773</f>
        <v>1</v>
      </c>
      <c r="P773" s="7">
        <f>G773</f>
        <v>1.2266517321719024</v>
      </c>
      <c r="R773" s="7">
        <f t="shared" ref="R773:W773" si="660">K773/$I773</f>
        <v>0.14353594285578022</v>
      </c>
      <c r="S773" s="7">
        <f t="shared" si="660"/>
        <v>0.25032807750673802</v>
      </c>
      <c r="T773" s="7">
        <f t="shared" si="660"/>
        <v>0.12953602127209612</v>
      </c>
      <c r="U773" s="7">
        <f t="shared" si="660"/>
        <v>0.35988055783471423</v>
      </c>
      <c r="V773" s="7">
        <f t="shared" si="660"/>
        <v>5.2419244035447732E-2</v>
      </c>
      <c r="W773" s="7">
        <f t="shared" si="660"/>
        <v>6.4300156495223623E-2</v>
      </c>
      <c r="X773" s="7">
        <f>SUM(R773:W773)</f>
        <v>0.99999999999999978</v>
      </c>
    </row>
    <row r="774" spans="1:24" ht="15.75" customHeight="1" x14ac:dyDescent="0.3">
      <c r="C774" t="s">
        <v>71</v>
      </c>
      <c r="D774" t="s">
        <v>69</v>
      </c>
      <c r="E774" t="s">
        <v>68</v>
      </c>
      <c r="F774" t="s">
        <v>72</v>
      </c>
      <c r="G774" t="s">
        <v>70</v>
      </c>
      <c r="H774" t="s">
        <v>73</v>
      </c>
      <c r="K774" t="s">
        <v>68</v>
      </c>
      <c r="L774" t="s">
        <v>69</v>
      </c>
      <c r="M774" t="s">
        <v>70</v>
      </c>
      <c r="N774" t="s">
        <v>71</v>
      </c>
      <c r="O774" t="s">
        <v>72</v>
      </c>
      <c r="P774" t="s">
        <v>73</v>
      </c>
    </row>
    <row r="775" spans="1:24" ht="15.75" customHeight="1" x14ac:dyDescent="0.3">
      <c r="A775">
        <v>387</v>
      </c>
      <c r="B775" s="16" t="s">
        <v>468</v>
      </c>
      <c r="C775" s="7">
        <f>Rankings!L396</f>
        <v>10.818759093990939</v>
      </c>
      <c r="D775" s="7">
        <f>Rankings!M396</f>
        <v>7.525383369698817</v>
      </c>
      <c r="E775" s="7">
        <f>Rankings!N396</f>
        <v>4.3149893854469976</v>
      </c>
      <c r="F775" s="7">
        <f>Rankings!O396</f>
        <v>3.9780087838646128</v>
      </c>
      <c r="G775" s="7">
        <f>Rankings!P396</f>
        <v>2.0145521929129111</v>
      </c>
      <c r="H775" s="7">
        <f>Rankings!Q396</f>
        <v>1</v>
      </c>
      <c r="I775" s="7">
        <f>Rankings!R396</f>
        <v>29.651692825914282</v>
      </c>
      <c r="K775" s="7">
        <f>E775</f>
        <v>4.3149893854469976</v>
      </c>
      <c r="L775" s="7">
        <f>D775</f>
        <v>7.525383369698817</v>
      </c>
      <c r="M775" s="7">
        <f>G775</f>
        <v>2.0145521929129111</v>
      </c>
      <c r="N775" s="7">
        <f>C775</f>
        <v>10.818759093990939</v>
      </c>
      <c r="O775" s="7">
        <f>F775</f>
        <v>3.9780087838646128</v>
      </c>
      <c r="P775" s="7">
        <f>H775</f>
        <v>1</v>
      </c>
      <c r="R775" s="7">
        <f t="shared" ref="R775:W775" si="661">K775/$I775</f>
        <v>0.14552253089833325</v>
      </c>
      <c r="S775" s="7">
        <f t="shared" si="661"/>
        <v>0.25379270633486267</v>
      </c>
      <c r="T775" s="7">
        <f t="shared" si="661"/>
        <v>6.7940545746928843E-2</v>
      </c>
      <c r="U775" s="7">
        <f t="shared" si="661"/>
        <v>0.36486143160554452</v>
      </c>
      <c r="V775" s="7">
        <f t="shared" si="661"/>
        <v>0.1341578980741365</v>
      </c>
      <c r="W775" s="7">
        <f t="shared" si="661"/>
        <v>3.3724887340194076E-2</v>
      </c>
      <c r="X775" s="7">
        <f>SUM(R775:W775)</f>
        <v>0.99999999999999989</v>
      </c>
    </row>
    <row r="776" spans="1:24" ht="15.75" customHeight="1" x14ac:dyDescent="0.3">
      <c r="C776" t="s">
        <v>71</v>
      </c>
      <c r="D776" t="s">
        <v>69</v>
      </c>
      <c r="E776" t="s">
        <v>68</v>
      </c>
      <c r="F776" t="s">
        <v>72</v>
      </c>
      <c r="G776" t="s">
        <v>73</v>
      </c>
      <c r="H776" t="s">
        <v>70</v>
      </c>
      <c r="K776" t="s">
        <v>68</v>
      </c>
      <c r="L776" t="s">
        <v>69</v>
      </c>
      <c r="M776" t="s">
        <v>70</v>
      </c>
      <c r="N776" t="s">
        <v>71</v>
      </c>
      <c r="O776" t="s">
        <v>72</v>
      </c>
      <c r="P776" t="s">
        <v>73</v>
      </c>
    </row>
    <row r="777" spans="1:24" ht="15.75" customHeight="1" x14ac:dyDescent="0.3">
      <c r="A777">
        <v>388</v>
      </c>
      <c r="B777" s="16" t="s">
        <v>469</v>
      </c>
      <c r="C777" s="7">
        <f>Rankings!L397</f>
        <v>5.0449315988157313</v>
      </c>
      <c r="D777" s="7">
        <f>Rankings!M397</f>
        <v>3.5091865920263334</v>
      </c>
      <c r="E777" s="7">
        <f>Rankings!N397</f>
        <v>2.0121370769118134</v>
      </c>
      <c r="F777" s="7">
        <f>Rankings!O397</f>
        <v>1.8549985298435865</v>
      </c>
      <c r="G777" s="7">
        <f>Rankings!P397</f>
        <v>1.4032439022773779</v>
      </c>
      <c r="H777" s="7">
        <f>Rankings!Q397</f>
        <v>1</v>
      </c>
      <c r="I777" s="7">
        <f>Rankings!R397</f>
        <v>14.824497699874842</v>
      </c>
      <c r="K777" s="7">
        <f>E777</f>
        <v>2.0121370769118134</v>
      </c>
      <c r="L777" s="7">
        <f>D777</f>
        <v>3.5091865920263334</v>
      </c>
      <c r="M777" s="7">
        <f>H777</f>
        <v>1</v>
      </c>
      <c r="N777" s="7">
        <f>C777</f>
        <v>5.0449315988157313</v>
      </c>
      <c r="O777" s="7">
        <f t="shared" ref="O777:P777" si="662">F777</f>
        <v>1.8549985298435865</v>
      </c>
      <c r="P777" s="7">
        <f t="shared" si="662"/>
        <v>1.4032439022773779</v>
      </c>
      <c r="R777" s="7">
        <f t="shared" ref="R777:W777" si="663">K777/$I777</f>
        <v>0.13573053992438483</v>
      </c>
      <c r="S777" s="7">
        <f t="shared" si="663"/>
        <v>0.23671537903479592</v>
      </c>
      <c r="T777" s="7">
        <f t="shared" si="663"/>
        <v>6.7455911171171931E-2</v>
      </c>
      <c r="U777" s="7">
        <f t="shared" si="663"/>
        <v>0.34031045779435237</v>
      </c>
      <c r="V777" s="7">
        <f t="shared" si="663"/>
        <v>0.12513061605178349</v>
      </c>
      <c r="W777" s="7">
        <f t="shared" si="663"/>
        <v>9.4657096023511481E-2</v>
      </c>
      <c r="X777" s="7">
        <f>SUM(R777:W777)</f>
        <v>1.0000000000000002</v>
      </c>
    </row>
    <row r="778" spans="1:24" ht="15.75" customHeight="1" x14ac:dyDescent="0.3">
      <c r="C778" t="s">
        <v>71</v>
      </c>
      <c r="D778" t="s">
        <v>69</v>
      </c>
      <c r="E778" t="s">
        <v>68</v>
      </c>
      <c r="F778" t="s">
        <v>73</v>
      </c>
      <c r="G778" t="s">
        <v>70</v>
      </c>
      <c r="H778" t="s">
        <v>72</v>
      </c>
      <c r="K778" t="s">
        <v>68</v>
      </c>
      <c r="L778" t="s">
        <v>69</v>
      </c>
      <c r="M778" t="s">
        <v>70</v>
      </c>
      <c r="N778" t="s">
        <v>71</v>
      </c>
      <c r="O778" t="s">
        <v>72</v>
      </c>
      <c r="P778" t="s">
        <v>73</v>
      </c>
    </row>
    <row r="779" spans="1:24" ht="15.75" customHeight="1" x14ac:dyDescent="0.3">
      <c r="A779">
        <v>389</v>
      </c>
      <c r="B779" s="16" t="s">
        <v>470</v>
      </c>
      <c r="C779" s="7">
        <f>Rankings!L398</f>
        <v>9.1586066107362161</v>
      </c>
      <c r="D779" s="7">
        <f>Rankings!M398</f>
        <v>6.3706036227693899</v>
      </c>
      <c r="E779" s="7">
        <f>Rankings!N398</f>
        <v>3.6528487202161348</v>
      </c>
      <c r="F779" s="7">
        <f>Rankings!O398</f>
        <v>3.1453313667957521</v>
      </c>
      <c r="G779" s="7">
        <f>Rankings!P398</f>
        <v>2.2414716085286912</v>
      </c>
      <c r="H779" s="7">
        <f>Rankings!Q398</f>
        <v>1</v>
      </c>
      <c r="I779" s="7">
        <f>Rankings!R398</f>
        <v>25.568861929046182</v>
      </c>
      <c r="K779" s="7">
        <f>E779</f>
        <v>3.6528487202161348</v>
      </c>
      <c r="L779" s="7">
        <f>D779</f>
        <v>6.3706036227693899</v>
      </c>
      <c r="M779" s="7">
        <f>G779</f>
        <v>2.2414716085286912</v>
      </c>
      <c r="N779" s="7">
        <f>C779</f>
        <v>9.1586066107362161</v>
      </c>
      <c r="O779" s="7">
        <f>H779</f>
        <v>1</v>
      </c>
      <c r="P779" s="7">
        <f>F779</f>
        <v>3.1453313667957521</v>
      </c>
      <c r="R779" s="7">
        <f t="shared" ref="R779:W779" si="664">K779/$I779</f>
        <v>0.1428631720235661</v>
      </c>
      <c r="S779" s="7">
        <f t="shared" si="664"/>
        <v>0.24915475864541298</v>
      </c>
      <c r="T779" s="7">
        <f t="shared" si="664"/>
        <v>8.7664113277657593E-2</v>
      </c>
      <c r="U779" s="7">
        <f t="shared" si="664"/>
        <v>0.35819375286046873</v>
      </c>
      <c r="V779" s="7">
        <f t="shared" si="664"/>
        <v>3.9110070787468323E-2</v>
      </c>
      <c r="W779" s="7">
        <f t="shared" si="664"/>
        <v>0.12301413240542636</v>
      </c>
      <c r="X779" s="7">
        <f>SUM(R779:W779)</f>
        <v>1</v>
      </c>
    </row>
    <row r="780" spans="1:24" ht="15.75" customHeight="1" x14ac:dyDescent="0.3">
      <c r="C780" t="s">
        <v>71</v>
      </c>
      <c r="D780" t="s">
        <v>69</v>
      </c>
      <c r="E780" t="s">
        <v>68</v>
      </c>
      <c r="F780" t="s">
        <v>73</v>
      </c>
      <c r="G780" t="s">
        <v>72</v>
      </c>
      <c r="H780" t="s">
        <v>70</v>
      </c>
      <c r="K780" t="s">
        <v>68</v>
      </c>
      <c r="L780" t="s">
        <v>69</v>
      </c>
      <c r="M780" t="s">
        <v>70</v>
      </c>
      <c r="N780" t="s">
        <v>71</v>
      </c>
      <c r="O780" t="s">
        <v>72</v>
      </c>
      <c r="P780" t="s">
        <v>73</v>
      </c>
    </row>
    <row r="781" spans="1:24" ht="15.75" customHeight="1" x14ac:dyDescent="0.3">
      <c r="A781">
        <v>390</v>
      </c>
      <c r="B781" s="16" t="s">
        <v>471</v>
      </c>
      <c r="C781" s="7">
        <f>Rankings!L399</f>
        <v>7.0529611217864616</v>
      </c>
      <c r="D781" s="7">
        <f>Rankings!M399</f>
        <v>4.9059449306440568</v>
      </c>
      <c r="E781" s="7">
        <f>Rankings!N399</f>
        <v>2.8130261624350772</v>
      </c>
      <c r="F781" s="7">
        <f>Rankings!O399</f>
        <v>2.4221915830668759</v>
      </c>
      <c r="G781" s="7">
        <f>Rankings!P399</f>
        <v>1.9746367445127702</v>
      </c>
      <c r="H781" s="7">
        <f>Rankings!Q399</f>
        <v>1</v>
      </c>
      <c r="I781" s="7">
        <f>Rankings!R399</f>
        <v>20.168760542445241</v>
      </c>
      <c r="K781" s="7">
        <f>E781</f>
        <v>2.8130261624350772</v>
      </c>
      <c r="L781" s="7">
        <f>D781</f>
        <v>4.9059449306440568</v>
      </c>
      <c r="M781" s="7">
        <f>H781</f>
        <v>1</v>
      </c>
      <c r="N781" s="7">
        <f>C781</f>
        <v>7.0529611217864616</v>
      </c>
      <c r="O781" s="7">
        <f>G781</f>
        <v>1.9746367445127702</v>
      </c>
      <c r="P781" s="7">
        <f>F781</f>
        <v>2.4221915830668759</v>
      </c>
      <c r="R781" s="7">
        <f t="shared" ref="R781:W781" si="665">K781/$I781</f>
        <v>0.13947441918976883</v>
      </c>
      <c r="S781" s="7">
        <f t="shared" si="665"/>
        <v>0.24324474081188455</v>
      </c>
      <c r="T781" s="7">
        <f t="shared" si="665"/>
        <v>4.958162887082207E-2</v>
      </c>
      <c r="U781" s="7">
        <f t="shared" si="665"/>
        <v>0.34969730078075323</v>
      </c>
      <c r="V781" s="7">
        <f t="shared" si="665"/>
        <v>9.7905706221120464E-2</v>
      </c>
      <c r="W781" s="7">
        <f t="shared" si="665"/>
        <v>0.12009620412565084</v>
      </c>
      <c r="X781" s="7">
        <f>SUM(R781:W781)</f>
        <v>1</v>
      </c>
    </row>
    <row r="782" spans="1:24" ht="15.75" customHeight="1" x14ac:dyDescent="0.3">
      <c r="C782" t="s">
        <v>71</v>
      </c>
      <c r="D782" t="s">
        <v>69</v>
      </c>
      <c r="E782" t="s">
        <v>70</v>
      </c>
      <c r="F782" t="s">
        <v>68</v>
      </c>
      <c r="G782" t="s">
        <v>72</v>
      </c>
      <c r="H782" t="s">
        <v>73</v>
      </c>
      <c r="K782" t="s">
        <v>68</v>
      </c>
      <c r="L782" t="s">
        <v>69</v>
      </c>
      <c r="M782" t="s">
        <v>70</v>
      </c>
      <c r="N782" t="s">
        <v>71</v>
      </c>
      <c r="O782" t="s">
        <v>72</v>
      </c>
      <c r="P782" t="s">
        <v>73</v>
      </c>
    </row>
    <row r="783" spans="1:24" ht="15.75" customHeight="1" x14ac:dyDescent="0.3">
      <c r="A783">
        <v>391</v>
      </c>
      <c r="B783" s="16" t="s">
        <v>472</v>
      </c>
      <c r="C783" s="7">
        <f>Rankings!L400</f>
        <v>4.7726370104308327</v>
      </c>
      <c r="D783" s="7">
        <f>Rankings!M400</f>
        <v>3.31978213729281</v>
      </c>
      <c r="E783" s="7">
        <f>Rankings!N400</f>
        <v>2.4407933532450623</v>
      </c>
      <c r="F783" s="7">
        <f>Rankings!O400</f>
        <v>1.4339182758223568</v>
      </c>
      <c r="G783" s="7">
        <f>Rankings!P400</f>
        <v>1.3219359277692486</v>
      </c>
      <c r="H783" s="7">
        <f>Rankings!Q400</f>
        <v>1</v>
      </c>
      <c r="I783" s="7">
        <f>Rankings!R400</f>
        <v>14.289066704560311</v>
      </c>
      <c r="K783" s="7">
        <f>F783</f>
        <v>1.4339182758223568</v>
      </c>
      <c r="L783" s="7">
        <f t="shared" ref="L783:M783" si="666">D783</f>
        <v>3.31978213729281</v>
      </c>
      <c r="M783" s="7">
        <f t="shared" si="666"/>
        <v>2.4407933532450623</v>
      </c>
      <c r="N783" s="7">
        <f>C783</f>
        <v>4.7726370104308327</v>
      </c>
      <c r="O783" s="7">
        <f t="shared" ref="O783:P783" si="667">G783</f>
        <v>1.3219359277692486</v>
      </c>
      <c r="P783" s="7">
        <f t="shared" si="667"/>
        <v>1</v>
      </c>
      <c r="R783" s="7">
        <f t="shared" ref="R783:W783" si="668">K783/$I783</f>
        <v>0.10035073007005603</v>
      </c>
      <c r="S783" s="7">
        <f t="shared" si="668"/>
        <v>0.23233022883386162</v>
      </c>
      <c r="T783" s="7">
        <f t="shared" si="668"/>
        <v>0.17081544958188843</v>
      </c>
      <c r="U783" s="7">
        <f t="shared" si="668"/>
        <v>0.33400620972030737</v>
      </c>
      <c r="V783" s="7">
        <f t="shared" si="668"/>
        <v>9.2513804792258195E-2</v>
      </c>
      <c r="W783" s="7">
        <f t="shared" si="668"/>
        <v>6.9983577001628328E-2</v>
      </c>
      <c r="X783" s="7">
        <f>SUM(R783:W783)</f>
        <v>1</v>
      </c>
    </row>
    <row r="784" spans="1:24" ht="15.75" customHeight="1" x14ac:dyDescent="0.3">
      <c r="C784" t="s">
        <v>71</v>
      </c>
      <c r="D784" t="s">
        <v>69</v>
      </c>
      <c r="E784" t="s">
        <v>70</v>
      </c>
      <c r="F784" t="s">
        <v>68</v>
      </c>
      <c r="G784" t="s">
        <v>73</v>
      </c>
      <c r="H784" t="s">
        <v>72</v>
      </c>
      <c r="K784" t="s">
        <v>68</v>
      </c>
      <c r="L784" t="s">
        <v>69</v>
      </c>
      <c r="M784" t="s">
        <v>70</v>
      </c>
      <c r="N784" t="s">
        <v>71</v>
      </c>
      <c r="O784" t="s">
        <v>72</v>
      </c>
      <c r="P784" t="s">
        <v>73</v>
      </c>
    </row>
    <row r="785" spans="1:24" ht="15.75" customHeight="1" x14ac:dyDescent="0.3">
      <c r="A785">
        <v>392</v>
      </c>
      <c r="B785" s="16" t="s">
        <v>473</v>
      </c>
      <c r="C785" s="7">
        <f>Rankings!L401</f>
        <v>4.7415524810557743</v>
      </c>
      <c r="D785" s="7">
        <f>Rankings!M401</f>
        <v>3.2981601565848826</v>
      </c>
      <c r="E785" s="7">
        <f>Rankings!N401</f>
        <v>2.4248962899398965</v>
      </c>
      <c r="F785" s="7">
        <f>Rankings!O401</f>
        <v>1.4245790625805328</v>
      </c>
      <c r="G785" s="7">
        <f>Rankings!P401</f>
        <v>1.2266517321719024</v>
      </c>
      <c r="H785" s="7">
        <f>Rankings!Q401</f>
        <v>1</v>
      </c>
      <c r="I785" s="7">
        <f>Rankings!R401</f>
        <v>14.115839722332987</v>
      </c>
      <c r="K785" s="7">
        <f>F785</f>
        <v>1.4245790625805328</v>
      </c>
      <c r="L785" s="7">
        <f t="shared" ref="L785:M785" si="669">D785</f>
        <v>3.2981601565848826</v>
      </c>
      <c r="M785" s="7">
        <f t="shared" si="669"/>
        <v>2.4248962899398965</v>
      </c>
      <c r="N785" s="7">
        <f>C785</f>
        <v>4.7415524810557743</v>
      </c>
      <c r="O785" s="7">
        <f>H785</f>
        <v>1</v>
      </c>
      <c r="P785" s="7">
        <f>G785</f>
        <v>1.2266517321719024</v>
      </c>
      <c r="R785" s="7">
        <f t="shared" ref="R785:W785" si="670">K785/$I785</f>
        <v>0.10092060342160689</v>
      </c>
      <c r="S785" s="7">
        <f t="shared" si="670"/>
        <v>0.2336495895009908</v>
      </c>
      <c r="T785" s="7">
        <f t="shared" si="670"/>
        <v>0.17178547912409445</v>
      </c>
      <c r="U785" s="7">
        <f t="shared" si="670"/>
        <v>0.33590296959479199</v>
      </c>
      <c r="V785" s="7">
        <f t="shared" si="670"/>
        <v>7.0842402554194314E-2</v>
      </c>
      <c r="W785" s="7">
        <f t="shared" si="670"/>
        <v>8.6898955804321651E-2</v>
      </c>
      <c r="X785" s="7">
        <f>SUM(R785:W785)</f>
        <v>1</v>
      </c>
    </row>
    <row r="786" spans="1:24" ht="15.75" customHeight="1" x14ac:dyDescent="0.3">
      <c r="C786" t="s">
        <v>71</v>
      </c>
      <c r="D786" t="s">
        <v>69</v>
      </c>
      <c r="E786" t="s">
        <v>70</v>
      </c>
      <c r="F786" t="s">
        <v>72</v>
      </c>
      <c r="G786" t="s">
        <v>68</v>
      </c>
      <c r="H786" t="s">
        <v>73</v>
      </c>
      <c r="K786" t="s">
        <v>68</v>
      </c>
      <c r="L786" t="s">
        <v>69</v>
      </c>
      <c r="M786" t="s">
        <v>70</v>
      </c>
      <c r="N786" t="s">
        <v>71</v>
      </c>
      <c r="O786" t="s">
        <v>72</v>
      </c>
      <c r="P786" t="s">
        <v>73</v>
      </c>
    </row>
    <row r="787" spans="1:24" ht="15.75" customHeight="1" x14ac:dyDescent="0.3">
      <c r="A787">
        <v>393</v>
      </c>
      <c r="B787" s="16" t="s">
        <v>474</v>
      </c>
      <c r="C787" s="7">
        <f>Rankings!L402</f>
        <v>7.7906067789131184</v>
      </c>
      <c r="D787" s="7">
        <f>Rankings!M402</f>
        <v>5.4190413322410507</v>
      </c>
      <c r="E787" s="7">
        <f>Rankings!N402</f>
        <v>3.9842253249426416</v>
      </c>
      <c r="F787" s="7">
        <f>Rankings!O402</f>
        <v>1.7775042564817045</v>
      </c>
      <c r="G787" s="7">
        <f>Rankings!P402</f>
        <v>1.1613557664474019</v>
      </c>
      <c r="H787" s="7">
        <f>Rankings!Q402</f>
        <v>1</v>
      </c>
      <c r="I787" s="7">
        <f>Rankings!R402</f>
        <v>21.132733459025921</v>
      </c>
      <c r="K787" s="7">
        <f>G787</f>
        <v>1.1613557664474019</v>
      </c>
      <c r="L787" s="7">
        <f t="shared" ref="L787:M787" si="671">D787</f>
        <v>5.4190413322410507</v>
      </c>
      <c r="M787" s="7">
        <f t="shared" si="671"/>
        <v>3.9842253249426416</v>
      </c>
      <c r="N787" s="7">
        <f>C787</f>
        <v>7.7906067789131184</v>
      </c>
      <c r="O787" s="7">
        <f>F787</f>
        <v>1.7775042564817045</v>
      </c>
      <c r="P787" s="7">
        <f>H787</f>
        <v>1</v>
      </c>
      <c r="R787" s="7">
        <f t="shared" ref="R787:W787" si="672">K787/$I787</f>
        <v>5.4955302810170997E-2</v>
      </c>
      <c r="S787" s="7">
        <f t="shared" si="672"/>
        <v>0.25642879293149579</v>
      </c>
      <c r="T787" s="7">
        <f t="shared" si="672"/>
        <v>0.18853336378219232</v>
      </c>
      <c r="U787" s="7">
        <f t="shared" si="672"/>
        <v>0.3686511635618866</v>
      </c>
      <c r="V787" s="7">
        <f t="shared" si="672"/>
        <v>8.4111421739553591E-2</v>
      </c>
      <c r="W787" s="7">
        <f t="shared" si="672"/>
        <v>4.7319955174700501E-2</v>
      </c>
      <c r="X787" s="7">
        <f>SUM(R787:W787)</f>
        <v>0.99999999999999978</v>
      </c>
    </row>
    <row r="788" spans="1:24" ht="15.75" customHeight="1" x14ac:dyDescent="0.3">
      <c r="C788" t="s">
        <v>71</v>
      </c>
      <c r="D788" t="s">
        <v>69</v>
      </c>
      <c r="E788" t="s">
        <v>70</v>
      </c>
      <c r="F788" t="s">
        <v>72</v>
      </c>
      <c r="G788" t="s">
        <v>73</v>
      </c>
      <c r="H788" t="s">
        <v>68</v>
      </c>
      <c r="K788" t="s">
        <v>68</v>
      </c>
      <c r="L788" t="s">
        <v>69</v>
      </c>
      <c r="M788" t="s">
        <v>70</v>
      </c>
      <c r="N788" t="s">
        <v>71</v>
      </c>
      <c r="O788" t="s">
        <v>72</v>
      </c>
      <c r="P788" t="s">
        <v>73</v>
      </c>
    </row>
    <row r="789" spans="1:24" ht="15.75" customHeight="1" x14ac:dyDescent="0.3">
      <c r="A789">
        <v>394</v>
      </c>
      <c r="B789" s="16" t="s">
        <v>475</v>
      </c>
      <c r="C789" s="7">
        <f>Rankings!L403</f>
        <v>9.5005687725457371</v>
      </c>
      <c r="D789" s="7">
        <f>Rankings!M403</f>
        <v>6.6084679049103014</v>
      </c>
      <c r="E789" s="7">
        <f>Rankings!N403</f>
        <v>4.8587238169164539</v>
      </c>
      <c r="F789" s="7">
        <f>Rankings!O403</f>
        <v>2.1676490562848283</v>
      </c>
      <c r="G789" s="7">
        <f>Rankings!P403</f>
        <v>1.6397534939100344</v>
      </c>
      <c r="H789" s="7">
        <f>Rankings!Q403</f>
        <v>1</v>
      </c>
      <c r="I789" s="7">
        <f>Rankings!R403</f>
        <v>25.775163044567357</v>
      </c>
      <c r="K789" s="7">
        <f>H789</f>
        <v>1</v>
      </c>
      <c r="L789" s="7">
        <f t="shared" ref="L789:M789" si="673">D789</f>
        <v>6.6084679049103014</v>
      </c>
      <c r="M789" s="7">
        <f t="shared" si="673"/>
        <v>4.8587238169164539</v>
      </c>
      <c r="N789" s="7">
        <f>C789</f>
        <v>9.5005687725457371</v>
      </c>
      <c r="O789" s="7">
        <f t="shared" ref="O789:P789" si="674">F789</f>
        <v>2.1676490562848283</v>
      </c>
      <c r="P789" s="7">
        <f t="shared" si="674"/>
        <v>1.6397534939100344</v>
      </c>
      <c r="R789" s="7">
        <f t="shared" ref="R789:W789" si="675">K789/$I789</f>
        <v>3.8797038772205576E-2</v>
      </c>
      <c r="S789" s="7">
        <f t="shared" si="675"/>
        <v>0.2563889855316811</v>
      </c>
      <c r="T789" s="7">
        <f t="shared" si="675"/>
        <v>0.18850409630834633</v>
      </c>
      <c r="U789" s="7">
        <f t="shared" si="675"/>
        <v>0.36859393502646248</v>
      </c>
      <c r="V789" s="7">
        <f t="shared" si="675"/>
        <v>8.4098364481217311E-2</v>
      </c>
      <c r="W789" s="7">
        <f t="shared" si="675"/>
        <v>6.3617579880087163E-2</v>
      </c>
      <c r="X789" s="7">
        <f>SUM(R789:W789)</f>
        <v>1</v>
      </c>
    </row>
    <row r="790" spans="1:24" ht="15.75" customHeight="1" x14ac:dyDescent="0.3">
      <c r="C790" t="s">
        <v>71</v>
      </c>
      <c r="D790" t="s">
        <v>69</v>
      </c>
      <c r="E790" t="s">
        <v>70</v>
      </c>
      <c r="F790" t="s">
        <v>73</v>
      </c>
      <c r="G790" t="s">
        <v>68</v>
      </c>
      <c r="H790" t="s">
        <v>72</v>
      </c>
      <c r="K790" t="s">
        <v>68</v>
      </c>
      <c r="L790" t="s">
        <v>69</v>
      </c>
      <c r="M790" t="s">
        <v>70</v>
      </c>
      <c r="N790" t="s">
        <v>71</v>
      </c>
      <c r="O790" t="s">
        <v>72</v>
      </c>
      <c r="P790" t="s">
        <v>73</v>
      </c>
    </row>
    <row r="791" spans="1:24" ht="15.75" customHeight="1" x14ac:dyDescent="0.3">
      <c r="A791">
        <v>395</v>
      </c>
      <c r="B791" s="16" t="s">
        <v>476</v>
      </c>
      <c r="C791" s="7">
        <f>Rankings!L404</f>
        <v>7.0064572297566405</v>
      </c>
      <c r="D791" s="7">
        <f>Rankings!M404</f>
        <v>4.873597448583765</v>
      </c>
      <c r="E791" s="7">
        <f>Rankings!N404</f>
        <v>3.5832002724720224</v>
      </c>
      <c r="F791" s="7">
        <f>Rankings!O404</f>
        <v>1.7786584458211274</v>
      </c>
      <c r="G791" s="7">
        <f>Rankings!P404</f>
        <v>1.0847108741813811</v>
      </c>
      <c r="H791" s="7">
        <f>Rankings!Q404</f>
        <v>1</v>
      </c>
      <c r="I791" s="7">
        <f>Rankings!R404</f>
        <v>19.326624270814936</v>
      </c>
      <c r="K791" s="7">
        <f>G791</f>
        <v>1.0847108741813811</v>
      </c>
      <c r="L791" s="7">
        <f t="shared" ref="L791:M791" si="676">D791</f>
        <v>4.873597448583765</v>
      </c>
      <c r="M791" s="7">
        <f t="shared" si="676"/>
        <v>3.5832002724720224</v>
      </c>
      <c r="N791" s="7">
        <f>C791</f>
        <v>7.0064572297566405</v>
      </c>
      <c r="O791" s="7">
        <f>H791</f>
        <v>1</v>
      </c>
      <c r="P791" s="7">
        <f>F791</f>
        <v>1.7786584458211274</v>
      </c>
      <c r="R791" s="7">
        <f t="shared" ref="R791:W791" si="677">K791/$I791</f>
        <v>5.6125211468999223E-2</v>
      </c>
      <c r="S791" s="7">
        <f t="shared" si="677"/>
        <v>0.25217013485088374</v>
      </c>
      <c r="T791" s="7">
        <f t="shared" si="677"/>
        <v>0.18540228351637178</v>
      </c>
      <c r="U791" s="7">
        <f t="shared" si="677"/>
        <v>0.36252876506411241</v>
      </c>
      <c r="V791" s="7">
        <f t="shared" si="677"/>
        <v>5.1742093496901904E-2</v>
      </c>
      <c r="W791" s="7">
        <f t="shared" si="677"/>
        <v>9.2031511602731E-2</v>
      </c>
      <c r="X791" s="7">
        <f>SUM(R791:W791)</f>
        <v>1.0000000000000002</v>
      </c>
    </row>
    <row r="792" spans="1:24" ht="15.75" customHeight="1" x14ac:dyDescent="0.3">
      <c r="C792" t="s">
        <v>71</v>
      </c>
      <c r="D792" t="s">
        <v>69</v>
      </c>
      <c r="E792" t="s">
        <v>70</v>
      </c>
      <c r="F792" t="s">
        <v>73</v>
      </c>
      <c r="G792" t="s">
        <v>72</v>
      </c>
      <c r="H792" t="s">
        <v>68</v>
      </c>
      <c r="K792" t="s">
        <v>68</v>
      </c>
      <c r="L792" t="s">
        <v>69</v>
      </c>
      <c r="M792" t="s">
        <v>70</v>
      </c>
      <c r="N792" t="s">
        <v>71</v>
      </c>
      <c r="O792" t="s">
        <v>72</v>
      </c>
      <c r="P792" t="s">
        <v>73</v>
      </c>
    </row>
    <row r="793" spans="1:24" ht="15.75" customHeight="1" x14ac:dyDescent="0.3">
      <c r="A793">
        <v>396</v>
      </c>
      <c r="B793" s="16" t="s">
        <v>477</v>
      </c>
      <c r="C793" s="7">
        <f>Rankings!L405</f>
        <v>7.3955854864560191</v>
      </c>
      <c r="D793" s="7">
        <f>Rankings!M405</f>
        <v>5.1442698321912239</v>
      </c>
      <c r="E793" s="7">
        <f>Rankings!N405</f>
        <v>3.7822059082318527</v>
      </c>
      <c r="F793" s="7">
        <f>Rankings!O405</f>
        <v>1.8774425013844043</v>
      </c>
      <c r="G793" s="7">
        <f>Rankings!P405</f>
        <v>1.530542412441888</v>
      </c>
      <c r="H793" s="7">
        <f>Rankings!Q405</f>
        <v>1</v>
      </c>
      <c r="I793" s="7">
        <f>Rankings!R405</f>
        <v>20.73004614070539</v>
      </c>
      <c r="K793" s="7">
        <f>H793</f>
        <v>1</v>
      </c>
      <c r="L793" s="7">
        <f t="shared" ref="L793:M793" si="678">D793</f>
        <v>5.1442698321912239</v>
      </c>
      <c r="M793" s="7">
        <f t="shared" si="678"/>
        <v>3.7822059082318527</v>
      </c>
      <c r="N793" s="7">
        <f>C793</f>
        <v>7.3955854864560191</v>
      </c>
      <c r="O793" s="7">
        <f>G793</f>
        <v>1.530542412441888</v>
      </c>
      <c r="P793" s="7">
        <f>F793</f>
        <v>1.8774425013844043</v>
      </c>
      <c r="R793" s="7">
        <f t="shared" ref="R793:W793" si="679">K793/$I793</f>
        <v>4.8239159392723503E-2</v>
      </c>
      <c r="S793" s="7">
        <f t="shared" si="679"/>
        <v>0.24815525239425143</v>
      </c>
      <c r="T793" s="7">
        <f t="shared" si="679"/>
        <v>0.18245043366329688</v>
      </c>
      <c r="U793" s="7">
        <f t="shared" si="679"/>
        <v>0.35675682708366446</v>
      </c>
      <c r="V793" s="7">
        <f t="shared" si="679"/>
        <v>7.3832079391107794E-2</v>
      </c>
      <c r="W793" s="7">
        <f t="shared" si="679"/>
        <v>9.0566248074955794E-2</v>
      </c>
      <c r="X793" s="7">
        <f>SUM(R793:W793)</f>
        <v>1</v>
      </c>
    </row>
    <row r="794" spans="1:24" ht="15.75" customHeight="1" x14ac:dyDescent="0.3">
      <c r="C794" t="s">
        <v>71</v>
      </c>
      <c r="D794" t="s">
        <v>69</v>
      </c>
      <c r="E794" t="s">
        <v>72</v>
      </c>
      <c r="F794" t="s">
        <v>68</v>
      </c>
      <c r="G794" t="s">
        <v>70</v>
      </c>
      <c r="H794" t="s">
        <v>73</v>
      </c>
      <c r="K794" t="s">
        <v>68</v>
      </c>
      <c r="L794" t="s">
        <v>69</v>
      </c>
      <c r="M794" t="s">
        <v>70</v>
      </c>
      <c r="N794" t="s">
        <v>71</v>
      </c>
      <c r="O794" t="s">
        <v>72</v>
      </c>
      <c r="P794" t="s">
        <v>73</v>
      </c>
    </row>
    <row r="795" spans="1:24" ht="15.75" customHeight="1" x14ac:dyDescent="0.3">
      <c r="A795">
        <v>397</v>
      </c>
      <c r="B795" s="16" t="s">
        <v>478</v>
      </c>
      <c r="C795" s="7">
        <f>Rankings!L406</f>
        <v>8.837227234077714</v>
      </c>
      <c r="D795" s="7">
        <f>Rankings!M406</f>
        <v>6.1470564492480397</v>
      </c>
      <c r="E795" s="7">
        <f>Rankings!N406</f>
        <v>3.4165989668613914</v>
      </c>
      <c r="F795" s="7">
        <f>Rankings!O406</f>
        <v>2.2322798369307613</v>
      </c>
      <c r="G795" s="7">
        <f>Rankings!P406</f>
        <v>2.0145521929129111</v>
      </c>
      <c r="H795" s="7">
        <f>Rankings!Q406</f>
        <v>1</v>
      </c>
      <c r="I795" s="7">
        <f>Rankings!R406</f>
        <v>23.647714680030816</v>
      </c>
      <c r="K795" s="7">
        <f>F795</f>
        <v>2.2322798369307613</v>
      </c>
      <c r="L795" s="7">
        <f>D795</f>
        <v>6.1470564492480397</v>
      </c>
      <c r="M795" s="7">
        <f>G795</f>
        <v>2.0145521929129111</v>
      </c>
      <c r="N795" s="7">
        <f>C795</f>
        <v>8.837227234077714</v>
      </c>
      <c r="O795" s="7">
        <f>E795</f>
        <v>3.4165989668613914</v>
      </c>
      <c r="P795" s="7">
        <f>H795</f>
        <v>1</v>
      </c>
      <c r="R795" s="7">
        <f t="shared" ref="R795:W795" si="680">K795/$I795</f>
        <v>9.4397275471857653E-2</v>
      </c>
      <c r="S795" s="7">
        <f t="shared" si="680"/>
        <v>0.25994293877534341</v>
      </c>
      <c r="T795" s="7">
        <f t="shared" si="680"/>
        <v>8.5190142902649646E-2</v>
      </c>
      <c r="U795" s="7">
        <f t="shared" si="680"/>
        <v>0.37370322475770829</v>
      </c>
      <c r="V795" s="7">
        <f t="shared" si="680"/>
        <v>0.14447903372863846</v>
      </c>
      <c r="W795" s="7">
        <f t="shared" si="680"/>
        <v>4.2287384363802583E-2</v>
      </c>
      <c r="X795" s="7">
        <f>SUM(R795:W795)</f>
        <v>1</v>
      </c>
    </row>
    <row r="796" spans="1:24" ht="15.75" customHeight="1" x14ac:dyDescent="0.3">
      <c r="C796" t="s">
        <v>71</v>
      </c>
      <c r="D796" t="s">
        <v>69</v>
      </c>
      <c r="E796" t="s">
        <v>72</v>
      </c>
      <c r="F796" t="s">
        <v>68</v>
      </c>
      <c r="G796" t="s">
        <v>73</v>
      </c>
      <c r="H796" t="s">
        <v>70</v>
      </c>
      <c r="K796" t="s">
        <v>68</v>
      </c>
      <c r="L796" t="s">
        <v>69</v>
      </c>
      <c r="M796" t="s">
        <v>70</v>
      </c>
      <c r="N796" t="s">
        <v>71</v>
      </c>
      <c r="O796" t="s">
        <v>72</v>
      </c>
      <c r="P796" t="s">
        <v>73</v>
      </c>
    </row>
    <row r="797" spans="1:24" ht="15.75" customHeight="1" x14ac:dyDescent="0.3">
      <c r="A797">
        <v>398</v>
      </c>
      <c r="B797" s="16" t="s">
        <v>479</v>
      </c>
      <c r="C797" s="7">
        <f>Rankings!L407</f>
        <v>6.4515761851243898</v>
      </c>
      <c r="D797" s="7">
        <f>Rankings!M407</f>
        <v>4.4876296542037304</v>
      </c>
      <c r="E797" s="7">
        <f>Rankings!N407</f>
        <v>2.4942720091800363</v>
      </c>
      <c r="F797" s="7">
        <f>Rankings!O407</f>
        <v>1.6296653976419875</v>
      </c>
      <c r="G797" s="7">
        <f>Rankings!P407</f>
        <v>1.4032439022773779</v>
      </c>
      <c r="H797" s="7">
        <f>Rankings!Q407</f>
        <v>1</v>
      </c>
      <c r="I797" s="7">
        <f>Rankings!R407</f>
        <v>17.466387148427522</v>
      </c>
      <c r="K797" s="7">
        <f>F797</f>
        <v>1.6296653976419875</v>
      </c>
      <c r="L797" s="7">
        <f>D797</f>
        <v>4.4876296542037304</v>
      </c>
      <c r="M797" s="7">
        <f>H797</f>
        <v>1</v>
      </c>
      <c r="N797" s="7">
        <f>C797</f>
        <v>6.4515761851243898</v>
      </c>
      <c r="O797" s="7">
        <f>E797</f>
        <v>2.4942720091800363</v>
      </c>
      <c r="P797" s="7">
        <f>G797</f>
        <v>1.4032439022773779</v>
      </c>
      <c r="R797" s="7">
        <f t="shared" ref="R797:W797" si="681">K797/$I797</f>
        <v>9.3302947186115953E-2</v>
      </c>
      <c r="S797" s="7">
        <f t="shared" si="681"/>
        <v>0.25692947351208495</v>
      </c>
      <c r="T797" s="7">
        <f t="shared" si="681"/>
        <v>5.7252824611186338E-2</v>
      </c>
      <c r="U797" s="7">
        <f t="shared" si="681"/>
        <v>0.36937095979263335</v>
      </c>
      <c r="V797" s="7">
        <f t="shared" si="681"/>
        <v>0.14280411787417599</v>
      </c>
      <c r="W797" s="7">
        <f t="shared" si="681"/>
        <v>8.0339677023803416E-2</v>
      </c>
      <c r="X797" s="7">
        <f>SUM(R797:W797)</f>
        <v>1.0000000000000002</v>
      </c>
    </row>
    <row r="798" spans="1:24" ht="15.75" customHeight="1" x14ac:dyDescent="0.3">
      <c r="C798" t="s">
        <v>71</v>
      </c>
      <c r="D798" t="s">
        <v>69</v>
      </c>
      <c r="E798" t="s">
        <v>72</v>
      </c>
      <c r="F798" t="s">
        <v>70</v>
      </c>
      <c r="G798" t="s">
        <v>68</v>
      </c>
      <c r="H798" t="s">
        <v>73</v>
      </c>
      <c r="K798" t="s">
        <v>68</v>
      </c>
      <c r="L798" t="s">
        <v>69</v>
      </c>
      <c r="M798" t="s">
        <v>70</v>
      </c>
      <c r="N798" t="s">
        <v>71</v>
      </c>
      <c r="O798" t="s">
        <v>72</v>
      </c>
      <c r="P798" t="s">
        <v>73</v>
      </c>
    </row>
    <row r="799" spans="1:24" ht="15.75" customHeight="1" x14ac:dyDescent="0.3">
      <c r="A799">
        <v>399</v>
      </c>
      <c r="B799" s="16" t="s">
        <v>480</v>
      </c>
      <c r="C799" s="7">
        <f>Rankings!L408</f>
        <v>10.096738859089072</v>
      </c>
      <c r="D799" s="7">
        <f>Rankings!M408</f>
        <v>7.0231558017206668</v>
      </c>
      <c r="E799" s="7">
        <f>Rankings!N408</f>
        <v>3.9035442498987831</v>
      </c>
      <c r="F799" s="7">
        <f>Rankings!O408</f>
        <v>1.9768416954390056</v>
      </c>
      <c r="G799" s="7">
        <f>Rankings!P408</f>
        <v>1.1613557664474019</v>
      </c>
      <c r="H799" s="7">
        <f>Rankings!Q408</f>
        <v>1</v>
      </c>
      <c r="I799" s="7">
        <f>Rankings!R408</f>
        <v>25.161636372594927</v>
      </c>
      <c r="K799" s="7">
        <f>G799</f>
        <v>1.1613557664474019</v>
      </c>
      <c r="L799" s="7">
        <f>D799</f>
        <v>7.0231558017206668</v>
      </c>
      <c r="M799" s="7">
        <f>F799</f>
        <v>1.9768416954390056</v>
      </c>
      <c r="N799" s="7">
        <f>C799</f>
        <v>10.096738859089072</v>
      </c>
      <c r="O799" s="7">
        <f>E799</f>
        <v>3.9035442498987831</v>
      </c>
      <c r="P799" s="7">
        <f>H799</f>
        <v>1</v>
      </c>
      <c r="R799" s="7">
        <f t="shared" ref="R799:W799" si="682">K799/$I799</f>
        <v>4.6155812334697968E-2</v>
      </c>
      <c r="S799" s="7">
        <f t="shared" si="682"/>
        <v>0.27912158405444626</v>
      </c>
      <c r="T799" s="7">
        <f t="shared" si="682"/>
        <v>7.856570479621526E-2</v>
      </c>
      <c r="U799" s="7">
        <f t="shared" si="682"/>
        <v>0.40127512811869603</v>
      </c>
      <c r="V799" s="7">
        <f t="shared" si="682"/>
        <v>0.15513872754914984</v>
      </c>
      <c r="W799" s="7">
        <f t="shared" si="682"/>
        <v>3.9743043146794735E-2</v>
      </c>
      <c r="X799" s="7">
        <f>SUM(R799:W799)</f>
        <v>1</v>
      </c>
    </row>
    <row r="800" spans="1:24" ht="15.75" customHeight="1" x14ac:dyDescent="0.3">
      <c r="C800" t="s">
        <v>71</v>
      </c>
      <c r="D800" t="s">
        <v>69</v>
      </c>
      <c r="E800" t="s">
        <v>72</v>
      </c>
      <c r="F800" t="s">
        <v>70</v>
      </c>
      <c r="G800" t="s">
        <v>73</v>
      </c>
      <c r="H800" t="s">
        <v>68</v>
      </c>
      <c r="K800" t="s">
        <v>68</v>
      </c>
      <c r="L800" t="s">
        <v>69</v>
      </c>
      <c r="M800" t="s">
        <v>70</v>
      </c>
      <c r="N800" t="s">
        <v>71</v>
      </c>
      <c r="O800" t="s">
        <v>72</v>
      </c>
      <c r="P800" t="s">
        <v>73</v>
      </c>
    </row>
    <row r="801" spans="1:24" ht="15.75" customHeight="1" x14ac:dyDescent="0.3">
      <c r="A801">
        <v>400</v>
      </c>
      <c r="B801" s="16" t="s">
        <v>481</v>
      </c>
      <c r="C801" s="7">
        <f>Rankings!L409</f>
        <v>16.87199040510075</v>
      </c>
      <c r="D801" s="7">
        <f>Rankings!M409</f>
        <v>11.735929685206232</v>
      </c>
      <c r="E801" s="7">
        <f>Rankings!N409</f>
        <v>6.5229538021468061</v>
      </c>
      <c r="F801" s="7">
        <f>Rankings!O409</f>
        <v>3.3033689969930675</v>
      </c>
      <c r="G801" s="7">
        <f>Rankings!P409</f>
        <v>1.6397534939100344</v>
      </c>
      <c r="H801" s="7">
        <f>Rankings!Q409</f>
        <v>1</v>
      </c>
      <c r="I801" s="7">
        <f>Rankings!R409</f>
        <v>41.073996383356892</v>
      </c>
      <c r="K801" s="7">
        <f>H801</f>
        <v>1</v>
      </c>
      <c r="L801" s="7">
        <f>D801</f>
        <v>11.735929685206232</v>
      </c>
      <c r="M801" s="7">
        <f>F801</f>
        <v>3.3033689969930675</v>
      </c>
      <c r="N801" s="7">
        <f>C801</f>
        <v>16.87199040510075</v>
      </c>
      <c r="O801" s="7">
        <f>E801</f>
        <v>6.5229538021468061</v>
      </c>
      <c r="P801" s="7">
        <f>G801</f>
        <v>1.6397534939100344</v>
      </c>
      <c r="R801" s="7">
        <f t="shared" ref="R801:W801" si="683">K801/$I801</f>
        <v>2.4346303940495018E-2</v>
      </c>
      <c r="S801" s="7">
        <f t="shared" si="683"/>
        <v>0.28572651114030895</v>
      </c>
      <c r="T801" s="7">
        <f t="shared" si="683"/>
        <v>8.0424825628401392E-2</v>
      </c>
      <c r="U801" s="7">
        <f t="shared" si="683"/>
        <v>0.41077060648369851</v>
      </c>
      <c r="V801" s="7">
        <f t="shared" si="683"/>
        <v>0.15880981585687373</v>
      </c>
      <c r="W801" s="7">
        <f t="shared" si="683"/>
        <v>3.9921936950222343E-2</v>
      </c>
      <c r="X801" s="7">
        <f>SUM(R801:W801)</f>
        <v>0.99999999999999989</v>
      </c>
    </row>
    <row r="802" spans="1:24" ht="15.75" customHeight="1" x14ac:dyDescent="0.3">
      <c r="C802" t="s">
        <v>71</v>
      </c>
      <c r="D802" t="s">
        <v>69</v>
      </c>
      <c r="E802" t="s">
        <v>72</v>
      </c>
      <c r="F802" t="s">
        <v>73</v>
      </c>
      <c r="G802" t="s">
        <v>68</v>
      </c>
      <c r="H802" t="s">
        <v>70</v>
      </c>
      <c r="K802" t="s">
        <v>68</v>
      </c>
      <c r="L802" t="s">
        <v>69</v>
      </c>
      <c r="M802" t="s">
        <v>70</v>
      </c>
      <c r="N802" t="s">
        <v>71</v>
      </c>
      <c r="O802" t="s">
        <v>72</v>
      </c>
      <c r="P802" t="s">
        <v>73</v>
      </c>
    </row>
    <row r="803" spans="1:24" ht="15.75" customHeight="1" x14ac:dyDescent="0.3">
      <c r="A803">
        <v>401</v>
      </c>
      <c r="B803" s="16" t="s">
        <v>482</v>
      </c>
      <c r="C803" s="7">
        <f>Rankings!L410</f>
        <v>6.2127102739590656</v>
      </c>
      <c r="D803" s="7">
        <f>Rankings!M410</f>
        <v>4.3214777379021729</v>
      </c>
      <c r="E803" s="7">
        <f>Rankings!N410</f>
        <v>2.401923017387813</v>
      </c>
      <c r="F803" s="7">
        <f>Rankings!O410</f>
        <v>1.8169738539756839</v>
      </c>
      <c r="G803" s="7">
        <f>Rankings!P410</f>
        <v>1.1080774401297739</v>
      </c>
      <c r="H803" s="7">
        <f>Rankings!Q410</f>
        <v>1</v>
      </c>
      <c r="I803" s="7">
        <f>Rankings!R410</f>
        <v>16.86116232335451</v>
      </c>
      <c r="K803" s="7">
        <f>G803</f>
        <v>1.1080774401297739</v>
      </c>
      <c r="L803" s="7">
        <f>D803</f>
        <v>4.3214777379021729</v>
      </c>
      <c r="M803" s="7">
        <f>H803</f>
        <v>1</v>
      </c>
      <c r="N803" s="7">
        <f>C803</f>
        <v>6.2127102739590656</v>
      </c>
      <c r="O803" s="7">
        <f t="shared" ref="O803:P803" si="684">E803</f>
        <v>2.401923017387813</v>
      </c>
      <c r="P803" s="7">
        <f t="shared" si="684"/>
        <v>1.8169738539756839</v>
      </c>
      <c r="R803" s="7">
        <f t="shared" ref="R803:W803" si="685">K803/$I803</f>
        <v>6.5717737536692147E-2</v>
      </c>
      <c r="S803" s="7">
        <f t="shared" si="685"/>
        <v>0.2562977364802701</v>
      </c>
      <c r="T803" s="7">
        <f t="shared" si="685"/>
        <v>5.9307892351815703E-2</v>
      </c>
      <c r="U803" s="7">
        <f t="shared" si="685"/>
        <v>0.36846275214098373</v>
      </c>
      <c r="V803" s="7">
        <f t="shared" si="685"/>
        <v>0.14245299175258477</v>
      </c>
      <c r="W803" s="7">
        <f t="shared" si="685"/>
        <v>0.10776088973765356</v>
      </c>
      <c r="X803" s="7">
        <f>SUM(R803:W803)</f>
        <v>0.99999999999999989</v>
      </c>
    </row>
    <row r="804" spans="1:24" ht="15.75" customHeight="1" x14ac:dyDescent="0.3">
      <c r="C804" t="s">
        <v>71</v>
      </c>
      <c r="D804" t="s">
        <v>69</v>
      </c>
      <c r="E804" t="s">
        <v>72</v>
      </c>
      <c r="F804" t="s">
        <v>73</v>
      </c>
      <c r="G804" t="s">
        <v>70</v>
      </c>
      <c r="H804" t="s">
        <v>68</v>
      </c>
      <c r="K804" t="s">
        <v>68</v>
      </c>
      <c r="L804" t="s">
        <v>69</v>
      </c>
      <c r="M804" t="s">
        <v>70</v>
      </c>
      <c r="N804" t="s">
        <v>71</v>
      </c>
      <c r="O804" t="s">
        <v>72</v>
      </c>
      <c r="P804" t="s">
        <v>73</v>
      </c>
    </row>
    <row r="805" spans="1:24" ht="15.75" customHeight="1" x14ac:dyDescent="0.3">
      <c r="A805">
        <v>402</v>
      </c>
      <c r="B805" s="16" t="s">
        <v>483</v>
      </c>
      <c r="C805" s="7">
        <f>Rankings!L411</f>
        <v>8.1671813435857832</v>
      </c>
      <c r="D805" s="7">
        <f>Rankings!M411</f>
        <v>5.6809815364566392</v>
      </c>
      <c r="E805" s="7">
        <f>Rankings!N411</f>
        <v>3.1575496025566423</v>
      </c>
      <c r="F805" s="7">
        <f>Rankings!O411</f>
        <v>2.3885799124054143</v>
      </c>
      <c r="G805" s="7">
        <f>Rankings!P411</f>
        <v>1.7021844231989158</v>
      </c>
      <c r="H805" s="7">
        <f>Rankings!Q411</f>
        <v>1</v>
      </c>
      <c r="I805" s="7">
        <f>Rankings!R411</f>
        <v>22.096476818203396</v>
      </c>
      <c r="K805" s="7">
        <f>H805</f>
        <v>1</v>
      </c>
      <c r="L805" s="7">
        <f>D805</f>
        <v>5.6809815364566392</v>
      </c>
      <c r="M805" s="7">
        <f>G805</f>
        <v>1.7021844231989158</v>
      </c>
      <c r="N805" s="7">
        <f>C805</f>
        <v>8.1671813435857832</v>
      </c>
      <c r="O805" s="7">
        <f t="shared" ref="O805:P805" si="686">E805</f>
        <v>3.1575496025566423</v>
      </c>
      <c r="P805" s="7">
        <f t="shared" si="686"/>
        <v>2.3885799124054143</v>
      </c>
      <c r="R805" s="7">
        <f t="shared" ref="R805:W805" si="687">K805/$I805</f>
        <v>4.5256083502696033E-2</v>
      </c>
      <c r="S805" s="7">
        <f t="shared" si="687"/>
        <v>0.25709897479115607</v>
      </c>
      <c r="T805" s="7">
        <f t="shared" si="687"/>
        <v>7.7034200393278615E-2</v>
      </c>
      <c r="U805" s="7">
        <f t="shared" si="687"/>
        <v>0.36961464086697937</v>
      </c>
      <c r="V805" s="7">
        <f t="shared" si="687"/>
        <v>0.14289832847720807</v>
      </c>
      <c r="W805" s="7">
        <f t="shared" si="687"/>
        <v>0.10809777196868181</v>
      </c>
      <c r="X805" s="7">
        <f>SUM(R805:W805)</f>
        <v>1</v>
      </c>
    </row>
    <row r="806" spans="1:24" ht="15.75" customHeight="1" x14ac:dyDescent="0.3">
      <c r="C806" t="s">
        <v>71</v>
      </c>
      <c r="D806" t="s">
        <v>69</v>
      </c>
      <c r="E806" t="s">
        <v>73</v>
      </c>
      <c r="F806" t="s">
        <v>68</v>
      </c>
      <c r="G806" t="s">
        <v>70</v>
      </c>
      <c r="H806" t="s">
        <v>72</v>
      </c>
      <c r="K806" t="s">
        <v>68</v>
      </c>
      <c r="L806" t="s">
        <v>69</v>
      </c>
      <c r="M806" t="s">
        <v>70</v>
      </c>
      <c r="N806" t="s">
        <v>71</v>
      </c>
      <c r="O806" t="s">
        <v>72</v>
      </c>
      <c r="P806" t="s">
        <v>73</v>
      </c>
    </row>
    <row r="807" spans="1:24" ht="15.75" customHeight="1" x14ac:dyDescent="0.3">
      <c r="A807">
        <v>403</v>
      </c>
      <c r="B807" s="16" t="s">
        <v>484</v>
      </c>
      <c r="C807" s="7">
        <f>Rankings!L412</f>
        <v>7.8191614472157287</v>
      </c>
      <c r="D807" s="7">
        <f>Rankings!M412</f>
        <v>5.4389035756004649</v>
      </c>
      <c r="E807" s="7">
        <f>Rankings!N412</f>
        <v>4.0726953071254517</v>
      </c>
      <c r="F807" s="7">
        <f>Rankings!O412</f>
        <v>2.4837241221020387</v>
      </c>
      <c r="G807" s="7">
        <f>Rankings!P412</f>
        <v>2.2414716085286912</v>
      </c>
      <c r="H807" s="7">
        <f>Rankings!Q412</f>
        <v>1</v>
      </c>
      <c r="I807" s="7">
        <f>Rankings!R412</f>
        <v>23.055956060572377</v>
      </c>
      <c r="K807" s="7">
        <f>F807</f>
        <v>2.4837241221020387</v>
      </c>
      <c r="L807" s="7">
        <f>D807</f>
        <v>5.4389035756004649</v>
      </c>
      <c r="M807" s="7">
        <f>G807</f>
        <v>2.2414716085286912</v>
      </c>
      <c r="N807" s="7">
        <f>C807</f>
        <v>7.8191614472157287</v>
      </c>
      <c r="O807" s="7">
        <f>H807</f>
        <v>1</v>
      </c>
      <c r="P807" s="7">
        <f>E807</f>
        <v>4.0726953071254517</v>
      </c>
      <c r="R807" s="7">
        <f t="shared" ref="R807:W807" si="688">K807/$I807</f>
        <v>0.10772592190828363</v>
      </c>
      <c r="S807" s="7">
        <f t="shared" si="688"/>
        <v>0.23590015357903318</v>
      </c>
      <c r="T807" s="7">
        <f t="shared" si="688"/>
        <v>9.7218766493131728E-2</v>
      </c>
      <c r="U807" s="7">
        <f t="shared" si="688"/>
        <v>0.33913846065083164</v>
      </c>
      <c r="V807" s="7">
        <f t="shared" si="688"/>
        <v>4.3372740534932057E-2</v>
      </c>
      <c r="W807" s="7">
        <f t="shared" si="688"/>
        <v>0.17664395683378764</v>
      </c>
      <c r="X807" s="7">
        <f>SUM(R807:W807)</f>
        <v>0.99999999999999978</v>
      </c>
    </row>
    <row r="808" spans="1:24" ht="15.75" customHeight="1" x14ac:dyDescent="0.3">
      <c r="C808" t="s">
        <v>71</v>
      </c>
      <c r="D808" t="s">
        <v>69</v>
      </c>
      <c r="E808" t="s">
        <v>73</v>
      </c>
      <c r="F808" t="s">
        <v>68</v>
      </c>
      <c r="G808" t="s">
        <v>72</v>
      </c>
      <c r="H808" t="s">
        <v>70</v>
      </c>
      <c r="K808" t="s">
        <v>68</v>
      </c>
      <c r="L808" t="s">
        <v>69</v>
      </c>
      <c r="M808" t="s">
        <v>70</v>
      </c>
      <c r="N808" t="s">
        <v>71</v>
      </c>
      <c r="O808" t="s">
        <v>72</v>
      </c>
      <c r="P808" t="s">
        <v>73</v>
      </c>
    </row>
    <row r="809" spans="1:24" ht="15.75" customHeight="1" x14ac:dyDescent="0.3">
      <c r="A809">
        <v>404</v>
      </c>
      <c r="B809" s="16" t="s">
        <v>485</v>
      </c>
      <c r="C809" s="7">
        <f>Rankings!L413</f>
        <v>6.7430756701929946</v>
      </c>
      <c r="D809" s="7">
        <f>Rankings!M413</f>
        <v>4.6903927768643925</v>
      </c>
      <c r="E809" s="7">
        <f>Rankings!N413</f>
        <v>3.5122043230563746</v>
      </c>
      <c r="F809" s="7">
        <f>Rankings!O413</f>
        <v>2.1419099493311236</v>
      </c>
      <c r="G809" s="7">
        <f>Rankings!P413</f>
        <v>1.9746367445127702</v>
      </c>
      <c r="H809" s="7">
        <f>Rankings!Q413</f>
        <v>1</v>
      </c>
      <c r="I809" s="7">
        <f>Rankings!R413</f>
        <v>20.062219463957657</v>
      </c>
      <c r="K809" s="7">
        <f>F809</f>
        <v>2.1419099493311236</v>
      </c>
      <c r="L809" s="7">
        <f>D809</f>
        <v>4.6903927768643925</v>
      </c>
      <c r="M809" s="7">
        <f>H809</f>
        <v>1</v>
      </c>
      <c r="N809" s="7">
        <f>C809</f>
        <v>6.7430756701929946</v>
      </c>
      <c r="O809" s="7">
        <f>G809</f>
        <v>1.9746367445127702</v>
      </c>
      <c r="P809" s="7">
        <f>E809</f>
        <v>3.5122043230563746</v>
      </c>
      <c r="R809" s="7">
        <f t="shared" ref="R809:W809" si="689">K809/$I809</f>
        <v>0.10676335951658415</v>
      </c>
      <c r="S809" s="7">
        <f t="shared" si="689"/>
        <v>0.23379231721050681</v>
      </c>
      <c r="T809" s="7">
        <f t="shared" si="689"/>
        <v>4.9844933747062642E-2</v>
      </c>
      <c r="U809" s="7">
        <f t="shared" si="689"/>
        <v>0.33610816003219984</v>
      </c>
      <c r="V809" s="7">
        <f t="shared" si="689"/>
        <v>9.8425637704754487E-2</v>
      </c>
      <c r="W809" s="7">
        <f t="shared" si="689"/>
        <v>0.175065591788892</v>
      </c>
      <c r="X809" s="7">
        <f>SUM(R809:W809)</f>
        <v>1</v>
      </c>
    </row>
    <row r="810" spans="1:24" ht="15.75" customHeight="1" x14ac:dyDescent="0.3">
      <c r="C810" t="s">
        <v>71</v>
      </c>
      <c r="D810" t="s">
        <v>69</v>
      </c>
      <c r="E810" t="s">
        <v>73</v>
      </c>
      <c r="F810" t="s">
        <v>70</v>
      </c>
      <c r="G810" t="s">
        <v>68</v>
      </c>
      <c r="H810" t="s">
        <v>72</v>
      </c>
      <c r="K810" t="s">
        <v>68</v>
      </c>
      <c r="L810" t="s">
        <v>69</v>
      </c>
      <c r="M810" t="s">
        <v>70</v>
      </c>
      <c r="N810" t="s">
        <v>71</v>
      </c>
      <c r="O810" t="s">
        <v>72</v>
      </c>
      <c r="P810" t="s">
        <v>73</v>
      </c>
    </row>
    <row r="811" spans="1:24" ht="15.75" customHeight="1" x14ac:dyDescent="0.3">
      <c r="A811">
        <v>405</v>
      </c>
      <c r="B811" s="16" t="s">
        <v>486</v>
      </c>
      <c r="C811" s="7">
        <f>Rankings!L414</f>
        <v>4.9743006387868345</v>
      </c>
      <c r="D811" s="7">
        <f>Rankings!M414</f>
        <v>3.4600566458495532</v>
      </c>
      <c r="E811" s="7">
        <f>Rankings!N414</f>
        <v>2.5909186048373636</v>
      </c>
      <c r="F811" s="7">
        <f>Rankings!O414</f>
        <v>1.8463779537060261</v>
      </c>
      <c r="G811" s="7">
        <f>Rankings!P414</f>
        <v>1.0847108741813811</v>
      </c>
      <c r="H811" s="7">
        <f>Rankings!Q414</f>
        <v>1</v>
      </c>
      <c r="I811" s="7">
        <f>Rankings!R414</f>
        <v>14.956364717361158</v>
      </c>
      <c r="K811" s="7">
        <f>G811</f>
        <v>1.0847108741813811</v>
      </c>
      <c r="L811" s="7">
        <f>D811</f>
        <v>3.4600566458495532</v>
      </c>
      <c r="M811" s="7">
        <f>F811</f>
        <v>1.8463779537060261</v>
      </c>
      <c r="N811" s="7">
        <f>C811</f>
        <v>4.9743006387868345</v>
      </c>
      <c r="O811" s="7">
        <f>H811</f>
        <v>1</v>
      </c>
      <c r="P811" s="7">
        <f>E811</f>
        <v>2.5909186048373636</v>
      </c>
      <c r="R811" s="7">
        <f t="shared" ref="R811:W811" si="690">K811/$I811</f>
        <v>7.2525034972051899E-2</v>
      </c>
      <c r="S811" s="7">
        <f t="shared" si="690"/>
        <v>0.23134342544035205</v>
      </c>
      <c r="T811" s="7">
        <f t="shared" si="690"/>
        <v>0.12345098482138338</v>
      </c>
      <c r="U811" s="7">
        <f t="shared" si="690"/>
        <v>0.33258754602398333</v>
      </c>
      <c r="V811" s="7">
        <f t="shared" si="690"/>
        <v>6.6861167061486051E-2</v>
      </c>
      <c r="W811" s="7">
        <f t="shared" si="690"/>
        <v>0.17323184168074332</v>
      </c>
      <c r="X811" s="7">
        <f>SUM(R811:W811)</f>
        <v>1</v>
      </c>
    </row>
    <row r="812" spans="1:24" ht="15.75" customHeight="1" x14ac:dyDescent="0.3">
      <c r="C812" t="s">
        <v>71</v>
      </c>
      <c r="D812" t="s">
        <v>69</v>
      </c>
      <c r="E812" t="s">
        <v>73</v>
      </c>
      <c r="F812" t="s">
        <v>70</v>
      </c>
      <c r="G812" t="s">
        <v>72</v>
      </c>
      <c r="H812" t="s">
        <v>68</v>
      </c>
      <c r="K812" t="s">
        <v>68</v>
      </c>
      <c r="L812" t="s">
        <v>69</v>
      </c>
      <c r="M812" t="s">
        <v>70</v>
      </c>
      <c r="N812" t="s">
        <v>71</v>
      </c>
      <c r="O812" t="s">
        <v>72</v>
      </c>
      <c r="P812" t="s">
        <v>73</v>
      </c>
    </row>
    <row r="813" spans="1:24" ht="15.75" customHeight="1" x14ac:dyDescent="0.3">
      <c r="A813">
        <v>406</v>
      </c>
      <c r="B813" s="16" t="s">
        <v>487</v>
      </c>
      <c r="C813" s="7">
        <f>Rankings!L415</f>
        <v>9.2425122503586188</v>
      </c>
      <c r="D813" s="7">
        <f>Rankings!M415</f>
        <v>6.4289672575959642</v>
      </c>
      <c r="E813" s="7">
        <f>Rankings!N415</f>
        <v>4.8140630580647112</v>
      </c>
      <c r="F813" s="7">
        <f>Rankings!O415</f>
        <v>3.4306673631375024</v>
      </c>
      <c r="G813" s="7">
        <f>Rankings!P415</f>
        <v>1.530542412441888</v>
      </c>
      <c r="H813" s="7">
        <f>Rankings!Q415</f>
        <v>1</v>
      </c>
      <c r="I813" s="7">
        <f>Rankings!R415</f>
        <v>26.446752341598685</v>
      </c>
      <c r="K813" s="7">
        <f>H813</f>
        <v>1</v>
      </c>
      <c r="L813" s="7">
        <f>D813</f>
        <v>6.4289672575959642</v>
      </c>
      <c r="M813" s="7">
        <f>F813</f>
        <v>3.4306673631375024</v>
      </c>
      <c r="N813" s="7">
        <f>C813</f>
        <v>9.2425122503586188</v>
      </c>
      <c r="O813" s="7">
        <f>G813</f>
        <v>1.530542412441888</v>
      </c>
      <c r="P813" s="7">
        <f>E813</f>
        <v>4.8140630580647112</v>
      </c>
      <c r="R813" s="7">
        <f t="shared" ref="R813:W813" si="691">K813/$I813</f>
        <v>3.781182608297344E-2</v>
      </c>
      <c r="S813" s="7">
        <f t="shared" si="691"/>
        <v>0.24309099183734928</v>
      </c>
      <c r="T813" s="7">
        <f t="shared" si="691"/>
        <v>0.12971979768348832</v>
      </c>
      <c r="U813" s="7">
        <f t="shared" si="691"/>
        <v>0.34947626578031155</v>
      </c>
      <c r="V813" s="7">
        <f t="shared" si="691"/>
        <v>5.7872603511867272E-2</v>
      </c>
      <c r="W813" s="7">
        <f t="shared" si="691"/>
        <v>0.18202851510401011</v>
      </c>
      <c r="X813" s="7">
        <f>SUM(R813:W813)</f>
        <v>1</v>
      </c>
    </row>
    <row r="814" spans="1:24" ht="15.75" customHeight="1" x14ac:dyDescent="0.3">
      <c r="C814" t="s">
        <v>71</v>
      </c>
      <c r="D814" t="s">
        <v>69</v>
      </c>
      <c r="E814" t="s">
        <v>73</v>
      </c>
      <c r="F814" t="s">
        <v>72</v>
      </c>
      <c r="G814" t="s">
        <v>68</v>
      </c>
      <c r="H814" t="s">
        <v>70</v>
      </c>
      <c r="K814" t="s">
        <v>68</v>
      </c>
      <c r="L814" t="s">
        <v>69</v>
      </c>
      <c r="M814" t="s">
        <v>70</v>
      </c>
      <c r="N814" t="s">
        <v>71</v>
      </c>
      <c r="O814" t="s">
        <v>72</v>
      </c>
      <c r="P814" t="s">
        <v>73</v>
      </c>
    </row>
    <row r="815" spans="1:24" ht="15.75" customHeight="1" x14ac:dyDescent="0.3">
      <c r="A815">
        <v>407</v>
      </c>
      <c r="B815" s="16" t="s">
        <v>488</v>
      </c>
      <c r="C815" s="7">
        <f>Rankings!L416</f>
        <v>3.9940639879636159</v>
      </c>
      <c r="D815" s="7">
        <f>Rankings!M416</f>
        <v>2.7782172106252738</v>
      </c>
      <c r="E815" s="7">
        <f>Rankings!N416</f>
        <v>2.0803516809248701</v>
      </c>
      <c r="F815" s="7">
        <f>Rankings!O416</f>
        <v>1.695959518388656</v>
      </c>
      <c r="G815" s="7">
        <f>Rankings!P416</f>
        <v>1.1080774401297739</v>
      </c>
      <c r="H815" s="7">
        <f>Rankings!Q416</f>
        <v>1</v>
      </c>
      <c r="I815" s="7">
        <f>Rankings!R416</f>
        <v>12.65666983803219</v>
      </c>
      <c r="K815" s="7">
        <f>G815</f>
        <v>1.1080774401297739</v>
      </c>
      <c r="L815" s="7">
        <f>D815</f>
        <v>2.7782172106252738</v>
      </c>
      <c r="M815" s="7">
        <f>H815</f>
        <v>1</v>
      </c>
      <c r="N815" s="7">
        <f>C815</f>
        <v>3.9940639879636159</v>
      </c>
      <c r="O815" s="7">
        <f>F815</f>
        <v>1.695959518388656</v>
      </c>
      <c r="P815" s="7">
        <f>E815</f>
        <v>2.0803516809248701</v>
      </c>
      <c r="R815" s="7">
        <f t="shared" ref="R815:W815" si="692">K815/$I815</f>
        <v>8.7548893532807329E-2</v>
      </c>
      <c r="S815" s="7">
        <f t="shared" si="692"/>
        <v>0.2195061770732909</v>
      </c>
      <c r="T815" s="7">
        <f t="shared" si="692"/>
        <v>7.9009724737789014E-2</v>
      </c>
      <c r="U815" s="7">
        <f t="shared" si="692"/>
        <v>0.31556989627412113</v>
      </c>
      <c r="V815" s="7">
        <f t="shared" si="692"/>
        <v>0.13399729471432092</v>
      </c>
      <c r="W815" s="7">
        <f t="shared" si="692"/>
        <v>0.16436801366767068</v>
      </c>
      <c r="X815" s="7">
        <f>SUM(R815:W815)</f>
        <v>0.99999999999999978</v>
      </c>
    </row>
    <row r="816" spans="1:24" ht="15.75" customHeight="1" x14ac:dyDescent="0.3">
      <c r="C816" t="s">
        <v>71</v>
      </c>
      <c r="D816" t="s">
        <v>69</v>
      </c>
      <c r="E816" t="s">
        <v>73</v>
      </c>
      <c r="F816" t="s">
        <v>72</v>
      </c>
      <c r="G816" t="s">
        <v>70</v>
      </c>
      <c r="H816" t="s">
        <v>68</v>
      </c>
      <c r="K816" t="s">
        <v>68</v>
      </c>
      <c r="L816" t="s">
        <v>69</v>
      </c>
      <c r="M816" t="s">
        <v>70</v>
      </c>
      <c r="N816" t="s">
        <v>71</v>
      </c>
      <c r="O816" t="s">
        <v>72</v>
      </c>
      <c r="P816" t="s">
        <v>73</v>
      </c>
    </row>
    <row r="817" spans="1:24" ht="15.75" customHeight="1" x14ac:dyDescent="0.3">
      <c r="A817">
        <v>408</v>
      </c>
      <c r="B817" s="16" t="s">
        <v>489</v>
      </c>
      <c r="C817" s="7">
        <f>Rankings!L417</f>
        <v>7.9157735706640002</v>
      </c>
      <c r="D817" s="7">
        <f>Rankings!M417</f>
        <v>5.5061056697401458</v>
      </c>
      <c r="E817" s="7">
        <f>Rankings!N417</f>
        <v>4.1230167826999589</v>
      </c>
      <c r="F817" s="7">
        <f>Rankings!O417</f>
        <v>3.3611959079858544</v>
      </c>
      <c r="G817" s="7">
        <f>Rankings!P417</f>
        <v>1.7021844231989158</v>
      </c>
      <c r="H817" s="7">
        <f>Rankings!Q417</f>
        <v>1</v>
      </c>
      <c r="I817" s="7">
        <f>Rankings!R417</f>
        <v>23.608276354288876</v>
      </c>
      <c r="K817" s="7">
        <f>H817</f>
        <v>1</v>
      </c>
      <c r="L817" s="7">
        <f>D817</f>
        <v>5.5061056697401458</v>
      </c>
      <c r="M817" s="7">
        <f>G817</f>
        <v>1.7021844231989158</v>
      </c>
      <c r="N817" s="7">
        <f>C817</f>
        <v>7.9157735706640002</v>
      </c>
      <c r="O817" s="7">
        <f>F817</f>
        <v>3.3611959079858544</v>
      </c>
      <c r="P817" s="7">
        <f>E817</f>
        <v>4.1230167826999589</v>
      </c>
      <c r="R817" s="7">
        <f t="shared" ref="R817:W817" si="693">K817/$I817</f>
        <v>4.2358026693394397E-2</v>
      </c>
      <c r="S817" s="7">
        <f t="shared" si="693"/>
        <v>0.23322777093550334</v>
      </c>
      <c r="T817" s="7">
        <f t="shared" si="693"/>
        <v>7.2101173234939822E-2</v>
      </c>
      <c r="U817" s="7">
        <f t="shared" si="693"/>
        <v>0.33529654820505161</v>
      </c>
      <c r="V817" s="7">
        <f t="shared" si="693"/>
        <v>0.14237362599219286</v>
      </c>
      <c r="W817" s="7">
        <f t="shared" si="693"/>
        <v>0.17464285493891796</v>
      </c>
      <c r="X817" s="7">
        <f>SUM(R817:W817)</f>
        <v>0.99999999999999989</v>
      </c>
    </row>
    <row r="818" spans="1:24" ht="15.75" customHeight="1" x14ac:dyDescent="0.3">
      <c r="C818" t="s">
        <v>71</v>
      </c>
      <c r="D818" t="s">
        <v>70</v>
      </c>
      <c r="E818" t="s">
        <v>68</v>
      </c>
      <c r="F818" t="s">
        <v>69</v>
      </c>
      <c r="G818" t="s">
        <v>72</v>
      </c>
      <c r="H818" t="s">
        <v>73</v>
      </c>
      <c r="K818" t="s">
        <v>68</v>
      </c>
      <c r="L818" t="s">
        <v>69</v>
      </c>
      <c r="M818" t="s">
        <v>70</v>
      </c>
      <c r="N818" t="s">
        <v>71</v>
      </c>
      <c r="O818" t="s">
        <v>72</v>
      </c>
      <c r="P818" t="s">
        <v>73</v>
      </c>
    </row>
    <row r="819" spans="1:24" ht="15.75" customHeight="1" x14ac:dyDescent="0.3">
      <c r="A819">
        <v>409</v>
      </c>
      <c r="B819" s="16" t="s">
        <v>490</v>
      </c>
      <c r="C819" s="7">
        <f>Rankings!L418</f>
        <v>14.840704056540183</v>
      </c>
      <c r="D819" s="7">
        <f>Rankings!M418</f>
        <v>6.6286879839594812</v>
      </c>
      <c r="E819" s="7">
        <f>Rankings!N418</f>
        <v>3.8942243235325735</v>
      </c>
      <c r="F819" s="7">
        <f>Rankings!O418</f>
        <v>2.3783929132752433</v>
      </c>
      <c r="G819" s="7">
        <f>Rankings!P418</f>
        <v>1.3219359277692486</v>
      </c>
      <c r="H819" s="7">
        <f>Rankings!Q418</f>
        <v>1</v>
      </c>
      <c r="I819" s="7">
        <f>Rankings!R418</f>
        <v>30.063945205076728</v>
      </c>
      <c r="K819" s="7">
        <f t="shared" ref="K819:L819" si="694">E819</f>
        <v>3.8942243235325735</v>
      </c>
      <c r="L819" s="7">
        <f t="shared" si="694"/>
        <v>2.3783929132752433</v>
      </c>
      <c r="M819" s="7">
        <f>D819</f>
        <v>6.6286879839594812</v>
      </c>
      <c r="N819" s="7">
        <f>C819</f>
        <v>14.840704056540183</v>
      </c>
      <c r="O819" s="7">
        <f t="shared" ref="O819:P819" si="695">G819</f>
        <v>1.3219359277692486</v>
      </c>
      <c r="P819" s="7">
        <f t="shared" si="695"/>
        <v>1</v>
      </c>
      <c r="R819" s="7">
        <f t="shared" ref="R819:W819" si="696">K819/$I819</f>
        <v>0.12953138042824061</v>
      </c>
      <c r="S819" s="7">
        <f t="shared" si="696"/>
        <v>7.9111137844730298E-2</v>
      </c>
      <c r="T819" s="7">
        <f t="shared" si="696"/>
        <v>0.22048629808040404</v>
      </c>
      <c r="U819" s="7">
        <f t="shared" si="696"/>
        <v>0.4936379425689652</v>
      </c>
      <c r="V819" s="7">
        <f t="shared" si="696"/>
        <v>4.3970806850260648E-2</v>
      </c>
      <c r="W819" s="7">
        <f t="shared" si="696"/>
        <v>3.326243422739926E-2</v>
      </c>
      <c r="X819" s="7">
        <f>SUM(R819:W819)</f>
        <v>1</v>
      </c>
    </row>
    <row r="820" spans="1:24" ht="15.75" customHeight="1" x14ac:dyDescent="0.3">
      <c r="C820" t="s">
        <v>71</v>
      </c>
      <c r="D820" t="s">
        <v>70</v>
      </c>
      <c r="E820" t="s">
        <v>68</v>
      </c>
      <c r="F820" t="s">
        <v>69</v>
      </c>
      <c r="G820" t="s">
        <v>73</v>
      </c>
      <c r="H820" t="s">
        <v>72</v>
      </c>
      <c r="K820" t="s">
        <v>68</v>
      </c>
      <c r="L820" t="s">
        <v>69</v>
      </c>
      <c r="M820" t="s">
        <v>70</v>
      </c>
      <c r="N820" t="s">
        <v>71</v>
      </c>
      <c r="O820" t="s">
        <v>72</v>
      </c>
      <c r="P820" t="s">
        <v>73</v>
      </c>
    </row>
    <row r="821" spans="1:24" ht="15.75" customHeight="1" x14ac:dyDescent="0.3">
      <c r="A821">
        <v>410</v>
      </c>
      <c r="B821" s="16" t="s">
        <v>491</v>
      </c>
      <c r="C821" s="7">
        <f>Rankings!L419</f>
        <v>10.221664406896993</v>
      </c>
      <c r="D821" s="7">
        <f>Rankings!M419</f>
        <v>4.5655666855107713</v>
      </c>
      <c r="E821" s="7">
        <f>Rankings!N419</f>
        <v>2.6821809806781691</v>
      </c>
      <c r="F821" s="7">
        <f>Rankings!O419</f>
        <v>1.6381388709471552</v>
      </c>
      <c r="G821" s="7">
        <f>Rankings!P419</f>
        <v>1.2266517321719024</v>
      </c>
      <c r="H821" s="7">
        <f>Rankings!Q419</f>
        <v>1</v>
      </c>
      <c r="I821" s="7">
        <f>Rankings!R419</f>
        <v>21.334202676204992</v>
      </c>
      <c r="K821" s="7">
        <f t="shared" ref="K821:L821" si="697">E821</f>
        <v>2.6821809806781691</v>
      </c>
      <c r="L821" s="7">
        <f t="shared" si="697"/>
        <v>1.6381388709471552</v>
      </c>
      <c r="M821" s="7">
        <f>D821</f>
        <v>4.5655666855107713</v>
      </c>
      <c r="N821" s="7">
        <f>C821</f>
        <v>10.221664406896993</v>
      </c>
      <c r="O821" s="7">
        <f>H821</f>
        <v>1</v>
      </c>
      <c r="P821" s="7">
        <f>G821</f>
        <v>1.2266517321719024</v>
      </c>
      <c r="R821" s="7">
        <f t="shared" ref="R821:W821" si="698">K821/$I821</f>
        <v>0.12572211023708554</v>
      </c>
      <c r="S821" s="7">
        <f t="shared" si="698"/>
        <v>7.6784630567621165E-2</v>
      </c>
      <c r="T821" s="7">
        <f t="shared" si="698"/>
        <v>0.21400221769726394</v>
      </c>
      <c r="U821" s="7">
        <f t="shared" si="698"/>
        <v>0.47912099467854408</v>
      </c>
      <c r="V821" s="7">
        <f t="shared" si="698"/>
        <v>4.6873089900629168E-2</v>
      </c>
      <c r="W821" s="7">
        <f t="shared" si="698"/>
        <v>5.7496956918856076E-2</v>
      </c>
      <c r="X821" s="7">
        <f>SUM(R821:W821)</f>
        <v>1</v>
      </c>
    </row>
    <row r="822" spans="1:24" ht="15.75" customHeight="1" x14ac:dyDescent="0.3">
      <c r="C822" t="s">
        <v>71</v>
      </c>
      <c r="D822" t="s">
        <v>70</v>
      </c>
      <c r="E822" t="s">
        <v>68</v>
      </c>
      <c r="F822" t="s">
        <v>72</v>
      </c>
      <c r="G822" t="s">
        <v>69</v>
      </c>
      <c r="H822" t="s">
        <v>73</v>
      </c>
      <c r="K822" t="s">
        <v>68</v>
      </c>
      <c r="L822" t="s">
        <v>69</v>
      </c>
      <c r="M822" t="s">
        <v>70</v>
      </c>
      <c r="N822" t="s">
        <v>71</v>
      </c>
      <c r="O822" t="s">
        <v>72</v>
      </c>
      <c r="P822" t="s">
        <v>73</v>
      </c>
    </row>
    <row r="823" spans="1:24" ht="15.75" customHeight="1" x14ac:dyDescent="0.3">
      <c r="A823">
        <v>411</v>
      </c>
      <c r="B823" s="16" t="s">
        <v>492</v>
      </c>
      <c r="C823" s="7">
        <f>Rankings!L420</f>
        <v>10.071129720249775</v>
      </c>
      <c r="D823" s="7">
        <f>Rankings!M420</f>
        <v>4.4983294800017948</v>
      </c>
      <c r="E823" s="7">
        <f>Rankings!N420</f>
        <v>2.6426804397305448</v>
      </c>
      <c r="F823" s="7">
        <f>Rankings!O420</f>
        <v>2.436299388742595</v>
      </c>
      <c r="G823" s="7">
        <f>Rankings!P420</f>
        <v>1.3354555559520354</v>
      </c>
      <c r="H823" s="7">
        <f>Rankings!Q420</f>
        <v>1</v>
      </c>
      <c r="I823" s="7">
        <f>Rankings!R420</f>
        <v>21.983894584676744</v>
      </c>
      <c r="K823" s="7">
        <f>E823</f>
        <v>2.6426804397305448</v>
      </c>
      <c r="L823" s="7">
        <f>G823</f>
        <v>1.3354555559520354</v>
      </c>
      <c r="M823" s="7">
        <f>D823</f>
        <v>4.4983294800017948</v>
      </c>
      <c r="N823" s="7">
        <f>C823</f>
        <v>10.071129720249775</v>
      </c>
      <c r="O823" s="7">
        <f>F823</f>
        <v>2.436299388742595</v>
      </c>
      <c r="P823" s="7">
        <f>H823</f>
        <v>1</v>
      </c>
      <c r="R823" s="7">
        <f t="shared" ref="R823:W823" si="699">K823/$I823</f>
        <v>0.12020983950553288</v>
      </c>
      <c r="S823" s="7">
        <f t="shared" si="699"/>
        <v>6.0746995979633067E-2</v>
      </c>
      <c r="T823" s="7">
        <f t="shared" si="699"/>
        <v>0.20461931632155975</v>
      </c>
      <c r="U823" s="7">
        <f t="shared" si="699"/>
        <v>0.45811399256206287</v>
      </c>
      <c r="V823" s="7">
        <f t="shared" si="699"/>
        <v>0.11082201014740806</v>
      </c>
      <c r="W823" s="7">
        <f t="shared" si="699"/>
        <v>4.5487845483803489E-2</v>
      </c>
      <c r="X823" s="7">
        <f>SUM(R823:W823)</f>
        <v>1</v>
      </c>
    </row>
    <row r="824" spans="1:24" ht="15.75" customHeight="1" x14ac:dyDescent="0.3">
      <c r="C824" t="s">
        <v>71</v>
      </c>
      <c r="D824" t="s">
        <v>70</v>
      </c>
      <c r="E824" t="s">
        <v>68</v>
      </c>
      <c r="F824" t="s">
        <v>72</v>
      </c>
      <c r="G824" t="s">
        <v>73</v>
      </c>
      <c r="H824" t="s">
        <v>69</v>
      </c>
      <c r="K824" t="s">
        <v>68</v>
      </c>
      <c r="L824" t="s">
        <v>69</v>
      </c>
      <c r="M824" t="s">
        <v>70</v>
      </c>
      <c r="N824" t="s">
        <v>71</v>
      </c>
      <c r="O824" t="s">
        <v>72</v>
      </c>
      <c r="P824" t="s">
        <v>73</v>
      </c>
    </row>
    <row r="825" spans="1:24" ht="15.75" customHeight="1" x14ac:dyDescent="0.3">
      <c r="A825">
        <v>412</v>
      </c>
      <c r="B825" s="16" t="s">
        <v>493</v>
      </c>
      <c r="C825" s="7">
        <f>Rankings!L421</f>
        <v>6.7866659813292278</v>
      </c>
      <c r="D825" s="7">
        <f>Rankings!M421</f>
        <v>3.031304382204048</v>
      </c>
      <c r="E825" s="7">
        <f>Rankings!N421</f>
        <v>1.7808319362406786</v>
      </c>
      <c r="F825" s="7">
        <f>Rankings!O421</f>
        <v>1.6417572448369266</v>
      </c>
      <c r="G825" s="7">
        <f>Rankings!P421</f>
        <v>1.2419340531937677</v>
      </c>
      <c r="H825" s="7">
        <f>Rankings!Q421</f>
        <v>1</v>
      </c>
      <c r="I825" s="7">
        <f>Rankings!R421</f>
        <v>15.482493597804648</v>
      </c>
      <c r="K825" s="7">
        <f>E825</f>
        <v>1.7808319362406786</v>
      </c>
      <c r="L825" s="7">
        <f>H825</f>
        <v>1</v>
      </c>
      <c r="M825" s="7">
        <f>D825</f>
        <v>3.031304382204048</v>
      </c>
      <c r="N825" s="7">
        <f>C825</f>
        <v>6.7866659813292278</v>
      </c>
      <c r="O825" s="7">
        <f t="shared" ref="O825:P825" si="700">F825</f>
        <v>1.6417572448369266</v>
      </c>
      <c r="P825" s="7">
        <f t="shared" si="700"/>
        <v>1.2419340531937677</v>
      </c>
      <c r="R825" s="7">
        <f t="shared" ref="R825:W825" si="701">K825/$I825</f>
        <v>0.11502229437338136</v>
      </c>
      <c r="S825" s="7">
        <f t="shared" si="701"/>
        <v>6.4589078864001323E-2</v>
      </c>
      <c r="T825" s="7">
        <f t="shared" si="701"/>
        <v>0.19578915780297007</v>
      </c>
      <c r="U825" s="7">
        <f t="shared" si="701"/>
        <v>0.4383445042917084</v>
      </c>
      <c r="V825" s="7">
        <f t="shared" si="701"/>
        <v>0.10603958816231779</v>
      </c>
      <c r="W825" s="7">
        <f t="shared" si="701"/>
        <v>8.0215376505621078E-2</v>
      </c>
      <c r="X825" s="7">
        <f>SUM(R825:W825)</f>
        <v>1</v>
      </c>
    </row>
    <row r="826" spans="1:24" ht="15.75" customHeight="1" x14ac:dyDescent="0.3">
      <c r="C826" t="s">
        <v>71</v>
      </c>
      <c r="D826" t="s">
        <v>70</v>
      </c>
      <c r="E826" t="s">
        <v>68</v>
      </c>
      <c r="F826" t="s">
        <v>73</v>
      </c>
      <c r="G826" t="s">
        <v>69</v>
      </c>
      <c r="H826" t="s">
        <v>72</v>
      </c>
      <c r="K826" t="s">
        <v>68</v>
      </c>
      <c r="L826" t="s">
        <v>69</v>
      </c>
      <c r="M826" t="s">
        <v>70</v>
      </c>
      <c r="N826" t="s">
        <v>71</v>
      </c>
      <c r="O826" t="s">
        <v>72</v>
      </c>
      <c r="P826" t="s">
        <v>73</v>
      </c>
    </row>
    <row r="827" spans="1:24" ht="15.75" customHeight="1" x14ac:dyDescent="0.3">
      <c r="A827">
        <v>413</v>
      </c>
      <c r="B827" s="16" t="s">
        <v>494</v>
      </c>
      <c r="C827" s="7">
        <f>Rankings!L422</f>
        <v>9.8894138567229373</v>
      </c>
      <c r="D827" s="7">
        <f>Rankings!M422</f>
        <v>4.417165017961036</v>
      </c>
      <c r="E827" s="7">
        <f>Rankings!N422</f>
        <v>2.5949979084286627</v>
      </c>
      <c r="F827" s="7">
        <f>Rankings!O422</f>
        <v>2.2344556107615374</v>
      </c>
      <c r="G827" s="7">
        <f>Rankings!P422</f>
        <v>1.7991741228251155</v>
      </c>
      <c r="H827" s="7">
        <f>Rankings!Q422</f>
        <v>1</v>
      </c>
      <c r="I827" s="7">
        <f>Rankings!R422</f>
        <v>21.935206516699285</v>
      </c>
      <c r="K827" s="7">
        <f>E827</f>
        <v>2.5949979084286627</v>
      </c>
      <c r="L827" s="7">
        <f>G827</f>
        <v>1.7991741228251155</v>
      </c>
      <c r="M827" s="7">
        <f>D827</f>
        <v>4.417165017961036</v>
      </c>
      <c r="N827" s="7">
        <f>C827</f>
        <v>9.8894138567229373</v>
      </c>
      <c r="O827" s="7">
        <f>H827</f>
        <v>1</v>
      </c>
      <c r="P827" s="7">
        <f>F827</f>
        <v>2.2344556107615374</v>
      </c>
      <c r="R827" s="7">
        <f t="shared" ref="R827:W827" si="702">K827/$I827</f>
        <v>0.11830287106953333</v>
      </c>
      <c r="S827" s="7">
        <f t="shared" si="702"/>
        <v>8.2022210342784022E-2</v>
      </c>
      <c r="T827" s="7">
        <f t="shared" si="702"/>
        <v>0.20137330435426928</v>
      </c>
      <c r="U827" s="7">
        <f t="shared" si="702"/>
        <v>0.4508466263672567</v>
      </c>
      <c r="V827" s="7">
        <f t="shared" si="702"/>
        <v>4.5588811723231301E-2</v>
      </c>
      <c r="W827" s="7">
        <f t="shared" si="702"/>
        <v>0.10186617614292554</v>
      </c>
      <c r="X827" s="7">
        <f>SUM(R827:W827)</f>
        <v>1.0000000000000002</v>
      </c>
    </row>
    <row r="828" spans="1:24" ht="15.75" customHeight="1" x14ac:dyDescent="0.3">
      <c r="C828" t="s">
        <v>71</v>
      </c>
      <c r="D828" t="s">
        <v>70</v>
      </c>
      <c r="E828" t="s">
        <v>68</v>
      </c>
      <c r="F828" t="s">
        <v>73</v>
      </c>
      <c r="G828" t="s">
        <v>72</v>
      </c>
      <c r="H828" t="s">
        <v>69</v>
      </c>
      <c r="K828" t="s">
        <v>68</v>
      </c>
      <c r="L828" t="s">
        <v>69</v>
      </c>
      <c r="M828" t="s">
        <v>70</v>
      </c>
      <c r="N828" t="s">
        <v>71</v>
      </c>
      <c r="O828" t="s">
        <v>72</v>
      </c>
      <c r="P828" t="s">
        <v>73</v>
      </c>
    </row>
    <row r="829" spans="1:24" ht="15.75" customHeight="1" x14ac:dyDescent="0.3">
      <c r="A829">
        <v>414</v>
      </c>
      <c r="B829" s="16" t="s">
        <v>495</v>
      </c>
      <c r="C829" s="7">
        <f>Rankings!L423</f>
        <v>9.904243606605899</v>
      </c>
      <c r="D829" s="7">
        <f>Rankings!M423</f>
        <v>4.4237888131987688</v>
      </c>
      <c r="E829" s="7">
        <f>Rankings!N423</f>
        <v>2.5988892583596437</v>
      </c>
      <c r="F829" s="7">
        <f>Rankings!O423</f>
        <v>2.2378063065977365</v>
      </c>
      <c r="G829" s="7">
        <f>Rankings!P423</f>
        <v>1.8243208303594776</v>
      </c>
      <c r="H829" s="7">
        <f>Rankings!Q423</f>
        <v>1</v>
      </c>
      <c r="I829" s="7">
        <f>Rankings!R423</f>
        <v>21.989048815121528</v>
      </c>
      <c r="K829" s="7">
        <f>E829</f>
        <v>2.5988892583596437</v>
      </c>
      <c r="L829" s="7">
        <f>H829</f>
        <v>1</v>
      </c>
      <c r="M829" s="7">
        <f>D829</f>
        <v>4.4237888131987688</v>
      </c>
      <c r="N829" s="7">
        <f>C829</f>
        <v>9.904243606605899</v>
      </c>
      <c r="O829" s="7">
        <f>G829</f>
        <v>1.8243208303594776</v>
      </c>
      <c r="P829" s="7">
        <f>F829</f>
        <v>2.2378063065977365</v>
      </c>
      <c r="R829" s="7">
        <f t="shared" ref="R829:W829" si="703">K829/$I829</f>
        <v>0.1181901627583103</v>
      </c>
      <c r="S829" s="7">
        <f t="shared" si="703"/>
        <v>4.547718313819539E-2</v>
      </c>
      <c r="T829" s="7">
        <f t="shared" si="703"/>
        <v>0.20118145402254042</v>
      </c>
      <c r="U829" s="7">
        <f t="shared" si="703"/>
        <v>0.45041710034291726</v>
      </c>
      <c r="V829" s="7">
        <f t="shared" si="703"/>
        <v>8.296497250508264E-2</v>
      </c>
      <c r="W829" s="7">
        <f t="shared" si="703"/>
        <v>0.10176912723295388</v>
      </c>
      <c r="X829" s="7">
        <f>SUM(R829:W829)</f>
        <v>0.99999999999999978</v>
      </c>
    </row>
    <row r="830" spans="1:24" ht="15.75" customHeight="1" x14ac:dyDescent="0.3">
      <c r="C830" t="s">
        <v>71</v>
      </c>
      <c r="D830" t="s">
        <v>70</v>
      </c>
      <c r="E830" t="s">
        <v>69</v>
      </c>
      <c r="F830" t="s">
        <v>68</v>
      </c>
      <c r="G830" t="s">
        <v>72</v>
      </c>
      <c r="H830" t="s">
        <v>73</v>
      </c>
      <c r="K830" t="s">
        <v>68</v>
      </c>
      <c r="L830" t="s">
        <v>69</v>
      </c>
      <c r="M830" t="s">
        <v>70</v>
      </c>
      <c r="N830" t="s">
        <v>71</v>
      </c>
      <c r="O830" t="s">
        <v>72</v>
      </c>
      <c r="P830" t="s">
        <v>73</v>
      </c>
    </row>
    <row r="831" spans="1:24" ht="15.75" customHeight="1" x14ac:dyDescent="0.3">
      <c r="A831">
        <v>415</v>
      </c>
      <c r="B831" s="16" t="s">
        <v>496</v>
      </c>
      <c r="C831" s="7">
        <f>Rankings!L424</f>
        <v>8.4317983015186204</v>
      </c>
      <c r="D831" s="7">
        <f>Rankings!M424</f>
        <v>3.7661124345253274</v>
      </c>
      <c r="E831" s="7">
        <f>Rankings!N424</f>
        <v>2.5007673907088717</v>
      </c>
      <c r="F831" s="7">
        <f>Rankings!O424</f>
        <v>1.4339182758223568</v>
      </c>
      <c r="G831" s="7">
        <f>Rankings!P424</f>
        <v>1.3219359277692486</v>
      </c>
      <c r="H831" s="7">
        <f>Rankings!Q424</f>
        <v>1</v>
      </c>
      <c r="I831" s="7">
        <f>Rankings!R424</f>
        <v>18.454532330344424</v>
      </c>
      <c r="K831" s="7">
        <f>F831</f>
        <v>1.4339182758223568</v>
      </c>
      <c r="L831" s="7">
        <f>E831</f>
        <v>2.5007673907088717</v>
      </c>
      <c r="M831" s="7">
        <f>D831</f>
        <v>3.7661124345253274</v>
      </c>
      <c r="N831" s="7">
        <f>C831</f>
        <v>8.4317983015186204</v>
      </c>
      <c r="O831" s="7">
        <f t="shared" ref="O831:P831" si="704">G831</f>
        <v>1.3219359277692486</v>
      </c>
      <c r="P831" s="7">
        <f t="shared" si="704"/>
        <v>1</v>
      </c>
      <c r="R831" s="7">
        <f t="shared" ref="R831:W831" si="705">K831/$I831</f>
        <v>7.7700060351277134E-2</v>
      </c>
      <c r="S831" s="7">
        <f t="shared" si="705"/>
        <v>0.13550965941287546</v>
      </c>
      <c r="T831" s="7">
        <f t="shared" si="705"/>
        <v>0.2040752031593227</v>
      </c>
      <c r="U831" s="7">
        <f t="shared" si="705"/>
        <v>0.45689579939418895</v>
      </c>
      <c r="V831" s="7">
        <f t="shared" si="705"/>
        <v>7.1632047028123022E-2</v>
      </c>
      <c r="W831" s="7">
        <f t="shared" si="705"/>
        <v>5.418723065421277E-2</v>
      </c>
      <c r="X831" s="7">
        <f>SUM(R831:W831)</f>
        <v>1</v>
      </c>
    </row>
    <row r="832" spans="1:24" ht="15.75" customHeight="1" x14ac:dyDescent="0.3">
      <c r="C832" t="s">
        <v>71</v>
      </c>
      <c r="D832" t="s">
        <v>70</v>
      </c>
      <c r="E832" t="s">
        <v>69</v>
      </c>
      <c r="F832" t="s">
        <v>68</v>
      </c>
      <c r="G832" t="s">
        <v>73</v>
      </c>
      <c r="H832" t="s">
        <v>72</v>
      </c>
      <c r="K832" t="s">
        <v>68</v>
      </c>
      <c r="L832" t="s">
        <v>69</v>
      </c>
      <c r="M832" t="s">
        <v>70</v>
      </c>
      <c r="N832" t="s">
        <v>71</v>
      </c>
      <c r="O832" t="s">
        <v>72</v>
      </c>
      <c r="P832" t="s">
        <v>73</v>
      </c>
    </row>
    <row r="833" spans="1:24" ht="15.75" customHeight="1" x14ac:dyDescent="0.3">
      <c r="A833">
        <v>416</v>
      </c>
      <c r="B833" s="16" t="s">
        <v>497</v>
      </c>
      <c r="C833" s="7">
        <f>Rankings!L425</f>
        <v>8.3768813905079362</v>
      </c>
      <c r="D833" s="7">
        <f>Rankings!M425</f>
        <v>3.7415834723719268</v>
      </c>
      <c r="E833" s="7">
        <f>Rankings!N425</f>
        <v>2.4844797121683104</v>
      </c>
      <c r="F833" s="7">
        <f>Rankings!O425</f>
        <v>1.4245790625805328</v>
      </c>
      <c r="G833" s="7">
        <f>Rankings!P425</f>
        <v>1.2266517321719024</v>
      </c>
      <c r="H833" s="7">
        <f>Rankings!Q425</f>
        <v>1</v>
      </c>
      <c r="I833" s="7">
        <f>Rankings!R425</f>
        <v>18.25417536980061</v>
      </c>
      <c r="K833" s="7">
        <f>F833</f>
        <v>1.4245790625805328</v>
      </c>
      <c r="L833" s="7">
        <f>E833</f>
        <v>2.4844797121683104</v>
      </c>
      <c r="M833" s="7">
        <f>D833</f>
        <v>3.7415834723719268</v>
      </c>
      <c r="N833" s="7">
        <f>C833</f>
        <v>8.3768813905079362</v>
      </c>
      <c r="O833" s="7">
        <f>H833</f>
        <v>1</v>
      </c>
      <c r="P833" s="7">
        <f>G833</f>
        <v>1.2266517321719024</v>
      </c>
      <c r="R833" s="7">
        <f t="shared" ref="R833:W833" si="706">K833/$I833</f>
        <v>7.8041271858126857E-2</v>
      </c>
      <c r="S833" s="7">
        <f t="shared" si="706"/>
        <v>0.13610473559263545</v>
      </c>
      <c r="T833" s="7">
        <f t="shared" si="706"/>
        <v>0.20497137759298278</v>
      </c>
      <c r="U833" s="7">
        <f t="shared" si="706"/>
        <v>0.45890220844303398</v>
      </c>
      <c r="V833" s="7">
        <f t="shared" si="706"/>
        <v>5.4781987120293731E-2</v>
      </c>
      <c r="W833" s="7">
        <f t="shared" si="706"/>
        <v>6.7198419392927145E-2</v>
      </c>
      <c r="X833" s="7">
        <f>SUM(R833:W833)</f>
        <v>0.99999999999999989</v>
      </c>
    </row>
    <row r="834" spans="1:24" ht="15.75" customHeight="1" x14ac:dyDescent="0.3">
      <c r="C834" t="s">
        <v>71</v>
      </c>
      <c r="D834" t="s">
        <v>70</v>
      </c>
      <c r="E834" t="s">
        <v>69</v>
      </c>
      <c r="F834" t="s">
        <v>72</v>
      </c>
      <c r="G834" t="s">
        <v>68</v>
      </c>
      <c r="H834" t="s">
        <v>73</v>
      </c>
      <c r="K834" t="s">
        <v>68</v>
      </c>
      <c r="L834" t="s">
        <v>69</v>
      </c>
      <c r="M834" t="s">
        <v>70</v>
      </c>
      <c r="N834" t="s">
        <v>71</v>
      </c>
      <c r="O834" t="s">
        <v>72</v>
      </c>
      <c r="P834" t="s">
        <v>73</v>
      </c>
    </row>
    <row r="835" spans="1:24" ht="15.75" customHeight="1" x14ac:dyDescent="0.3">
      <c r="A835">
        <v>417</v>
      </c>
      <c r="B835" s="16" t="s">
        <v>498</v>
      </c>
      <c r="C835" s="7">
        <f>Rankings!L426</f>
        <v>10.782780312149232</v>
      </c>
      <c r="D835" s="7">
        <f>Rankings!M426</f>
        <v>4.8161924135479079</v>
      </c>
      <c r="E835" s="7">
        <f>Rankings!N426</f>
        <v>3.1980396614733797</v>
      </c>
      <c r="F835" s="7">
        <f>Rankings!O426</f>
        <v>1.7775042564817045</v>
      </c>
      <c r="G835" s="7">
        <f>Rankings!P426</f>
        <v>1.1613557664474019</v>
      </c>
      <c r="H835" s="7">
        <f>Rankings!Q426</f>
        <v>1</v>
      </c>
      <c r="I835" s="7">
        <f>Rankings!R426</f>
        <v>22.735872410099624</v>
      </c>
      <c r="K835" s="7">
        <f>G835</f>
        <v>1.1613557664474019</v>
      </c>
      <c r="L835" s="7">
        <f>E835</f>
        <v>3.1980396614733797</v>
      </c>
      <c r="M835" s="7">
        <f>D835</f>
        <v>4.8161924135479079</v>
      </c>
      <c r="N835" s="7">
        <f>C835</f>
        <v>10.782780312149232</v>
      </c>
      <c r="O835" s="7">
        <f>F835</f>
        <v>1.7775042564817045</v>
      </c>
      <c r="P835" s="7">
        <f>H835</f>
        <v>1</v>
      </c>
      <c r="R835" s="7">
        <f t="shared" ref="R835:W835" si="707">K835/$I835</f>
        <v>5.1080325641320444E-2</v>
      </c>
      <c r="S835" s="7">
        <f t="shared" si="707"/>
        <v>0.14066052112663868</v>
      </c>
      <c r="T835" s="7">
        <f t="shared" si="707"/>
        <v>0.21183231180557124</v>
      </c>
      <c r="U835" s="7">
        <f t="shared" si="707"/>
        <v>0.47426287927967764</v>
      </c>
      <c r="V835" s="7">
        <f t="shared" si="707"/>
        <v>7.8180604835383832E-2</v>
      </c>
      <c r="W835" s="7">
        <f t="shared" si="707"/>
        <v>4.3983357311408233E-2</v>
      </c>
      <c r="X835" s="7">
        <f>SUM(R835:W835)</f>
        <v>1</v>
      </c>
    </row>
    <row r="836" spans="1:24" ht="15.75" customHeight="1" x14ac:dyDescent="0.3">
      <c r="C836" t="s">
        <v>71</v>
      </c>
      <c r="D836" t="s">
        <v>70</v>
      </c>
      <c r="E836" t="s">
        <v>69</v>
      </c>
      <c r="F836" t="s">
        <v>72</v>
      </c>
      <c r="G836" t="s">
        <v>73</v>
      </c>
      <c r="H836" t="s">
        <v>68</v>
      </c>
      <c r="K836" t="s">
        <v>68</v>
      </c>
      <c r="L836" t="s">
        <v>69</v>
      </c>
      <c r="M836" t="s">
        <v>70</v>
      </c>
      <c r="N836" t="s">
        <v>71</v>
      </c>
      <c r="O836" t="s">
        <v>72</v>
      </c>
      <c r="P836" t="s">
        <v>73</v>
      </c>
    </row>
    <row r="837" spans="1:24" ht="15.75" customHeight="1" x14ac:dyDescent="0.3">
      <c r="A837">
        <v>418</v>
      </c>
      <c r="B837" s="16" t="s">
        <v>499</v>
      </c>
      <c r="C837" s="7">
        <f>Rankings!L427</f>
        <v>13.149495132023324</v>
      </c>
      <c r="D837" s="7">
        <f>Rankings!M427</f>
        <v>5.8732995445970282</v>
      </c>
      <c r="E837" s="7">
        <f>Rankings!N427</f>
        <v>3.8999780894339455</v>
      </c>
      <c r="F837" s="7">
        <f>Rankings!O427</f>
        <v>2.1676490562848283</v>
      </c>
      <c r="G837" s="7">
        <f>Rankings!P427</f>
        <v>1.6397534939100344</v>
      </c>
      <c r="H837" s="7">
        <f>Rankings!Q427</f>
        <v>1</v>
      </c>
      <c r="I837" s="7">
        <f>Rankings!R427</f>
        <v>27.730175316249159</v>
      </c>
      <c r="K837" s="7">
        <f>H837</f>
        <v>1</v>
      </c>
      <c r="L837" s="7">
        <f>E837</f>
        <v>3.8999780894339455</v>
      </c>
      <c r="M837" s="7">
        <f>D837</f>
        <v>5.8732995445970282</v>
      </c>
      <c r="N837" s="7">
        <f>C837</f>
        <v>13.149495132023324</v>
      </c>
      <c r="O837" s="7">
        <f t="shared" ref="O837:P837" si="708">F837</f>
        <v>2.1676490562848283</v>
      </c>
      <c r="P837" s="7">
        <f t="shared" si="708"/>
        <v>1.6397534939100344</v>
      </c>
      <c r="R837" s="7">
        <f t="shared" ref="R837:W837" si="709">K837/$I837</f>
        <v>3.6061798693859178E-2</v>
      </c>
      <c r="S837" s="7">
        <f t="shared" si="709"/>
        <v>0.14064022477162846</v>
      </c>
      <c r="T837" s="7">
        <f t="shared" si="709"/>
        <v>0.21180174584599282</v>
      </c>
      <c r="U837" s="7">
        <f t="shared" si="709"/>
        <v>0.47419444637690633</v>
      </c>
      <c r="V837" s="7">
        <f t="shared" si="709"/>
        <v>7.8169323906677302E-2</v>
      </c>
      <c r="W837" s="7">
        <f t="shared" si="709"/>
        <v>5.9132460404935909E-2</v>
      </c>
      <c r="X837" s="7">
        <f>SUM(R837:W837)</f>
        <v>1</v>
      </c>
    </row>
    <row r="838" spans="1:24" ht="15.75" customHeight="1" x14ac:dyDescent="0.3">
      <c r="C838" t="s">
        <v>71</v>
      </c>
      <c r="D838" t="s">
        <v>70</v>
      </c>
      <c r="E838" t="s">
        <v>69</v>
      </c>
      <c r="F838" t="s">
        <v>73</v>
      </c>
      <c r="G838" t="s">
        <v>68</v>
      </c>
      <c r="H838" t="s">
        <v>72</v>
      </c>
      <c r="K838" t="s">
        <v>68</v>
      </c>
      <c r="L838" t="s">
        <v>69</v>
      </c>
      <c r="M838" t="s">
        <v>70</v>
      </c>
      <c r="N838" t="s">
        <v>71</v>
      </c>
      <c r="O838" t="s">
        <v>72</v>
      </c>
      <c r="P838" t="s">
        <v>73</v>
      </c>
    </row>
    <row r="839" spans="1:24" ht="15.75" customHeight="1" x14ac:dyDescent="0.3">
      <c r="A839">
        <v>419</v>
      </c>
      <c r="B839" s="16" t="s">
        <v>500</v>
      </c>
      <c r="C839" s="7">
        <f>Rankings!L428</f>
        <v>8.008826948151258</v>
      </c>
      <c r="D839" s="7">
        <f>Rankings!M428</f>
        <v>3.5771897852397134</v>
      </c>
      <c r="E839" s="7">
        <f>Rankings!N428</f>
        <v>2.3753193036128368</v>
      </c>
      <c r="F839" s="7">
        <f>Rankings!O428</f>
        <v>1.7786584458211274</v>
      </c>
      <c r="G839" s="7">
        <f>Rankings!P428</f>
        <v>1.0847108741813811</v>
      </c>
      <c r="H839" s="7">
        <f>Rankings!Q428</f>
        <v>1</v>
      </c>
      <c r="I839" s="7">
        <f>Rankings!R428</f>
        <v>17.824705357006319</v>
      </c>
      <c r="K839" s="7">
        <f>G839</f>
        <v>1.0847108741813811</v>
      </c>
      <c r="L839" s="7">
        <f>E839</f>
        <v>2.3753193036128368</v>
      </c>
      <c r="M839" s="7">
        <f>D839</f>
        <v>3.5771897852397134</v>
      </c>
      <c r="N839" s="7">
        <f>C839</f>
        <v>8.008826948151258</v>
      </c>
      <c r="O839" s="7">
        <f>H839</f>
        <v>1</v>
      </c>
      <c r="P839" s="7">
        <f>F839</f>
        <v>1.7786584458211274</v>
      </c>
      <c r="R839" s="7">
        <f t="shared" ref="R839:W839" si="710">K839/$I839</f>
        <v>6.0854350883001618E-2</v>
      </c>
      <c r="S839" s="7">
        <f t="shared" si="710"/>
        <v>0.1332599476983318</v>
      </c>
      <c r="T839" s="7">
        <f t="shared" si="710"/>
        <v>0.20068717623058127</v>
      </c>
      <c r="U839" s="7">
        <f t="shared" si="710"/>
        <v>0.44931048158971365</v>
      </c>
      <c r="V839" s="7">
        <f t="shared" si="710"/>
        <v>5.6101909118342431E-2</v>
      </c>
      <c r="W839" s="7">
        <f t="shared" si="710"/>
        <v>9.9786134480029084E-2</v>
      </c>
      <c r="X839" s="7">
        <f>SUM(R839:W839)</f>
        <v>0.99999999999999989</v>
      </c>
    </row>
    <row r="840" spans="1:24" ht="15.75" customHeight="1" x14ac:dyDescent="0.3">
      <c r="C840" t="s">
        <v>71</v>
      </c>
      <c r="D840" t="s">
        <v>70</v>
      </c>
      <c r="E840" t="s">
        <v>69</v>
      </c>
      <c r="F840" t="s">
        <v>73</v>
      </c>
      <c r="G840" t="s">
        <v>72</v>
      </c>
      <c r="H840" t="s">
        <v>68</v>
      </c>
      <c r="K840" t="s">
        <v>68</v>
      </c>
      <c r="L840" t="s">
        <v>69</v>
      </c>
      <c r="M840" t="s">
        <v>70</v>
      </c>
      <c r="N840" t="s">
        <v>71</v>
      </c>
      <c r="O840" t="s">
        <v>72</v>
      </c>
      <c r="P840" t="s">
        <v>73</v>
      </c>
    </row>
    <row r="841" spans="1:24" ht="15.75" customHeight="1" x14ac:dyDescent="0.3">
      <c r="A841">
        <v>420</v>
      </c>
      <c r="B841" s="16" t="s">
        <v>501</v>
      </c>
      <c r="C841" s="7">
        <f>Rankings!L429</f>
        <v>8.4536253343178629</v>
      </c>
      <c r="D841" s="7">
        <f>Rankings!M429</f>
        <v>3.7758616074412896</v>
      </c>
      <c r="E841" s="7">
        <f>Rankings!N429</f>
        <v>2.5072410194542893</v>
      </c>
      <c r="F841" s="7">
        <f>Rankings!O429</f>
        <v>1.8774425013844043</v>
      </c>
      <c r="G841" s="7">
        <f>Rankings!P429</f>
        <v>1.530542412441888</v>
      </c>
      <c r="H841" s="7">
        <f>Rankings!Q429</f>
        <v>1</v>
      </c>
      <c r="I841" s="7">
        <f>Rankings!R429</f>
        <v>19.144712875039733</v>
      </c>
      <c r="K841" s="7">
        <f>H841</f>
        <v>1</v>
      </c>
      <c r="L841" s="7">
        <f>E841</f>
        <v>2.5072410194542893</v>
      </c>
      <c r="M841" s="7">
        <f>D841</f>
        <v>3.7758616074412896</v>
      </c>
      <c r="N841" s="7">
        <f>C841</f>
        <v>8.4536253343178629</v>
      </c>
      <c r="O841" s="7">
        <f>G841</f>
        <v>1.530542412441888</v>
      </c>
      <c r="P841" s="7">
        <f>F841</f>
        <v>1.8774425013844043</v>
      </c>
      <c r="R841" s="7">
        <f t="shared" ref="R841:W841" si="711">K841/$I841</f>
        <v>5.223374236673814E-2</v>
      </c>
      <c r="S841" s="7">
        <f t="shared" si="711"/>
        <v>0.13096258146149323</v>
      </c>
      <c r="T841" s="7">
        <f t="shared" si="711"/>
        <v>0.19722738241554605</v>
      </c>
      <c r="U841" s="7">
        <f t="shared" si="711"/>
        <v>0.44156448777768981</v>
      </c>
      <c r="V841" s="7">
        <f t="shared" si="711"/>
        <v>7.994595805285544E-2</v>
      </c>
      <c r="W841" s="7">
        <f t="shared" si="711"/>
        <v>9.806584792567738E-2</v>
      </c>
      <c r="X841" s="7">
        <f>SUM(R841:W841)</f>
        <v>1</v>
      </c>
    </row>
    <row r="842" spans="1:24" ht="15.75" customHeight="1" x14ac:dyDescent="0.3">
      <c r="C842" t="s">
        <v>71</v>
      </c>
      <c r="D842" t="s">
        <v>70</v>
      </c>
      <c r="E842" t="s">
        <v>72</v>
      </c>
      <c r="F842" t="s">
        <v>68</v>
      </c>
      <c r="G842" t="s">
        <v>69</v>
      </c>
      <c r="H842" t="s">
        <v>73</v>
      </c>
      <c r="K842" t="s">
        <v>68</v>
      </c>
      <c r="L842" t="s">
        <v>69</v>
      </c>
      <c r="M842" t="s">
        <v>70</v>
      </c>
      <c r="N842" t="s">
        <v>71</v>
      </c>
      <c r="O842" t="s">
        <v>72</v>
      </c>
      <c r="P842" t="s">
        <v>73</v>
      </c>
    </row>
    <row r="843" spans="1:24" ht="15.75" customHeight="1" x14ac:dyDescent="0.3">
      <c r="A843">
        <v>421</v>
      </c>
      <c r="B843" s="16" t="s">
        <v>502</v>
      </c>
      <c r="C843" s="7">
        <f>Rankings!L430</f>
        <v>16.79470349391034</v>
      </c>
      <c r="D843" s="7">
        <f>Rankings!M430</f>
        <v>7.5014533555896179</v>
      </c>
      <c r="E843" s="7">
        <f>Rankings!N430</f>
        <v>3.3466644534095145</v>
      </c>
      <c r="F843" s="7">
        <f>Rankings!O430</f>
        <v>2.186587203467373</v>
      </c>
      <c r="G843" s="7">
        <f>Rankings!P430</f>
        <v>1.3354555559520354</v>
      </c>
      <c r="H843" s="7">
        <f>Rankings!Q430</f>
        <v>1</v>
      </c>
      <c r="I843" s="7">
        <f>Rankings!R430</f>
        <v>32.164864062328874</v>
      </c>
      <c r="K843" s="7">
        <f t="shared" ref="K843:L843" si="712">F843</f>
        <v>2.186587203467373</v>
      </c>
      <c r="L843" s="7">
        <f t="shared" si="712"/>
        <v>1.3354555559520354</v>
      </c>
      <c r="M843" s="7">
        <f>D843</f>
        <v>7.5014533555896179</v>
      </c>
      <c r="N843" s="7">
        <f>C843</f>
        <v>16.79470349391034</v>
      </c>
      <c r="O843" s="7">
        <f>E843</f>
        <v>3.3466644534095145</v>
      </c>
      <c r="P843" s="7">
        <f>H843</f>
        <v>1</v>
      </c>
      <c r="R843" s="7">
        <f t="shared" ref="R843:W843" si="713">K843/$I843</f>
        <v>6.7980613853371744E-2</v>
      </c>
      <c r="S843" s="7">
        <f t="shared" si="713"/>
        <v>4.1519079743791168E-2</v>
      </c>
      <c r="T843" s="7">
        <f t="shared" si="713"/>
        <v>0.23321887327281557</v>
      </c>
      <c r="U843" s="7">
        <f t="shared" si="713"/>
        <v>0.52214439524338319</v>
      </c>
      <c r="V843" s="7">
        <f t="shared" si="713"/>
        <v>0.10404721272642001</v>
      </c>
      <c r="W843" s="7">
        <f t="shared" si="713"/>
        <v>3.10898251602185E-2</v>
      </c>
      <c r="X843" s="7">
        <f>SUM(R843:W843)</f>
        <v>1.0000000000000002</v>
      </c>
    </row>
    <row r="844" spans="1:24" ht="15.75" customHeight="1" x14ac:dyDescent="0.3">
      <c r="C844" t="s">
        <v>71</v>
      </c>
      <c r="D844" t="s">
        <v>70</v>
      </c>
      <c r="E844" t="s">
        <v>72</v>
      </c>
      <c r="F844" t="s">
        <v>68</v>
      </c>
      <c r="G844" t="s">
        <v>73</v>
      </c>
      <c r="H844" t="s">
        <v>69</v>
      </c>
      <c r="K844" t="s">
        <v>68</v>
      </c>
      <c r="L844" t="s">
        <v>69</v>
      </c>
      <c r="M844" t="s">
        <v>70</v>
      </c>
      <c r="N844" t="s">
        <v>71</v>
      </c>
      <c r="O844" t="s">
        <v>72</v>
      </c>
      <c r="P844" t="s">
        <v>73</v>
      </c>
    </row>
    <row r="845" spans="1:24" ht="15.75" customHeight="1" x14ac:dyDescent="0.3">
      <c r="A845">
        <v>422</v>
      </c>
      <c r="B845" s="16" t="s">
        <v>503</v>
      </c>
      <c r="C845" s="7">
        <f>Rankings!L431</f>
        <v>11.078203912178454</v>
      </c>
      <c r="D845" s="7">
        <f>Rankings!M431</f>
        <v>4.9481451066432713</v>
      </c>
      <c r="E845" s="7">
        <f>Rankings!N431</f>
        <v>2.2075430658214978</v>
      </c>
      <c r="F845" s="7">
        <f>Rankings!O431</f>
        <v>1.4423272742239766</v>
      </c>
      <c r="G845" s="7">
        <f>Rankings!P431</f>
        <v>1.2419340531937677</v>
      </c>
      <c r="H845" s="7">
        <f>Rankings!Q431</f>
        <v>1</v>
      </c>
      <c r="I845" s="7">
        <f>Rankings!R431</f>
        <v>21.918153412060967</v>
      </c>
      <c r="K845" s="7">
        <f>F845</f>
        <v>1.4423272742239766</v>
      </c>
      <c r="L845" s="7">
        <f>H845</f>
        <v>1</v>
      </c>
      <c r="M845" s="7">
        <f>D845</f>
        <v>4.9481451066432713</v>
      </c>
      <c r="N845" s="7">
        <f>C845</f>
        <v>11.078203912178454</v>
      </c>
      <c r="O845" s="7">
        <f>E845</f>
        <v>2.2075430658214978</v>
      </c>
      <c r="P845" s="7">
        <f>G845</f>
        <v>1.2419340531937677</v>
      </c>
      <c r="R845" s="7">
        <f t="shared" ref="R845:W845" si="714">K845/$I845</f>
        <v>6.5805145493246842E-2</v>
      </c>
      <c r="S845" s="7">
        <f t="shared" si="714"/>
        <v>4.5624281443788377E-2</v>
      </c>
      <c r="T845" s="7">
        <f t="shared" si="714"/>
        <v>0.22575556497019686</v>
      </c>
      <c r="U845" s="7">
        <f t="shared" si="714"/>
        <v>0.50543509318090718</v>
      </c>
      <c r="V845" s="7">
        <f t="shared" si="714"/>
        <v>0.10071756613432346</v>
      </c>
      <c r="W845" s="7">
        <f t="shared" si="714"/>
        <v>5.66623487775373E-2</v>
      </c>
      <c r="X845" s="7">
        <f>SUM(R845:W845)</f>
        <v>1</v>
      </c>
    </row>
    <row r="846" spans="1:24" ht="15.75" customHeight="1" x14ac:dyDescent="0.3">
      <c r="C846" t="s">
        <v>71</v>
      </c>
      <c r="D846" t="s">
        <v>70</v>
      </c>
      <c r="E846" t="s">
        <v>72</v>
      </c>
      <c r="F846" t="s">
        <v>69</v>
      </c>
      <c r="G846" t="s">
        <v>68</v>
      </c>
      <c r="H846" t="s">
        <v>73</v>
      </c>
      <c r="K846" t="s">
        <v>68</v>
      </c>
      <c r="L846" t="s">
        <v>69</v>
      </c>
      <c r="M846" t="s">
        <v>70</v>
      </c>
      <c r="N846" t="s">
        <v>71</v>
      </c>
      <c r="O846" t="s">
        <v>72</v>
      </c>
      <c r="P846" t="s">
        <v>73</v>
      </c>
    </row>
    <row r="847" spans="1:24" ht="15.75" customHeight="1" x14ac:dyDescent="0.3">
      <c r="A847">
        <v>423</v>
      </c>
      <c r="B847" s="16" t="s">
        <v>504</v>
      </c>
      <c r="C847" s="7">
        <f>Rankings!L432</f>
        <v>18.54281072483731</v>
      </c>
      <c r="D847" s="7">
        <f>Rankings!M432</f>
        <v>8.2822557590451122</v>
      </c>
      <c r="E847" s="7">
        <f>Rankings!N432</f>
        <v>3.6950081042880618</v>
      </c>
      <c r="F847" s="7">
        <f>Rankings!O432</f>
        <v>2.0254157288550885</v>
      </c>
      <c r="G847" s="7">
        <f>Rankings!P432</f>
        <v>1.1613557664474019</v>
      </c>
      <c r="H847" s="7">
        <f>Rankings!Q432</f>
        <v>1</v>
      </c>
      <c r="I847" s="7">
        <f>Rankings!R432</f>
        <v>34.706846083472975</v>
      </c>
      <c r="K847" s="7">
        <f>G847</f>
        <v>1.1613557664474019</v>
      </c>
      <c r="L847" s="7">
        <f>F847</f>
        <v>2.0254157288550885</v>
      </c>
      <c r="M847" s="7">
        <f>D847</f>
        <v>8.2822557590451122</v>
      </c>
      <c r="N847" s="7">
        <f>C847</f>
        <v>18.54281072483731</v>
      </c>
      <c r="O847" s="7">
        <f>E847</f>
        <v>3.6950081042880618</v>
      </c>
      <c r="P847" s="7">
        <f>H847</f>
        <v>1</v>
      </c>
      <c r="R847" s="7">
        <f t="shared" ref="R847:W847" si="715">K847/$I847</f>
        <v>3.3461864084516367E-2</v>
      </c>
      <c r="S847" s="7">
        <f t="shared" si="715"/>
        <v>5.8357815745740421E-2</v>
      </c>
      <c r="T847" s="7">
        <f t="shared" si="715"/>
        <v>0.2386346411058374</v>
      </c>
      <c r="U847" s="7">
        <f t="shared" si="715"/>
        <v>0.53426954094993939</v>
      </c>
      <c r="V847" s="7">
        <f t="shared" si="715"/>
        <v>0.10646337887923457</v>
      </c>
      <c r="W847" s="7">
        <f t="shared" si="715"/>
        <v>2.8812759234731766E-2</v>
      </c>
      <c r="X847" s="7">
        <f>SUM(R847:W847)</f>
        <v>1</v>
      </c>
    </row>
    <row r="848" spans="1:24" ht="15.75" customHeight="1" x14ac:dyDescent="0.3">
      <c r="C848" t="s">
        <v>71</v>
      </c>
      <c r="D848" t="s">
        <v>70</v>
      </c>
      <c r="E848" t="s">
        <v>72</v>
      </c>
      <c r="F848" t="s">
        <v>69</v>
      </c>
      <c r="G848" t="s">
        <v>73</v>
      </c>
      <c r="H848" t="s">
        <v>68</v>
      </c>
      <c r="K848" t="s">
        <v>68</v>
      </c>
      <c r="L848" t="s">
        <v>69</v>
      </c>
      <c r="M848" t="s">
        <v>70</v>
      </c>
      <c r="N848" t="s">
        <v>71</v>
      </c>
      <c r="O848" t="s">
        <v>72</v>
      </c>
      <c r="P848" t="s">
        <v>73</v>
      </c>
    </row>
    <row r="849" spans="1:24" ht="15.75" customHeight="1" x14ac:dyDescent="0.3">
      <c r="A849">
        <v>424</v>
      </c>
      <c r="B849" s="16" t="s">
        <v>505</v>
      </c>
      <c r="C849" s="7">
        <f>Rankings!L433</f>
        <v>20.04792325822093</v>
      </c>
      <c r="D849" s="7">
        <f>Rankings!M433</f>
        <v>8.9545231478790051</v>
      </c>
      <c r="E849" s="7">
        <f>Rankings!N433</f>
        <v>3.9949304349015513</v>
      </c>
      <c r="F849" s="7">
        <f>Rankings!O433</f>
        <v>2.1898179138339176</v>
      </c>
      <c r="G849" s="7">
        <f>Rankings!P433</f>
        <v>1.6397534939100344</v>
      </c>
      <c r="H849" s="7">
        <f>Rankings!Q433</f>
        <v>1</v>
      </c>
      <c r="I849" s="7">
        <f>Rankings!R433</f>
        <v>37.826948248745438</v>
      </c>
      <c r="K849" s="7">
        <f>H849</f>
        <v>1</v>
      </c>
      <c r="L849" s="7">
        <f>F849</f>
        <v>2.1898179138339176</v>
      </c>
      <c r="M849" s="7">
        <f>D849</f>
        <v>8.9545231478790051</v>
      </c>
      <c r="N849" s="7">
        <f>C849</f>
        <v>20.04792325822093</v>
      </c>
      <c r="O849" s="7">
        <f>E849</f>
        <v>3.9949304349015513</v>
      </c>
      <c r="P849" s="7">
        <f>G849</f>
        <v>1.6397534939100344</v>
      </c>
      <c r="R849" s="7">
        <f t="shared" ref="R849:W849" si="716">K849/$I849</f>
        <v>2.6436179662819241E-2</v>
      </c>
      <c r="S849" s="7">
        <f t="shared" si="716"/>
        <v>5.7890419798973462E-2</v>
      </c>
      <c r="T849" s="7">
        <f t="shared" si="716"/>
        <v>0.23672338273220306</v>
      </c>
      <c r="U849" s="7">
        <f t="shared" si="716"/>
        <v>0.52999050112074098</v>
      </c>
      <c r="V849" s="7">
        <f t="shared" si="716"/>
        <v>0.10561069871752202</v>
      </c>
      <c r="W849" s="7">
        <f t="shared" si="716"/>
        <v>4.3348817967741246E-2</v>
      </c>
      <c r="X849" s="7">
        <f>SUM(R849:W849)</f>
        <v>1</v>
      </c>
    </row>
    <row r="850" spans="1:24" ht="15.75" customHeight="1" x14ac:dyDescent="0.3">
      <c r="C850" t="s">
        <v>71</v>
      </c>
      <c r="D850" t="s">
        <v>70</v>
      </c>
      <c r="E850" t="s">
        <v>72</v>
      </c>
      <c r="F850" t="s">
        <v>73</v>
      </c>
      <c r="G850" t="s">
        <v>68</v>
      </c>
      <c r="H850" t="s">
        <v>69</v>
      </c>
      <c r="K850" t="s">
        <v>68</v>
      </c>
      <c r="L850" t="s">
        <v>69</v>
      </c>
      <c r="M850" t="s">
        <v>70</v>
      </c>
      <c r="N850" t="s">
        <v>71</v>
      </c>
      <c r="O850" t="s">
        <v>72</v>
      </c>
      <c r="P850" t="s">
        <v>73</v>
      </c>
    </row>
    <row r="851" spans="1:24" ht="15.75" customHeight="1" x14ac:dyDescent="0.3">
      <c r="A851">
        <v>425</v>
      </c>
      <c r="B851" s="16" t="s">
        <v>506</v>
      </c>
      <c r="C851" s="7">
        <f>Rankings!L434</f>
        <v>17.810926191767692</v>
      </c>
      <c r="D851" s="7">
        <f>Rankings!M434</f>
        <v>7.9553552163537855</v>
      </c>
      <c r="E851" s="7">
        <f>Rankings!N434</f>
        <v>3.5491661755090016</v>
      </c>
      <c r="F851" s="7">
        <f>Rankings!O434</f>
        <v>2.6848246582556978</v>
      </c>
      <c r="G851" s="7">
        <f>Rankings!P434</f>
        <v>1.6373343116675814</v>
      </c>
      <c r="H851" s="7">
        <f>Rankings!Q434</f>
        <v>1</v>
      </c>
      <c r="I851" s="7">
        <f>Rankings!R434</f>
        <v>34.637606553553759</v>
      </c>
      <c r="K851" s="7">
        <f t="shared" ref="K851:L851" si="717">G851</f>
        <v>1.6373343116675814</v>
      </c>
      <c r="L851" s="7">
        <f t="shared" si="717"/>
        <v>1</v>
      </c>
      <c r="M851" s="7">
        <f>D851</f>
        <v>7.9553552163537855</v>
      </c>
      <c r="N851" s="7">
        <f>C851</f>
        <v>17.810926191767692</v>
      </c>
      <c r="O851" s="7">
        <f t="shared" ref="O851:P851" si="718">E851</f>
        <v>3.5491661755090016</v>
      </c>
      <c r="P851" s="7">
        <f t="shared" si="718"/>
        <v>2.6848246582556978</v>
      </c>
      <c r="R851" s="7">
        <f t="shared" ref="R851:W851" si="719">K851/$I851</f>
        <v>4.7270422947268964E-2</v>
      </c>
      <c r="S851" s="7">
        <f t="shared" si="719"/>
        <v>2.8870355070691273E-2</v>
      </c>
      <c r="T851" s="7">
        <f t="shared" si="719"/>
        <v>0.22967392980960977</v>
      </c>
      <c r="U851" s="7">
        <f t="shared" si="719"/>
        <v>0.51420776329420836</v>
      </c>
      <c r="V851" s="7">
        <f t="shared" si="719"/>
        <v>0.10246568769183226</v>
      </c>
      <c r="W851" s="7">
        <f t="shared" si="719"/>
        <v>7.7511841186389346E-2</v>
      </c>
      <c r="X851" s="7">
        <f>SUM(R851:W851)</f>
        <v>1</v>
      </c>
    </row>
    <row r="852" spans="1:24" ht="15.75" customHeight="1" x14ac:dyDescent="0.3">
      <c r="C852" t="s">
        <v>71</v>
      </c>
      <c r="D852" t="s">
        <v>70</v>
      </c>
      <c r="E852" t="s">
        <v>72</v>
      </c>
      <c r="F852" t="s">
        <v>73</v>
      </c>
      <c r="G852" t="s">
        <v>69</v>
      </c>
      <c r="H852" t="s">
        <v>68</v>
      </c>
      <c r="K852" t="s">
        <v>68</v>
      </c>
      <c r="L852" t="s">
        <v>69</v>
      </c>
      <c r="M852" t="s">
        <v>70</v>
      </c>
      <c r="N852" t="s">
        <v>71</v>
      </c>
      <c r="O852" t="s">
        <v>72</v>
      </c>
      <c r="P852" t="s">
        <v>73</v>
      </c>
    </row>
    <row r="853" spans="1:24" ht="15.75" customHeight="1" x14ac:dyDescent="0.3">
      <c r="A853">
        <v>426</v>
      </c>
      <c r="B853" s="16" t="s">
        <v>507</v>
      </c>
      <c r="C853" s="7">
        <f>Rankings!L435</f>
        <v>14.368717591421378</v>
      </c>
      <c r="D853" s="7">
        <f>Rankings!M435</f>
        <v>6.4178724459631047</v>
      </c>
      <c r="E853" s="7">
        <f>Rankings!N435</f>
        <v>2.8632405699645762</v>
      </c>
      <c r="F853" s="7">
        <f>Rankings!O435</f>
        <v>2.1659450430371923</v>
      </c>
      <c r="G853" s="7">
        <f>Rankings!P435</f>
        <v>1.7440097060445605</v>
      </c>
      <c r="H853" s="7">
        <f>Rankings!Q435</f>
        <v>1</v>
      </c>
      <c r="I853" s="7">
        <f>Rankings!R435</f>
        <v>28.559785356430812</v>
      </c>
      <c r="K853" s="7">
        <f>H853</f>
        <v>1</v>
      </c>
      <c r="L853" s="7">
        <f>G853</f>
        <v>1.7440097060445605</v>
      </c>
      <c r="M853" s="7">
        <f>D853</f>
        <v>6.4178724459631047</v>
      </c>
      <c r="N853" s="7">
        <f>C853</f>
        <v>14.368717591421378</v>
      </c>
      <c r="O853" s="7">
        <f t="shared" ref="O853:P853" si="720">E853</f>
        <v>2.8632405699645762</v>
      </c>
      <c r="P853" s="7">
        <f t="shared" si="720"/>
        <v>2.1659450430371923</v>
      </c>
      <c r="R853" s="7">
        <f t="shared" ref="R853:W853" si="721">K853/$I853</f>
        <v>3.5014268753067845E-2</v>
      </c>
      <c r="S853" s="7">
        <f t="shared" si="721"/>
        <v>6.1065224555403093E-2</v>
      </c>
      <c r="T853" s="7">
        <f t="shared" si="721"/>
        <v>0.22471711064586106</v>
      </c>
      <c r="U853" s="7">
        <f t="shared" si="721"/>
        <v>0.50311013938296179</v>
      </c>
      <c r="V853" s="7">
        <f t="shared" si="721"/>
        <v>0.10025427482142683</v>
      </c>
      <c r="W853" s="7">
        <f t="shared" si="721"/>
        <v>7.5838981841279351E-2</v>
      </c>
      <c r="X853" s="7">
        <f>SUM(R853:W853)</f>
        <v>0.99999999999999989</v>
      </c>
    </row>
    <row r="854" spans="1:24" ht="15.75" customHeight="1" x14ac:dyDescent="0.3">
      <c r="C854" t="s">
        <v>71</v>
      </c>
      <c r="D854" t="s">
        <v>70</v>
      </c>
      <c r="E854" t="s">
        <v>73</v>
      </c>
      <c r="F854" t="s">
        <v>68</v>
      </c>
      <c r="G854" t="s">
        <v>69</v>
      </c>
      <c r="H854" t="s">
        <v>72</v>
      </c>
      <c r="K854" t="s">
        <v>68</v>
      </c>
      <c r="L854" t="s">
        <v>69</v>
      </c>
      <c r="M854" t="s">
        <v>70</v>
      </c>
      <c r="N854" t="s">
        <v>71</v>
      </c>
      <c r="O854" t="s">
        <v>72</v>
      </c>
      <c r="P854" t="s">
        <v>73</v>
      </c>
    </row>
    <row r="855" spans="1:24" ht="15.75" customHeight="1" x14ac:dyDescent="0.3">
      <c r="A855">
        <v>427</v>
      </c>
      <c r="B855" s="16" t="s">
        <v>508</v>
      </c>
      <c r="C855" s="7">
        <f>Rankings!L436</f>
        <v>21.786856617079739</v>
      </c>
      <c r="D855" s="7">
        <f>Rankings!M436</f>
        <v>9.7312279872760215</v>
      </c>
      <c r="E855" s="7">
        <f>Rankings!N436</f>
        <v>4.8304670494564359</v>
      </c>
      <c r="F855" s="7">
        <f>Rankings!O436</f>
        <v>2.9458495239659848</v>
      </c>
      <c r="G855" s="7">
        <f>Rankings!P436</f>
        <v>1.7991741228251155</v>
      </c>
      <c r="H855" s="7">
        <f>Rankings!Q436</f>
        <v>1</v>
      </c>
      <c r="I855" s="7">
        <f>Rankings!R436</f>
        <v>42.093575300603291</v>
      </c>
      <c r="K855" s="7">
        <f t="shared" ref="K855:L855" si="722">F855</f>
        <v>2.9458495239659848</v>
      </c>
      <c r="L855" s="7">
        <f t="shared" si="722"/>
        <v>1.7991741228251155</v>
      </c>
      <c r="M855" s="7">
        <f>D855</f>
        <v>9.7312279872760215</v>
      </c>
      <c r="N855" s="7">
        <f>C855</f>
        <v>21.786856617079739</v>
      </c>
      <c r="O855" s="7">
        <f>H855</f>
        <v>1</v>
      </c>
      <c r="P855" s="7">
        <f>E855</f>
        <v>4.8304670494564359</v>
      </c>
      <c r="R855" s="7">
        <f t="shared" ref="R855:W855" si="723">K855/$I855</f>
        <v>6.9983352635853771E-2</v>
      </c>
      <c r="S855" s="7">
        <f t="shared" si="723"/>
        <v>4.2742250093432417E-2</v>
      </c>
      <c r="T855" s="7">
        <f t="shared" si="723"/>
        <v>0.23118083740291245</v>
      </c>
      <c r="U855" s="7">
        <f t="shared" si="723"/>
        <v>0.51758151835507038</v>
      </c>
      <c r="V855" s="7">
        <f t="shared" si="723"/>
        <v>2.3756594512551844E-2</v>
      </c>
      <c r="W855" s="7">
        <f t="shared" si="723"/>
        <v>0.11475544700017927</v>
      </c>
      <c r="X855" s="7">
        <f>SUM(R855:W855)</f>
        <v>1.0000000000000002</v>
      </c>
    </row>
    <row r="856" spans="1:24" ht="15.75" customHeight="1" x14ac:dyDescent="0.3">
      <c r="C856" t="s">
        <v>71</v>
      </c>
      <c r="D856" t="s">
        <v>70</v>
      </c>
      <c r="E856" t="s">
        <v>73</v>
      </c>
      <c r="F856" t="s">
        <v>68</v>
      </c>
      <c r="G856" t="s">
        <v>72</v>
      </c>
      <c r="H856" t="s">
        <v>69</v>
      </c>
      <c r="K856" t="s">
        <v>68</v>
      </c>
      <c r="L856" t="s">
        <v>69</v>
      </c>
      <c r="M856" t="s">
        <v>70</v>
      </c>
      <c r="N856" t="s">
        <v>71</v>
      </c>
      <c r="O856" t="s">
        <v>72</v>
      </c>
      <c r="P856" t="s">
        <v>73</v>
      </c>
    </row>
    <row r="857" spans="1:24" ht="15.75" customHeight="1" x14ac:dyDescent="0.3">
      <c r="A857">
        <v>428</v>
      </c>
      <c r="B857" s="16" t="s">
        <v>509</v>
      </c>
      <c r="C857" s="7">
        <f>Rankings!L437</f>
        <v>14.635219055368001</v>
      </c>
      <c r="D857" s="7">
        <f>Rankings!M437</f>
        <v>6.536906896420466</v>
      </c>
      <c r="E857" s="7">
        <f>Rankings!N437</f>
        <v>3.2448436528062969</v>
      </c>
      <c r="F857" s="7">
        <f>Rankings!O437</f>
        <v>1.9788606426865321</v>
      </c>
      <c r="G857" s="7">
        <f>Rankings!P437</f>
        <v>1.8243208303594776</v>
      </c>
      <c r="H857" s="7">
        <f>Rankings!Q437</f>
        <v>1</v>
      </c>
      <c r="I857" s="7">
        <f>Rankings!R437</f>
        <v>29.220151077640772</v>
      </c>
      <c r="K857" s="7">
        <f>F857</f>
        <v>1.9788606426865321</v>
      </c>
      <c r="L857" s="7">
        <f>H857</f>
        <v>1</v>
      </c>
      <c r="M857" s="7">
        <f>D857</f>
        <v>6.536906896420466</v>
      </c>
      <c r="N857" s="7">
        <f>C857</f>
        <v>14.635219055368001</v>
      </c>
      <c r="O857" s="7">
        <f>G857</f>
        <v>1.8243208303594776</v>
      </c>
      <c r="P857" s="7">
        <f>E857</f>
        <v>3.2448436528062969</v>
      </c>
      <c r="R857" s="7">
        <f t="shared" ref="R857:W857" si="724">K857/$I857</f>
        <v>6.7722464453674719E-2</v>
      </c>
      <c r="S857" s="7">
        <f t="shared" si="724"/>
        <v>3.4222957894464785E-2</v>
      </c>
      <c r="T857" s="7">
        <f t="shared" si="724"/>
        <v>0.22371228947623409</v>
      </c>
      <c r="U857" s="7">
        <f t="shared" si="724"/>
        <v>0.50086048550812778</v>
      </c>
      <c r="V857" s="7">
        <f t="shared" si="724"/>
        <v>6.2433654963387437E-2</v>
      </c>
      <c r="W857" s="7">
        <f t="shared" si="724"/>
        <v>0.11104814770411121</v>
      </c>
      <c r="X857" s="7">
        <f>SUM(R857:W857)</f>
        <v>1</v>
      </c>
    </row>
    <row r="858" spans="1:24" ht="15.75" customHeight="1" x14ac:dyDescent="0.3">
      <c r="C858" t="s">
        <v>71</v>
      </c>
      <c r="D858" t="s">
        <v>70</v>
      </c>
      <c r="E858" t="s">
        <v>73</v>
      </c>
      <c r="F858" t="s">
        <v>69</v>
      </c>
      <c r="G858" t="s">
        <v>68</v>
      </c>
      <c r="H858" t="s">
        <v>72</v>
      </c>
      <c r="K858" t="s">
        <v>68</v>
      </c>
      <c r="L858" t="s">
        <v>69</v>
      </c>
      <c r="M858" t="s">
        <v>70</v>
      </c>
      <c r="N858" t="s">
        <v>71</v>
      </c>
      <c r="O858" t="s">
        <v>72</v>
      </c>
      <c r="P858" t="s">
        <v>73</v>
      </c>
    </row>
    <row r="859" spans="1:24" ht="15.75" customHeight="1" x14ac:dyDescent="0.3">
      <c r="A859">
        <v>429</v>
      </c>
      <c r="B859" s="16" t="s">
        <v>510</v>
      </c>
      <c r="C859" s="7">
        <f>Rankings!L438</f>
        <v>10.59660823062171</v>
      </c>
      <c r="D859" s="7">
        <f>Rankings!M438</f>
        <v>4.7330375554583846</v>
      </c>
      <c r="E859" s="7">
        <f>Rankings!N438</f>
        <v>2.3494241410617018</v>
      </c>
      <c r="F859" s="7">
        <f>Rankings!O438</f>
        <v>1.8917462928244089</v>
      </c>
      <c r="G859" s="7">
        <f>Rankings!P438</f>
        <v>1.0847108741813811</v>
      </c>
      <c r="H859" s="7">
        <f>Rankings!Q438</f>
        <v>1</v>
      </c>
      <c r="I859" s="7">
        <f>Rankings!R438</f>
        <v>21.655527094147587</v>
      </c>
      <c r="K859" s="7">
        <f>G859</f>
        <v>1.0847108741813811</v>
      </c>
      <c r="L859" s="7">
        <f>F859</f>
        <v>1.8917462928244089</v>
      </c>
      <c r="M859" s="7">
        <f>D859</f>
        <v>4.7330375554583846</v>
      </c>
      <c r="N859" s="7">
        <f>C859</f>
        <v>10.59660823062171</v>
      </c>
      <c r="O859" s="7">
        <f>H859</f>
        <v>1</v>
      </c>
      <c r="P859" s="7">
        <f>E859</f>
        <v>2.3494241410617018</v>
      </c>
      <c r="R859" s="7">
        <f t="shared" ref="R859:W859" si="725">K859/$I859</f>
        <v>5.0089331442526953E-2</v>
      </c>
      <c r="S859" s="7">
        <f t="shared" si="725"/>
        <v>8.7356280205049999E-2</v>
      </c>
      <c r="T859" s="7">
        <f t="shared" si="725"/>
        <v>0.21856025645930777</v>
      </c>
      <c r="U859" s="7">
        <f t="shared" si="725"/>
        <v>0.48932580511907497</v>
      </c>
      <c r="V859" s="7">
        <f t="shared" si="725"/>
        <v>4.6177587627052048E-2</v>
      </c>
      <c r="W859" s="7">
        <f t="shared" si="725"/>
        <v>0.10849073914698823</v>
      </c>
      <c r="X859" s="7">
        <f>SUM(R859:W859)</f>
        <v>1</v>
      </c>
    </row>
    <row r="860" spans="1:24" ht="15.75" customHeight="1" x14ac:dyDescent="0.3">
      <c r="C860" t="s">
        <v>71</v>
      </c>
      <c r="D860" t="s">
        <v>70</v>
      </c>
      <c r="E860" t="s">
        <v>73</v>
      </c>
      <c r="F860" t="s">
        <v>69</v>
      </c>
      <c r="G860" t="s">
        <v>72</v>
      </c>
      <c r="H860" t="s">
        <v>68</v>
      </c>
      <c r="K860" t="s">
        <v>68</v>
      </c>
      <c r="L860" t="s">
        <v>69</v>
      </c>
      <c r="M860" t="s">
        <v>70</v>
      </c>
      <c r="N860" t="s">
        <v>71</v>
      </c>
      <c r="O860" t="s">
        <v>72</v>
      </c>
      <c r="P860" t="s">
        <v>73</v>
      </c>
    </row>
    <row r="861" spans="1:24" ht="15.75" customHeight="1" x14ac:dyDescent="0.3">
      <c r="A861">
        <v>430</v>
      </c>
      <c r="B861" s="16" t="s">
        <v>511</v>
      </c>
      <c r="C861" s="7">
        <f>Rankings!L439</f>
        <v>15.424906901389393</v>
      </c>
      <c r="D861" s="7">
        <f>Rankings!M439</f>
        <v>6.8896256297135823</v>
      </c>
      <c r="E861" s="7">
        <f>Rankings!N439</f>
        <v>3.4199290809892759</v>
      </c>
      <c r="F861" s="7">
        <f>Rankings!O439</f>
        <v>2.75371230235177</v>
      </c>
      <c r="G861" s="7">
        <f>Rankings!P439</f>
        <v>1.530542412441888</v>
      </c>
      <c r="H861" s="7">
        <f>Rankings!Q439</f>
        <v>1</v>
      </c>
      <c r="I861" s="7">
        <f>Rankings!R439</f>
        <v>31.018716326885912</v>
      </c>
      <c r="K861" s="7">
        <f>H861</f>
        <v>1</v>
      </c>
      <c r="L861" s="7">
        <f>F861</f>
        <v>2.75371230235177</v>
      </c>
      <c r="M861" s="7">
        <f>D861</f>
        <v>6.8896256297135823</v>
      </c>
      <c r="N861" s="7">
        <f>C861</f>
        <v>15.424906901389393</v>
      </c>
      <c r="O861" s="7">
        <f>G861</f>
        <v>1.530542412441888</v>
      </c>
      <c r="P861" s="7">
        <f>E861</f>
        <v>3.4199290809892759</v>
      </c>
      <c r="R861" s="7">
        <f t="shared" ref="R861:W861" si="726">K861/$I861</f>
        <v>3.2238600381191009E-2</v>
      </c>
      <c r="S861" s="7">
        <f t="shared" si="726"/>
        <v>8.8775830480288156E-2</v>
      </c>
      <c r="T861" s="7">
        <f t="shared" si="726"/>
        <v>0.22211188745234767</v>
      </c>
      <c r="U861" s="7">
        <f t="shared" si="726"/>
        <v>0.49727740951096794</v>
      </c>
      <c r="V861" s="7">
        <f t="shared" si="726"/>
        <v>4.9342545201178062E-2</v>
      </c>
      <c r="W861" s="7">
        <f t="shared" si="726"/>
        <v>0.11025372697402709</v>
      </c>
      <c r="X861" s="7">
        <f>SUM(R861:W861)</f>
        <v>1</v>
      </c>
    </row>
    <row r="862" spans="1:24" ht="15.75" customHeight="1" x14ac:dyDescent="0.3">
      <c r="C862" t="s">
        <v>71</v>
      </c>
      <c r="D862" t="s">
        <v>70</v>
      </c>
      <c r="E862" t="s">
        <v>73</v>
      </c>
      <c r="F862" t="s">
        <v>72</v>
      </c>
      <c r="G862" t="s">
        <v>68</v>
      </c>
      <c r="H862" t="s">
        <v>69</v>
      </c>
      <c r="K862" t="s">
        <v>68</v>
      </c>
      <c r="L862" t="s">
        <v>69</v>
      </c>
      <c r="M862" t="s">
        <v>70</v>
      </c>
      <c r="N862" t="s">
        <v>71</v>
      </c>
      <c r="O862" t="s">
        <v>72</v>
      </c>
      <c r="P862" t="s">
        <v>73</v>
      </c>
    </row>
    <row r="863" spans="1:24" ht="15.75" customHeight="1" x14ac:dyDescent="0.3">
      <c r="A863">
        <v>431</v>
      </c>
      <c r="B863" s="16" t="s">
        <v>512</v>
      </c>
      <c r="C863" s="7">
        <f>Rankings!L440</f>
        <v>13.864667515993441</v>
      </c>
      <c r="D863" s="7">
        <f>Rankings!M440</f>
        <v>6.1927355073398598</v>
      </c>
      <c r="E863" s="7">
        <f>Rankings!N440</f>
        <v>3.0740010256996957</v>
      </c>
      <c r="F863" s="7">
        <f>Rankings!O440</f>
        <v>2.5060096073535783</v>
      </c>
      <c r="G863" s="7">
        <f>Rankings!P440</f>
        <v>1.6373343116675814</v>
      </c>
      <c r="H863" s="7">
        <f>Rankings!Q440</f>
        <v>1</v>
      </c>
      <c r="I863" s="7">
        <f>Rankings!R440</f>
        <v>28.274747968054154</v>
      </c>
      <c r="K863" s="7">
        <f t="shared" ref="K863:L863" si="727">G863</f>
        <v>1.6373343116675814</v>
      </c>
      <c r="L863" s="7">
        <f t="shared" si="727"/>
        <v>1</v>
      </c>
      <c r="M863" s="7">
        <f>D863</f>
        <v>6.1927355073398598</v>
      </c>
      <c r="N863" s="7">
        <f>C863</f>
        <v>13.864667515993441</v>
      </c>
      <c r="O863" s="7">
        <f>F863</f>
        <v>2.5060096073535783</v>
      </c>
      <c r="P863" s="7">
        <f>E863</f>
        <v>3.0740010256996957</v>
      </c>
      <c r="R863" s="7">
        <f t="shared" ref="R863:W863" si="728">K863/$I863</f>
        <v>5.7908007297447946E-2</v>
      </c>
      <c r="S863" s="7">
        <f t="shared" si="728"/>
        <v>3.5367247168032641E-2</v>
      </c>
      <c r="T863" s="7">
        <f t="shared" si="728"/>
        <v>0.21902000733434085</v>
      </c>
      <c r="U863" s="7">
        <f t="shared" si="728"/>
        <v>0.49035512294073319</v>
      </c>
      <c r="V863" s="7">
        <f t="shared" si="728"/>
        <v>8.8630661188738441E-2</v>
      </c>
      <c r="W863" s="7">
        <f t="shared" si="728"/>
        <v>0.108718954070707</v>
      </c>
      <c r="X863" s="7">
        <f>SUM(R863:W863)</f>
        <v>1</v>
      </c>
    </row>
    <row r="864" spans="1:24" ht="15.75" customHeight="1" x14ac:dyDescent="0.3">
      <c r="C864" t="s">
        <v>71</v>
      </c>
      <c r="D864" t="s">
        <v>70</v>
      </c>
      <c r="E864" t="s">
        <v>73</v>
      </c>
      <c r="F864" t="s">
        <v>72</v>
      </c>
      <c r="G864" t="s">
        <v>69</v>
      </c>
      <c r="H864" t="s">
        <v>68</v>
      </c>
      <c r="K864" t="s">
        <v>68</v>
      </c>
      <c r="L864" t="s">
        <v>69</v>
      </c>
      <c r="M864" t="s">
        <v>70</v>
      </c>
      <c r="N864" t="s">
        <v>71</v>
      </c>
      <c r="O864" t="s">
        <v>72</v>
      </c>
      <c r="P864" t="s">
        <v>73</v>
      </c>
    </row>
    <row r="865" spans="1:24" ht="15.75" customHeight="1" x14ac:dyDescent="0.3">
      <c r="A865">
        <v>432</v>
      </c>
      <c r="B865" s="16" t="s">
        <v>513</v>
      </c>
      <c r="C865" s="7">
        <f>Rankings!L441</f>
        <v>17.602600897004809</v>
      </c>
      <c r="D865" s="7">
        <f>Rankings!M441</f>
        <v>7.8623054949329916</v>
      </c>
      <c r="E865" s="7">
        <f>Rankings!N441</f>
        <v>3.9027559189541821</v>
      </c>
      <c r="F865" s="7">
        <f>Rankings!O441</f>
        <v>3.1816332350862009</v>
      </c>
      <c r="G865" s="7">
        <f>Rankings!P441</f>
        <v>1.7440097060445605</v>
      </c>
      <c r="H865" s="7">
        <f>Rankings!Q441</f>
        <v>1</v>
      </c>
      <c r="I865" s="7">
        <f>Rankings!R441</f>
        <v>35.293305252022741</v>
      </c>
      <c r="K865" s="7">
        <f>H865</f>
        <v>1</v>
      </c>
      <c r="L865" s="7">
        <f>G865</f>
        <v>1.7440097060445605</v>
      </c>
      <c r="M865" s="7">
        <f>D865</f>
        <v>7.8623054949329916</v>
      </c>
      <c r="N865" s="7">
        <f>C865</f>
        <v>17.602600897004809</v>
      </c>
      <c r="O865" s="7">
        <f>F865</f>
        <v>3.1816332350862009</v>
      </c>
      <c r="P865" s="7">
        <f>E865</f>
        <v>3.9027559189541821</v>
      </c>
      <c r="R865" s="7">
        <f t="shared" ref="R865:W865" si="729">K865/$I865</f>
        <v>2.8333985521027043E-2</v>
      </c>
      <c r="S865" s="7">
        <f t="shared" si="729"/>
        <v>4.9414745759597208E-2</v>
      </c>
      <c r="T865" s="7">
        <f t="shared" si="729"/>
        <v>0.22277045005532273</v>
      </c>
      <c r="U865" s="7">
        <f t="shared" si="729"/>
        <v>0.49875183894815189</v>
      </c>
      <c r="V865" s="7">
        <f t="shared" si="729"/>
        <v>9.0148350016150847E-2</v>
      </c>
      <c r="W865" s="7">
        <f t="shared" si="729"/>
        <v>0.11058062969975038</v>
      </c>
      <c r="X865" s="7">
        <f>SUM(R865:W865)</f>
        <v>1.0000000000000002</v>
      </c>
    </row>
    <row r="866" spans="1:24" ht="15.75" customHeight="1" x14ac:dyDescent="0.3">
      <c r="C866" t="s">
        <v>71</v>
      </c>
      <c r="D866" t="s">
        <v>72</v>
      </c>
      <c r="E866" t="s">
        <v>68</v>
      </c>
      <c r="F866" t="s">
        <v>69</v>
      </c>
      <c r="G866" t="s">
        <v>70</v>
      </c>
      <c r="H866" t="s">
        <v>73</v>
      </c>
      <c r="K866" t="s">
        <v>68</v>
      </c>
      <c r="L866" t="s">
        <v>69</v>
      </c>
      <c r="M866" t="s">
        <v>70</v>
      </c>
      <c r="N866" t="s">
        <v>71</v>
      </c>
      <c r="O866" t="s">
        <v>72</v>
      </c>
      <c r="P866" t="s">
        <v>73</v>
      </c>
    </row>
    <row r="867" spans="1:24" ht="15.75" customHeight="1" x14ac:dyDescent="0.3">
      <c r="A867">
        <v>433</v>
      </c>
      <c r="B867" s="16" t="s">
        <v>514</v>
      </c>
      <c r="C867" s="7">
        <f>Rankings!L442</f>
        <v>13.009580988636834</v>
      </c>
      <c r="D867" s="7">
        <f>Rankings!M442</f>
        <v>6.8665696088078754</v>
      </c>
      <c r="E867" s="7">
        <f>Rankings!N442</f>
        <v>4.4863634963585737</v>
      </c>
      <c r="F867" s="7">
        <f>Rankings!O442</f>
        <v>2.740041214789747</v>
      </c>
      <c r="G867" s="7">
        <f>Rankings!P442</f>
        <v>2.0145521929129111</v>
      </c>
      <c r="H867" s="7">
        <f>Rankings!Q442</f>
        <v>1</v>
      </c>
      <c r="I867" s="7">
        <f>Rankings!R442</f>
        <v>30.117107501505945</v>
      </c>
      <c r="K867" s="7">
        <f t="shared" ref="K867:M867" si="730">E867</f>
        <v>4.4863634963585737</v>
      </c>
      <c r="L867" s="7">
        <f t="shared" si="730"/>
        <v>2.740041214789747</v>
      </c>
      <c r="M867" s="7">
        <f t="shared" si="730"/>
        <v>2.0145521929129111</v>
      </c>
      <c r="N867" s="7">
        <f t="shared" ref="N867:O867" si="731">C867</f>
        <v>13.009580988636834</v>
      </c>
      <c r="O867" s="7">
        <f t="shared" si="731"/>
        <v>6.8665696088078754</v>
      </c>
      <c r="P867" s="7">
        <f>H867</f>
        <v>1</v>
      </c>
      <c r="R867" s="7">
        <f t="shared" ref="R867:W867" si="732">K867/$I867</f>
        <v>0.14896395665268461</v>
      </c>
      <c r="S867" s="7">
        <f t="shared" si="732"/>
        <v>9.097956085765331E-2</v>
      </c>
      <c r="T867" s="7">
        <f t="shared" si="732"/>
        <v>6.6890626625155741E-2</v>
      </c>
      <c r="U867" s="7">
        <f t="shared" si="732"/>
        <v>0.43196648243813973</v>
      </c>
      <c r="V867" s="7">
        <f t="shared" si="732"/>
        <v>0.22799565358208873</v>
      </c>
      <c r="W867" s="7">
        <f t="shared" si="732"/>
        <v>3.3203719844277772E-2</v>
      </c>
      <c r="X867" s="7">
        <f>SUM(R867:W867)</f>
        <v>0.99999999999999989</v>
      </c>
    </row>
    <row r="868" spans="1:24" ht="15.75" customHeight="1" x14ac:dyDescent="0.3">
      <c r="C868" t="s">
        <v>71</v>
      </c>
      <c r="D868" t="s">
        <v>72</v>
      </c>
      <c r="E868" t="s">
        <v>68</v>
      </c>
      <c r="F868" t="s">
        <v>69</v>
      </c>
      <c r="G868" t="s">
        <v>73</v>
      </c>
      <c r="H868" t="s">
        <v>70</v>
      </c>
      <c r="K868" t="s">
        <v>68</v>
      </c>
      <c r="L868" t="s">
        <v>69</v>
      </c>
      <c r="M868" t="s">
        <v>70</v>
      </c>
      <c r="N868" t="s">
        <v>71</v>
      </c>
      <c r="O868" t="s">
        <v>72</v>
      </c>
      <c r="P868" t="s">
        <v>73</v>
      </c>
    </row>
    <row r="869" spans="1:24" ht="15.75" customHeight="1" x14ac:dyDescent="0.3">
      <c r="A869">
        <v>434</v>
      </c>
      <c r="B869" s="16" t="s">
        <v>515</v>
      </c>
      <c r="C869" s="7">
        <f>Rankings!L443</f>
        <v>8.8975167986066666</v>
      </c>
      <c r="D869" s="7">
        <f>Rankings!M443</f>
        <v>4.6961864872153551</v>
      </c>
      <c r="E869" s="7">
        <f>Rankings!N443</f>
        <v>3.0683151600633356</v>
      </c>
      <c r="F869" s="7">
        <f>Rankings!O443</f>
        <v>1.8739698656521393</v>
      </c>
      <c r="G869" s="7">
        <f>Rankings!P443</f>
        <v>1.4032439022773779</v>
      </c>
      <c r="H869" s="7">
        <f>Rankings!Q443</f>
        <v>1</v>
      </c>
      <c r="I869" s="7">
        <f>Rankings!R443</f>
        <v>20.939232213814876</v>
      </c>
      <c r="K869" s="7">
        <f t="shared" ref="K869:L869" si="733">E869</f>
        <v>3.0683151600633356</v>
      </c>
      <c r="L869" s="7">
        <f t="shared" si="733"/>
        <v>1.8739698656521393</v>
      </c>
      <c r="M869" s="7">
        <f>H869</f>
        <v>1</v>
      </c>
      <c r="N869" s="7">
        <f t="shared" ref="N869:O869" si="734">C869</f>
        <v>8.8975167986066666</v>
      </c>
      <c r="O869" s="7">
        <f t="shared" si="734"/>
        <v>4.6961864872153551</v>
      </c>
      <c r="P869" s="7">
        <f>G869</f>
        <v>1.4032439022773779</v>
      </c>
      <c r="R869" s="7">
        <f t="shared" ref="R869:W869" si="735">K869/$I869</f>
        <v>0.1465342725431443</v>
      </c>
      <c r="S869" s="7">
        <f t="shared" si="735"/>
        <v>8.9495634152992887E-2</v>
      </c>
      <c r="T869" s="7">
        <f t="shared" si="735"/>
        <v>4.7757242948967327E-2</v>
      </c>
      <c r="U869" s="7">
        <f t="shared" si="735"/>
        <v>0.42492087139357659</v>
      </c>
      <c r="V869" s="7">
        <f t="shared" si="735"/>
        <v>0.22427691900360117</v>
      </c>
      <c r="W869" s="7">
        <f t="shared" si="735"/>
        <v>6.7015059957717713E-2</v>
      </c>
      <c r="X869" s="7">
        <f>SUM(R869:W869)</f>
        <v>1</v>
      </c>
    </row>
    <row r="870" spans="1:24" ht="15.75" customHeight="1" x14ac:dyDescent="0.3">
      <c r="C870" t="s">
        <v>71</v>
      </c>
      <c r="D870" t="s">
        <v>72</v>
      </c>
      <c r="E870" t="s">
        <v>68</v>
      </c>
      <c r="F870" t="s">
        <v>70</v>
      </c>
      <c r="G870" t="s">
        <v>69</v>
      </c>
      <c r="H870" t="s">
        <v>73</v>
      </c>
      <c r="K870" t="s">
        <v>68</v>
      </c>
      <c r="L870" t="s">
        <v>69</v>
      </c>
      <c r="M870" t="s">
        <v>70</v>
      </c>
      <c r="N870" t="s">
        <v>71</v>
      </c>
      <c r="O870" t="s">
        <v>72</v>
      </c>
      <c r="P870" t="s">
        <v>73</v>
      </c>
    </row>
    <row r="871" spans="1:24" ht="15.75" customHeight="1" x14ac:dyDescent="0.3">
      <c r="A871">
        <v>435</v>
      </c>
      <c r="B871" s="16" t="s">
        <v>516</v>
      </c>
      <c r="C871" s="7">
        <f>Rankings!L444</f>
        <v>6.4623189172919027</v>
      </c>
      <c r="D871" s="7">
        <f>Rankings!M444</f>
        <v>3.4108679379189115</v>
      </c>
      <c r="E871" s="7">
        <f>Rankings!N444</f>
        <v>2.2285353938523516</v>
      </c>
      <c r="F871" s="7">
        <f>Rankings!O444</f>
        <v>2.0111729678309791</v>
      </c>
      <c r="G871" s="7">
        <f>Rankings!P444</f>
        <v>1.3354555559520354</v>
      </c>
      <c r="H871" s="7">
        <f>Rankings!Q444</f>
        <v>1</v>
      </c>
      <c r="I871" s="7">
        <f>Rankings!R444</f>
        <v>16.448350772846183</v>
      </c>
      <c r="K871" s="7">
        <f>E871</f>
        <v>2.2285353938523516</v>
      </c>
      <c r="L871" s="7">
        <f>G871</f>
        <v>1.3354555559520354</v>
      </c>
      <c r="M871" s="7">
        <f>F871</f>
        <v>2.0111729678309791</v>
      </c>
      <c r="N871" s="7">
        <f t="shared" ref="N871:O871" si="736">C871</f>
        <v>6.4623189172919027</v>
      </c>
      <c r="O871" s="7">
        <f t="shared" si="736"/>
        <v>3.4108679379189115</v>
      </c>
      <c r="P871" s="7">
        <f>H871</f>
        <v>1</v>
      </c>
      <c r="R871" s="7">
        <f t="shared" ref="R871:W871" si="737">K871/$I871</f>
        <v>0.1354868597240361</v>
      </c>
      <c r="S871" s="7">
        <f t="shared" si="737"/>
        <v>8.1190848516963579E-2</v>
      </c>
      <c r="T871" s="7">
        <f t="shared" si="737"/>
        <v>0.12227201350491206</v>
      </c>
      <c r="U871" s="7">
        <f t="shared" si="737"/>
        <v>0.39288552430194063</v>
      </c>
      <c r="V871" s="7">
        <f t="shared" si="737"/>
        <v>0.2073683851362019</v>
      </c>
      <c r="W871" s="7">
        <f t="shared" si="737"/>
        <v>6.0796368815945578E-2</v>
      </c>
      <c r="X871" s="7">
        <f>SUM(R871:W871)</f>
        <v>0.99999999999999978</v>
      </c>
    </row>
    <row r="872" spans="1:24" ht="15.75" customHeight="1" x14ac:dyDescent="0.3">
      <c r="C872" t="s">
        <v>71</v>
      </c>
      <c r="D872" t="s">
        <v>72</v>
      </c>
      <c r="E872" t="s">
        <v>68</v>
      </c>
      <c r="F872" t="s">
        <v>70</v>
      </c>
      <c r="G872" t="s">
        <v>73</v>
      </c>
      <c r="H872" t="s">
        <v>69</v>
      </c>
      <c r="K872" t="s">
        <v>68</v>
      </c>
      <c r="L872" t="s">
        <v>69</v>
      </c>
      <c r="M872" t="s">
        <v>70</v>
      </c>
      <c r="N872" t="s">
        <v>71</v>
      </c>
      <c r="O872" t="s">
        <v>72</v>
      </c>
      <c r="P872" t="s">
        <v>73</v>
      </c>
    </row>
    <row r="873" spans="1:24" ht="15.75" customHeight="1" x14ac:dyDescent="0.3">
      <c r="A873">
        <v>436</v>
      </c>
      <c r="B873" s="16" t="s">
        <v>517</v>
      </c>
      <c r="C873" s="7">
        <f>Rankings!L445</f>
        <v>8.0392590398874653</v>
      </c>
      <c r="D873" s="7">
        <f>Rankings!M445</f>
        <v>4.243190603051807</v>
      </c>
      <c r="E873" s="7">
        <f>Rankings!N445</f>
        <v>2.7723443457421433</v>
      </c>
      <c r="F873" s="7">
        <f>Rankings!O445</f>
        <v>2.5019409703147248</v>
      </c>
      <c r="G873" s="7">
        <f>Rankings!P445</f>
        <v>1.2419340531937677</v>
      </c>
      <c r="H873" s="7">
        <f>Rankings!Q445</f>
        <v>1</v>
      </c>
      <c r="I873" s="7">
        <f>Rankings!R445</f>
        <v>19.798669012189908</v>
      </c>
      <c r="K873" s="7">
        <f>E873</f>
        <v>2.7723443457421433</v>
      </c>
      <c r="L873" s="7">
        <f>H873</f>
        <v>1</v>
      </c>
      <c r="M873" s="7">
        <f>F873</f>
        <v>2.5019409703147248</v>
      </c>
      <c r="N873" s="7">
        <f t="shared" ref="N873:O873" si="738">C873</f>
        <v>8.0392590398874653</v>
      </c>
      <c r="O873" s="7">
        <f t="shared" si="738"/>
        <v>4.243190603051807</v>
      </c>
      <c r="P873" s="7">
        <f>G873</f>
        <v>1.2419340531937677</v>
      </c>
      <c r="R873" s="7">
        <f t="shared" ref="R873:W873" si="739">K873/$I873</f>
        <v>0.14002680402582768</v>
      </c>
      <c r="S873" s="7">
        <f t="shared" si="739"/>
        <v>5.0508445763920128E-2</v>
      </c>
      <c r="T873" s="7">
        <f t="shared" si="739"/>
        <v>0.12636914980367098</v>
      </c>
      <c r="U873" s="7">
        <f t="shared" si="739"/>
        <v>0.40605047919826059</v>
      </c>
      <c r="V873" s="7">
        <f t="shared" si="739"/>
        <v>0.21431696244021772</v>
      </c>
      <c r="W873" s="7">
        <f t="shared" si="739"/>
        <v>6.2728158768102907E-2</v>
      </c>
      <c r="X873" s="7">
        <f>SUM(R873:W873)</f>
        <v>0.99999999999999989</v>
      </c>
    </row>
    <row r="874" spans="1:24" ht="15.75" customHeight="1" x14ac:dyDescent="0.3">
      <c r="C874" t="s">
        <v>71</v>
      </c>
      <c r="D874" t="s">
        <v>72</v>
      </c>
      <c r="E874" t="s">
        <v>68</v>
      </c>
      <c r="F874" t="s">
        <v>73</v>
      </c>
      <c r="G874" t="s">
        <v>69</v>
      </c>
      <c r="H874" t="s">
        <v>70</v>
      </c>
      <c r="K874" t="s">
        <v>68</v>
      </c>
      <c r="L874" t="s">
        <v>69</v>
      </c>
      <c r="M874" t="s">
        <v>70</v>
      </c>
      <c r="N874" t="s">
        <v>71</v>
      </c>
      <c r="O874" t="s">
        <v>72</v>
      </c>
      <c r="P874" t="s">
        <v>73</v>
      </c>
    </row>
    <row r="875" spans="1:24" ht="15.75" customHeight="1" x14ac:dyDescent="0.3">
      <c r="A875">
        <v>437</v>
      </c>
      <c r="B875" s="16" t="s">
        <v>518</v>
      </c>
      <c r="C875" s="7">
        <f>Rankings!L446</f>
        <v>5.6886765178682426</v>
      </c>
      <c r="D875" s="7">
        <f>Rankings!M446</f>
        <v>3.0025327738111907</v>
      </c>
      <c r="E875" s="7">
        <f>Rankings!N446</f>
        <v>1.9617442479237348</v>
      </c>
      <c r="F875" s="7">
        <f>Rankings!O446</f>
        <v>1.6891845759932191</v>
      </c>
      <c r="G875" s="7">
        <f>Rankings!P446</f>
        <v>1.3601242124324544</v>
      </c>
      <c r="H875" s="7">
        <f>Rankings!Q446</f>
        <v>1</v>
      </c>
      <c r="I875" s="7">
        <f>Rankings!R446</f>
        <v>14.702262328028841</v>
      </c>
      <c r="K875" s="7">
        <f>E875</f>
        <v>1.9617442479237348</v>
      </c>
      <c r="L875" s="7">
        <f t="shared" ref="L875:M875" si="740">G875</f>
        <v>1.3601242124324544</v>
      </c>
      <c r="M875" s="7">
        <f t="shared" si="740"/>
        <v>1</v>
      </c>
      <c r="N875" s="7">
        <f t="shared" ref="N875:O875" si="741">C875</f>
        <v>5.6886765178682426</v>
      </c>
      <c r="O875" s="7">
        <f t="shared" si="741"/>
        <v>3.0025327738111907</v>
      </c>
      <c r="P875" s="7">
        <f>F875</f>
        <v>1.6891845759932191</v>
      </c>
      <c r="R875" s="7">
        <f t="shared" ref="R875:W875" si="742">K875/$I875</f>
        <v>0.13343145457170941</v>
      </c>
      <c r="S875" s="7">
        <f t="shared" si="742"/>
        <v>9.2511219163833869E-2</v>
      </c>
      <c r="T875" s="7">
        <f t="shared" si="742"/>
        <v>6.8016743116708619E-2</v>
      </c>
      <c r="U875" s="7">
        <f t="shared" si="742"/>
        <v>0.3869252493898967</v>
      </c>
      <c r="V875" s="7">
        <f t="shared" si="742"/>
        <v>0.20422250037581433</v>
      </c>
      <c r="W875" s="7">
        <f t="shared" si="742"/>
        <v>0.11489283338203715</v>
      </c>
      <c r="X875" s="7">
        <f>SUM(R875:W875)</f>
        <v>1</v>
      </c>
    </row>
    <row r="876" spans="1:24" ht="15.75" customHeight="1" x14ac:dyDescent="0.3">
      <c r="C876" t="s">
        <v>71</v>
      </c>
      <c r="D876" t="s">
        <v>72</v>
      </c>
      <c r="E876" t="s">
        <v>68</v>
      </c>
      <c r="F876" t="s">
        <v>73</v>
      </c>
      <c r="G876" t="s">
        <v>70</v>
      </c>
      <c r="H876" t="s">
        <v>69</v>
      </c>
      <c r="K876" t="s">
        <v>68</v>
      </c>
      <c r="L876" t="s">
        <v>69</v>
      </c>
      <c r="M876" t="s">
        <v>70</v>
      </c>
      <c r="N876" t="s">
        <v>71</v>
      </c>
      <c r="O876" t="s">
        <v>72</v>
      </c>
      <c r="P876" t="s">
        <v>73</v>
      </c>
    </row>
    <row r="877" spans="1:24" ht="15.75" customHeight="1" x14ac:dyDescent="0.3">
      <c r="A877">
        <v>438</v>
      </c>
      <c r="B877" s="16" t="s">
        <v>519</v>
      </c>
      <c r="C877" s="7">
        <f>Rankings!L447</f>
        <v>7.1168412575318252</v>
      </c>
      <c r="D877" s="7">
        <f>Rankings!M447</f>
        <v>3.7563305022937987</v>
      </c>
      <c r="E877" s="7">
        <f>Rankings!N447</f>
        <v>2.4542479004556301</v>
      </c>
      <c r="F877" s="7">
        <f>Rankings!O447</f>
        <v>2.113261044858973</v>
      </c>
      <c r="G877" s="7">
        <f>Rankings!P447</f>
        <v>1.5059827029565431</v>
      </c>
      <c r="H877" s="7">
        <f>Rankings!Q447</f>
        <v>1</v>
      </c>
      <c r="I877" s="7">
        <f>Rankings!R447</f>
        <v>17.946663408096772</v>
      </c>
      <c r="K877" s="7">
        <f>E877</f>
        <v>2.4542479004556301</v>
      </c>
      <c r="L877" s="7">
        <f>H877</f>
        <v>1</v>
      </c>
      <c r="M877" s="7">
        <f>G877</f>
        <v>1.5059827029565431</v>
      </c>
      <c r="N877" s="7">
        <f t="shared" ref="N877:O877" si="743">C877</f>
        <v>7.1168412575318252</v>
      </c>
      <c r="O877" s="7">
        <f t="shared" si="743"/>
        <v>3.7563305022937987</v>
      </c>
      <c r="P877" s="7">
        <f>F877</f>
        <v>2.113261044858973</v>
      </c>
      <c r="R877" s="7">
        <f t="shared" ref="R877:W877" si="744">K877/$I877</f>
        <v>0.13675232240374988</v>
      </c>
      <c r="S877" s="7">
        <f t="shared" si="744"/>
        <v>5.5720663906185623E-2</v>
      </c>
      <c r="T877" s="7">
        <f t="shared" si="744"/>
        <v>8.3914356039970509E-2</v>
      </c>
      <c r="U877" s="7">
        <f t="shared" si="744"/>
        <v>0.39655511978460628</v>
      </c>
      <c r="V877" s="7">
        <f t="shared" si="744"/>
        <v>0.20930522943886617</v>
      </c>
      <c r="W877" s="7">
        <f t="shared" si="744"/>
        <v>0.11775230842662149</v>
      </c>
      <c r="X877" s="7">
        <f>SUM(R877:W877)</f>
        <v>1</v>
      </c>
    </row>
    <row r="878" spans="1:24" ht="15.75" customHeight="1" x14ac:dyDescent="0.3">
      <c r="C878" t="s">
        <v>71</v>
      </c>
      <c r="D878" t="s">
        <v>72</v>
      </c>
      <c r="E878" t="s">
        <v>69</v>
      </c>
      <c r="F878" t="s">
        <v>68</v>
      </c>
      <c r="G878" t="s">
        <v>70</v>
      </c>
      <c r="H878" t="s">
        <v>73</v>
      </c>
      <c r="K878" t="s">
        <v>68</v>
      </c>
      <c r="L878" t="s">
        <v>69</v>
      </c>
      <c r="M878" t="s">
        <v>70</v>
      </c>
      <c r="N878" t="s">
        <v>71</v>
      </c>
      <c r="O878" t="s">
        <v>72</v>
      </c>
      <c r="P878" t="s">
        <v>73</v>
      </c>
    </row>
    <row r="879" spans="1:24" ht="15.75" customHeight="1" x14ac:dyDescent="0.3">
      <c r="A879">
        <v>439</v>
      </c>
      <c r="B879" s="16" t="s">
        <v>520</v>
      </c>
      <c r="C879" s="7">
        <f>Rankings!L448</f>
        <v>13.456193795159788</v>
      </c>
      <c r="D879" s="7">
        <f>Rankings!M448</f>
        <v>7.102295719191714</v>
      </c>
      <c r="E879" s="7">
        <f>Rankings!N448</f>
        <v>3.8931177022148158</v>
      </c>
      <c r="F879" s="7">
        <f>Rankings!O448</f>
        <v>2.2322798369307613</v>
      </c>
      <c r="G879" s="7">
        <f>Rankings!P448</f>
        <v>2.0145521929129111</v>
      </c>
      <c r="H879" s="7">
        <f>Rankings!Q448</f>
        <v>1</v>
      </c>
      <c r="I879" s="7">
        <f>Rankings!R448</f>
        <v>29.69843924640999</v>
      </c>
      <c r="K879" s="7">
        <f>F879</f>
        <v>2.2322798369307613</v>
      </c>
      <c r="L879" s="7">
        <f>E879</f>
        <v>3.8931177022148158</v>
      </c>
      <c r="M879" s="7">
        <f>G879</f>
        <v>2.0145521929129111</v>
      </c>
      <c r="N879" s="7">
        <f t="shared" ref="N879:O879" si="745">C879</f>
        <v>13.456193795159788</v>
      </c>
      <c r="O879" s="7">
        <f t="shared" si="745"/>
        <v>7.102295719191714</v>
      </c>
      <c r="P879" s="7">
        <f>H879</f>
        <v>1</v>
      </c>
      <c r="R879" s="7">
        <f t="shared" ref="R879:W879" si="746">K879/$I879</f>
        <v>7.5164887232267732E-2</v>
      </c>
      <c r="S879" s="7">
        <f t="shared" si="746"/>
        <v>0.13108829288681978</v>
      </c>
      <c r="T879" s="7">
        <f t="shared" si="746"/>
        <v>6.7833604863812305E-2</v>
      </c>
      <c r="U879" s="7">
        <f t="shared" si="746"/>
        <v>0.45309430854304578</v>
      </c>
      <c r="V879" s="7">
        <f t="shared" si="746"/>
        <v>0.23914710332968944</v>
      </c>
      <c r="W879" s="7">
        <f t="shared" si="746"/>
        <v>3.3671803144364972E-2</v>
      </c>
      <c r="X879" s="7">
        <f>SUM(R879:W879)</f>
        <v>1</v>
      </c>
    </row>
    <row r="880" spans="1:24" ht="15.75" customHeight="1" x14ac:dyDescent="0.3">
      <c r="C880" t="s">
        <v>71</v>
      </c>
      <c r="D880" t="s">
        <v>72</v>
      </c>
      <c r="E880" t="s">
        <v>69</v>
      </c>
      <c r="F880" t="s">
        <v>68</v>
      </c>
      <c r="G880" t="s">
        <v>73</v>
      </c>
      <c r="H880" t="s">
        <v>70</v>
      </c>
      <c r="K880" t="s">
        <v>68</v>
      </c>
      <c r="L880" t="s">
        <v>69</v>
      </c>
      <c r="M880" t="s">
        <v>70</v>
      </c>
      <c r="N880" t="s">
        <v>71</v>
      </c>
      <c r="O880" t="s">
        <v>72</v>
      </c>
      <c r="P880" t="s">
        <v>73</v>
      </c>
    </row>
    <row r="881" spans="1:24" ht="15.75" customHeight="1" x14ac:dyDescent="0.3">
      <c r="A881">
        <v>440</v>
      </c>
      <c r="B881" s="16" t="s">
        <v>521</v>
      </c>
      <c r="C881" s="7">
        <f>Rankings!L449</f>
        <v>9.8236310023244169</v>
      </c>
      <c r="D881" s="7">
        <f>Rankings!M449</f>
        <v>5.1849975912077166</v>
      </c>
      <c r="E881" s="7">
        <f>Rankings!N449</f>
        <v>2.8421522710925942</v>
      </c>
      <c r="F881" s="7">
        <f>Rankings!O449</f>
        <v>1.6296653976419875</v>
      </c>
      <c r="G881" s="7">
        <f>Rankings!P449</f>
        <v>1.4032439022773779</v>
      </c>
      <c r="H881" s="7">
        <f>Rankings!Q449</f>
        <v>1</v>
      </c>
      <c r="I881" s="7">
        <f>Rankings!R449</f>
        <v>21.883690164544092</v>
      </c>
      <c r="K881" s="7">
        <f>F881</f>
        <v>1.6296653976419875</v>
      </c>
      <c r="L881" s="7">
        <f>E881</f>
        <v>2.8421522710925942</v>
      </c>
      <c r="M881" s="7">
        <f>H881</f>
        <v>1</v>
      </c>
      <c r="N881" s="7">
        <f t="shared" ref="N881:O881" si="747">C881</f>
        <v>9.8236310023244169</v>
      </c>
      <c r="O881" s="7">
        <f t="shared" si="747"/>
        <v>5.1849975912077166</v>
      </c>
      <c r="P881" s="7">
        <f>G881</f>
        <v>1.4032439022773779</v>
      </c>
      <c r="R881" s="7">
        <f t="shared" ref="R881:W881" si="748">K881/$I881</f>
        <v>7.446940554305452E-2</v>
      </c>
      <c r="S881" s="7">
        <f t="shared" si="748"/>
        <v>0.12987536607045566</v>
      </c>
      <c r="T881" s="7">
        <f t="shared" si="748"/>
        <v>4.5696132255619207E-2</v>
      </c>
      <c r="U881" s="7">
        <f t="shared" si="748"/>
        <v>0.44890194151261759</v>
      </c>
      <c r="V881" s="7">
        <f t="shared" si="748"/>
        <v>0.23693433567289482</v>
      </c>
      <c r="W881" s="7">
        <f t="shared" si="748"/>
        <v>6.4122818945358248E-2</v>
      </c>
      <c r="X881" s="7">
        <f>SUM(R881:W881)</f>
        <v>1</v>
      </c>
    </row>
    <row r="882" spans="1:24" ht="15.75" customHeight="1" x14ac:dyDescent="0.3">
      <c r="C882" t="s">
        <v>71</v>
      </c>
      <c r="D882" t="s">
        <v>72</v>
      </c>
      <c r="E882" t="s">
        <v>69</v>
      </c>
      <c r="F882" t="s">
        <v>70</v>
      </c>
      <c r="G882" t="s">
        <v>68</v>
      </c>
      <c r="H882" t="s">
        <v>73</v>
      </c>
      <c r="K882" t="s">
        <v>68</v>
      </c>
      <c r="L882" t="s">
        <v>69</v>
      </c>
      <c r="M882" t="s">
        <v>70</v>
      </c>
      <c r="N882" t="s">
        <v>71</v>
      </c>
      <c r="O882" t="s">
        <v>72</v>
      </c>
      <c r="P882" t="s">
        <v>73</v>
      </c>
    </row>
    <row r="883" spans="1:24" ht="15.75" customHeight="1" x14ac:dyDescent="0.3">
      <c r="A883">
        <v>441</v>
      </c>
      <c r="B883" s="16" t="s">
        <v>522</v>
      </c>
      <c r="C883" s="7">
        <f>Rankings!L450</f>
        <v>9.2934114130536756</v>
      </c>
      <c r="D883" s="7">
        <f>Rankings!M450</f>
        <v>4.9051430962119831</v>
      </c>
      <c r="E883" s="7">
        <f>Rankings!N450</f>
        <v>2.6887502541126156</v>
      </c>
      <c r="F883" s="7">
        <f>Rankings!O450</f>
        <v>1.9768416954390056</v>
      </c>
      <c r="G883" s="7">
        <f>Rankings!P450</f>
        <v>1.1613557664474019</v>
      </c>
      <c r="H883" s="7">
        <f>Rankings!Q450</f>
        <v>1</v>
      </c>
      <c r="I883" s="7">
        <f>Rankings!R450</f>
        <v>21.025502225264681</v>
      </c>
      <c r="K883" s="7">
        <f>G883</f>
        <v>1.1613557664474019</v>
      </c>
      <c r="L883" s="7">
        <f t="shared" ref="L883:M883" si="749">E883</f>
        <v>2.6887502541126156</v>
      </c>
      <c r="M883" s="7">
        <f t="shared" si="749"/>
        <v>1.9768416954390056</v>
      </c>
      <c r="N883" s="7">
        <f t="shared" ref="N883:O883" si="750">C883</f>
        <v>9.2934114130536756</v>
      </c>
      <c r="O883" s="7">
        <f t="shared" si="750"/>
        <v>4.9051430962119831</v>
      </c>
      <c r="P883" s="7">
        <f>H883</f>
        <v>1</v>
      </c>
      <c r="R883" s="7">
        <f t="shared" ref="R883:W883" si="751">K883/$I883</f>
        <v>5.5235577918889979E-2</v>
      </c>
      <c r="S883" s="7">
        <f t="shared" si="751"/>
        <v>0.12788042945684111</v>
      </c>
      <c r="T883" s="7">
        <f t="shared" si="751"/>
        <v>9.4021140339924508E-2</v>
      </c>
      <c r="U883" s="7">
        <f t="shared" si="751"/>
        <v>0.44200663144619295</v>
      </c>
      <c r="V883" s="7">
        <f t="shared" si="751"/>
        <v>0.23329493125343095</v>
      </c>
      <c r="W883" s="7">
        <f t="shared" si="751"/>
        <v>4.7561289584720556E-2</v>
      </c>
      <c r="X883" s="7">
        <f>SUM(R883:W883)</f>
        <v>1</v>
      </c>
    </row>
    <row r="884" spans="1:24" ht="15.75" customHeight="1" x14ac:dyDescent="0.3">
      <c r="C884" t="s">
        <v>71</v>
      </c>
      <c r="D884" t="s">
        <v>72</v>
      </c>
      <c r="E884" t="s">
        <v>69</v>
      </c>
      <c r="F884" t="s">
        <v>70</v>
      </c>
      <c r="G884" t="s">
        <v>73</v>
      </c>
      <c r="H884" t="s">
        <v>68</v>
      </c>
      <c r="K884" t="s">
        <v>68</v>
      </c>
      <c r="L884" t="s">
        <v>69</v>
      </c>
      <c r="M884" t="s">
        <v>70</v>
      </c>
      <c r="N884" t="s">
        <v>71</v>
      </c>
      <c r="O884" t="s">
        <v>72</v>
      </c>
      <c r="P884" t="s">
        <v>73</v>
      </c>
    </row>
    <row r="885" spans="1:24" ht="15.75" customHeight="1" x14ac:dyDescent="0.3">
      <c r="A885">
        <v>442</v>
      </c>
      <c r="B885" s="16" t="s">
        <v>523</v>
      </c>
      <c r="C885" s="7">
        <f>Rankings!L451</f>
        <v>15.529603209510142</v>
      </c>
      <c r="D885" s="7">
        <f>Rankings!M451</f>
        <v>8.1966591797543344</v>
      </c>
      <c r="E885" s="7">
        <f>Rankings!N451</f>
        <v>4.4929921554089827</v>
      </c>
      <c r="F885" s="7">
        <f>Rankings!O451</f>
        <v>3.3033689969930675</v>
      </c>
      <c r="G885" s="7">
        <f>Rankings!P451</f>
        <v>1.6397534939100344</v>
      </c>
      <c r="H885" s="7">
        <f>Rankings!Q451</f>
        <v>1</v>
      </c>
      <c r="I885" s="7">
        <f>Rankings!R451</f>
        <v>34.162377035576561</v>
      </c>
      <c r="K885" s="7">
        <f>H885</f>
        <v>1</v>
      </c>
      <c r="L885" s="7">
        <f t="shared" ref="L885:M885" si="752">E885</f>
        <v>4.4929921554089827</v>
      </c>
      <c r="M885" s="7">
        <f t="shared" si="752"/>
        <v>3.3033689969930675</v>
      </c>
      <c r="N885" s="7">
        <f t="shared" ref="N885:O885" si="753">C885</f>
        <v>15.529603209510142</v>
      </c>
      <c r="O885" s="7">
        <f t="shared" si="753"/>
        <v>8.1966591797543344</v>
      </c>
      <c r="P885" s="7">
        <f>G885</f>
        <v>1.6397534939100344</v>
      </c>
      <c r="R885" s="7">
        <f t="shared" ref="R885:W885" si="754">K885/$I885</f>
        <v>2.9271967783699712E-2</v>
      </c>
      <c r="S885" s="7">
        <f t="shared" si="754"/>
        <v>0.13151872162554729</v>
      </c>
      <c r="T885" s="7">
        <f t="shared" si="754"/>
        <v>9.6696110857653506E-2</v>
      </c>
      <c r="U885" s="7">
        <f t="shared" si="754"/>
        <v>0.45458204484242054</v>
      </c>
      <c r="V885" s="7">
        <f t="shared" si="754"/>
        <v>0.2399323434437354</v>
      </c>
      <c r="W885" s="7">
        <f t="shared" si="754"/>
        <v>4.7998811446943568E-2</v>
      </c>
      <c r="X885" s="7">
        <f>SUM(R885:W885)</f>
        <v>1</v>
      </c>
    </row>
    <row r="886" spans="1:24" ht="15.75" customHeight="1" x14ac:dyDescent="0.3">
      <c r="C886" t="s">
        <v>71</v>
      </c>
      <c r="D886" t="s">
        <v>72</v>
      </c>
      <c r="E886" t="s">
        <v>69</v>
      </c>
      <c r="F886" t="s">
        <v>73</v>
      </c>
      <c r="G886" t="s">
        <v>68</v>
      </c>
      <c r="H886" t="s">
        <v>70</v>
      </c>
      <c r="K886" t="s">
        <v>68</v>
      </c>
      <c r="L886" t="s">
        <v>69</v>
      </c>
      <c r="M886" t="s">
        <v>70</v>
      </c>
      <c r="N886" t="s">
        <v>71</v>
      </c>
      <c r="O886" t="s">
        <v>72</v>
      </c>
      <c r="P886" t="s">
        <v>73</v>
      </c>
    </row>
    <row r="887" spans="1:24" ht="15.75" customHeight="1" x14ac:dyDescent="0.3">
      <c r="A887">
        <v>443</v>
      </c>
      <c r="B887" s="16" t="s">
        <v>524</v>
      </c>
      <c r="C887" s="7">
        <f>Rankings!L452</f>
        <v>8.3869260980163105</v>
      </c>
      <c r="D887" s="7">
        <f>Rankings!M452</f>
        <v>4.4266922898022356</v>
      </c>
      <c r="E887" s="7">
        <f>Rankings!N452</f>
        <v>2.4264878283114091</v>
      </c>
      <c r="F887" s="7">
        <f>Rankings!O452</f>
        <v>1.8169738539756839</v>
      </c>
      <c r="G887" s="7">
        <f>Rankings!P452</f>
        <v>1.1080774401297739</v>
      </c>
      <c r="H887" s="7">
        <f>Rankings!Q452</f>
        <v>1</v>
      </c>
      <c r="I887" s="7">
        <f>Rankings!R452</f>
        <v>19.165157510235414</v>
      </c>
      <c r="K887" s="7">
        <f>G887</f>
        <v>1.1080774401297739</v>
      </c>
      <c r="L887" s="7">
        <f>E887</f>
        <v>2.4264878283114091</v>
      </c>
      <c r="M887" s="7">
        <f>H887</f>
        <v>1</v>
      </c>
      <c r="N887" s="7">
        <f t="shared" ref="N887:O887" si="755">C887</f>
        <v>8.3869260980163105</v>
      </c>
      <c r="O887" s="7">
        <f t="shared" si="755"/>
        <v>4.4266922898022356</v>
      </c>
      <c r="P887" s="7">
        <f>F887</f>
        <v>1.8169738539756839</v>
      </c>
      <c r="R887" s="7">
        <f t="shared" ref="R887:W887" si="756">K887/$I887</f>
        <v>5.7817288458912486E-2</v>
      </c>
      <c r="S887" s="7">
        <f t="shared" si="756"/>
        <v>0.12660933399662957</v>
      </c>
      <c r="T887" s="7">
        <f t="shared" si="756"/>
        <v>5.2178021467652241E-2</v>
      </c>
      <c r="U887" s="7">
        <f t="shared" si="756"/>
        <v>0.43761320998990788</v>
      </c>
      <c r="V887" s="7">
        <f t="shared" si="756"/>
        <v>0.23097604532799171</v>
      </c>
      <c r="W887" s="7">
        <f t="shared" si="756"/>
        <v>9.4806100758906067E-2</v>
      </c>
      <c r="X887" s="7">
        <f>SUM(R887:W887)</f>
        <v>1</v>
      </c>
    </row>
    <row r="888" spans="1:24" ht="15.75" customHeight="1" x14ac:dyDescent="0.3">
      <c r="C888" t="s">
        <v>71</v>
      </c>
      <c r="D888" t="s">
        <v>72</v>
      </c>
      <c r="E888" t="s">
        <v>69</v>
      </c>
      <c r="F888" t="s">
        <v>73</v>
      </c>
      <c r="G888" t="s">
        <v>70</v>
      </c>
      <c r="H888" t="s">
        <v>68</v>
      </c>
      <c r="K888" t="s">
        <v>68</v>
      </c>
      <c r="L888" t="s">
        <v>69</v>
      </c>
      <c r="M888" t="s">
        <v>70</v>
      </c>
      <c r="N888" t="s">
        <v>71</v>
      </c>
      <c r="O888" t="s">
        <v>72</v>
      </c>
      <c r="P888" t="s">
        <v>73</v>
      </c>
    </row>
    <row r="889" spans="1:24" ht="15.75" customHeight="1" x14ac:dyDescent="0.3">
      <c r="A889">
        <v>444</v>
      </c>
      <c r="B889" s="16" t="s">
        <v>525</v>
      </c>
      <c r="C889" s="7">
        <f>Rankings!L453</f>
        <v>11.025388813777932</v>
      </c>
      <c r="D889" s="7">
        <f>Rankings!M453</f>
        <v>5.8192957805561525</v>
      </c>
      <c r="E889" s="7">
        <f>Rankings!N453</f>
        <v>3.1898423148572363</v>
      </c>
      <c r="F889" s="7">
        <f>Rankings!O453</f>
        <v>2.3885799124054143</v>
      </c>
      <c r="G889" s="7">
        <f>Rankings!P453</f>
        <v>1.7021844231989158</v>
      </c>
      <c r="H889" s="7">
        <f>Rankings!Q453</f>
        <v>1</v>
      </c>
      <c r="I889" s="7">
        <f>Rankings!R453</f>
        <v>25.125291244795651</v>
      </c>
      <c r="K889" s="7">
        <f>H889</f>
        <v>1</v>
      </c>
      <c r="L889" s="7">
        <f>E889</f>
        <v>3.1898423148572363</v>
      </c>
      <c r="M889" s="7">
        <f>G889</f>
        <v>1.7021844231989158</v>
      </c>
      <c r="N889" s="7">
        <f t="shared" ref="N889:O889" si="757">C889</f>
        <v>11.025388813777932</v>
      </c>
      <c r="O889" s="7">
        <f t="shared" si="757"/>
        <v>5.8192957805561525</v>
      </c>
      <c r="P889" s="7">
        <f>F889</f>
        <v>2.3885799124054143</v>
      </c>
      <c r="R889" s="7">
        <f t="shared" ref="R889:W889" si="758">K889/$I889</f>
        <v>3.9800533663749506E-2</v>
      </c>
      <c r="S889" s="7">
        <f t="shared" si="758"/>
        <v>0.12695742643452809</v>
      </c>
      <c r="T889" s="7">
        <f t="shared" si="758"/>
        <v>6.7747848437438488E-2</v>
      </c>
      <c r="U889" s="7">
        <f t="shared" si="758"/>
        <v>0.43881635863869578</v>
      </c>
      <c r="V889" s="7">
        <f t="shared" si="758"/>
        <v>0.2316110776133406</v>
      </c>
      <c r="W889" s="7">
        <f t="shared" si="758"/>
        <v>9.5066755212247542E-2</v>
      </c>
      <c r="X889" s="7">
        <f>SUM(R889:W889)</f>
        <v>1</v>
      </c>
    </row>
    <row r="890" spans="1:24" ht="15.75" customHeight="1" x14ac:dyDescent="0.3">
      <c r="C890" t="s">
        <v>71</v>
      </c>
      <c r="D890" t="s">
        <v>72</v>
      </c>
      <c r="E890" t="s">
        <v>70</v>
      </c>
      <c r="F890" t="s">
        <v>68</v>
      </c>
      <c r="G890" t="s">
        <v>69</v>
      </c>
      <c r="H890" t="s">
        <v>73</v>
      </c>
      <c r="K890" t="s">
        <v>68</v>
      </c>
      <c r="L890" t="s">
        <v>69</v>
      </c>
      <c r="M890" t="s">
        <v>70</v>
      </c>
      <c r="N890" t="s">
        <v>71</v>
      </c>
      <c r="O890" t="s">
        <v>72</v>
      </c>
      <c r="P890" t="s">
        <v>73</v>
      </c>
    </row>
    <row r="891" spans="1:24" ht="15.75" customHeight="1" x14ac:dyDescent="0.3">
      <c r="A891">
        <v>445</v>
      </c>
      <c r="B891" s="16" t="s">
        <v>526</v>
      </c>
      <c r="C891" s="7">
        <f>Rankings!L454</f>
        <v>13.924644308940705</v>
      </c>
      <c r="D891" s="7">
        <f>Rankings!M454</f>
        <v>7.349547960748767</v>
      </c>
      <c r="E891" s="7">
        <f>Rankings!N454</f>
        <v>3.7219746777082405</v>
      </c>
      <c r="F891" s="7">
        <f>Rankings!O454</f>
        <v>2.186587203467373</v>
      </c>
      <c r="G891" s="7">
        <f>Rankings!P454</f>
        <v>1.3354555559520354</v>
      </c>
      <c r="H891" s="7">
        <f>Rankings!Q454</f>
        <v>1</v>
      </c>
      <c r="I891" s="7">
        <f>Rankings!R454</f>
        <v>29.518209706817117</v>
      </c>
      <c r="K891" s="7">
        <f t="shared" ref="K891:L891" si="759">F891</f>
        <v>2.186587203467373</v>
      </c>
      <c r="L891" s="7">
        <f t="shared" si="759"/>
        <v>1.3354555559520354</v>
      </c>
      <c r="M891" s="7">
        <f>E891</f>
        <v>3.7219746777082405</v>
      </c>
      <c r="N891" s="7">
        <f t="shared" ref="N891:O891" si="760">C891</f>
        <v>13.924644308940705</v>
      </c>
      <c r="O891" s="7">
        <f t="shared" si="760"/>
        <v>7.349547960748767</v>
      </c>
      <c r="P891" s="7">
        <f>H891</f>
        <v>1</v>
      </c>
      <c r="R891" s="7">
        <f t="shared" ref="R891:W891" si="761">K891/$I891</f>
        <v>7.4075874695150937E-2</v>
      </c>
      <c r="S891" s="7">
        <f t="shared" si="761"/>
        <v>4.5241753114980313E-2</v>
      </c>
      <c r="T891" s="7">
        <f t="shared" si="761"/>
        <v>0.12609080004092066</v>
      </c>
      <c r="U891" s="7">
        <f t="shared" si="761"/>
        <v>0.47173065193465513</v>
      </c>
      <c r="V891" s="7">
        <f t="shared" si="761"/>
        <v>0.24898352690581424</v>
      </c>
      <c r="W891" s="7">
        <f t="shared" si="761"/>
        <v>3.3877393308478797E-2</v>
      </c>
      <c r="X891" s="7">
        <f>SUM(R891:W891)</f>
        <v>1</v>
      </c>
    </row>
    <row r="892" spans="1:24" ht="15.75" customHeight="1" x14ac:dyDescent="0.3">
      <c r="C892" t="s">
        <v>71</v>
      </c>
      <c r="D892" t="s">
        <v>72</v>
      </c>
      <c r="E892" t="s">
        <v>70</v>
      </c>
      <c r="F892" t="s">
        <v>68</v>
      </c>
      <c r="G892" t="s">
        <v>73</v>
      </c>
      <c r="H892" t="s">
        <v>69</v>
      </c>
      <c r="K892" t="s">
        <v>68</v>
      </c>
      <c r="L892" t="s">
        <v>69</v>
      </c>
      <c r="M892" t="s">
        <v>70</v>
      </c>
      <c r="N892" t="s">
        <v>71</v>
      </c>
      <c r="O892" t="s">
        <v>72</v>
      </c>
      <c r="P892" t="s">
        <v>73</v>
      </c>
    </row>
    <row r="893" spans="1:24" ht="15.75" customHeight="1" x14ac:dyDescent="0.3">
      <c r="A893">
        <v>446</v>
      </c>
      <c r="B893" s="16" t="s">
        <v>527</v>
      </c>
      <c r="C893" s="7">
        <f>Rankings!L455</f>
        <v>9.1850415290114622</v>
      </c>
      <c r="D893" s="7">
        <f>Rankings!M455</f>
        <v>4.8479445320980217</v>
      </c>
      <c r="E893" s="7">
        <f>Rankings!N455</f>
        <v>2.4551070193390037</v>
      </c>
      <c r="F893" s="7">
        <f>Rankings!O455</f>
        <v>1.4423272742239766</v>
      </c>
      <c r="G893" s="7">
        <f>Rankings!P455</f>
        <v>1.2419340531937677</v>
      </c>
      <c r="H893" s="7">
        <f>Rankings!Q455</f>
        <v>1</v>
      </c>
      <c r="I893" s="7">
        <f>Rankings!R455</f>
        <v>20.17235440786623</v>
      </c>
      <c r="K893" s="7">
        <f>F893</f>
        <v>1.4423272742239766</v>
      </c>
      <c r="L893" s="7">
        <f>H893</f>
        <v>1</v>
      </c>
      <c r="M893" s="7">
        <f>E893</f>
        <v>2.4551070193390037</v>
      </c>
      <c r="N893" s="7">
        <f t="shared" ref="N893:O893" si="762">C893</f>
        <v>9.1850415290114622</v>
      </c>
      <c r="O893" s="7">
        <f t="shared" si="762"/>
        <v>4.8479445320980217</v>
      </c>
      <c r="P893" s="7">
        <f>G893</f>
        <v>1.2419340531937677</v>
      </c>
      <c r="R893" s="7">
        <f t="shared" ref="R893:W893" si="763">K893/$I893</f>
        <v>7.1500195022428298E-2</v>
      </c>
      <c r="S893" s="7">
        <f t="shared" si="763"/>
        <v>4.9572795509187015E-2</v>
      </c>
      <c r="T893" s="7">
        <f t="shared" si="763"/>
        <v>0.12170651822286209</v>
      </c>
      <c r="U893" s="7">
        <f t="shared" si="763"/>
        <v>0.45532818546107567</v>
      </c>
      <c r="V893" s="7">
        <f t="shared" si="763"/>
        <v>0.24032616292957656</v>
      </c>
      <c r="W893" s="7">
        <f t="shared" si="763"/>
        <v>6.1566142854870443E-2</v>
      </c>
      <c r="X893" s="7">
        <f>SUM(R893:W893)</f>
        <v>1</v>
      </c>
    </row>
    <row r="894" spans="1:24" ht="15.75" customHeight="1" x14ac:dyDescent="0.3">
      <c r="C894" t="s">
        <v>71</v>
      </c>
      <c r="D894" t="s">
        <v>72</v>
      </c>
      <c r="E894" t="s">
        <v>70</v>
      </c>
      <c r="F894" t="s">
        <v>69</v>
      </c>
      <c r="G894" t="s">
        <v>68</v>
      </c>
      <c r="H894" t="s">
        <v>73</v>
      </c>
      <c r="K894" t="s">
        <v>68</v>
      </c>
      <c r="L894" t="s">
        <v>69</v>
      </c>
      <c r="M894" t="s">
        <v>70</v>
      </c>
      <c r="N894" t="s">
        <v>71</v>
      </c>
      <c r="O894" t="s">
        <v>72</v>
      </c>
      <c r="P894" t="s">
        <v>73</v>
      </c>
    </row>
    <row r="895" spans="1:24" ht="15.75" customHeight="1" x14ac:dyDescent="0.3">
      <c r="A895">
        <v>447</v>
      </c>
      <c r="B895" s="16" t="s">
        <v>528</v>
      </c>
      <c r="C895" s="7">
        <f>Rankings!L456</f>
        <v>11.411555803211678</v>
      </c>
      <c r="D895" s="7">
        <f>Rankings!M456</f>
        <v>6.0231180647547475</v>
      </c>
      <c r="E895" s="7">
        <f>Rankings!N456</f>
        <v>3.0502410539518832</v>
      </c>
      <c r="F895" s="7">
        <f>Rankings!O456</f>
        <v>2.0254157288550885</v>
      </c>
      <c r="G895" s="7">
        <f>Rankings!P456</f>
        <v>1.1613557664474019</v>
      </c>
      <c r="H895" s="7">
        <f>Rankings!Q456</f>
        <v>1</v>
      </c>
      <c r="I895" s="7">
        <f>Rankings!R456</f>
        <v>24.671686417220798</v>
      </c>
      <c r="K895" s="7">
        <f>G895</f>
        <v>1.1613557664474019</v>
      </c>
      <c r="L895" s="7">
        <f>F895</f>
        <v>2.0254157288550885</v>
      </c>
      <c r="M895" s="7">
        <f>E895</f>
        <v>3.0502410539518832</v>
      </c>
      <c r="N895" s="7">
        <f t="shared" ref="N895:O895" si="764">C895</f>
        <v>11.411555803211678</v>
      </c>
      <c r="O895" s="7">
        <f t="shared" si="764"/>
        <v>6.0231180647547475</v>
      </c>
      <c r="P895" s="7">
        <f>H895</f>
        <v>1</v>
      </c>
      <c r="R895" s="7">
        <f t="shared" ref="R895:W895" si="765">K895/$I895</f>
        <v>4.7072411135899384E-2</v>
      </c>
      <c r="S895" s="7">
        <f t="shared" si="765"/>
        <v>8.2094741907928578E-2</v>
      </c>
      <c r="T895" s="7">
        <f t="shared" si="765"/>
        <v>0.12363326131702208</v>
      </c>
      <c r="U895" s="7">
        <f t="shared" si="765"/>
        <v>0.46253651291735093</v>
      </c>
      <c r="V895" s="7">
        <f t="shared" si="765"/>
        <v>0.24413078064054108</v>
      </c>
      <c r="W895" s="7">
        <f t="shared" si="765"/>
        <v>4.053229208125804E-2</v>
      </c>
      <c r="X895" s="7">
        <f>SUM(R895:W895)</f>
        <v>1</v>
      </c>
    </row>
    <row r="896" spans="1:24" ht="15.75" customHeight="1" x14ac:dyDescent="0.3">
      <c r="C896" t="s">
        <v>71</v>
      </c>
      <c r="D896" t="s">
        <v>72</v>
      </c>
      <c r="E896" t="s">
        <v>70</v>
      </c>
      <c r="F896" t="s">
        <v>69</v>
      </c>
      <c r="G896" t="s">
        <v>73</v>
      </c>
      <c r="H896" t="s">
        <v>68</v>
      </c>
      <c r="K896" t="s">
        <v>68</v>
      </c>
      <c r="L896" t="s">
        <v>69</v>
      </c>
      <c r="M896" t="s">
        <v>70</v>
      </c>
      <c r="N896" t="s">
        <v>71</v>
      </c>
      <c r="O896" t="s">
        <v>72</v>
      </c>
      <c r="P896" t="s">
        <v>73</v>
      </c>
    </row>
    <row r="897" spans="1:24" ht="15.75" customHeight="1" x14ac:dyDescent="0.3">
      <c r="A897">
        <v>448</v>
      </c>
      <c r="B897" s="16" t="s">
        <v>529</v>
      </c>
      <c r="C897" s="7">
        <f>Rankings!L457</f>
        <v>12.337827225581018</v>
      </c>
      <c r="D897" s="7">
        <f>Rankings!M457</f>
        <v>6.5120121501141401</v>
      </c>
      <c r="E897" s="7">
        <f>Rankings!N457</f>
        <v>3.2978279008582612</v>
      </c>
      <c r="F897" s="7">
        <f>Rankings!O457</f>
        <v>2.1898179138339176</v>
      </c>
      <c r="G897" s="7">
        <f>Rankings!P457</f>
        <v>1.6397534939100344</v>
      </c>
      <c r="H897" s="7">
        <f>Rankings!Q457</f>
        <v>1</v>
      </c>
      <c r="I897" s="7">
        <f>Rankings!R457</f>
        <v>26.977238684297372</v>
      </c>
      <c r="K897" s="7">
        <f>H897</f>
        <v>1</v>
      </c>
      <c r="L897" s="7">
        <f>F897</f>
        <v>2.1898179138339176</v>
      </c>
      <c r="M897" s="7">
        <f>E897</f>
        <v>3.2978279008582612</v>
      </c>
      <c r="N897" s="7">
        <f t="shared" ref="N897:O897" si="766">C897</f>
        <v>12.337827225581018</v>
      </c>
      <c r="O897" s="7">
        <f t="shared" si="766"/>
        <v>6.5120121501141401</v>
      </c>
      <c r="P897" s="7">
        <f>G897</f>
        <v>1.6397534939100344</v>
      </c>
      <c r="R897" s="7">
        <f t="shared" ref="R897:W897" si="767">K897/$I897</f>
        <v>3.7068286035593014E-2</v>
      </c>
      <c r="S897" s="7">
        <f t="shared" si="767"/>
        <v>8.1172796795861243E-2</v>
      </c>
      <c r="T897" s="7">
        <f t="shared" si="767"/>
        <v>0.12224482792517331</v>
      </c>
      <c r="U897" s="7">
        <f t="shared" si="767"/>
        <v>0.45734210865556418</v>
      </c>
      <c r="V897" s="7">
        <f t="shared" si="767"/>
        <v>0.24138912904768803</v>
      </c>
      <c r="W897" s="7">
        <f t="shared" si="767"/>
        <v>6.078285154012019E-2</v>
      </c>
      <c r="X897" s="7">
        <f>SUM(R897:W897)</f>
        <v>1</v>
      </c>
    </row>
    <row r="898" spans="1:24" ht="15.75" customHeight="1" x14ac:dyDescent="0.3">
      <c r="C898" t="s">
        <v>71</v>
      </c>
      <c r="D898" t="s">
        <v>72</v>
      </c>
      <c r="E898" t="s">
        <v>70</v>
      </c>
      <c r="F898" t="s">
        <v>73</v>
      </c>
      <c r="G898" t="s">
        <v>68</v>
      </c>
      <c r="H898" t="s">
        <v>69</v>
      </c>
      <c r="K898" t="s">
        <v>68</v>
      </c>
      <c r="L898" t="s">
        <v>69</v>
      </c>
      <c r="M898" t="s">
        <v>70</v>
      </c>
      <c r="N898" t="s">
        <v>71</v>
      </c>
      <c r="O898" t="s">
        <v>72</v>
      </c>
      <c r="P898" t="s">
        <v>73</v>
      </c>
    </row>
    <row r="899" spans="1:24" ht="15.75" customHeight="1" x14ac:dyDescent="0.3">
      <c r="A899">
        <v>449</v>
      </c>
      <c r="B899" s="16" t="s">
        <v>530</v>
      </c>
      <c r="C899" s="7">
        <f>Rankings!L458</f>
        <v>20.235090341421632</v>
      </c>
      <c r="D899" s="7">
        <f>Rankings!M458</f>
        <v>10.680256073677473</v>
      </c>
      <c r="E899" s="7">
        <f>Rankings!N458</f>
        <v>5.4087194028756729</v>
      </c>
      <c r="F899" s="7">
        <f>Rankings!O458</f>
        <v>2.6848246582556978</v>
      </c>
      <c r="G899" s="7">
        <f>Rankings!P458</f>
        <v>1.6373343116675814</v>
      </c>
      <c r="H899" s="7">
        <f>Rankings!Q458</f>
        <v>1</v>
      </c>
      <c r="I899" s="7">
        <f>Rankings!R458</f>
        <v>41.646224787898056</v>
      </c>
      <c r="K899" s="7">
        <f t="shared" ref="K899:L899" si="768">G899</f>
        <v>1.6373343116675814</v>
      </c>
      <c r="L899" s="7">
        <f t="shared" si="768"/>
        <v>1</v>
      </c>
      <c r="M899" s="7">
        <f>E899</f>
        <v>5.4087194028756729</v>
      </c>
      <c r="N899" s="7">
        <f t="shared" ref="N899:O899" si="769">C899</f>
        <v>20.235090341421632</v>
      </c>
      <c r="O899" s="7">
        <f t="shared" si="769"/>
        <v>10.680256073677473</v>
      </c>
      <c r="P899" s="7">
        <f>F899</f>
        <v>2.6848246582556978</v>
      </c>
      <c r="R899" s="7">
        <f t="shared" ref="R899:W899" si="770">K899/$I899</f>
        <v>3.9315311772109847E-2</v>
      </c>
      <c r="S899" s="7">
        <f t="shared" si="770"/>
        <v>2.4011780301646673E-2</v>
      </c>
      <c r="T899" s="7">
        <f t="shared" si="770"/>
        <v>0.12987298201510425</v>
      </c>
      <c r="U899" s="7">
        <f t="shared" si="770"/>
        <v>0.4858805436621888</v>
      </c>
      <c r="V899" s="7">
        <f t="shared" si="770"/>
        <v>0.256451962406471</v>
      </c>
      <c r="W899" s="7">
        <f t="shared" si="770"/>
        <v>6.4467419842479431E-2</v>
      </c>
      <c r="X899" s="7">
        <f>SUM(R899:W899)</f>
        <v>0.99999999999999989</v>
      </c>
    </row>
    <row r="900" spans="1:24" ht="15.75" customHeight="1" x14ac:dyDescent="0.3">
      <c r="C900" t="s">
        <v>71</v>
      </c>
      <c r="D900" t="s">
        <v>72</v>
      </c>
      <c r="E900" t="s">
        <v>70</v>
      </c>
      <c r="F900" t="s">
        <v>73</v>
      </c>
      <c r="G900" t="s">
        <v>69</v>
      </c>
      <c r="H900" t="s">
        <v>68</v>
      </c>
      <c r="K900" t="s">
        <v>68</v>
      </c>
      <c r="L900" t="s">
        <v>69</v>
      </c>
      <c r="M900" t="s">
        <v>70</v>
      </c>
      <c r="N900" t="s">
        <v>71</v>
      </c>
      <c r="O900" t="s">
        <v>72</v>
      </c>
      <c r="P900" t="s">
        <v>73</v>
      </c>
    </row>
    <row r="901" spans="1:24" ht="15.75" customHeight="1" x14ac:dyDescent="0.3">
      <c r="A901">
        <v>450</v>
      </c>
      <c r="B901" s="16" t="s">
        <v>531</v>
      </c>
      <c r="C901" s="7">
        <f>Rankings!L459</f>
        <v>16.324378385621131</v>
      </c>
      <c r="D901" s="7">
        <f>Rankings!M459</f>
        <v>8.6161484065699678</v>
      </c>
      <c r="E901" s="7">
        <f>Rankings!N459</f>
        <v>4.3634093361794255</v>
      </c>
      <c r="F901" s="7">
        <f>Rankings!O459</f>
        <v>2.1659450430371923</v>
      </c>
      <c r="G901" s="7">
        <f>Rankings!P459</f>
        <v>1.7440097060445605</v>
      </c>
      <c r="H901" s="7">
        <f>Rankings!Q459</f>
        <v>1</v>
      </c>
      <c r="I901" s="7">
        <f>Rankings!R459</f>
        <v>34.213890877452279</v>
      </c>
      <c r="K901" s="7">
        <f>H901</f>
        <v>1</v>
      </c>
      <c r="L901" s="7">
        <f>G901</f>
        <v>1.7440097060445605</v>
      </c>
      <c r="M901" s="7">
        <f>E901</f>
        <v>4.3634093361794255</v>
      </c>
      <c r="N901" s="7">
        <f t="shared" ref="N901:O901" si="771">C901</f>
        <v>16.324378385621131</v>
      </c>
      <c r="O901" s="7">
        <f t="shared" si="771"/>
        <v>8.6161484065699678</v>
      </c>
      <c r="P901" s="7">
        <f>F901</f>
        <v>2.1659450430371923</v>
      </c>
      <c r="R901" s="7">
        <f t="shared" ref="R901:W901" si="772">K901/$I901</f>
        <v>2.9227894704575166E-2</v>
      </c>
      <c r="S901" s="7">
        <f t="shared" si="772"/>
        <v>5.0973732052027501E-2</v>
      </c>
      <c r="T901" s="7">
        <f t="shared" si="772"/>
        <v>0.12753326863081246</v>
      </c>
      <c r="U901" s="7">
        <f t="shared" si="772"/>
        <v>0.47712721257257712</v>
      </c>
      <c r="V901" s="7">
        <f t="shared" si="772"/>
        <v>0.25183187838622012</v>
      </c>
      <c r="W901" s="7">
        <f t="shared" si="772"/>
        <v>6.3306013653787574E-2</v>
      </c>
      <c r="X901" s="7">
        <f>SUM(R901:W901)</f>
        <v>1</v>
      </c>
    </row>
    <row r="902" spans="1:24" ht="15.75" customHeight="1" x14ac:dyDescent="0.3">
      <c r="C902" t="s">
        <v>71</v>
      </c>
      <c r="D902" t="s">
        <v>72</v>
      </c>
      <c r="E902" t="s">
        <v>73</v>
      </c>
      <c r="F902" t="s">
        <v>68</v>
      </c>
      <c r="G902" t="s">
        <v>69</v>
      </c>
      <c r="H902" t="s">
        <v>70</v>
      </c>
      <c r="K902" t="s">
        <v>68</v>
      </c>
      <c r="L902" t="s">
        <v>69</v>
      </c>
      <c r="M902" t="s">
        <v>70</v>
      </c>
      <c r="N902" t="s">
        <v>71</v>
      </c>
      <c r="O902" t="s">
        <v>72</v>
      </c>
      <c r="P902" t="s">
        <v>73</v>
      </c>
    </row>
    <row r="903" spans="1:24" ht="15.75" customHeight="1" x14ac:dyDescent="0.3">
      <c r="A903">
        <v>451</v>
      </c>
      <c r="B903" s="16" t="s">
        <v>532</v>
      </c>
      <c r="C903" s="7">
        <f>Rankings!L460</f>
        <v>9.145940839490228</v>
      </c>
      <c r="D903" s="7">
        <f>Rankings!M460</f>
        <v>4.8273068492560869</v>
      </c>
      <c r="E903" s="7">
        <f>Rankings!N460</f>
        <v>3.6516950238292645</v>
      </c>
      <c r="F903" s="7">
        <f>Rankings!O460</f>
        <v>2.2269780411455038</v>
      </c>
      <c r="G903" s="7">
        <f>Rankings!P460</f>
        <v>1.3601242124324544</v>
      </c>
      <c r="H903" s="7">
        <f>Rankings!Q460</f>
        <v>1</v>
      </c>
      <c r="I903" s="7">
        <f>Rankings!R460</f>
        <v>22.212044966153538</v>
      </c>
      <c r="K903" s="7">
        <f t="shared" ref="K903:M903" si="773">F903</f>
        <v>2.2269780411455038</v>
      </c>
      <c r="L903" s="7">
        <f t="shared" si="773"/>
        <v>1.3601242124324544</v>
      </c>
      <c r="M903" s="7">
        <f t="shared" si="773"/>
        <v>1</v>
      </c>
      <c r="N903" s="7">
        <f t="shared" ref="N903:P903" si="774">C903</f>
        <v>9.145940839490228</v>
      </c>
      <c r="O903" s="7">
        <f t="shared" si="774"/>
        <v>4.8273068492560869</v>
      </c>
      <c r="P903" s="7">
        <f t="shared" si="774"/>
        <v>3.6516950238292645</v>
      </c>
      <c r="R903" s="7">
        <f t="shared" ref="R903:W903" si="775">K903/$I903</f>
        <v>0.10025992854502805</v>
      </c>
      <c r="S903" s="7">
        <f t="shared" si="775"/>
        <v>6.1233633125855641E-2</v>
      </c>
      <c r="T903" s="7">
        <f t="shared" si="775"/>
        <v>4.502061838627594E-2</v>
      </c>
      <c r="U903" s="7">
        <f t="shared" si="775"/>
        <v>0.41175591231814579</v>
      </c>
      <c r="V903" s="7">
        <f t="shared" si="775"/>
        <v>0.21732833949381439</v>
      </c>
      <c r="W903" s="7">
        <f t="shared" si="775"/>
        <v>0.16440156813088017</v>
      </c>
      <c r="X903" s="7">
        <f>SUM(R903:W903)</f>
        <v>0.99999999999999989</v>
      </c>
    </row>
    <row r="904" spans="1:24" ht="15.75" customHeight="1" x14ac:dyDescent="0.3">
      <c r="C904" t="s">
        <v>71</v>
      </c>
      <c r="D904" t="s">
        <v>72</v>
      </c>
      <c r="E904" t="s">
        <v>73</v>
      </c>
      <c r="F904" t="s">
        <v>68</v>
      </c>
      <c r="G904" t="s">
        <v>70</v>
      </c>
      <c r="H904" t="s">
        <v>69</v>
      </c>
      <c r="K904" t="s">
        <v>68</v>
      </c>
      <c r="L904" t="s">
        <v>69</v>
      </c>
      <c r="M904" t="s">
        <v>70</v>
      </c>
      <c r="N904" t="s">
        <v>71</v>
      </c>
      <c r="O904" t="s">
        <v>72</v>
      </c>
      <c r="P904" t="s">
        <v>73</v>
      </c>
    </row>
    <row r="905" spans="1:24" ht="15.75" customHeight="1" x14ac:dyDescent="0.3">
      <c r="A905">
        <v>452</v>
      </c>
      <c r="B905" s="16" t="s">
        <v>533</v>
      </c>
      <c r="C905" s="7">
        <f>Rankings!L461</f>
        <v>6.8533442882921234</v>
      </c>
      <c r="D905" s="7">
        <f>Rankings!M461</f>
        <v>3.6172545180192346</v>
      </c>
      <c r="E905" s="7">
        <f>Rankings!N461</f>
        <v>2.7363311958116676</v>
      </c>
      <c r="F905" s="7">
        <f>Rankings!O461</f>
        <v>1.668745458371804</v>
      </c>
      <c r="G905" s="7">
        <f>Rankings!P461</f>
        <v>1.5059827029565431</v>
      </c>
      <c r="H905" s="7">
        <f>Rankings!Q461</f>
        <v>1</v>
      </c>
      <c r="I905" s="7">
        <f>Rankings!R461</f>
        <v>17.381658163451373</v>
      </c>
      <c r="K905" s="7">
        <f>F905</f>
        <v>1.668745458371804</v>
      </c>
      <c r="L905" s="7">
        <f>H905</f>
        <v>1</v>
      </c>
      <c r="M905" s="7">
        <f>G905</f>
        <v>1.5059827029565431</v>
      </c>
      <c r="N905" s="7">
        <f t="shared" ref="N905:P905" si="776">C905</f>
        <v>6.8533442882921234</v>
      </c>
      <c r="O905" s="7">
        <f t="shared" si="776"/>
        <v>3.6172545180192346</v>
      </c>
      <c r="P905" s="7">
        <f t="shared" si="776"/>
        <v>2.7363311958116676</v>
      </c>
      <c r="R905" s="7">
        <f t="shared" ref="R905:W905" si="777">K905/$I905</f>
        <v>9.6006114185394328E-2</v>
      </c>
      <c r="S905" s="7">
        <f t="shared" si="777"/>
        <v>5.7531910396368992E-2</v>
      </c>
      <c r="T905" s="7">
        <f t="shared" si="777"/>
        <v>8.664206192497742E-2</v>
      </c>
      <c r="U905" s="7">
        <f t="shared" si="777"/>
        <v>0.39428598950948968</v>
      </c>
      <c r="V905" s="7">
        <f t="shared" si="777"/>
        <v>0.2081075628115435</v>
      </c>
      <c r="W905" s="7">
        <f t="shared" si="777"/>
        <v>0.15742636117222608</v>
      </c>
      <c r="X905" s="7">
        <f>SUM(R905:W905)</f>
        <v>1</v>
      </c>
    </row>
    <row r="906" spans="1:24" ht="15.75" customHeight="1" x14ac:dyDescent="0.3">
      <c r="C906" t="s">
        <v>71</v>
      </c>
      <c r="D906" t="s">
        <v>72</v>
      </c>
      <c r="E906" t="s">
        <v>73</v>
      </c>
      <c r="F906" t="s">
        <v>69</v>
      </c>
      <c r="G906" t="s">
        <v>68</v>
      </c>
      <c r="H906" t="s">
        <v>70</v>
      </c>
      <c r="K906" t="s">
        <v>68</v>
      </c>
      <c r="L906" t="s">
        <v>69</v>
      </c>
      <c r="M906" t="s">
        <v>70</v>
      </c>
      <c r="N906" t="s">
        <v>71</v>
      </c>
      <c r="O906" t="s">
        <v>72</v>
      </c>
      <c r="P906" t="s">
        <v>73</v>
      </c>
    </row>
    <row r="907" spans="1:24" ht="15.75" customHeight="1" x14ac:dyDescent="0.3">
      <c r="A907">
        <v>453</v>
      </c>
      <c r="B907" s="16" t="s">
        <v>534</v>
      </c>
      <c r="C907" s="7">
        <f>Rankings!L462</f>
        <v>6.0110651367892425</v>
      </c>
      <c r="D907" s="7">
        <f>Rankings!M462</f>
        <v>3.1726922812420626</v>
      </c>
      <c r="E907" s="7">
        <f>Rankings!N462</f>
        <v>2.4000348387504249</v>
      </c>
      <c r="F907" s="7">
        <f>Rankings!O462</f>
        <v>1.9324978106353361</v>
      </c>
      <c r="G907" s="7">
        <f>Rankings!P462</f>
        <v>1.1080774401297739</v>
      </c>
      <c r="H907" s="7">
        <f>Rankings!Q462</f>
        <v>1</v>
      </c>
      <c r="I907" s="7">
        <f>Rankings!R462</f>
        <v>15.624367507546841</v>
      </c>
      <c r="K907" s="7">
        <f>G907</f>
        <v>1.1080774401297739</v>
      </c>
      <c r="L907" s="7">
        <f>F907</f>
        <v>1.9324978106353361</v>
      </c>
      <c r="M907" s="7">
        <f>H907</f>
        <v>1</v>
      </c>
      <c r="N907" s="7">
        <f t="shared" ref="N907:P907" si="778">C907</f>
        <v>6.0110651367892425</v>
      </c>
      <c r="O907" s="7">
        <f t="shared" si="778"/>
        <v>3.1726922812420626</v>
      </c>
      <c r="P907" s="7">
        <f t="shared" si="778"/>
        <v>2.4000348387504249</v>
      </c>
      <c r="R907" s="7">
        <f t="shared" ref="R907:W907" si="779">K907/$I907</f>
        <v>7.0919826968647098E-2</v>
      </c>
      <c r="S907" s="7">
        <f t="shared" si="779"/>
        <v>0.12368486658432132</v>
      </c>
      <c r="T907" s="7">
        <f t="shared" si="779"/>
        <v>6.4002590793962227E-2</v>
      </c>
      <c r="U907" s="7">
        <f t="shared" si="779"/>
        <v>0.38472374218577449</v>
      </c>
      <c r="V907" s="7">
        <f t="shared" si="779"/>
        <v>0.20306052579149825</v>
      </c>
      <c r="W907" s="7">
        <f t="shared" si="779"/>
        <v>0.15360844767579657</v>
      </c>
      <c r="X907" s="7">
        <f>SUM(R907:W907)</f>
        <v>1</v>
      </c>
    </row>
    <row r="908" spans="1:24" ht="15.75" customHeight="1" x14ac:dyDescent="0.3">
      <c r="C908" t="s">
        <v>71</v>
      </c>
      <c r="D908" t="s">
        <v>72</v>
      </c>
      <c r="E908" t="s">
        <v>73</v>
      </c>
      <c r="F908" t="s">
        <v>69</v>
      </c>
      <c r="G908" t="s">
        <v>70</v>
      </c>
      <c r="H908" t="s">
        <v>68</v>
      </c>
      <c r="K908" t="s">
        <v>68</v>
      </c>
      <c r="L908" t="s">
        <v>69</v>
      </c>
      <c r="M908" t="s">
        <v>70</v>
      </c>
      <c r="N908" t="s">
        <v>71</v>
      </c>
      <c r="O908" t="s">
        <v>72</v>
      </c>
      <c r="P908" t="s">
        <v>73</v>
      </c>
    </row>
    <row r="909" spans="1:24" ht="15.75" customHeight="1" x14ac:dyDescent="0.3">
      <c r="A909">
        <v>454</v>
      </c>
      <c r="B909" s="16" t="s">
        <v>535</v>
      </c>
      <c r="C909" s="7">
        <f>Rankings!L463</f>
        <v>7.2014111580288596</v>
      </c>
      <c r="D909" s="7">
        <f>Rankings!M463</f>
        <v>3.8009672288017504</v>
      </c>
      <c r="E909" s="7">
        <f>Rankings!N463</f>
        <v>2.8753036731635229</v>
      </c>
      <c r="F909" s="7">
        <f>Rankings!O463</f>
        <v>2.3151822480182171</v>
      </c>
      <c r="G909" s="7">
        <f>Rankings!P463</f>
        <v>1.7021844231989158</v>
      </c>
      <c r="H909" s="7">
        <f>Rankings!Q463</f>
        <v>1</v>
      </c>
      <c r="I909" s="7">
        <f>Rankings!R463</f>
        <v>18.895048731211265</v>
      </c>
      <c r="K909" s="7">
        <f>H909</f>
        <v>1</v>
      </c>
      <c r="L909" s="7">
        <f t="shared" ref="L909:M909" si="780">F909</f>
        <v>2.3151822480182171</v>
      </c>
      <c r="M909" s="7">
        <f t="shared" si="780"/>
        <v>1.7021844231989158</v>
      </c>
      <c r="N909" s="7">
        <f t="shared" ref="N909:P909" si="781">C909</f>
        <v>7.2014111580288596</v>
      </c>
      <c r="O909" s="7">
        <f t="shared" si="781"/>
        <v>3.8009672288017504</v>
      </c>
      <c r="P909" s="7">
        <f t="shared" si="781"/>
        <v>2.8753036731635229</v>
      </c>
      <c r="R909" s="7">
        <f t="shared" ref="R909:W909" si="782">K909/$I909</f>
        <v>5.292391748893336E-2</v>
      </c>
      <c r="S909" s="7">
        <f t="shared" si="782"/>
        <v>0.12252851426595938</v>
      </c>
      <c r="T909" s="7">
        <f t="shared" si="782"/>
        <v>9.0086267964327046E-2</v>
      </c>
      <c r="U909" s="7">
        <f t="shared" si="782"/>
        <v>0.38112688993140342</v>
      </c>
      <c r="V909" s="7">
        <f t="shared" si="782"/>
        <v>0.20116207599524352</v>
      </c>
      <c r="W909" s="7">
        <f t="shared" si="782"/>
        <v>0.1521723343541333</v>
      </c>
      <c r="X909" s="7">
        <f>SUM(R909:W909)</f>
        <v>1</v>
      </c>
    </row>
    <row r="910" spans="1:24" ht="15.75" customHeight="1" x14ac:dyDescent="0.3">
      <c r="C910" t="s">
        <v>71</v>
      </c>
      <c r="D910" t="s">
        <v>72</v>
      </c>
      <c r="E910" t="s">
        <v>73</v>
      </c>
      <c r="F910" t="s">
        <v>70</v>
      </c>
      <c r="G910" t="s">
        <v>68</v>
      </c>
      <c r="H910" t="s">
        <v>69</v>
      </c>
      <c r="K910" t="s">
        <v>68</v>
      </c>
      <c r="L910" t="s">
        <v>69</v>
      </c>
      <c r="M910" t="s">
        <v>70</v>
      </c>
      <c r="N910" t="s">
        <v>71</v>
      </c>
      <c r="O910" t="s">
        <v>72</v>
      </c>
      <c r="P910" t="s">
        <v>73</v>
      </c>
    </row>
    <row r="911" spans="1:24" ht="15.75" customHeight="1" x14ac:dyDescent="0.3">
      <c r="A911">
        <v>455</v>
      </c>
      <c r="B911" s="16" t="s">
        <v>536</v>
      </c>
      <c r="C911" s="7">
        <f>Rankings!L464</f>
        <v>9.7951485482275427</v>
      </c>
      <c r="D911" s="7">
        <f>Rankings!M464</f>
        <v>5.1699643050583246</v>
      </c>
      <c r="E911" s="7">
        <f>Rankings!N464</f>
        <v>3.9109038467413311</v>
      </c>
      <c r="F911" s="7">
        <f>Rankings!O464</f>
        <v>2.7870449608896757</v>
      </c>
      <c r="G911" s="7">
        <f>Rankings!P464</f>
        <v>1.6373343116675814</v>
      </c>
      <c r="H911" s="7">
        <f>Rankings!Q464</f>
        <v>1</v>
      </c>
      <c r="I911" s="7">
        <f>Rankings!R464</f>
        <v>24.300395972584454</v>
      </c>
      <c r="K911" s="7">
        <f t="shared" ref="K911:L911" si="783">G911</f>
        <v>1.6373343116675814</v>
      </c>
      <c r="L911" s="7">
        <f t="shared" si="783"/>
        <v>1</v>
      </c>
      <c r="M911" s="7">
        <f>F911</f>
        <v>2.7870449608896757</v>
      </c>
      <c r="N911" s="7">
        <f t="shared" ref="N911:P911" si="784">C911</f>
        <v>9.7951485482275427</v>
      </c>
      <c r="O911" s="7">
        <f t="shared" si="784"/>
        <v>5.1699643050583246</v>
      </c>
      <c r="P911" s="7">
        <f t="shared" si="784"/>
        <v>3.9109038467413311</v>
      </c>
      <c r="R911" s="7">
        <f t="shared" ref="R911:W911" si="785">K911/$I911</f>
        <v>6.7378914875083157E-2</v>
      </c>
      <c r="S911" s="7">
        <f t="shared" si="785"/>
        <v>4.115159280236394E-2</v>
      </c>
      <c r="T911" s="7">
        <f t="shared" si="785"/>
        <v>0.11469133935241226</v>
      </c>
      <c r="U911" s="7">
        <f t="shared" si="785"/>
        <v>0.40308596449532613</v>
      </c>
      <c r="V911" s="7">
        <f t="shared" si="785"/>
        <v>0.21275226588451662</v>
      </c>
      <c r="W911" s="7">
        <f t="shared" si="785"/>
        <v>0.16093992259029799</v>
      </c>
      <c r="X911" s="7">
        <f>SUM(R911:W911)</f>
        <v>1</v>
      </c>
    </row>
    <row r="912" spans="1:24" ht="15.75" customHeight="1" x14ac:dyDescent="0.3">
      <c r="C912" t="s">
        <v>71</v>
      </c>
      <c r="D912" t="s">
        <v>72</v>
      </c>
      <c r="E912" t="s">
        <v>73</v>
      </c>
      <c r="F912" t="s">
        <v>70</v>
      </c>
      <c r="G912" t="s">
        <v>69</v>
      </c>
      <c r="H912" t="s">
        <v>68</v>
      </c>
      <c r="K912" t="s">
        <v>68</v>
      </c>
      <c r="L912" t="s">
        <v>69</v>
      </c>
      <c r="M912" t="s">
        <v>70</v>
      </c>
      <c r="N912" t="s">
        <v>71</v>
      </c>
      <c r="O912" t="s">
        <v>72</v>
      </c>
      <c r="P912" t="s">
        <v>73</v>
      </c>
    </row>
    <row r="913" spans="1:24" ht="15.75" customHeight="1" x14ac:dyDescent="0.3">
      <c r="A913">
        <v>456</v>
      </c>
      <c r="B913" s="16" t="s">
        <v>537</v>
      </c>
      <c r="C913" s="7">
        <f>Rankings!L465</f>
        <v>9.2307275604518342</v>
      </c>
      <c r="D913" s="7">
        <f>Rankings!M465</f>
        <v>4.8720580154845736</v>
      </c>
      <c r="E913" s="7">
        <f>Rankings!N465</f>
        <v>3.6855477736399185</v>
      </c>
      <c r="F913" s="7">
        <f>Rankings!O465</f>
        <v>2.6264484510914334</v>
      </c>
      <c r="G913" s="7">
        <f>Rankings!P465</f>
        <v>1.7440097060445605</v>
      </c>
      <c r="H913" s="7">
        <f>Rankings!Q465</f>
        <v>1</v>
      </c>
      <c r="I913" s="7">
        <f>Rankings!R465</f>
        <v>23.158791506712323</v>
      </c>
      <c r="K913" s="7">
        <f>H913</f>
        <v>1</v>
      </c>
      <c r="L913" s="7">
        <f>G913</f>
        <v>1.7440097060445605</v>
      </c>
      <c r="M913" s="7">
        <f>F913</f>
        <v>2.6264484510914334</v>
      </c>
      <c r="N913" s="7">
        <f t="shared" ref="N913:P913" si="786">C913</f>
        <v>9.2307275604518342</v>
      </c>
      <c r="O913" s="7">
        <f t="shared" si="786"/>
        <v>4.8720580154845736</v>
      </c>
      <c r="P913" s="7">
        <f t="shared" si="786"/>
        <v>3.6855477736399185</v>
      </c>
      <c r="R913" s="7">
        <f t="shared" ref="R913:W913" si="787">K913/$I913</f>
        <v>4.3180146067214299E-2</v>
      </c>
      <c r="S913" s="7">
        <f t="shared" si="787"/>
        <v>7.5306593849643597E-2</v>
      </c>
      <c r="T913" s="7">
        <f t="shared" si="787"/>
        <v>0.11341042775613684</v>
      </c>
      <c r="U913" s="7">
        <f t="shared" si="787"/>
        <v>0.39858416436697092</v>
      </c>
      <c r="V913" s="7">
        <f t="shared" si="787"/>
        <v>0.21037617675656611</v>
      </c>
      <c r="W913" s="7">
        <f t="shared" si="787"/>
        <v>0.15914249120346813</v>
      </c>
      <c r="X913" s="7">
        <f>SUM(R913:W913)</f>
        <v>0.99999999999999989</v>
      </c>
    </row>
    <row r="914" spans="1:24" ht="15.75" customHeight="1" x14ac:dyDescent="0.3">
      <c r="C914" t="s">
        <v>71</v>
      </c>
      <c r="D914" t="s">
        <v>73</v>
      </c>
      <c r="E914" t="s">
        <v>68</v>
      </c>
      <c r="F914" t="s">
        <v>69</v>
      </c>
      <c r="G914" t="s">
        <v>70</v>
      </c>
      <c r="H914" t="s">
        <v>72</v>
      </c>
      <c r="K914" t="s">
        <v>68</v>
      </c>
      <c r="L914" t="s">
        <v>69</v>
      </c>
      <c r="M914" t="s">
        <v>70</v>
      </c>
      <c r="N914" t="s">
        <v>71</v>
      </c>
      <c r="O914" t="s">
        <v>72</v>
      </c>
      <c r="P914" t="s">
        <v>73</v>
      </c>
    </row>
    <row r="915" spans="1:24" ht="15.75" customHeight="1" x14ac:dyDescent="0.3">
      <c r="A915">
        <v>457</v>
      </c>
      <c r="B915" s="16" t="s">
        <v>538</v>
      </c>
      <c r="C915" s="7">
        <f>Rankings!L466</f>
        <v>12.099940746002007</v>
      </c>
      <c r="D915" s="7">
        <f>Rankings!M466</f>
        <v>8.1851707189187994</v>
      </c>
      <c r="E915" s="7">
        <f>Rankings!N466</f>
        <v>4.9917080520444861</v>
      </c>
      <c r="F915" s="7">
        <f>Rankings!O466</f>
        <v>3.0486798062397931</v>
      </c>
      <c r="G915" s="7">
        <f>Rankings!P466</f>
        <v>2.2414716085286912</v>
      </c>
      <c r="H915" s="7">
        <f>Rankings!Q466</f>
        <v>1</v>
      </c>
      <c r="I915" s="7">
        <f>Rankings!R466</f>
        <v>31.566970931733778</v>
      </c>
      <c r="K915" s="7">
        <f t="shared" ref="K915:M915" si="788">E915</f>
        <v>4.9917080520444861</v>
      </c>
      <c r="L915" s="7">
        <f t="shared" si="788"/>
        <v>3.0486798062397931</v>
      </c>
      <c r="M915" s="7">
        <f t="shared" si="788"/>
        <v>2.2414716085286912</v>
      </c>
      <c r="N915" s="7">
        <f>C915</f>
        <v>12.099940746002007</v>
      </c>
      <c r="O915" s="7">
        <f>H915</f>
        <v>1</v>
      </c>
      <c r="P915" s="7">
        <f>D915</f>
        <v>8.1851707189187994</v>
      </c>
      <c r="R915" s="7">
        <f t="shared" ref="R915:W915" si="789">K915/$I915</f>
        <v>0.15813072666488887</v>
      </c>
      <c r="S915" s="7">
        <f t="shared" si="789"/>
        <v>9.657815483255644E-2</v>
      </c>
      <c r="T915" s="7">
        <f t="shared" si="789"/>
        <v>7.1006863895052258E-2</v>
      </c>
      <c r="U915" s="7">
        <f t="shared" si="789"/>
        <v>0.38331016213653007</v>
      </c>
      <c r="V915" s="7">
        <f t="shared" si="789"/>
        <v>3.1678680927688115E-2</v>
      </c>
      <c r="W915" s="7">
        <f t="shared" si="789"/>
        <v>0.25929541154328423</v>
      </c>
      <c r="X915" s="7">
        <f>SUM(R915:W915)</f>
        <v>1</v>
      </c>
    </row>
    <row r="916" spans="1:24" ht="15.75" customHeight="1" x14ac:dyDescent="0.3">
      <c r="C916" t="s">
        <v>71</v>
      </c>
      <c r="D916" t="s">
        <v>73</v>
      </c>
      <c r="E916" t="s">
        <v>68</v>
      </c>
      <c r="F916" t="s">
        <v>69</v>
      </c>
      <c r="G916" t="s">
        <v>72</v>
      </c>
      <c r="H916" t="s">
        <v>70</v>
      </c>
      <c r="K916" t="s">
        <v>68</v>
      </c>
      <c r="L916" t="s">
        <v>69</v>
      </c>
      <c r="M916" t="s">
        <v>70</v>
      </c>
      <c r="N916" t="s">
        <v>71</v>
      </c>
      <c r="O916" t="s">
        <v>72</v>
      </c>
      <c r="P916" t="s">
        <v>73</v>
      </c>
    </row>
    <row r="917" spans="1:24" ht="15.75" customHeight="1" x14ac:dyDescent="0.3">
      <c r="A917">
        <v>458</v>
      </c>
      <c r="B917" s="16" t="s">
        <v>539</v>
      </c>
      <c r="C917" s="7">
        <f>Rankings!L467</f>
        <v>14.100413210066831</v>
      </c>
      <c r="D917" s="7">
        <f>Rankings!M467</f>
        <v>9.5384177290148635</v>
      </c>
      <c r="E917" s="7">
        <f>Rankings!N467</f>
        <v>5.8169827138286863</v>
      </c>
      <c r="F917" s="7">
        <f>Rankings!O467</f>
        <v>3.5527153327070047</v>
      </c>
      <c r="G917" s="7">
        <f>Rankings!P467</f>
        <v>1.9746367445127702</v>
      </c>
      <c r="H917" s="7">
        <f>Rankings!Q467</f>
        <v>1</v>
      </c>
      <c r="I917" s="7">
        <f>Rankings!R467</f>
        <v>35.983165730130153</v>
      </c>
      <c r="K917" s="7">
        <f t="shared" ref="K917:L917" si="790">E917</f>
        <v>5.8169827138286863</v>
      </c>
      <c r="L917" s="7">
        <f t="shared" si="790"/>
        <v>3.5527153327070047</v>
      </c>
      <c r="M917" s="7">
        <f>H917</f>
        <v>1</v>
      </c>
      <c r="N917" s="7">
        <f>C917</f>
        <v>14.100413210066831</v>
      </c>
      <c r="O917" s="7">
        <f>G917</f>
        <v>1.9746367445127702</v>
      </c>
      <c r="P917" s="7">
        <f>D917</f>
        <v>9.5384177290148635</v>
      </c>
      <c r="R917" s="7">
        <f t="shared" ref="R917:W917" si="791">K917/$I917</f>
        <v>0.16165844766009269</v>
      </c>
      <c r="S917" s="7">
        <f t="shared" si="791"/>
        <v>9.8732706270259402E-2</v>
      </c>
      <c r="T917" s="7">
        <f t="shared" si="791"/>
        <v>2.779077326047107E-2</v>
      </c>
      <c r="U917" s="7">
        <f t="shared" si="791"/>
        <v>0.3918613863999183</v>
      </c>
      <c r="V917" s="7">
        <f t="shared" si="791"/>
        <v>5.4876682038549132E-2</v>
      </c>
      <c r="W917" s="7">
        <f t="shared" si="791"/>
        <v>0.26508000437070944</v>
      </c>
      <c r="X917" s="7">
        <f>SUM(R917:W917)</f>
        <v>1</v>
      </c>
    </row>
    <row r="918" spans="1:24" ht="15.75" customHeight="1" x14ac:dyDescent="0.3">
      <c r="C918" t="s">
        <v>71</v>
      </c>
      <c r="D918" t="s">
        <v>73</v>
      </c>
      <c r="E918" t="s">
        <v>68</v>
      </c>
      <c r="F918" t="s">
        <v>70</v>
      </c>
      <c r="G918" t="s">
        <v>69</v>
      </c>
      <c r="H918" t="s">
        <v>72</v>
      </c>
      <c r="K918" t="s">
        <v>68</v>
      </c>
      <c r="L918" t="s">
        <v>69</v>
      </c>
      <c r="M918" t="s">
        <v>70</v>
      </c>
      <c r="N918" t="s">
        <v>71</v>
      </c>
      <c r="O918" t="s">
        <v>72</v>
      </c>
      <c r="P918" t="s">
        <v>73</v>
      </c>
    </row>
    <row r="919" spans="1:24" ht="15.75" customHeight="1" x14ac:dyDescent="0.3">
      <c r="A919">
        <v>459</v>
      </c>
      <c r="B919" s="16" t="s">
        <v>540</v>
      </c>
      <c r="C919" s="7">
        <f>Rankings!L468</f>
        <v>7.2777537947383637</v>
      </c>
      <c r="D919" s="7">
        <f>Rankings!M468</f>
        <v>4.9231362789834563</v>
      </c>
      <c r="E919" s="7">
        <f>Rankings!N468</f>
        <v>3.0023636462844858</v>
      </c>
      <c r="F919" s="7">
        <f>Rankings!O468</f>
        <v>2.709525108581635</v>
      </c>
      <c r="G919" s="7">
        <f>Rankings!P468</f>
        <v>1.7991741228251155</v>
      </c>
      <c r="H919" s="7">
        <f>Rankings!Q468</f>
        <v>1</v>
      </c>
      <c r="I919" s="7">
        <f>Rankings!R468</f>
        <v>20.711952951413053</v>
      </c>
      <c r="K919" s="7">
        <f>E919</f>
        <v>3.0023636462844858</v>
      </c>
      <c r="L919" s="7">
        <f>G919</f>
        <v>1.7991741228251155</v>
      </c>
      <c r="M919" s="7">
        <f>F919</f>
        <v>2.709525108581635</v>
      </c>
      <c r="N919" s="7">
        <f>C919</f>
        <v>7.2777537947383637</v>
      </c>
      <c r="O919" s="7">
        <f>H919</f>
        <v>1</v>
      </c>
      <c r="P919" s="7">
        <f>D919</f>
        <v>4.9231362789834563</v>
      </c>
      <c r="R919" s="7">
        <f t="shared" ref="R919:W919" si="792">K919/$I919</f>
        <v>0.14495801788115073</v>
      </c>
      <c r="S919" s="7">
        <f t="shared" si="792"/>
        <v>8.6866464357354026E-2</v>
      </c>
      <c r="T919" s="7">
        <f t="shared" si="792"/>
        <v>0.13081939278916624</v>
      </c>
      <c r="U919" s="7">
        <f t="shared" si="792"/>
        <v>0.35137940935897338</v>
      </c>
      <c r="V919" s="7">
        <f t="shared" si="792"/>
        <v>4.8281299322465672E-2</v>
      </c>
      <c r="W919" s="7">
        <f t="shared" si="792"/>
        <v>0.23769541629089014</v>
      </c>
      <c r="X919" s="7">
        <f>SUM(R919:W919)</f>
        <v>1.0000000000000002</v>
      </c>
    </row>
    <row r="920" spans="1:24" ht="15.75" customHeight="1" x14ac:dyDescent="0.3">
      <c r="C920" t="s">
        <v>71</v>
      </c>
      <c r="D920" t="s">
        <v>73</v>
      </c>
      <c r="E920" t="s">
        <v>68</v>
      </c>
      <c r="F920" t="s">
        <v>70</v>
      </c>
      <c r="G920" t="s">
        <v>72</v>
      </c>
      <c r="H920" t="s">
        <v>69</v>
      </c>
      <c r="K920" t="s">
        <v>68</v>
      </c>
      <c r="L920" t="s">
        <v>69</v>
      </c>
      <c r="M920" t="s">
        <v>70</v>
      </c>
      <c r="N920" t="s">
        <v>71</v>
      </c>
      <c r="O920" t="s">
        <v>72</v>
      </c>
      <c r="P920" t="s">
        <v>73</v>
      </c>
    </row>
    <row r="921" spans="1:24" ht="15.75" customHeight="1" x14ac:dyDescent="0.3">
      <c r="A921">
        <v>460</v>
      </c>
      <c r="B921" s="16" t="s">
        <v>541</v>
      </c>
      <c r="C921" s="7">
        <f>Rankings!L469</f>
        <v>10.983446495888035</v>
      </c>
      <c r="D921" s="7">
        <f>Rankings!M469</f>
        <v>7.4299028844962516</v>
      </c>
      <c r="E921" s="7">
        <f>Rankings!N469</f>
        <v>4.5311096528170554</v>
      </c>
      <c r="F921" s="7">
        <f>Rankings!O469</f>
        <v>4.0891633460982559</v>
      </c>
      <c r="G921" s="7">
        <f>Rankings!P469</f>
        <v>1.8243208303594776</v>
      </c>
      <c r="H921" s="7">
        <f>Rankings!Q469</f>
        <v>1</v>
      </c>
      <c r="I921" s="7">
        <f>Rankings!R469</f>
        <v>29.857943209659076</v>
      </c>
      <c r="K921" s="7">
        <f>E921</f>
        <v>4.5311096528170554</v>
      </c>
      <c r="L921" s="7">
        <f>H921</f>
        <v>1</v>
      </c>
      <c r="M921" s="7">
        <f>F921</f>
        <v>4.0891633460982559</v>
      </c>
      <c r="N921" s="7">
        <f>C921</f>
        <v>10.983446495888035</v>
      </c>
      <c r="O921" s="7">
        <f>G921</f>
        <v>1.8243208303594776</v>
      </c>
      <c r="P921" s="7">
        <f>D921</f>
        <v>7.4299028844962516</v>
      </c>
      <c r="R921" s="7">
        <f t="shared" ref="R921:W921" si="793">K921/$I921</f>
        <v>0.15175558547352438</v>
      </c>
      <c r="S921" s="7">
        <f t="shared" si="793"/>
        <v>3.349192517977926E-2</v>
      </c>
      <c r="T921" s="7">
        <f t="shared" si="793"/>
        <v>0.13695395283541859</v>
      </c>
      <c r="U921" s="7">
        <f t="shared" si="793"/>
        <v>0.3678567682563908</v>
      </c>
      <c r="V921" s="7">
        <f t="shared" si="793"/>
        <v>6.1100016754312397E-2</v>
      </c>
      <c r="W921" s="7">
        <f t="shared" si="793"/>
        <v>0.24884175150057455</v>
      </c>
      <c r="X921" s="7">
        <f>SUM(R921:W921)</f>
        <v>1</v>
      </c>
    </row>
    <row r="922" spans="1:24" ht="15.75" customHeight="1" x14ac:dyDescent="0.3">
      <c r="C922" t="s">
        <v>71</v>
      </c>
      <c r="D922" t="s">
        <v>73</v>
      </c>
      <c r="E922" t="s">
        <v>68</v>
      </c>
      <c r="F922" t="s">
        <v>72</v>
      </c>
      <c r="G922" t="s">
        <v>69</v>
      </c>
      <c r="H922" t="s">
        <v>70</v>
      </c>
      <c r="K922" t="s">
        <v>68</v>
      </c>
      <c r="L922" t="s">
        <v>69</v>
      </c>
      <c r="M922" t="s">
        <v>70</v>
      </c>
      <c r="N922" t="s">
        <v>71</v>
      </c>
      <c r="O922" t="s">
        <v>72</v>
      </c>
      <c r="P922" t="s">
        <v>73</v>
      </c>
    </row>
    <row r="923" spans="1:24" ht="15.75" customHeight="1" x14ac:dyDescent="0.3">
      <c r="A923">
        <v>461</v>
      </c>
      <c r="B923" s="16" t="s">
        <v>542</v>
      </c>
      <c r="C923" s="7">
        <f>Rankings!L470</f>
        <v>6.5242087645395319</v>
      </c>
      <c r="D923" s="7">
        <f>Rankings!M470</f>
        <v>4.4133904177396133</v>
      </c>
      <c r="E923" s="7">
        <f>Rankings!N470</f>
        <v>2.6914962731476</v>
      </c>
      <c r="F923" s="7">
        <f>Rankings!O470</f>
        <v>2.4813029326168055</v>
      </c>
      <c r="G923" s="7">
        <f>Rankings!P470</f>
        <v>1.3601242124324544</v>
      </c>
      <c r="H923" s="7">
        <f>Rankings!Q470</f>
        <v>1</v>
      </c>
      <c r="I923" s="7">
        <f>Rankings!R470</f>
        <v>18.470522600476002</v>
      </c>
      <c r="K923" s="7">
        <f>E923</f>
        <v>2.6914962731476</v>
      </c>
      <c r="L923" s="7">
        <f t="shared" ref="L923:M923" si="794">G923</f>
        <v>1.3601242124324544</v>
      </c>
      <c r="M923" s="7">
        <f t="shared" si="794"/>
        <v>1</v>
      </c>
      <c r="N923" s="7">
        <f>C923</f>
        <v>6.5242087645395319</v>
      </c>
      <c r="O923" s="7">
        <f>F923</f>
        <v>2.4813029326168055</v>
      </c>
      <c r="P923" s="7">
        <f>D923</f>
        <v>4.4133904177396133</v>
      </c>
      <c r="R923" s="7">
        <f t="shared" ref="R923:W923" si="795">K923/$I923</f>
        <v>0.14571846890126638</v>
      </c>
      <c r="S923" s="7">
        <f t="shared" si="795"/>
        <v>7.363755979472951E-2</v>
      </c>
      <c r="T923" s="7">
        <f t="shared" si="795"/>
        <v>5.4140319774938536E-2</v>
      </c>
      <c r="U923" s="7">
        <f t="shared" si="795"/>
        <v>0.35322274879062693</v>
      </c>
      <c r="V923" s="7">
        <f t="shared" si="795"/>
        <v>0.1343385342303666</v>
      </c>
      <c r="W923" s="7">
        <f t="shared" si="795"/>
        <v>0.23894236850807221</v>
      </c>
      <c r="X923" s="7">
        <f>SUM(R923:W923)</f>
        <v>1.0000000000000002</v>
      </c>
    </row>
    <row r="924" spans="1:24" ht="15.75" customHeight="1" x14ac:dyDescent="0.3">
      <c r="C924" t="s">
        <v>71</v>
      </c>
      <c r="D924" t="s">
        <v>73</v>
      </c>
      <c r="E924" t="s">
        <v>68</v>
      </c>
      <c r="F924" t="s">
        <v>72</v>
      </c>
      <c r="G924" t="s">
        <v>70</v>
      </c>
      <c r="H924" t="s">
        <v>69</v>
      </c>
      <c r="K924" t="s">
        <v>68</v>
      </c>
      <c r="L924" t="s">
        <v>69</v>
      </c>
      <c r="M924" t="s">
        <v>70</v>
      </c>
      <c r="N924" t="s">
        <v>71</v>
      </c>
      <c r="O924" t="s">
        <v>72</v>
      </c>
      <c r="P924" t="s">
        <v>73</v>
      </c>
    </row>
    <row r="925" spans="1:24" ht="15.75" customHeight="1" x14ac:dyDescent="0.3">
      <c r="A925">
        <v>462</v>
      </c>
      <c r="B925" s="16" t="s">
        <v>543</v>
      </c>
      <c r="C925" s="7">
        <f>Rankings!L471</f>
        <v>7.8190728327779233</v>
      </c>
      <c r="D925" s="7">
        <f>Rankings!M471</f>
        <v>5.2893189597720953</v>
      </c>
      <c r="E925" s="7">
        <f>Rankings!N471</f>
        <v>3.2256793349831976</v>
      </c>
      <c r="F925" s="7">
        <f>Rankings!O471</f>
        <v>2.9737687818586505</v>
      </c>
      <c r="G925" s="7">
        <f>Rankings!P471</f>
        <v>1.5059827029565431</v>
      </c>
      <c r="H925" s="7">
        <f>Rankings!Q471</f>
        <v>1</v>
      </c>
      <c r="I925" s="7">
        <f>Rankings!R471</f>
        <v>21.81382261234841</v>
      </c>
      <c r="K925" s="7">
        <f>E925</f>
        <v>3.2256793349831976</v>
      </c>
      <c r="L925" s="7">
        <f>H925</f>
        <v>1</v>
      </c>
      <c r="M925" s="7">
        <f>G925</f>
        <v>1.5059827029565431</v>
      </c>
      <c r="N925" s="7">
        <f>C925</f>
        <v>7.8190728327779233</v>
      </c>
      <c r="O925" s="7">
        <f>F925</f>
        <v>2.9737687818586505</v>
      </c>
      <c r="P925" s="7">
        <f>D925</f>
        <v>5.2893189597720953</v>
      </c>
      <c r="R925" s="7">
        <f t="shared" ref="R925:W925" si="796">K925/$I925</f>
        <v>0.14787318079487816</v>
      </c>
      <c r="S925" s="7">
        <f t="shared" si="796"/>
        <v>4.5842492522787735E-2</v>
      </c>
      <c r="T925" s="7">
        <f t="shared" si="796"/>
        <v>6.903800079973299E-2</v>
      </c>
      <c r="U925" s="7">
        <f t="shared" si="796"/>
        <v>0.35844578787175468</v>
      </c>
      <c r="V925" s="7">
        <f t="shared" si="796"/>
        <v>0.13632497314685477</v>
      </c>
      <c r="W925" s="7">
        <f t="shared" si="796"/>
        <v>0.24247556486399169</v>
      </c>
      <c r="X925" s="7">
        <f>SUM(R925:W925)</f>
        <v>1</v>
      </c>
    </row>
    <row r="926" spans="1:24" ht="15.75" customHeight="1" x14ac:dyDescent="0.3">
      <c r="C926" t="s">
        <v>71</v>
      </c>
      <c r="D926" t="s">
        <v>73</v>
      </c>
      <c r="E926" t="s">
        <v>69</v>
      </c>
      <c r="F926" t="s">
        <v>68</v>
      </c>
      <c r="G926" t="s">
        <v>70</v>
      </c>
      <c r="H926" t="s">
        <v>72</v>
      </c>
      <c r="K926" t="s">
        <v>68</v>
      </c>
      <c r="L926" t="s">
        <v>69</v>
      </c>
      <c r="M926" t="s">
        <v>70</v>
      </c>
      <c r="N926" t="s">
        <v>71</v>
      </c>
      <c r="O926" t="s">
        <v>72</v>
      </c>
      <c r="P926" t="s">
        <v>73</v>
      </c>
    </row>
    <row r="927" spans="1:24" ht="15.75" customHeight="1" x14ac:dyDescent="0.3">
      <c r="A927">
        <v>463</v>
      </c>
      <c r="B927" s="16" t="s">
        <v>544</v>
      </c>
      <c r="C927" s="7">
        <f>Rankings!L472</f>
        <v>7.9525478299028967</v>
      </c>
      <c r="D927" s="7">
        <f>Rankings!M472</f>
        <v>5.3796099505388133</v>
      </c>
      <c r="E927" s="7">
        <f>Rankings!N472</f>
        <v>4.331638976082961</v>
      </c>
      <c r="F927" s="7">
        <f>Rankings!O472</f>
        <v>2.4837241221020387</v>
      </c>
      <c r="G927" s="7">
        <f>Rankings!P472</f>
        <v>2.2414716085286912</v>
      </c>
      <c r="H927" s="7">
        <f>Rankings!Q472</f>
        <v>1</v>
      </c>
      <c r="I927" s="7">
        <f>Rankings!R472</f>
        <v>23.388992487155402</v>
      </c>
      <c r="K927" s="7">
        <f>F927</f>
        <v>2.4837241221020387</v>
      </c>
      <c r="L927" s="7">
        <f>E927</f>
        <v>4.331638976082961</v>
      </c>
      <c r="M927" s="7">
        <f>G927</f>
        <v>2.2414716085286912</v>
      </c>
      <c r="N927" s="7">
        <f>C927</f>
        <v>7.9525478299028967</v>
      </c>
      <c r="O927" s="7">
        <f>H927</f>
        <v>1</v>
      </c>
      <c r="P927" s="7">
        <f>D927</f>
        <v>5.3796099505388133</v>
      </c>
      <c r="R927" s="7">
        <f t="shared" ref="R927:W927" si="797">K927/$I927</f>
        <v>0.10619200991517837</v>
      </c>
      <c r="S927" s="7">
        <f t="shared" si="797"/>
        <v>0.18519989599645129</v>
      </c>
      <c r="T927" s="7">
        <f t="shared" si="797"/>
        <v>9.5834466138703764E-2</v>
      </c>
      <c r="U927" s="7">
        <f t="shared" si="797"/>
        <v>0.34001241542448735</v>
      </c>
      <c r="V927" s="7">
        <f t="shared" si="797"/>
        <v>4.2755155039242189E-2</v>
      </c>
      <c r="W927" s="7">
        <f t="shared" si="797"/>
        <v>0.23000605748593697</v>
      </c>
      <c r="X927" s="7">
        <f>SUM(R927:W927)</f>
        <v>0.99999999999999989</v>
      </c>
    </row>
    <row r="928" spans="1:24" ht="15.75" customHeight="1" x14ac:dyDescent="0.3">
      <c r="C928" t="s">
        <v>71</v>
      </c>
      <c r="D928" t="s">
        <v>73</v>
      </c>
      <c r="E928" t="s">
        <v>69</v>
      </c>
      <c r="F928" t="s">
        <v>68</v>
      </c>
      <c r="G928" t="s">
        <v>72</v>
      </c>
      <c r="H928" t="s">
        <v>70</v>
      </c>
      <c r="K928" t="s">
        <v>68</v>
      </c>
      <c r="L928" t="s">
        <v>69</v>
      </c>
      <c r="M928" t="s">
        <v>70</v>
      </c>
      <c r="N928" t="s">
        <v>71</v>
      </c>
      <c r="O928" t="s">
        <v>72</v>
      </c>
      <c r="P928" t="s">
        <v>73</v>
      </c>
    </row>
    <row r="929" spans="1:24" ht="15.75" customHeight="1" x14ac:dyDescent="0.3">
      <c r="A929">
        <v>464</v>
      </c>
      <c r="B929" s="16" t="s">
        <v>545</v>
      </c>
      <c r="C929" s="7">
        <f>Rankings!L473</f>
        <v>6.8581052009047792</v>
      </c>
      <c r="D929" s="7">
        <f>Rankings!M473</f>
        <v>4.6392592373857902</v>
      </c>
      <c r="E929" s="7">
        <f>Rankings!N473</f>
        <v>3.7355117411068925</v>
      </c>
      <c r="F929" s="7">
        <f>Rankings!O473</f>
        <v>2.1419099493311236</v>
      </c>
      <c r="G929" s="7">
        <f>Rankings!P473</f>
        <v>1.9746367445127702</v>
      </c>
      <c r="H929" s="7">
        <f>Rankings!Q473</f>
        <v>1</v>
      </c>
      <c r="I929" s="7">
        <f>Rankings!R473</f>
        <v>20.349422873241355</v>
      </c>
      <c r="K929" s="7">
        <f>F929</f>
        <v>2.1419099493311236</v>
      </c>
      <c r="L929" s="7">
        <f>E929</f>
        <v>3.7355117411068925</v>
      </c>
      <c r="M929" s="7">
        <f>H929</f>
        <v>1</v>
      </c>
      <c r="N929" s="7">
        <f>C929</f>
        <v>6.8581052009047792</v>
      </c>
      <c r="O929" s="7">
        <f>G929</f>
        <v>1.9746367445127702</v>
      </c>
      <c r="P929" s="7">
        <f>D929</f>
        <v>4.6392592373857902</v>
      </c>
      <c r="R929" s="7">
        <f t="shared" ref="R929:W929" si="798">K929/$I929</f>
        <v>0.10525654524323862</v>
      </c>
      <c r="S929" s="7">
        <f t="shared" si="798"/>
        <v>0.18356843652892657</v>
      </c>
      <c r="T929" s="7">
        <f t="shared" si="798"/>
        <v>4.9141442793198743E-2</v>
      </c>
      <c r="U929" s="7">
        <f t="shared" si="798"/>
        <v>0.33701718440000095</v>
      </c>
      <c r="V929" s="7">
        <f t="shared" si="798"/>
        <v>9.7036498617822486E-2</v>
      </c>
      <c r="W929" s="7">
        <f t="shared" si="798"/>
        <v>0.22797989241681263</v>
      </c>
      <c r="X929" s="7">
        <f>SUM(R929:W929)</f>
        <v>1</v>
      </c>
    </row>
    <row r="930" spans="1:24" ht="15.75" customHeight="1" x14ac:dyDescent="0.3">
      <c r="C930" t="s">
        <v>71</v>
      </c>
      <c r="D930" t="s">
        <v>73</v>
      </c>
      <c r="E930" t="s">
        <v>69</v>
      </c>
      <c r="F930" t="s">
        <v>70</v>
      </c>
      <c r="G930" t="s">
        <v>68</v>
      </c>
      <c r="H930" t="s">
        <v>72</v>
      </c>
      <c r="K930" t="s">
        <v>68</v>
      </c>
      <c r="L930" t="s">
        <v>69</v>
      </c>
      <c r="M930" t="s">
        <v>70</v>
      </c>
      <c r="N930" t="s">
        <v>71</v>
      </c>
      <c r="O930" t="s">
        <v>72</v>
      </c>
      <c r="P930" t="s">
        <v>73</v>
      </c>
    </row>
    <row r="931" spans="1:24" ht="15.75" customHeight="1" x14ac:dyDescent="0.3">
      <c r="A931">
        <v>465</v>
      </c>
      <c r="B931" s="16" t="s">
        <v>546</v>
      </c>
      <c r="C931" s="7">
        <f>Rankings!L474</f>
        <v>4.6105550802263577</v>
      </c>
      <c r="D931" s="7">
        <f>Rankings!M474</f>
        <v>3.1188731608541409</v>
      </c>
      <c r="E931" s="7">
        <f>Rankings!N474</f>
        <v>2.5113033601370556</v>
      </c>
      <c r="F931" s="7">
        <f>Rankings!O474</f>
        <v>1.8463779537060261</v>
      </c>
      <c r="G931" s="7">
        <f>Rankings!P474</f>
        <v>1.0847108741813811</v>
      </c>
      <c r="H931" s="7">
        <f>Rankings!Q474</f>
        <v>1</v>
      </c>
      <c r="I931" s="7">
        <f>Rankings!R474</f>
        <v>14.171820429104962</v>
      </c>
      <c r="K931" s="7">
        <f>G931</f>
        <v>1.0847108741813811</v>
      </c>
      <c r="L931" s="7">
        <f t="shared" ref="L931:M931" si="799">E931</f>
        <v>2.5113033601370556</v>
      </c>
      <c r="M931" s="7">
        <f t="shared" si="799"/>
        <v>1.8463779537060261</v>
      </c>
      <c r="N931" s="7">
        <f>C931</f>
        <v>4.6105550802263577</v>
      </c>
      <c r="O931" s="7">
        <f>H931</f>
        <v>1</v>
      </c>
      <c r="P931" s="7">
        <f>D931</f>
        <v>3.1188731608541409</v>
      </c>
      <c r="R931" s="7">
        <f t="shared" ref="R931:W931" si="800">K931/$I931</f>
        <v>7.6539981550548572E-2</v>
      </c>
      <c r="S931" s="7">
        <f t="shared" si="800"/>
        <v>0.17720400654947191</v>
      </c>
      <c r="T931" s="7">
        <f t="shared" si="800"/>
        <v>0.13028516434727619</v>
      </c>
      <c r="U931" s="7">
        <f t="shared" si="800"/>
        <v>0.32533259247044688</v>
      </c>
      <c r="V931" s="7">
        <f t="shared" si="800"/>
        <v>7.056256498609588E-2</v>
      </c>
      <c r="W931" s="7">
        <f t="shared" si="800"/>
        <v>0.22007569009616057</v>
      </c>
      <c r="X931" s="7">
        <f>SUM(R931:W931)</f>
        <v>1</v>
      </c>
    </row>
    <row r="932" spans="1:24" ht="15.75" customHeight="1" x14ac:dyDescent="0.3">
      <c r="C932" t="s">
        <v>71</v>
      </c>
      <c r="D932" t="s">
        <v>73</v>
      </c>
      <c r="E932" t="s">
        <v>69</v>
      </c>
      <c r="F932" t="s">
        <v>70</v>
      </c>
      <c r="G932" t="s">
        <v>72</v>
      </c>
      <c r="H932" t="s">
        <v>68</v>
      </c>
      <c r="K932" t="s">
        <v>68</v>
      </c>
      <c r="L932" t="s">
        <v>69</v>
      </c>
      <c r="M932" t="s">
        <v>70</v>
      </c>
      <c r="N932" t="s">
        <v>71</v>
      </c>
      <c r="O932" t="s">
        <v>72</v>
      </c>
      <c r="P932" t="s">
        <v>73</v>
      </c>
    </row>
    <row r="933" spans="1:24" ht="15.75" customHeight="1" x14ac:dyDescent="0.3">
      <c r="A933">
        <v>466</v>
      </c>
      <c r="B933" s="16" t="s">
        <v>547</v>
      </c>
      <c r="C933" s="7">
        <f>Rankings!L475</f>
        <v>8.5666538684195892</v>
      </c>
      <c r="D933" s="7">
        <f>Rankings!M475</f>
        <v>5.7950303951751971</v>
      </c>
      <c r="E933" s="7">
        <f>Rankings!N475</f>
        <v>4.666133745405121</v>
      </c>
      <c r="F933" s="7">
        <f>Rankings!O475</f>
        <v>3.4306673631375024</v>
      </c>
      <c r="G933" s="7">
        <f>Rankings!P475</f>
        <v>1.530542412441888</v>
      </c>
      <c r="H933" s="7">
        <f>Rankings!Q475</f>
        <v>1</v>
      </c>
      <c r="I933" s="7">
        <f>Rankings!R475</f>
        <v>24.989027784579299</v>
      </c>
      <c r="K933" s="7">
        <f>H933</f>
        <v>1</v>
      </c>
      <c r="L933" s="7">
        <f t="shared" ref="L933:M933" si="801">E933</f>
        <v>4.666133745405121</v>
      </c>
      <c r="M933" s="7">
        <f t="shared" si="801"/>
        <v>3.4306673631375024</v>
      </c>
      <c r="N933" s="7">
        <f>C933</f>
        <v>8.5666538684195892</v>
      </c>
      <c r="O933" s="7">
        <f>G933</f>
        <v>1.530542412441888</v>
      </c>
      <c r="P933" s="7">
        <f>D933</f>
        <v>5.7950303951751971</v>
      </c>
      <c r="R933" s="7">
        <f t="shared" ref="R933:W933" si="802">K933/$I933</f>
        <v>4.0017563252984931E-2</v>
      </c>
      <c r="S933" s="7">
        <f t="shared" si="802"/>
        <v>0.18672730230363691</v>
      </c>
      <c r="T933" s="7">
        <f t="shared" si="802"/>
        <v>0.13728694820430604</v>
      </c>
      <c r="U933" s="7">
        <f t="shared" si="802"/>
        <v>0.34281661304590894</v>
      </c>
      <c r="V933" s="7">
        <f t="shared" si="802"/>
        <v>6.1248577801269403E-2</v>
      </c>
      <c r="W933" s="7">
        <f t="shared" si="802"/>
        <v>0.23190299539189371</v>
      </c>
      <c r="X933" s="7">
        <f>SUM(R933:W933)</f>
        <v>0.99999999999999989</v>
      </c>
    </row>
    <row r="934" spans="1:24" ht="15.75" customHeight="1" x14ac:dyDescent="0.3">
      <c r="C934" t="s">
        <v>71</v>
      </c>
      <c r="D934" t="s">
        <v>73</v>
      </c>
      <c r="E934" t="s">
        <v>69</v>
      </c>
      <c r="F934" t="s">
        <v>72</v>
      </c>
      <c r="G934" t="s">
        <v>68</v>
      </c>
      <c r="H934" t="s">
        <v>70</v>
      </c>
      <c r="K934" t="s">
        <v>68</v>
      </c>
      <c r="L934" t="s">
        <v>69</v>
      </c>
      <c r="M934" t="s">
        <v>70</v>
      </c>
      <c r="N934" t="s">
        <v>71</v>
      </c>
      <c r="O934" t="s">
        <v>72</v>
      </c>
      <c r="P934" t="s">
        <v>73</v>
      </c>
    </row>
    <row r="935" spans="1:24" ht="15.75" customHeight="1" x14ac:dyDescent="0.3">
      <c r="A935">
        <v>467</v>
      </c>
      <c r="B935" s="16" t="s">
        <v>548</v>
      </c>
      <c r="C935" s="7">
        <f>Rankings!L476</f>
        <v>5.6019949727199707</v>
      </c>
      <c r="D935" s="7">
        <f>Rankings!M476</f>
        <v>3.7895462614879674</v>
      </c>
      <c r="E935" s="7">
        <f>Rankings!N476</f>
        <v>3.0513264788438152</v>
      </c>
      <c r="F935" s="7">
        <f>Rankings!O476</f>
        <v>1.695959518388656</v>
      </c>
      <c r="G935" s="7">
        <f>Rankings!P476</f>
        <v>1.1080774401297739</v>
      </c>
      <c r="H935" s="7">
        <f>Rankings!Q476</f>
        <v>1</v>
      </c>
      <c r="I935" s="7">
        <f>Rankings!R476</f>
        <v>16.246904671570185</v>
      </c>
      <c r="K935" s="7">
        <f>G935</f>
        <v>1.1080774401297739</v>
      </c>
      <c r="L935" s="7">
        <f>E935</f>
        <v>3.0513264788438152</v>
      </c>
      <c r="M935" s="7">
        <f>H935</f>
        <v>1</v>
      </c>
      <c r="N935" s="7">
        <f>C935</f>
        <v>5.6019949727199707</v>
      </c>
      <c r="O935" s="7">
        <f>F935</f>
        <v>1.695959518388656</v>
      </c>
      <c r="P935" s="7">
        <f>D935</f>
        <v>3.7895462614879674</v>
      </c>
      <c r="R935" s="7">
        <f t="shared" ref="R935:W935" si="803">K935/$I935</f>
        <v>6.8202372238248848E-2</v>
      </c>
      <c r="S935" s="7">
        <f t="shared" si="803"/>
        <v>0.18780971148204068</v>
      </c>
      <c r="T935" s="7">
        <f t="shared" si="803"/>
        <v>6.1550185725522254E-2</v>
      </c>
      <c r="U935" s="7">
        <f t="shared" si="803"/>
        <v>0.34480383100435619</v>
      </c>
      <c r="V935" s="7">
        <f t="shared" si="803"/>
        <v>0.10438662333978904</v>
      </c>
      <c r="W935" s="7">
        <f t="shared" si="803"/>
        <v>0.2332472762100429</v>
      </c>
      <c r="X935" s="7">
        <f>SUM(R935:W935)</f>
        <v>0.99999999999999989</v>
      </c>
    </row>
    <row r="936" spans="1:24" ht="15.75" customHeight="1" x14ac:dyDescent="0.3">
      <c r="C936" t="s">
        <v>71</v>
      </c>
      <c r="D936" t="s">
        <v>73</v>
      </c>
      <c r="E936" t="s">
        <v>69</v>
      </c>
      <c r="F936" t="s">
        <v>72</v>
      </c>
      <c r="G936" t="s">
        <v>70</v>
      </c>
      <c r="H936" t="s">
        <v>68</v>
      </c>
      <c r="K936" t="s">
        <v>68</v>
      </c>
      <c r="L936" t="s">
        <v>69</v>
      </c>
      <c r="M936" t="s">
        <v>70</v>
      </c>
      <c r="N936" t="s">
        <v>71</v>
      </c>
      <c r="O936" t="s">
        <v>72</v>
      </c>
      <c r="P936" t="s">
        <v>73</v>
      </c>
    </row>
    <row r="937" spans="1:24" ht="15.75" customHeight="1" x14ac:dyDescent="0.3">
      <c r="A937">
        <v>468</v>
      </c>
      <c r="B937" s="16" t="s">
        <v>549</v>
      </c>
      <c r="C937" s="7">
        <f>Rankings!L477</f>
        <v>11.102507090943806</v>
      </c>
      <c r="D937" s="7">
        <f>Rankings!M477</f>
        <v>7.5104430554677126</v>
      </c>
      <c r="E937" s="7">
        <f>Rankings!N477</f>
        <v>6.0473766993938174</v>
      </c>
      <c r="F937" s="7">
        <f>Rankings!O477</f>
        <v>3.3611959079858544</v>
      </c>
      <c r="G937" s="7">
        <f>Rankings!P477</f>
        <v>1.7021844231989158</v>
      </c>
      <c r="H937" s="7">
        <f>Rankings!Q477</f>
        <v>1</v>
      </c>
      <c r="I937" s="7">
        <f>Rankings!R477</f>
        <v>30.723707176990107</v>
      </c>
      <c r="K937" s="7">
        <f>H937</f>
        <v>1</v>
      </c>
      <c r="L937" s="7">
        <f>E937</f>
        <v>6.0473766993938174</v>
      </c>
      <c r="M937" s="7">
        <f>G937</f>
        <v>1.7021844231989158</v>
      </c>
      <c r="N937" s="7">
        <f>C937</f>
        <v>11.102507090943806</v>
      </c>
      <c r="O937" s="7">
        <f>F937</f>
        <v>3.3611959079858544</v>
      </c>
      <c r="P937" s="7">
        <f>D937</f>
        <v>7.5104430554677126</v>
      </c>
      <c r="R937" s="7">
        <f t="shared" ref="R937:W937" si="804">K937/$I937</f>
        <v>3.2548155541233956E-2</v>
      </c>
      <c r="S937" s="7">
        <f t="shared" si="804"/>
        <v>0.19683095742830398</v>
      </c>
      <c r="T937" s="7">
        <f t="shared" si="804"/>
        <v>5.5402963366143913E-2</v>
      </c>
      <c r="U937" s="7">
        <f t="shared" si="804"/>
        <v>0.36136612769369192</v>
      </c>
      <c r="V937" s="7">
        <f t="shared" si="804"/>
        <v>0.10940072721768268</v>
      </c>
      <c r="W937" s="7">
        <f t="shared" si="804"/>
        <v>0.24445106875294351</v>
      </c>
      <c r="X937" s="7">
        <f>SUM(R937:W937)</f>
        <v>1</v>
      </c>
    </row>
    <row r="938" spans="1:24" ht="15.75" customHeight="1" x14ac:dyDescent="0.3">
      <c r="C938" t="s">
        <v>71</v>
      </c>
      <c r="D938" t="s">
        <v>73</v>
      </c>
      <c r="E938" t="s">
        <v>70</v>
      </c>
      <c r="F938" t="s">
        <v>68</v>
      </c>
      <c r="G938" t="s">
        <v>69</v>
      </c>
      <c r="H938" t="s">
        <v>72</v>
      </c>
      <c r="K938" t="s">
        <v>68</v>
      </c>
      <c r="L938" t="s">
        <v>69</v>
      </c>
      <c r="M938" t="s">
        <v>70</v>
      </c>
      <c r="N938" t="s">
        <v>71</v>
      </c>
      <c r="O938" t="s">
        <v>72</v>
      </c>
      <c r="P938" t="s">
        <v>73</v>
      </c>
    </row>
    <row r="939" spans="1:24" ht="15.75" customHeight="1" x14ac:dyDescent="0.3">
      <c r="A939">
        <v>469</v>
      </c>
      <c r="B939" s="16" t="s">
        <v>550</v>
      </c>
      <c r="C939" s="7">
        <f>Rankings!L478</f>
        <v>10.401736220763228</v>
      </c>
      <c r="D939" s="7">
        <f>Rankings!M478</f>
        <v>7.0363969979142045</v>
      </c>
      <c r="E939" s="7">
        <f>Rankings!N478</f>
        <v>5.0143791727828404</v>
      </c>
      <c r="F939" s="7">
        <f>Rankings!O478</f>
        <v>2.9458495239659848</v>
      </c>
      <c r="G939" s="7">
        <f>Rankings!P478</f>
        <v>1.7991741228251155</v>
      </c>
      <c r="H939" s="7">
        <f>Rankings!Q478</f>
        <v>1</v>
      </c>
      <c r="I939" s="7">
        <f>Rankings!R478</f>
        <v>28.197536038251375</v>
      </c>
      <c r="K939" s="7">
        <f t="shared" ref="K939:L939" si="805">F939</f>
        <v>2.9458495239659848</v>
      </c>
      <c r="L939" s="7">
        <f t="shared" si="805"/>
        <v>1.7991741228251155</v>
      </c>
      <c r="M939" s="7">
        <f>E939</f>
        <v>5.0143791727828404</v>
      </c>
      <c r="N939" s="7">
        <f>C939</f>
        <v>10.401736220763228</v>
      </c>
      <c r="O939" s="7">
        <f>H939</f>
        <v>1</v>
      </c>
      <c r="P939" s="7">
        <f>D939</f>
        <v>7.0363969979142045</v>
      </c>
      <c r="R939" s="7">
        <f t="shared" ref="R939:W939" si="806">K939/$I939</f>
        <v>0.10447187725799133</v>
      </c>
      <c r="S939" s="7">
        <f t="shared" si="806"/>
        <v>6.3806075835294448E-2</v>
      </c>
      <c r="T939" s="7">
        <f t="shared" si="806"/>
        <v>0.1778304021309019</v>
      </c>
      <c r="U939" s="7">
        <f t="shared" si="806"/>
        <v>0.36888812577995289</v>
      </c>
      <c r="V939" s="7">
        <f t="shared" si="806"/>
        <v>3.5464091566137189E-2</v>
      </c>
      <c r="W939" s="7">
        <f t="shared" si="806"/>
        <v>0.24953942742972215</v>
      </c>
      <c r="X939" s="7">
        <f>SUM(R939:W939)</f>
        <v>0.99999999999999989</v>
      </c>
    </row>
    <row r="940" spans="1:24" ht="15.75" customHeight="1" x14ac:dyDescent="0.3">
      <c r="C940" t="s">
        <v>71</v>
      </c>
      <c r="D940" t="s">
        <v>73</v>
      </c>
      <c r="E940" t="s">
        <v>70</v>
      </c>
      <c r="F940" t="s">
        <v>68</v>
      </c>
      <c r="G940" t="s">
        <v>72</v>
      </c>
      <c r="H940" t="s">
        <v>69</v>
      </c>
      <c r="K940" t="s">
        <v>68</v>
      </c>
      <c r="L940" t="s">
        <v>69</v>
      </c>
      <c r="M940" t="s">
        <v>70</v>
      </c>
      <c r="N940" t="s">
        <v>71</v>
      </c>
      <c r="O940" t="s">
        <v>72</v>
      </c>
      <c r="P940" t="s">
        <v>73</v>
      </c>
    </row>
    <row r="941" spans="1:24" ht="15.75" customHeight="1" x14ac:dyDescent="0.3">
      <c r="A941">
        <v>470</v>
      </c>
      <c r="B941" s="16" t="s">
        <v>551</v>
      </c>
      <c r="C941" s="7">
        <f>Rankings!L479</f>
        <v>6.9873176669131771</v>
      </c>
      <c r="D941" s="7">
        <f>Rankings!M479</f>
        <v>4.7266667805707181</v>
      </c>
      <c r="E941" s="7">
        <f>Rankings!N479</f>
        <v>3.3683857616624104</v>
      </c>
      <c r="F941" s="7">
        <f>Rankings!O479</f>
        <v>1.9788606426865321</v>
      </c>
      <c r="G941" s="7">
        <f>Rankings!P479</f>
        <v>1.8243208303594776</v>
      </c>
      <c r="H941" s="7">
        <f>Rankings!Q479</f>
        <v>1</v>
      </c>
      <c r="I941" s="7">
        <f>Rankings!R479</f>
        <v>19.885551682192315</v>
      </c>
      <c r="K941" s="7">
        <f>F941</f>
        <v>1.9788606426865321</v>
      </c>
      <c r="L941" s="7">
        <f>H941</f>
        <v>1</v>
      </c>
      <c r="M941" s="7">
        <f>E941</f>
        <v>3.3683857616624104</v>
      </c>
      <c r="N941" s="7">
        <f>C941</f>
        <v>6.9873176669131771</v>
      </c>
      <c r="O941" s="7">
        <f>G941</f>
        <v>1.8243208303594776</v>
      </c>
      <c r="P941" s="7">
        <f>D941</f>
        <v>4.7266667805707181</v>
      </c>
      <c r="R941" s="7">
        <f t="shared" ref="R941:W941" si="807">K941/$I941</f>
        <v>9.9512483953795416E-2</v>
      </c>
      <c r="S941" s="7">
        <f t="shared" si="807"/>
        <v>5.0287767519948103E-2</v>
      </c>
      <c r="T941" s="7">
        <f t="shared" si="807"/>
        <v>0.16938860009998261</v>
      </c>
      <c r="U941" s="7">
        <f t="shared" si="807"/>
        <v>0.351376606421756</v>
      </c>
      <c r="V941" s="7">
        <f t="shared" si="807"/>
        <v>9.1741021798916092E-2</v>
      </c>
      <c r="W941" s="7">
        <f t="shared" si="807"/>
        <v>0.2376935202056018</v>
      </c>
      <c r="X941" s="7">
        <f>SUM(R941:W941)</f>
        <v>1</v>
      </c>
    </row>
    <row r="942" spans="1:24" ht="15.75" customHeight="1" x14ac:dyDescent="0.3">
      <c r="C942" t="s">
        <v>71</v>
      </c>
      <c r="D942" t="s">
        <v>73</v>
      </c>
      <c r="E942" t="s">
        <v>70</v>
      </c>
      <c r="F942" t="s">
        <v>69</v>
      </c>
      <c r="G942" t="s">
        <v>68</v>
      </c>
      <c r="H942" t="s">
        <v>72</v>
      </c>
      <c r="K942" t="s">
        <v>68</v>
      </c>
      <c r="L942" t="s">
        <v>69</v>
      </c>
      <c r="M942" t="s">
        <v>70</v>
      </c>
      <c r="N942" t="s">
        <v>71</v>
      </c>
      <c r="O942" t="s">
        <v>72</v>
      </c>
      <c r="P942" t="s">
        <v>73</v>
      </c>
    </row>
    <row r="943" spans="1:24" ht="15.75" customHeight="1" x14ac:dyDescent="0.3">
      <c r="A943">
        <v>471</v>
      </c>
      <c r="B943" s="16" t="s">
        <v>552</v>
      </c>
      <c r="C943" s="7">
        <f>Rankings!L480</f>
        <v>5.9097830847469162</v>
      </c>
      <c r="D943" s="7">
        <f>Rankings!M480</f>
        <v>3.9977537473821991</v>
      </c>
      <c r="E943" s="7">
        <f>Rankings!N480</f>
        <v>2.848937195375723</v>
      </c>
      <c r="F943" s="7">
        <f>Rankings!O480</f>
        <v>1.8917462928244089</v>
      </c>
      <c r="G943" s="7">
        <f>Rankings!P480</f>
        <v>1.0847108741813811</v>
      </c>
      <c r="H943" s="7">
        <f>Rankings!Q480</f>
        <v>1</v>
      </c>
      <c r="I943" s="7">
        <f>Rankings!R480</f>
        <v>16.732931194510627</v>
      </c>
      <c r="K943" s="7">
        <f>G943</f>
        <v>1.0847108741813811</v>
      </c>
      <c r="L943" s="7">
        <f>F943</f>
        <v>1.8917462928244089</v>
      </c>
      <c r="M943" s="7">
        <f>E943</f>
        <v>2.848937195375723</v>
      </c>
      <c r="N943" s="7">
        <f>C943</f>
        <v>5.9097830847469162</v>
      </c>
      <c r="O943" s="7">
        <f>H943</f>
        <v>1</v>
      </c>
      <c r="P943" s="7">
        <f>D943</f>
        <v>3.9977537473821991</v>
      </c>
      <c r="R943" s="7">
        <f t="shared" ref="R943:W943" si="808">K943/$I943</f>
        <v>6.4824916900227819E-2</v>
      </c>
      <c r="S943" s="7">
        <f t="shared" si="808"/>
        <v>0.11305528426752938</v>
      </c>
      <c r="T943" s="7">
        <f t="shared" si="808"/>
        <v>0.17025930258473421</v>
      </c>
      <c r="U943" s="7">
        <f t="shared" si="808"/>
        <v>0.35318277569238249</v>
      </c>
      <c r="V943" s="7">
        <f t="shared" si="808"/>
        <v>5.9762392397098844E-2</v>
      </c>
      <c r="W943" s="7">
        <f t="shared" si="808"/>
        <v>0.23891532815802735</v>
      </c>
      <c r="X943" s="7">
        <f>SUM(R943:W943)</f>
        <v>1</v>
      </c>
    </row>
    <row r="944" spans="1:24" ht="15.75" customHeight="1" x14ac:dyDescent="0.3">
      <c r="C944" t="s">
        <v>71</v>
      </c>
      <c r="D944" t="s">
        <v>73</v>
      </c>
      <c r="E944" t="s">
        <v>70</v>
      </c>
      <c r="F944" t="s">
        <v>69</v>
      </c>
      <c r="G944" t="s">
        <v>72</v>
      </c>
      <c r="H944" t="s">
        <v>68</v>
      </c>
      <c r="K944" t="s">
        <v>68</v>
      </c>
      <c r="L944" t="s">
        <v>69</v>
      </c>
      <c r="M944" t="s">
        <v>70</v>
      </c>
      <c r="N944" t="s">
        <v>71</v>
      </c>
      <c r="O944" t="s">
        <v>72</v>
      </c>
      <c r="P944" t="s">
        <v>73</v>
      </c>
    </row>
    <row r="945" spans="1:24" ht="15.75" customHeight="1" x14ac:dyDescent="0.3">
      <c r="A945">
        <v>472</v>
      </c>
      <c r="B945" s="16" t="s">
        <v>553</v>
      </c>
      <c r="C945" s="7">
        <f>Rankings!L481</f>
        <v>8.6025501656466101</v>
      </c>
      <c r="D945" s="7">
        <f>Rankings!M481</f>
        <v>5.8193129373089096</v>
      </c>
      <c r="E945" s="7">
        <f>Rankings!N481</f>
        <v>4.1470430962604041</v>
      </c>
      <c r="F945" s="7">
        <f>Rankings!O481</f>
        <v>2.75371230235177</v>
      </c>
      <c r="G945" s="7">
        <f>Rankings!P481</f>
        <v>1.530542412441888</v>
      </c>
      <c r="H945" s="7">
        <f>Rankings!Q481</f>
        <v>1</v>
      </c>
      <c r="I945" s="7">
        <f>Rankings!R481</f>
        <v>23.853160914009582</v>
      </c>
      <c r="K945" s="7">
        <f>H945</f>
        <v>1</v>
      </c>
      <c r="L945" s="7">
        <f>F945</f>
        <v>2.75371230235177</v>
      </c>
      <c r="M945" s="7">
        <f>E945</f>
        <v>4.1470430962604041</v>
      </c>
      <c r="N945" s="7">
        <f>C945</f>
        <v>8.6025501656466101</v>
      </c>
      <c r="O945" s="7">
        <f>G945</f>
        <v>1.530542412441888</v>
      </c>
      <c r="P945" s="7">
        <f>D945</f>
        <v>5.8193129373089096</v>
      </c>
      <c r="R945" s="7">
        <f t="shared" ref="R945:W945" si="809">K945/$I945</f>
        <v>4.1923164967737001E-2</v>
      </c>
      <c r="S945" s="7">
        <f t="shared" si="809"/>
        <v>0.11544433512518013</v>
      </c>
      <c r="T945" s="7">
        <f t="shared" si="809"/>
        <v>0.17385717185283975</v>
      </c>
      <c r="U945" s="7">
        <f t="shared" si="809"/>
        <v>0.3606461297376361</v>
      </c>
      <c r="V945" s="7">
        <f t="shared" si="809"/>
        <v>6.4165182046919442E-2</v>
      </c>
      <c r="W945" s="7">
        <f t="shared" si="809"/>
        <v>0.24396401626968758</v>
      </c>
      <c r="X945" s="7">
        <f>SUM(R945:W945)</f>
        <v>1</v>
      </c>
    </row>
    <row r="946" spans="1:24" ht="15.75" customHeight="1" x14ac:dyDescent="0.3">
      <c r="C946" t="s">
        <v>71</v>
      </c>
      <c r="D946" t="s">
        <v>73</v>
      </c>
      <c r="E946" t="s">
        <v>70</v>
      </c>
      <c r="F946" t="s">
        <v>72</v>
      </c>
      <c r="G946" t="s">
        <v>68</v>
      </c>
      <c r="H946" t="s">
        <v>69</v>
      </c>
      <c r="K946" t="s">
        <v>68</v>
      </c>
      <c r="L946" t="s">
        <v>69</v>
      </c>
      <c r="M946" t="s">
        <v>70</v>
      </c>
      <c r="N946" t="s">
        <v>71</v>
      </c>
      <c r="O946" t="s">
        <v>72</v>
      </c>
      <c r="P946" t="s">
        <v>73</v>
      </c>
    </row>
    <row r="947" spans="1:24" ht="15.75" customHeight="1" x14ac:dyDescent="0.3">
      <c r="A947">
        <v>473</v>
      </c>
      <c r="B947" s="16" t="s">
        <v>554</v>
      </c>
      <c r="C947" s="7">
        <f>Rankings!L482</f>
        <v>11.652111698811261</v>
      </c>
      <c r="D947" s="7">
        <f>Rankings!M482</f>
        <v>7.8822306235007158</v>
      </c>
      <c r="E947" s="7">
        <f>Rankings!N482</f>
        <v>5.6171493855831791</v>
      </c>
      <c r="F947" s="7">
        <f>Rankings!O482</f>
        <v>2.5060096073535783</v>
      </c>
      <c r="G947" s="7">
        <f>Rankings!P482</f>
        <v>1.6373343116675814</v>
      </c>
      <c r="H947" s="7">
        <f>Rankings!Q482</f>
        <v>1</v>
      </c>
      <c r="I947" s="7">
        <f>Rankings!R482</f>
        <v>30.294835626916317</v>
      </c>
      <c r="K947" s="7">
        <f t="shared" ref="K947:L947" si="810">G947</f>
        <v>1.6373343116675814</v>
      </c>
      <c r="L947" s="7">
        <f t="shared" si="810"/>
        <v>1</v>
      </c>
      <c r="M947" s="7">
        <f>E947</f>
        <v>5.6171493855831791</v>
      </c>
      <c r="N947" s="7">
        <f>C947</f>
        <v>11.652111698811261</v>
      </c>
      <c r="O947" s="7">
        <f>F947</f>
        <v>2.5060096073535783</v>
      </c>
      <c r="P947" s="7">
        <f>D947</f>
        <v>7.8822306235007158</v>
      </c>
      <c r="R947" s="7">
        <f t="shared" ref="R947:W947" si="811">K947/$I947</f>
        <v>5.4046647812567919E-2</v>
      </c>
      <c r="S947" s="7">
        <f t="shared" si="811"/>
        <v>3.300892641620809E-2</v>
      </c>
      <c r="T947" s="7">
        <f t="shared" si="811"/>
        <v>0.18541607073756364</v>
      </c>
      <c r="U947" s="7">
        <f t="shared" si="811"/>
        <v>0.38462369765949839</v>
      </c>
      <c r="V947" s="7">
        <f t="shared" si="811"/>
        <v>8.2720686727444787E-2</v>
      </c>
      <c r="W947" s="7">
        <f t="shared" si="811"/>
        <v>0.26018397064671717</v>
      </c>
      <c r="X947" s="7">
        <f>SUM(R947:W947)</f>
        <v>1</v>
      </c>
    </row>
    <row r="948" spans="1:24" ht="15.75" customHeight="1" x14ac:dyDescent="0.3">
      <c r="C948" t="s">
        <v>71</v>
      </c>
      <c r="D948" t="s">
        <v>73</v>
      </c>
      <c r="E948" t="s">
        <v>70</v>
      </c>
      <c r="F948" t="s">
        <v>72</v>
      </c>
      <c r="G948" t="s">
        <v>69</v>
      </c>
      <c r="H948" t="s">
        <v>68</v>
      </c>
      <c r="K948" t="s">
        <v>68</v>
      </c>
      <c r="L948" t="s">
        <v>69</v>
      </c>
      <c r="M948" t="s">
        <v>70</v>
      </c>
      <c r="N948" t="s">
        <v>71</v>
      </c>
      <c r="O948" t="s">
        <v>72</v>
      </c>
      <c r="P948" t="s">
        <v>73</v>
      </c>
    </row>
    <row r="949" spans="1:24" ht="15.75" customHeight="1" x14ac:dyDescent="0.3">
      <c r="A949">
        <v>474</v>
      </c>
      <c r="B949" s="16" t="s">
        <v>555</v>
      </c>
      <c r="C949" s="7">
        <f>Rankings!L483</f>
        <v>14.793536996462107</v>
      </c>
      <c r="D949" s="7">
        <f>Rankings!M483</f>
        <v>10.007290811956471</v>
      </c>
      <c r="E949" s="7">
        <f>Rankings!N483</f>
        <v>7.1315405651970112</v>
      </c>
      <c r="F949" s="7">
        <f>Rankings!O483</f>
        <v>3.1816332350862009</v>
      </c>
      <c r="G949" s="7">
        <f>Rankings!P483</f>
        <v>1.7440097060445605</v>
      </c>
      <c r="H949" s="7">
        <f>Rankings!Q483</f>
        <v>1</v>
      </c>
      <c r="I949" s="7">
        <f>Rankings!R483</f>
        <v>37.858011314746349</v>
      </c>
      <c r="K949" s="7">
        <f>H949</f>
        <v>1</v>
      </c>
      <c r="L949" s="7">
        <f>G949</f>
        <v>1.7440097060445605</v>
      </c>
      <c r="M949" s="7">
        <f>E949</f>
        <v>7.1315405651970112</v>
      </c>
      <c r="N949" s="7">
        <f>C949</f>
        <v>14.793536996462107</v>
      </c>
      <c r="O949" s="7">
        <f>F949</f>
        <v>3.1816332350862009</v>
      </c>
      <c r="P949" s="7">
        <f>D949</f>
        <v>10.007290811956471</v>
      </c>
      <c r="R949" s="7">
        <f t="shared" ref="R949:W949" si="812">K949/$I949</f>
        <v>2.6414488380970047E-2</v>
      </c>
      <c r="S949" s="7">
        <f t="shared" si="812"/>
        <v>4.6067124116613033E-2</v>
      </c>
      <c r="T949" s="7">
        <f t="shared" si="812"/>
        <v>0.18837599539781302</v>
      </c>
      <c r="U949" s="7">
        <f t="shared" si="812"/>
        <v>0.39076371110649882</v>
      </c>
      <c r="V949" s="7">
        <f t="shared" si="812"/>
        <v>8.4041214120692598E-2</v>
      </c>
      <c r="W949" s="7">
        <f t="shared" si="812"/>
        <v>0.2643374668774125</v>
      </c>
      <c r="X949" s="7">
        <f>SUM(R949:W949)</f>
        <v>1</v>
      </c>
    </row>
    <row r="950" spans="1:24" ht="15.75" customHeight="1" x14ac:dyDescent="0.3">
      <c r="C950" t="s">
        <v>71</v>
      </c>
      <c r="D950" t="s">
        <v>73</v>
      </c>
      <c r="E950" t="s">
        <v>72</v>
      </c>
      <c r="F950" t="s">
        <v>68</v>
      </c>
      <c r="G950" t="s">
        <v>69</v>
      </c>
      <c r="H950" t="s">
        <v>70</v>
      </c>
      <c r="K950" t="s">
        <v>68</v>
      </c>
      <c r="L950" t="s">
        <v>69</v>
      </c>
      <c r="M950" t="s">
        <v>70</v>
      </c>
      <c r="N950" t="s">
        <v>71</v>
      </c>
      <c r="O950" t="s">
        <v>72</v>
      </c>
      <c r="P950" t="s">
        <v>73</v>
      </c>
    </row>
    <row r="951" spans="1:24" ht="15.75" customHeight="1" x14ac:dyDescent="0.3">
      <c r="A951">
        <v>475</v>
      </c>
      <c r="B951" s="16" t="s">
        <v>556</v>
      </c>
      <c r="C951" s="7">
        <f>Rankings!L484</f>
        <v>6.1807059383981606</v>
      </c>
      <c r="D951" s="7">
        <f>Rankings!M484</f>
        <v>4.1810232240963554</v>
      </c>
      <c r="E951" s="7">
        <f>Rankings!N484</f>
        <v>3.4084843435499499</v>
      </c>
      <c r="F951" s="7">
        <f>Rankings!O484</f>
        <v>2.2269780411455038</v>
      </c>
      <c r="G951" s="7">
        <f>Rankings!P484</f>
        <v>1.3601242124324544</v>
      </c>
      <c r="H951" s="7">
        <f>Rankings!Q484</f>
        <v>1</v>
      </c>
      <c r="I951" s="7">
        <f>Rankings!R484</f>
        <v>18.357315759622423</v>
      </c>
      <c r="K951" s="7">
        <f t="shared" ref="K951:M951" si="813">F951</f>
        <v>2.2269780411455038</v>
      </c>
      <c r="L951" s="7">
        <f t="shared" si="813"/>
        <v>1.3601242124324544</v>
      </c>
      <c r="M951" s="7">
        <f t="shared" si="813"/>
        <v>1</v>
      </c>
      <c r="N951" s="7">
        <f>C951</f>
        <v>6.1807059383981606</v>
      </c>
      <c r="O951" s="7">
        <f>E951</f>
        <v>3.4084843435499499</v>
      </c>
      <c r="P951" s="7">
        <f>D951</f>
        <v>4.1810232240963554</v>
      </c>
      <c r="R951" s="7">
        <f t="shared" ref="R951:W951" si="814">K951/$I951</f>
        <v>0.12131283627227364</v>
      </c>
      <c r="S951" s="7">
        <f t="shared" si="814"/>
        <v>7.4091671693314584E-2</v>
      </c>
      <c r="T951" s="7">
        <f t="shared" si="814"/>
        <v>5.4474195088997486E-2</v>
      </c>
      <c r="U951" s="7">
        <f t="shared" si="814"/>
        <v>0.33668898107602668</v>
      </c>
      <c r="V951" s="7">
        <f t="shared" si="814"/>
        <v>0.1856744410883335</v>
      </c>
      <c r="W951" s="7">
        <f t="shared" si="814"/>
        <v>0.22775787478105414</v>
      </c>
      <c r="X951" s="7">
        <f>SUM(R951:W951)</f>
        <v>1</v>
      </c>
    </row>
    <row r="952" spans="1:24" ht="15.75" customHeight="1" x14ac:dyDescent="0.3">
      <c r="C952" t="s">
        <v>71</v>
      </c>
      <c r="D952" t="s">
        <v>73</v>
      </c>
      <c r="E952" t="s">
        <v>72</v>
      </c>
      <c r="F952" t="s">
        <v>68</v>
      </c>
      <c r="G952" t="s">
        <v>70</v>
      </c>
      <c r="H952" t="s">
        <v>69</v>
      </c>
      <c r="K952" t="s">
        <v>68</v>
      </c>
      <c r="L952" t="s">
        <v>69</v>
      </c>
      <c r="M952" t="s">
        <v>70</v>
      </c>
      <c r="N952" t="s">
        <v>71</v>
      </c>
      <c r="O952" t="s">
        <v>72</v>
      </c>
      <c r="P952" t="s">
        <v>73</v>
      </c>
    </row>
    <row r="953" spans="1:24" ht="15.75" customHeight="1" x14ac:dyDescent="0.3">
      <c r="A953">
        <v>476</v>
      </c>
      <c r="B953" s="16" t="s">
        <v>557</v>
      </c>
      <c r="C953" s="7">
        <f>Rankings!L485</f>
        <v>4.6313994901037656</v>
      </c>
      <c r="D953" s="7">
        <f>Rankings!M485</f>
        <v>3.1329736475394236</v>
      </c>
      <c r="E953" s="7">
        <f>Rankings!N485</f>
        <v>2.5540856996078252</v>
      </c>
      <c r="F953" s="7">
        <f>Rankings!O485</f>
        <v>1.668745458371804</v>
      </c>
      <c r="G953" s="7">
        <f>Rankings!P485</f>
        <v>1.5059827029565431</v>
      </c>
      <c r="H953" s="7">
        <f>Rankings!Q485</f>
        <v>1</v>
      </c>
      <c r="I953" s="7">
        <f>Rankings!R485</f>
        <v>14.493186998579361</v>
      </c>
      <c r="K953" s="7">
        <f>F953</f>
        <v>1.668745458371804</v>
      </c>
      <c r="L953" s="7">
        <f>H953</f>
        <v>1</v>
      </c>
      <c r="M953" s="7">
        <f>G953</f>
        <v>1.5059827029565431</v>
      </c>
      <c r="N953" s="7">
        <f>C953</f>
        <v>4.6313994901037656</v>
      </c>
      <c r="O953" s="7">
        <f>E953</f>
        <v>2.5540856996078252</v>
      </c>
      <c r="P953" s="7">
        <f>D953</f>
        <v>3.1329736475394236</v>
      </c>
      <c r="R953" s="7">
        <f t="shared" ref="R953:W953" si="815">K953/$I953</f>
        <v>0.11513999360771211</v>
      </c>
      <c r="S953" s="7">
        <f t="shared" si="815"/>
        <v>6.8997936761460488E-2</v>
      </c>
      <c r="T953" s="7">
        <f t="shared" si="815"/>
        <v>0.10390969930244889</v>
      </c>
      <c r="U953" s="7">
        <f t="shared" si="815"/>
        <v>0.31955700913523993</v>
      </c>
      <c r="V953" s="7">
        <f t="shared" si="815"/>
        <v>0.17622664358489126</v>
      </c>
      <c r="W953" s="7">
        <f t="shared" si="815"/>
        <v>0.21616871760824732</v>
      </c>
      <c r="X953" s="7">
        <f>SUM(R953:W953)</f>
        <v>1</v>
      </c>
    </row>
    <row r="954" spans="1:24" ht="15.75" customHeight="1" x14ac:dyDescent="0.3">
      <c r="C954" t="s">
        <v>71</v>
      </c>
      <c r="D954" t="s">
        <v>73</v>
      </c>
      <c r="E954" t="s">
        <v>72</v>
      </c>
      <c r="F954" t="s">
        <v>69</v>
      </c>
      <c r="G954" t="s">
        <v>68</v>
      </c>
      <c r="H954" t="s">
        <v>70</v>
      </c>
      <c r="K954" t="s">
        <v>68</v>
      </c>
      <c r="L954" t="s">
        <v>69</v>
      </c>
      <c r="M954" t="s">
        <v>70</v>
      </c>
      <c r="N954" t="s">
        <v>71</v>
      </c>
      <c r="O954" t="s">
        <v>72</v>
      </c>
      <c r="P954" t="s">
        <v>73</v>
      </c>
    </row>
    <row r="955" spans="1:24" ht="15.75" customHeight="1" x14ac:dyDescent="0.3">
      <c r="A955">
        <v>477</v>
      </c>
      <c r="B955" s="16" t="s">
        <v>558</v>
      </c>
      <c r="C955" s="7">
        <f>Rankings!L486</f>
        <v>6.3928866710329881</v>
      </c>
      <c r="D955" s="7">
        <f>Rankings!M486</f>
        <v>4.3245557881260739</v>
      </c>
      <c r="E955" s="7">
        <f>Rankings!N486</f>
        <v>3.5254960105661288</v>
      </c>
      <c r="F955" s="7">
        <f>Rankings!O486</f>
        <v>1.9324978106353361</v>
      </c>
      <c r="G955" s="7">
        <f>Rankings!P486</f>
        <v>1.1080774401297739</v>
      </c>
      <c r="H955" s="7">
        <f>Rankings!Q486</f>
        <v>1</v>
      </c>
      <c r="I955" s="7">
        <f>Rankings!R486</f>
        <v>18.283513720490301</v>
      </c>
      <c r="K955" s="7">
        <f>G955</f>
        <v>1.1080774401297739</v>
      </c>
      <c r="L955" s="7">
        <f>F955</f>
        <v>1.9324978106353361</v>
      </c>
      <c r="M955" s="7">
        <f>H955</f>
        <v>1</v>
      </c>
      <c r="N955" s="7">
        <f>C955</f>
        <v>6.3928866710329881</v>
      </c>
      <c r="O955" s="7">
        <f>E955</f>
        <v>3.5254960105661288</v>
      </c>
      <c r="P955" s="7">
        <f>D955</f>
        <v>4.3245557881260739</v>
      </c>
      <c r="R955" s="7">
        <f t="shared" ref="R955:W955" si="816">K955/$I955</f>
        <v>6.0605278453011661E-2</v>
      </c>
      <c r="S955" s="7">
        <f t="shared" si="816"/>
        <v>0.1056961938595856</v>
      </c>
      <c r="T955" s="7">
        <f t="shared" si="816"/>
        <v>5.4694082072380967E-2</v>
      </c>
      <c r="U955" s="7">
        <f t="shared" si="816"/>
        <v>0.34965306826490861</v>
      </c>
      <c r="V955" s="7">
        <f t="shared" si="816"/>
        <v>0.19282376814775551</v>
      </c>
      <c r="W955" s="7">
        <f t="shared" si="816"/>
        <v>0.23652760920235763</v>
      </c>
      <c r="X955" s="7">
        <f>SUM(R955:W955)</f>
        <v>0.99999999999999989</v>
      </c>
    </row>
    <row r="956" spans="1:24" ht="15.75" customHeight="1" x14ac:dyDescent="0.3">
      <c r="C956" t="s">
        <v>71</v>
      </c>
      <c r="D956" t="s">
        <v>73</v>
      </c>
      <c r="E956" t="s">
        <v>72</v>
      </c>
      <c r="F956" t="s">
        <v>69</v>
      </c>
      <c r="G956" t="s">
        <v>70</v>
      </c>
      <c r="H956" t="s">
        <v>68</v>
      </c>
      <c r="K956" t="s">
        <v>68</v>
      </c>
      <c r="L956" t="s">
        <v>69</v>
      </c>
      <c r="M956" t="s">
        <v>70</v>
      </c>
      <c r="N956" t="s">
        <v>71</v>
      </c>
      <c r="O956" t="s">
        <v>72</v>
      </c>
      <c r="P956" t="s">
        <v>73</v>
      </c>
    </row>
    <row r="957" spans="1:24" ht="15.75" customHeight="1" x14ac:dyDescent="0.3">
      <c r="A957">
        <v>478</v>
      </c>
      <c r="B957" s="16" t="s">
        <v>559</v>
      </c>
      <c r="C957" s="7">
        <f>Rankings!L487</f>
        <v>7.6588432095050649</v>
      </c>
      <c r="D957" s="7">
        <f>Rankings!M487</f>
        <v>5.1809294355382915</v>
      </c>
      <c r="E957" s="7">
        <f>Rankings!N487</f>
        <v>4.2236352011381157</v>
      </c>
      <c r="F957" s="7">
        <f>Rankings!O487</f>
        <v>2.3151822480182171</v>
      </c>
      <c r="G957" s="7">
        <f>Rankings!P487</f>
        <v>1.7021844231989158</v>
      </c>
      <c r="H957" s="7">
        <f>Rankings!Q487</f>
        <v>1</v>
      </c>
      <c r="I957" s="7">
        <f>Rankings!R487</f>
        <v>22.080774517398606</v>
      </c>
      <c r="K957" s="7">
        <f>H957</f>
        <v>1</v>
      </c>
      <c r="L957" s="7">
        <f t="shared" ref="L957:M957" si="817">F957</f>
        <v>2.3151822480182171</v>
      </c>
      <c r="M957" s="7">
        <f t="shared" si="817"/>
        <v>1.7021844231989158</v>
      </c>
      <c r="N957" s="7">
        <f>C957</f>
        <v>7.6588432095050649</v>
      </c>
      <c r="O957" s="7">
        <f>E957</f>
        <v>4.2236352011381157</v>
      </c>
      <c r="P957" s="7">
        <f>D957</f>
        <v>5.1809294355382915</v>
      </c>
      <c r="R957" s="7">
        <f t="shared" ref="R957:W957" si="818">K957/$I957</f>
        <v>4.5288266460583045E-2</v>
      </c>
      <c r="S957" s="7">
        <f t="shared" si="818"/>
        <v>0.10485059055306067</v>
      </c>
      <c r="T957" s="7">
        <f t="shared" si="818"/>
        <v>7.7088981722886349E-2</v>
      </c>
      <c r="U957" s="7">
        <f t="shared" si="818"/>
        <v>0.34685573205189241</v>
      </c>
      <c r="V957" s="7">
        <f t="shared" si="818"/>
        <v>0.19128111642144124</v>
      </c>
      <c r="W957" s="7">
        <f t="shared" si="818"/>
        <v>0.23463531279013625</v>
      </c>
      <c r="X957" s="7">
        <f>SUM(R957:W957)</f>
        <v>0.99999999999999989</v>
      </c>
    </row>
    <row r="958" spans="1:24" ht="15.75" customHeight="1" x14ac:dyDescent="0.3">
      <c r="C958" t="s">
        <v>71</v>
      </c>
      <c r="D958" t="s">
        <v>73</v>
      </c>
      <c r="E958" t="s">
        <v>72</v>
      </c>
      <c r="F958" t="s">
        <v>70</v>
      </c>
      <c r="G958" t="s">
        <v>68</v>
      </c>
      <c r="H958" t="s">
        <v>69</v>
      </c>
      <c r="K958" t="s">
        <v>68</v>
      </c>
      <c r="L958" t="s">
        <v>69</v>
      </c>
      <c r="M958" t="s">
        <v>70</v>
      </c>
      <c r="N958" t="s">
        <v>71</v>
      </c>
      <c r="O958" t="s">
        <v>72</v>
      </c>
      <c r="P958" t="s">
        <v>73</v>
      </c>
    </row>
    <row r="959" spans="1:24" ht="15.75" customHeight="1" x14ac:dyDescent="0.3">
      <c r="A959">
        <v>479</v>
      </c>
      <c r="B959" s="16" t="s">
        <v>560</v>
      </c>
      <c r="C959" s="7">
        <f>Rankings!L488</f>
        <v>9.9794812632567655</v>
      </c>
      <c r="D959" s="7">
        <f>Rankings!M488</f>
        <v>6.7507568458959231</v>
      </c>
      <c r="E959" s="7">
        <f>Rankings!N488</f>
        <v>5.50340138838191</v>
      </c>
      <c r="F959" s="7">
        <f>Rankings!O488</f>
        <v>2.7870449608896757</v>
      </c>
      <c r="G959" s="7">
        <f>Rankings!P488</f>
        <v>1.6373343116675814</v>
      </c>
      <c r="H959" s="7">
        <f>Rankings!Q488</f>
        <v>1</v>
      </c>
      <c r="I959" s="7">
        <f>Rankings!R488</f>
        <v>27.658018770091854</v>
      </c>
      <c r="K959" s="7">
        <f t="shared" ref="K959:L959" si="819">G959</f>
        <v>1.6373343116675814</v>
      </c>
      <c r="L959" s="7">
        <f t="shared" si="819"/>
        <v>1</v>
      </c>
      <c r="M959" s="7">
        <f>F959</f>
        <v>2.7870449608896757</v>
      </c>
      <c r="N959" s="7">
        <f>C959</f>
        <v>9.9794812632567655</v>
      </c>
      <c r="O959" s="7">
        <f>E959</f>
        <v>5.50340138838191</v>
      </c>
      <c r="P959" s="7">
        <f>D959</f>
        <v>6.7507568458959231</v>
      </c>
      <c r="R959" s="7">
        <f t="shared" ref="R959:W959" si="820">K959/$I959</f>
        <v>5.9199262437341374E-2</v>
      </c>
      <c r="S959" s="7">
        <f t="shared" si="820"/>
        <v>3.6155879721990622E-2</v>
      </c>
      <c r="T959" s="7">
        <f t="shared" si="820"/>
        <v>0.10076806238570717</v>
      </c>
      <c r="U959" s="7">
        <f t="shared" si="820"/>
        <v>0.3608169242421706</v>
      </c>
      <c r="V959" s="7">
        <f t="shared" si="820"/>
        <v>0.19898031866017252</v>
      </c>
      <c r="W959" s="7">
        <f t="shared" si="820"/>
        <v>0.24407955255261776</v>
      </c>
      <c r="X959" s="7">
        <f>SUM(R959:W959)</f>
        <v>1</v>
      </c>
    </row>
    <row r="960" spans="1:24" ht="15.75" customHeight="1" x14ac:dyDescent="0.3">
      <c r="C960" t="s">
        <v>71</v>
      </c>
      <c r="D960" t="s">
        <v>73</v>
      </c>
      <c r="E960" t="s">
        <v>72</v>
      </c>
      <c r="F960" t="s">
        <v>70</v>
      </c>
      <c r="G960" t="s">
        <v>69</v>
      </c>
      <c r="H960" t="s">
        <v>68</v>
      </c>
      <c r="K960" t="s">
        <v>68</v>
      </c>
      <c r="L960" t="s">
        <v>69</v>
      </c>
      <c r="M960" t="s">
        <v>70</v>
      </c>
      <c r="N960" t="s">
        <v>71</v>
      </c>
      <c r="O960" t="s">
        <v>72</v>
      </c>
      <c r="P960" t="s">
        <v>73</v>
      </c>
    </row>
    <row r="961" spans="1:24" ht="15.75" customHeight="1" x14ac:dyDescent="0.3">
      <c r="A961">
        <v>480</v>
      </c>
      <c r="B961" s="16" t="s">
        <v>561</v>
      </c>
      <c r="C961" s="7">
        <f>Rankings!L489</f>
        <v>9.4044385628460798</v>
      </c>
      <c r="D961" s="7">
        <f>Rankings!M489</f>
        <v>6.3617613315927031</v>
      </c>
      <c r="E961" s="7">
        <f>Rankings!N489</f>
        <v>5.1862816190937959</v>
      </c>
      <c r="F961" s="7">
        <f>Rankings!O489</f>
        <v>2.6264484510914334</v>
      </c>
      <c r="G961" s="7">
        <f>Rankings!P489</f>
        <v>1.7440097060445605</v>
      </c>
      <c r="H961" s="7">
        <f>Rankings!Q489</f>
        <v>1</v>
      </c>
      <c r="I961" s="7">
        <f>Rankings!R489</f>
        <v>26.322939670668575</v>
      </c>
      <c r="K961" s="7">
        <f>H961</f>
        <v>1</v>
      </c>
      <c r="L961" s="7">
        <f>G961</f>
        <v>1.7440097060445605</v>
      </c>
      <c r="M961" s="7">
        <f>F961</f>
        <v>2.6264484510914334</v>
      </c>
      <c r="N961" s="7">
        <f>C961</f>
        <v>9.4044385628460798</v>
      </c>
      <c r="O961" s="7">
        <f>E961</f>
        <v>5.1862816190937959</v>
      </c>
      <c r="P961" s="7">
        <f>D961</f>
        <v>6.3617613315927031</v>
      </c>
      <c r="R961" s="7">
        <f t="shared" ref="R961:W961" si="821">K961/$I961</f>
        <v>3.7989677920140942E-2</v>
      </c>
      <c r="S961" s="7">
        <f t="shared" si="821"/>
        <v>6.625436702223253E-2</v>
      </c>
      <c r="T961" s="7">
        <f t="shared" si="821"/>
        <v>9.9777930730816602E-2</v>
      </c>
      <c r="U961" s="7">
        <f t="shared" si="821"/>
        <v>0.35727159202227571</v>
      </c>
      <c r="V961" s="7">
        <f t="shared" si="821"/>
        <v>0.1970251683125204</v>
      </c>
      <c r="W961" s="7">
        <f t="shared" si="821"/>
        <v>0.24168126399201373</v>
      </c>
      <c r="X961" s="7">
        <f>SUM(R961:W961)</f>
        <v>0.99999999999999989</v>
      </c>
    </row>
    <row r="962" spans="1:24" ht="15.75" customHeight="1" x14ac:dyDescent="0.3">
      <c r="C962" t="s">
        <v>72</v>
      </c>
      <c r="D962" t="s">
        <v>68</v>
      </c>
      <c r="E962" t="s">
        <v>69</v>
      </c>
      <c r="F962" t="s">
        <v>70</v>
      </c>
      <c r="G962" t="s">
        <v>71</v>
      </c>
      <c r="H962" t="s">
        <v>73</v>
      </c>
      <c r="K962" t="s">
        <v>68</v>
      </c>
      <c r="L962" t="s">
        <v>69</v>
      </c>
      <c r="M962" t="s">
        <v>70</v>
      </c>
      <c r="N962" t="s">
        <v>71</v>
      </c>
      <c r="O962" t="s">
        <v>72</v>
      </c>
      <c r="P962" t="s">
        <v>73</v>
      </c>
    </row>
    <row r="963" spans="1:24" ht="15.75" customHeight="1" x14ac:dyDescent="0.3">
      <c r="A963">
        <v>481</v>
      </c>
      <c r="B963" s="16" t="s">
        <v>562</v>
      </c>
      <c r="C963" s="7">
        <f>Rankings!L490</f>
        <v>7.2247805941733914</v>
      </c>
      <c r="D963" s="7">
        <f>Rankings!M490</f>
        <v>4.7204053513595152</v>
      </c>
      <c r="E963" s="7">
        <f>Rankings!N490</f>
        <v>2.8829820017342138</v>
      </c>
      <c r="F963" s="7">
        <f>Rankings!O490</f>
        <v>2.1196461142164886</v>
      </c>
      <c r="G963" s="7">
        <f>Rankings!P490</f>
        <v>1.478275916473532</v>
      </c>
      <c r="H963" s="7">
        <f>Rankings!Q490</f>
        <v>1</v>
      </c>
      <c r="I963" s="7">
        <f>Rankings!R490</f>
        <v>19.42608997795714</v>
      </c>
      <c r="K963" s="7">
        <f t="shared" ref="K963:N963" si="822">D963</f>
        <v>4.7204053513595152</v>
      </c>
      <c r="L963" s="7">
        <f t="shared" si="822"/>
        <v>2.8829820017342138</v>
      </c>
      <c r="M963" s="7">
        <f t="shared" si="822"/>
        <v>2.1196461142164886</v>
      </c>
      <c r="N963" s="7">
        <f t="shared" si="822"/>
        <v>1.478275916473532</v>
      </c>
      <c r="O963" s="7">
        <f>C963</f>
        <v>7.2247805941733914</v>
      </c>
      <c r="P963" s="7">
        <f>H963</f>
        <v>1</v>
      </c>
      <c r="R963" s="7">
        <f t="shared" ref="R963:W963" si="823">K963/$I963</f>
        <v>0.24299307563775199</v>
      </c>
      <c r="S963" s="7">
        <f t="shared" si="823"/>
        <v>0.14840773439253832</v>
      </c>
      <c r="T963" s="7">
        <f t="shared" si="823"/>
        <v>0.10911336849678238</v>
      </c>
      <c r="U963" s="7">
        <f t="shared" si="823"/>
        <v>7.6097450292412799E-2</v>
      </c>
      <c r="V963" s="7">
        <f t="shared" si="823"/>
        <v>0.37191120819327916</v>
      </c>
      <c r="W963" s="7">
        <f t="shared" si="823"/>
        <v>5.1477162987235404E-2</v>
      </c>
      <c r="X963" s="7">
        <f>SUM(R963:W963)</f>
        <v>1</v>
      </c>
    </row>
    <row r="964" spans="1:24" ht="15.75" customHeight="1" x14ac:dyDescent="0.3">
      <c r="C964" t="s">
        <v>72</v>
      </c>
      <c r="D964" t="s">
        <v>68</v>
      </c>
      <c r="E964" t="s">
        <v>69</v>
      </c>
      <c r="F964" t="s">
        <v>70</v>
      </c>
      <c r="G964" t="s">
        <v>73</v>
      </c>
      <c r="H964" t="s">
        <v>71</v>
      </c>
      <c r="K964" t="s">
        <v>68</v>
      </c>
      <c r="L964" t="s">
        <v>69</v>
      </c>
      <c r="M964" t="s">
        <v>70</v>
      </c>
      <c r="N964" t="s">
        <v>71</v>
      </c>
      <c r="O964" t="s">
        <v>72</v>
      </c>
      <c r="P964" t="s">
        <v>73</v>
      </c>
    </row>
    <row r="965" spans="1:24" ht="15.75" customHeight="1" x14ac:dyDescent="0.3">
      <c r="A965">
        <v>482</v>
      </c>
      <c r="B965" s="16" t="s">
        <v>563</v>
      </c>
      <c r="C965" s="7">
        <f>Rankings!L491</f>
        <v>6.0898339647853428</v>
      </c>
      <c r="D965" s="7">
        <f>Rankings!M491</f>
        <v>3.9788730552519485</v>
      </c>
      <c r="E965" s="7">
        <f>Rankings!N491</f>
        <v>2.4300920263495684</v>
      </c>
      <c r="F965" s="7">
        <f>Rankings!O491</f>
        <v>1.7866691910465862</v>
      </c>
      <c r="G965" s="7">
        <f>Rankings!P491</f>
        <v>0.88688155974910687</v>
      </c>
      <c r="H965" s="7">
        <f>Rankings!Q491</f>
        <v>1</v>
      </c>
      <c r="I965" s="7">
        <f>Rankings!R491</f>
        <v>16.172349797182552</v>
      </c>
      <c r="K965" s="7">
        <f t="shared" ref="K965:M965" si="824">D965</f>
        <v>3.9788730552519485</v>
      </c>
      <c r="L965" s="7">
        <f t="shared" si="824"/>
        <v>2.4300920263495684</v>
      </c>
      <c r="M965" s="7">
        <f t="shared" si="824"/>
        <v>1.7866691910465862</v>
      </c>
      <c r="N965" s="7">
        <f>H965</f>
        <v>1</v>
      </c>
      <c r="O965" s="7">
        <f>C965</f>
        <v>6.0898339647853428</v>
      </c>
      <c r="P965" s="7">
        <f>G965</f>
        <v>0.88688155974910687</v>
      </c>
      <c r="R965" s="7">
        <f t="shared" ref="R965:W965" si="825">K965/$I965</f>
        <v>0.24602937143649486</v>
      </c>
      <c r="S965" s="7">
        <f t="shared" si="825"/>
        <v>0.15026214847102332</v>
      </c>
      <c r="T965" s="7">
        <f t="shared" si="825"/>
        <v>0.11047678373601892</v>
      </c>
      <c r="U965" s="7">
        <f t="shared" si="825"/>
        <v>6.1833933382656234E-2</v>
      </c>
      <c r="V965" s="7">
        <f t="shared" si="825"/>
        <v>0.37655838768997418</v>
      </c>
      <c r="W965" s="7">
        <f t="shared" si="825"/>
        <v>5.483937528383253E-2</v>
      </c>
      <c r="X965" s="7">
        <f>SUM(R965:W965)</f>
        <v>1</v>
      </c>
    </row>
    <row r="966" spans="1:24" ht="15.75" customHeight="1" x14ac:dyDescent="0.3">
      <c r="C966" t="s">
        <v>72</v>
      </c>
      <c r="D966" t="s">
        <v>68</v>
      </c>
      <c r="E966" t="s">
        <v>69</v>
      </c>
      <c r="F966" t="s">
        <v>71</v>
      </c>
      <c r="G966" t="s">
        <v>70</v>
      </c>
      <c r="H966" t="s">
        <v>73</v>
      </c>
      <c r="K966" t="s">
        <v>68</v>
      </c>
      <c r="L966" t="s">
        <v>69</v>
      </c>
      <c r="M966" t="s">
        <v>70</v>
      </c>
      <c r="N966" t="s">
        <v>71</v>
      </c>
      <c r="O966" t="s">
        <v>72</v>
      </c>
      <c r="P966" t="s">
        <v>73</v>
      </c>
    </row>
    <row r="967" spans="1:24" ht="15.75" customHeight="1" x14ac:dyDescent="0.3">
      <c r="A967">
        <v>483</v>
      </c>
      <c r="B967" s="16" t="s">
        <v>564</v>
      </c>
      <c r="C967" s="7">
        <f>Rankings!L492</f>
        <v>10.294912797967271</v>
      </c>
      <c r="D967" s="7">
        <f>Rankings!M492</f>
        <v>6.7263165752737022</v>
      </c>
      <c r="E967" s="7">
        <f>Rankings!N492</f>
        <v>4.1080899162389928</v>
      </c>
      <c r="F967" s="7">
        <f>Rankings!O492</f>
        <v>4.5103002243916306</v>
      </c>
      <c r="G967" s="7">
        <f>Rankings!P492</f>
        <v>2.0145521929129111</v>
      </c>
      <c r="H967" s="7">
        <f>Rankings!Q492</f>
        <v>1</v>
      </c>
      <c r="I967" s="7">
        <f>Rankings!R492</f>
        <v>28.65417170678451</v>
      </c>
      <c r="K967" s="7">
        <f t="shared" ref="K967:L967" si="826">D967</f>
        <v>6.7263165752737022</v>
      </c>
      <c r="L967" s="7">
        <f t="shared" si="826"/>
        <v>4.1080899162389928</v>
      </c>
      <c r="M967" s="7">
        <f>G967</f>
        <v>2.0145521929129111</v>
      </c>
      <c r="N967" s="7">
        <f>F967</f>
        <v>4.5103002243916306</v>
      </c>
      <c r="O967" s="7">
        <f>C967</f>
        <v>10.294912797967271</v>
      </c>
      <c r="P967" s="7">
        <f>H967</f>
        <v>1</v>
      </c>
      <c r="R967" s="7">
        <f t="shared" ref="R967:W967" si="827">K967/$I967</f>
        <v>0.23474126713916138</v>
      </c>
      <c r="S967" s="7">
        <f t="shared" si="827"/>
        <v>0.14336795208309272</v>
      </c>
      <c r="T967" s="7">
        <f t="shared" si="827"/>
        <v>7.0305720700205104E-2</v>
      </c>
      <c r="U967" s="7">
        <f t="shared" si="827"/>
        <v>0.15740466241862147</v>
      </c>
      <c r="V967" s="7">
        <f t="shared" si="827"/>
        <v>0.35928146530683774</v>
      </c>
      <c r="W967" s="7">
        <f t="shared" si="827"/>
        <v>3.489893235208149E-2</v>
      </c>
      <c r="X967" s="7">
        <f>SUM(R967:W967)</f>
        <v>0.99999999999999989</v>
      </c>
    </row>
    <row r="968" spans="1:24" ht="15.75" customHeight="1" x14ac:dyDescent="0.3">
      <c r="C968" t="s">
        <v>72</v>
      </c>
      <c r="D968" t="s">
        <v>68</v>
      </c>
      <c r="E968" t="s">
        <v>69</v>
      </c>
      <c r="F968" t="s">
        <v>71</v>
      </c>
      <c r="G968" t="s">
        <v>73</v>
      </c>
      <c r="H968" t="s">
        <v>70</v>
      </c>
      <c r="K968" t="s">
        <v>68</v>
      </c>
      <c r="L968" t="s">
        <v>69</v>
      </c>
      <c r="M968" t="s">
        <v>70</v>
      </c>
      <c r="N968" t="s">
        <v>71</v>
      </c>
      <c r="O968" t="s">
        <v>72</v>
      </c>
      <c r="P968" t="s">
        <v>73</v>
      </c>
    </row>
    <row r="969" spans="1:24" ht="15.75" customHeight="1" x14ac:dyDescent="0.3">
      <c r="A969">
        <v>484</v>
      </c>
      <c r="B969" s="16" t="s">
        <v>565</v>
      </c>
      <c r="C969" s="7">
        <f>Rankings!L493</f>
        <v>4.7348463063135933</v>
      </c>
      <c r="D969" s="7">
        <f>Rankings!M493</f>
        <v>3.093574060949694</v>
      </c>
      <c r="E969" s="7">
        <f>Rankings!N493</f>
        <v>1.889396709581546</v>
      </c>
      <c r="F969" s="7">
        <f>Rankings!O493</f>
        <v>2.0743816656749861</v>
      </c>
      <c r="G969" s="7">
        <f>Rankings!P493</f>
        <v>1.4032439022773779</v>
      </c>
      <c r="H969" s="7">
        <f>Rankings!Q493</f>
        <v>1</v>
      </c>
      <c r="I969" s="7">
        <f>Rankings!R493</f>
        <v>14.195442644797199</v>
      </c>
      <c r="K969" s="7">
        <f t="shared" ref="K969:L969" si="828">D969</f>
        <v>3.093574060949694</v>
      </c>
      <c r="L969" s="7">
        <f t="shared" si="828"/>
        <v>1.889396709581546</v>
      </c>
      <c r="M969" s="7">
        <f>H969</f>
        <v>1</v>
      </c>
      <c r="N969" s="7">
        <f>F969</f>
        <v>2.0743816656749861</v>
      </c>
      <c r="O969" s="7">
        <f>C969</f>
        <v>4.7348463063135933</v>
      </c>
      <c r="P969" s="7">
        <f>G969</f>
        <v>1.4032439022773779</v>
      </c>
      <c r="R969" s="7">
        <f t="shared" ref="R969:W969" si="829">K969/$I969</f>
        <v>0.21792726992444483</v>
      </c>
      <c r="S969" s="7">
        <f t="shared" si="829"/>
        <v>0.13309882311236224</v>
      </c>
      <c r="T969" s="7">
        <f t="shared" si="829"/>
        <v>7.0445143911487124E-2</v>
      </c>
      <c r="U969" s="7">
        <f t="shared" si="829"/>
        <v>0.14613011496582476</v>
      </c>
      <c r="V969" s="7">
        <f t="shared" si="829"/>
        <v>0.33354692944703429</v>
      </c>
      <c r="W969" s="7">
        <f t="shared" si="829"/>
        <v>9.8851718638846661E-2</v>
      </c>
      <c r="X969" s="7">
        <f>SUM(R969:W969)</f>
        <v>1</v>
      </c>
    </row>
    <row r="970" spans="1:24" ht="15.75" customHeight="1" x14ac:dyDescent="0.3">
      <c r="C970" t="s">
        <v>72</v>
      </c>
      <c r="D970" t="s">
        <v>68</v>
      </c>
      <c r="E970" t="s">
        <v>69</v>
      </c>
      <c r="F970" t="s">
        <v>73</v>
      </c>
      <c r="G970" t="s">
        <v>70</v>
      </c>
      <c r="H970" t="s">
        <v>71</v>
      </c>
      <c r="K970" t="s">
        <v>68</v>
      </c>
      <c r="L970" t="s">
        <v>69</v>
      </c>
      <c r="M970" t="s">
        <v>70</v>
      </c>
      <c r="N970" t="s">
        <v>71</v>
      </c>
      <c r="O970" t="s">
        <v>72</v>
      </c>
      <c r="P970" t="s">
        <v>73</v>
      </c>
    </row>
    <row r="971" spans="1:24" ht="15.75" customHeight="1" x14ac:dyDescent="0.3">
      <c r="A971">
        <v>485</v>
      </c>
      <c r="B971" s="16" t="s">
        <v>566</v>
      </c>
      <c r="C971" s="7">
        <f>Rankings!L494</f>
        <v>6.7336911386665594</v>
      </c>
      <c r="D971" s="7">
        <f>Rankings!M494</f>
        <v>4.3995456015644558</v>
      </c>
      <c r="E971" s="7">
        <f>Rankings!N494</f>
        <v>2.6870172879255403</v>
      </c>
      <c r="F971" s="7">
        <f>Rankings!O494</f>
        <v>2.0120604358188379</v>
      </c>
      <c r="G971" s="7">
        <f>Rankings!P494</f>
        <v>1.4338636587362954</v>
      </c>
      <c r="H971" s="7">
        <f>Rankings!Q494</f>
        <v>1</v>
      </c>
      <c r="I971" s="7">
        <f>Rankings!R494</f>
        <v>18.26617812271169</v>
      </c>
      <c r="K971" s="7">
        <f t="shared" ref="K971:L971" si="830">D971</f>
        <v>4.3995456015644558</v>
      </c>
      <c r="L971" s="7">
        <f t="shared" si="830"/>
        <v>2.6870172879255403</v>
      </c>
      <c r="M971" s="7">
        <f t="shared" ref="M971:N971" si="831">G971</f>
        <v>1.4338636587362954</v>
      </c>
      <c r="N971" s="7">
        <f t="shared" si="831"/>
        <v>1</v>
      </c>
      <c r="O971" s="7">
        <f>C971</f>
        <v>6.7336911386665594</v>
      </c>
      <c r="P971" s="7">
        <f>F971</f>
        <v>2.0120604358188379</v>
      </c>
      <c r="R971" s="7">
        <f t="shared" ref="R971:W971" si="832">K971/$I971</f>
        <v>0.24085747834103158</v>
      </c>
      <c r="S971" s="7">
        <f t="shared" si="832"/>
        <v>0.1471034208620014</v>
      </c>
      <c r="T971" s="7">
        <f t="shared" si="832"/>
        <v>7.84982851422798E-2</v>
      </c>
      <c r="U971" s="7">
        <f t="shared" si="832"/>
        <v>5.4745989734799862E-2</v>
      </c>
      <c r="V971" s="7">
        <f t="shared" si="832"/>
        <v>0.36864258595475224</v>
      </c>
      <c r="W971" s="7">
        <f t="shared" si="832"/>
        <v>0.11015223996513504</v>
      </c>
      <c r="X971" s="7">
        <f>SUM(R971:W971)</f>
        <v>0.99999999999999989</v>
      </c>
    </row>
    <row r="972" spans="1:24" ht="15.75" customHeight="1" x14ac:dyDescent="0.3">
      <c r="C972" t="s">
        <v>72</v>
      </c>
      <c r="D972" t="s">
        <v>68</v>
      </c>
      <c r="E972" t="s">
        <v>69</v>
      </c>
      <c r="F972" t="s">
        <v>73</v>
      </c>
      <c r="G972" t="s">
        <v>71</v>
      </c>
      <c r="H972" t="s">
        <v>70</v>
      </c>
      <c r="K972" t="s">
        <v>68</v>
      </c>
      <c r="L972" t="s">
        <v>69</v>
      </c>
      <c r="M972" t="s">
        <v>70</v>
      </c>
      <c r="N972" t="s">
        <v>71</v>
      </c>
      <c r="O972" t="s">
        <v>72</v>
      </c>
      <c r="P972" t="s">
        <v>73</v>
      </c>
    </row>
    <row r="973" spans="1:24" ht="15.75" customHeight="1" x14ac:dyDescent="0.3">
      <c r="A973">
        <v>486</v>
      </c>
      <c r="B973" s="16" t="s">
        <v>567</v>
      </c>
      <c r="C973" s="7">
        <f>Rankings!L495</f>
        <v>6.6451490054696887</v>
      </c>
      <c r="D973" s="7">
        <f>Rankings!M495</f>
        <v>4.3416954351939552</v>
      </c>
      <c r="E973" s="7">
        <f>Rankings!N495</f>
        <v>2.651685367035431</v>
      </c>
      <c r="F973" s="7">
        <f>Rankings!O495</f>
        <v>1.9856036056138657</v>
      </c>
      <c r="G973" s="7">
        <f>Rankings!P495</f>
        <v>2.2388599512381115</v>
      </c>
      <c r="H973" s="7">
        <f>Rankings!Q495</f>
        <v>1</v>
      </c>
      <c r="I973" s="7">
        <f>Rankings!R495</f>
        <v>18.862993364551052</v>
      </c>
      <c r="K973" s="7">
        <f t="shared" ref="K973:L973" si="833">D973</f>
        <v>4.3416954351939552</v>
      </c>
      <c r="L973" s="7">
        <f t="shared" si="833"/>
        <v>2.651685367035431</v>
      </c>
      <c r="M973" s="7">
        <f>H973</f>
        <v>1</v>
      </c>
      <c r="N973" s="7">
        <f>G973</f>
        <v>2.2388599512381115</v>
      </c>
      <c r="O973" s="7">
        <f>C973</f>
        <v>6.6451490054696887</v>
      </c>
      <c r="P973" s="7">
        <f>F973</f>
        <v>1.9856036056138657</v>
      </c>
      <c r="R973" s="7">
        <f t="shared" ref="R973:W973" si="834">K973/$I973</f>
        <v>0.23017001338468582</v>
      </c>
      <c r="S973" s="7">
        <f t="shared" si="834"/>
        <v>0.1405760642432661</v>
      </c>
      <c r="T973" s="7">
        <f t="shared" si="834"/>
        <v>5.3013855260071574E-2</v>
      </c>
      <c r="U973" s="7">
        <f t="shared" si="834"/>
        <v>0.11869059740250815</v>
      </c>
      <c r="V973" s="7">
        <f t="shared" si="834"/>
        <v>0.35228496755757865</v>
      </c>
      <c r="W973" s="7">
        <f t="shared" si="834"/>
        <v>0.10526450215188972</v>
      </c>
      <c r="X973" s="7">
        <f>SUM(R973:W973)</f>
        <v>1</v>
      </c>
    </row>
    <row r="974" spans="1:24" ht="15.75" customHeight="1" x14ac:dyDescent="0.3">
      <c r="C974" t="s">
        <v>72</v>
      </c>
      <c r="D974" t="s">
        <v>68</v>
      </c>
      <c r="E974" t="s">
        <v>70</v>
      </c>
      <c r="F974" t="s">
        <v>69</v>
      </c>
      <c r="G974" t="s">
        <v>71</v>
      </c>
      <c r="H974" t="s">
        <v>73</v>
      </c>
      <c r="K974" t="s">
        <v>68</v>
      </c>
      <c r="L974" t="s">
        <v>69</v>
      </c>
      <c r="M974" t="s">
        <v>70</v>
      </c>
      <c r="N974" t="s">
        <v>71</v>
      </c>
      <c r="O974" t="s">
        <v>72</v>
      </c>
      <c r="P974" t="s">
        <v>73</v>
      </c>
    </row>
    <row r="975" spans="1:24" ht="15.75" customHeight="1" x14ac:dyDescent="0.3">
      <c r="A975">
        <v>487</v>
      </c>
      <c r="B975" s="16" t="s">
        <v>568</v>
      </c>
      <c r="C975" s="7">
        <f>Rankings!L496</f>
        <v>3.4389467924973869</v>
      </c>
      <c r="D975" s="7">
        <f>Rankings!M496</f>
        <v>2.246881082511627</v>
      </c>
      <c r="E975" s="7">
        <f>Rankings!N496</f>
        <v>2.0277292914189107</v>
      </c>
      <c r="F975" s="7">
        <f>Rankings!O496</f>
        <v>1.3464492569788988</v>
      </c>
      <c r="G975" s="7">
        <f>Rankings!P496</f>
        <v>1.478275916473532</v>
      </c>
      <c r="H975" s="7">
        <f>Rankings!Q496</f>
        <v>1</v>
      </c>
      <c r="I975" s="7">
        <f>Rankings!R496</f>
        <v>11.538282339880356</v>
      </c>
      <c r="K975" s="7">
        <f>D975</f>
        <v>2.246881082511627</v>
      </c>
      <c r="L975" s="7">
        <f>F975</f>
        <v>1.3464492569788988</v>
      </c>
      <c r="M975" s="7">
        <f>E975</f>
        <v>2.0277292914189107</v>
      </c>
      <c r="N975" s="7">
        <f>G975</f>
        <v>1.478275916473532</v>
      </c>
      <c r="O975" s="7">
        <f>C975</f>
        <v>3.4389467924973869</v>
      </c>
      <c r="P975" s="7">
        <f>H975</f>
        <v>1</v>
      </c>
      <c r="R975" s="7">
        <f t="shared" ref="R975:W975" si="835">K975/$I975</f>
        <v>0.19473271812266346</v>
      </c>
      <c r="S975" s="7">
        <f t="shared" si="835"/>
        <v>0.11669408126070008</v>
      </c>
      <c r="T975" s="7">
        <f t="shared" si="835"/>
        <v>0.17573926791601954</v>
      </c>
      <c r="U975" s="7">
        <f t="shared" si="835"/>
        <v>0.12811923585576437</v>
      </c>
      <c r="V975" s="7">
        <f t="shared" si="835"/>
        <v>0.2980466841768275</v>
      </c>
      <c r="W975" s="7">
        <f t="shared" si="835"/>
        <v>8.6668012668025013E-2</v>
      </c>
      <c r="X975" s="7">
        <f>SUM(R975:W975)</f>
        <v>1</v>
      </c>
    </row>
    <row r="976" spans="1:24" ht="15.75" customHeight="1" x14ac:dyDescent="0.3">
      <c r="C976" t="s">
        <v>72</v>
      </c>
      <c r="D976" t="s">
        <v>68</v>
      </c>
      <c r="E976" t="s">
        <v>70</v>
      </c>
      <c r="F976" t="s">
        <v>69</v>
      </c>
      <c r="G976" t="s">
        <v>73</v>
      </c>
      <c r="H976" t="s">
        <v>71</v>
      </c>
      <c r="K976" t="s">
        <v>68</v>
      </c>
      <c r="L976" t="s">
        <v>69</v>
      </c>
      <c r="M976" t="s">
        <v>70</v>
      </c>
      <c r="N976" t="s">
        <v>71</v>
      </c>
      <c r="O976" t="s">
        <v>72</v>
      </c>
      <c r="P976" t="s">
        <v>73</v>
      </c>
    </row>
    <row r="977" spans="1:24" ht="15.75" customHeight="1" x14ac:dyDescent="0.3">
      <c r="A977">
        <v>488</v>
      </c>
      <c r="B977" s="16" t="s">
        <v>569</v>
      </c>
      <c r="C977" s="7">
        <f>Rankings!L497</f>
        <v>3.0250358768797443</v>
      </c>
      <c r="D977" s="7">
        <f>Rankings!M497</f>
        <v>1.9764469460558638</v>
      </c>
      <c r="E977" s="7">
        <f>Rankings!N497</f>
        <v>1.783672218635179</v>
      </c>
      <c r="F977" s="7">
        <f>Rankings!O497</f>
        <v>1.1843909064383518</v>
      </c>
      <c r="G977" s="7">
        <f>Rankings!P497</f>
        <v>0.88688155974910687</v>
      </c>
      <c r="H977" s="7">
        <f>Rankings!Q497</f>
        <v>1</v>
      </c>
      <c r="I977" s="7">
        <f>Rankings!R497</f>
        <v>9.8564275077582462</v>
      </c>
      <c r="K977" s="7">
        <f>D977</f>
        <v>1.9764469460558638</v>
      </c>
      <c r="L977" s="7">
        <f>F977</f>
        <v>1.1843909064383518</v>
      </c>
      <c r="M977" s="7">
        <f>E977</f>
        <v>1.783672218635179</v>
      </c>
      <c r="N977" s="7">
        <f>H977</f>
        <v>1</v>
      </c>
      <c r="O977" s="7">
        <f>C977</f>
        <v>3.0250358768797443</v>
      </c>
      <c r="P977" s="7">
        <f>G977</f>
        <v>0.88688155974910687</v>
      </c>
      <c r="R977" s="7">
        <f t="shared" ref="R977:W977" si="836">K977/$I977</f>
        <v>0.20052366280786338</v>
      </c>
      <c r="S977" s="7">
        <f t="shared" si="836"/>
        <v>0.12016431973005304</v>
      </c>
      <c r="T977" s="7">
        <f t="shared" si="836"/>
        <v>0.18096538702599954</v>
      </c>
      <c r="U977" s="7">
        <f t="shared" si="836"/>
        <v>0.10145663824066828</v>
      </c>
      <c r="V977" s="7">
        <f t="shared" si="836"/>
        <v>0.30690997062563097</v>
      </c>
      <c r="W977" s="7">
        <f t="shared" si="836"/>
        <v>8.9980021569784768E-2</v>
      </c>
      <c r="X977" s="7">
        <f>SUM(R977:W977)</f>
        <v>1</v>
      </c>
    </row>
    <row r="978" spans="1:24" ht="15.75" customHeight="1" x14ac:dyDescent="0.3">
      <c r="C978" t="s">
        <v>72</v>
      </c>
      <c r="D978" t="s">
        <v>68</v>
      </c>
      <c r="E978" t="s">
        <v>70</v>
      </c>
      <c r="F978" t="s">
        <v>71</v>
      </c>
      <c r="G978" t="s">
        <v>69</v>
      </c>
      <c r="H978" t="s">
        <v>73</v>
      </c>
      <c r="K978" t="s">
        <v>68</v>
      </c>
      <c r="L978" t="s">
        <v>69</v>
      </c>
      <c r="M978" t="s">
        <v>70</v>
      </c>
      <c r="N978" t="s">
        <v>71</v>
      </c>
      <c r="O978" t="s">
        <v>72</v>
      </c>
      <c r="P978" t="s">
        <v>73</v>
      </c>
    </row>
    <row r="979" spans="1:24" ht="15.75" customHeight="1" x14ac:dyDescent="0.3">
      <c r="A979">
        <v>489</v>
      </c>
      <c r="B979" s="16" t="s">
        <v>570</v>
      </c>
      <c r="C979" s="7">
        <f>Rankings!L498</f>
        <v>4.6687605396099645</v>
      </c>
      <c r="D979" s="7">
        <f>Rankings!M498</f>
        <v>3.0503960567556176</v>
      </c>
      <c r="E979" s="7">
        <f>Rankings!N498</f>
        <v>2.752872629911467</v>
      </c>
      <c r="F979" s="7">
        <f>Rankings!O498</f>
        <v>1.9198984597584763</v>
      </c>
      <c r="G979" s="7">
        <f>Rankings!P498</f>
        <v>1.3354555559520354</v>
      </c>
      <c r="H979" s="7">
        <f>Rankings!Q498</f>
        <v>1</v>
      </c>
      <c r="I979" s="7">
        <f>Rankings!R498</f>
        <v>14.727383241987562</v>
      </c>
      <c r="K979" s="7">
        <f>D979</f>
        <v>3.0503960567556176</v>
      </c>
      <c r="L979" s="7">
        <f>G979</f>
        <v>1.3354555559520354</v>
      </c>
      <c r="M979" s="7">
        <f t="shared" ref="M979:N979" si="837">E979</f>
        <v>2.752872629911467</v>
      </c>
      <c r="N979" s="7">
        <f t="shared" si="837"/>
        <v>1.9198984597584763</v>
      </c>
      <c r="O979" s="7">
        <f>C979</f>
        <v>4.6687605396099645</v>
      </c>
      <c r="P979" s="7">
        <f>H979</f>
        <v>1</v>
      </c>
      <c r="R979" s="7">
        <f t="shared" ref="R979:W979" si="838">K979/$I979</f>
        <v>0.20712410389776381</v>
      </c>
      <c r="S979" s="7">
        <f t="shared" si="838"/>
        <v>9.0678400501228926E-2</v>
      </c>
      <c r="T979" s="7">
        <f t="shared" si="838"/>
        <v>0.18692204750013336</v>
      </c>
      <c r="U979" s="7">
        <f t="shared" si="838"/>
        <v>0.13036249741127623</v>
      </c>
      <c r="V979" s="7">
        <f t="shared" si="838"/>
        <v>0.31701222565454762</v>
      </c>
      <c r="W979" s="7">
        <f t="shared" si="838"/>
        <v>6.7900725035049958E-2</v>
      </c>
      <c r="X979" s="7">
        <f>SUM(R979:W979)</f>
        <v>0.99999999999999989</v>
      </c>
    </row>
    <row r="980" spans="1:24" ht="15.75" customHeight="1" x14ac:dyDescent="0.3">
      <c r="C980" t="s">
        <v>72</v>
      </c>
      <c r="D980" t="s">
        <v>68</v>
      </c>
      <c r="E980" t="s">
        <v>70</v>
      </c>
      <c r="F980" t="s">
        <v>71</v>
      </c>
      <c r="G980" t="s">
        <v>73</v>
      </c>
      <c r="H980" t="s">
        <v>69</v>
      </c>
      <c r="K980" t="s">
        <v>68</v>
      </c>
      <c r="L980" t="s">
        <v>69</v>
      </c>
      <c r="M980" t="s">
        <v>70</v>
      </c>
      <c r="N980" t="s">
        <v>71</v>
      </c>
      <c r="O980" t="s">
        <v>72</v>
      </c>
      <c r="P980" t="s">
        <v>73</v>
      </c>
    </row>
    <row r="981" spans="1:24" ht="15.75" customHeight="1" x14ac:dyDescent="0.3">
      <c r="A981">
        <v>490</v>
      </c>
      <c r="B981" s="16" t="s">
        <v>571</v>
      </c>
      <c r="C981" s="7">
        <f>Rankings!L499</f>
        <v>4.4645467639306258</v>
      </c>
      <c r="D981" s="7">
        <f>Rankings!M499</f>
        <v>2.9169703025790121</v>
      </c>
      <c r="E981" s="7">
        <f>Rankings!N499</f>
        <v>2.6324606899653036</v>
      </c>
      <c r="F981" s="7">
        <f>Rankings!O499</f>
        <v>1.8359212006847052</v>
      </c>
      <c r="G981" s="7">
        <f>Rankings!P499</f>
        <v>1.2419340531937677</v>
      </c>
      <c r="H981" s="7">
        <f>Rankings!Q499</f>
        <v>1</v>
      </c>
      <c r="I981" s="7">
        <f>Rankings!R499</f>
        <v>14.091833010353414</v>
      </c>
      <c r="K981" s="7">
        <f>D981</f>
        <v>2.9169703025790121</v>
      </c>
      <c r="L981" s="7">
        <f>H981</f>
        <v>1</v>
      </c>
      <c r="M981" s="7">
        <f t="shared" ref="M981:N981" si="839">E981</f>
        <v>2.6324606899653036</v>
      </c>
      <c r="N981" s="7">
        <f t="shared" si="839"/>
        <v>1.8359212006847052</v>
      </c>
      <c r="O981" s="7">
        <f>C981</f>
        <v>4.4645467639306258</v>
      </c>
      <c r="P981" s="7">
        <f>G981</f>
        <v>1.2419340531937677</v>
      </c>
      <c r="R981" s="7">
        <f t="shared" ref="R981:W981" si="840">K981/$I981</f>
        <v>0.20699722317429423</v>
      </c>
      <c r="S981" s="7">
        <f t="shared" si="840"/>
        <v>7.0963088993837048E-2</v>
      </c>
      <c r="T981" s="7">
        <f t="shared" si="840"/>
        <v>0.18680754221478554</v>
      </c>
      <c r="U981" s="7">
        <f t="shared" si="840"/>
        <v>0.13028263954986091</v>
      </c>
      <c r="V981" s="7">
        <f t="shared" si="840"/>
        <v>0.31681802932595621</v>
      </c>
      <c r="W981" s="7">
        <f t="shared" si="840"/>
        <v>8.8131476741266104E-2</v>
      </c>
      <c r="X981" s="7">
        <f>SUM(R981:W981)</f>
        <v>0.99999999999999989</v>
      </c>
    </row>
    <row r="982" spans="1:24" ht="15.75" customHeight="1" x14ac:dyDescent="0.3">
      <c r="C982" t="s">
        <v>72</v>
      </c>
      <c r="D982" t="s">
        <v>68</v>
      </c>
      <c r="E982" t="s">
        <v>70</v>
      </c>
      <c r="F982" t="s">
        <v>73</v>
      </c>
      <c r="G982" t="s">
        <v>69</v>
      </c>
      <c r="H982" t="s">
        <v>71</v>
      </c>
      <c r="K982" t="s">
        <v>68</v>
      </c>
      <c r="L982" t="s">
        <v>69</v>
      </c>
      <c r="M982" t="s">
        <v>70</v>
      </c>
      <c r="N982" t="s">
        <v>71</v>
      </c>
      <c r="O982" t="s">
        <v>72</v>
      </c>
      <c r="P982" t="s">
        <v>73</v>
      </c>
    </row>
    <row r="983" spans="1:24" ht="15.75" customHeight="1" x14ac:dyDescent="0.3">
      <c r="A983">
        <v>491</v>
      </c>
      <c r="B983" s="16" t="s">
        <v>572</v>
      </c>
      <c r="C983" s="7">
        <f>Rankings!L500</f>
        <v>3.8648000491870587</v>
      </c>
      <c r="D983" s="7">
        <f>Rankings!M500</f>
        <v>2.525117904456502</v>
      </c>
      <c r="E983" s="7">
        <f>Rankings!N500</f>
        <v>2.2788280069674274</v>
      </c>
      <c r="F983" s="7">
        <f>Rankings!O500</f>
        <v>1.1311834039268005</v>
      </c>
      <c r="G983" s="7">
        <f>Rankings!P500</f>
        <v>0.9108240498099236</v>
      </c>
      <c r="H983" s="7">
        <f>Rankings!Q500</f>
        <v>1</v>
      </c>
      <c r="I983" s="7">
        <f>Rankings!R500</f>
        <v>11.710753414347712</v>
      </c>
      <c r="K983" s="7">
        <f>D983</f>
        <v>2.525117904456502</v>
      </c>
      <c r="L983" s="7">
        <f>G983</f>
        <v>0.9108240498099236</v>
      </c>
      <c r="M983" s="7">
        <f>E983</f>
        <v>2.2788280069674274</v>
      </c>
      <c r="N983" s="7">
        <f>H983</f>
        <v>1</v>
      </c>
      <c r="O983" s="7">
        <f>C983</f>
        <v>3.8648000491870587</v>
      </c>
      <c r="P983" s="7">
        <f>F983</f>
        <v>1.1311834039268005</v>
      </c>
      <c r="R983" s="7">
        <f t="shared" ref="R983:W983" si="841">K983/$I983</f>
        <v>0.21562386424794777</v>
      </c>
      <c r="S983" s="7">
        <f t="shared" si="841"/>
        <v>7.77767251673155E-2</v>
      </c>
      <c r="T983" s="7">
        <f t="shared" si="841"/>
        <v>0.19459277523301499</v>
      </c>
      <c r="U983" s="7">
        <f t="shared" si="841"/>
        <v>8.5391602454443785E-2</v>
      </c>
      <c r="V983" s="7">
        <f t="shared" si="841"/>
        <v>0.33002146936609611</v>
      </c>
      <c r="W983" s="7">
        <f t="shared" si="841"/>
        <v>9.6593563531181856E-2</v>
      </c>
      <c r="X983" s="7">
        <f>SUM(R983:W983)</f>
        <v>1</v>
      </c>
    </row>
    <row r="984" spans="1:24" ht="15.75" customHeight="1" x14ac:dyDescent="0.3">
      <c r="C984" t="s">
        <v>72</v>
      </c>
      <c r="D984" t="s">
        <v>68</v>
      </c>
      <c r="E984" t="s">
        <v>70</v>
      </c>
      <c r="F984" t="s">
        <v>73</v>
      </c>
      <c r="G984" t="s">
        <v>71</v>
      </c>
      <c r="H984" t="s">
        <v>69</v>
      </c>
      <c r="K984" t="s">
        <v>68</v>
      </c>
      <c r="L984" t="s">
        <v>69</v>
      </c>
      <c r="M984" t="s">
        <v>70</v>
      </c>
      <c r="N984" t="s">
        <v>71</v>
      </c>
      <c r="O984" t="s">
        <v>72</v>
      </c>
      <c r="P984" t="s">
        <v>73</v>
      </c>
    </row>
    <row r="985" spans="1:24" ht="15.75" customHeight="1" x14ac:dyDescent="0.3">
      <c r="A985">
        <v>492</v>
      </c>
      <c r="B985" s="16" t="s">
        <v>573</v>
      </c>
      <c r="C985" s="7">
        <f>Rankings!L501</f>
        <v>4.3562064248174837</v>
      </c>
      <c r="D985" s="7">
        <f>Rankings!M501</f>
        <v>2.8461847181793671</v>
      </c>
      <c r="E985" s="7">
        <f>Rankings!N501</f>
        <v>2.5685792482572625</v>
      </c>
      <c r="F985" s="7">
        <f>Rankings!O501</f>
        <v>1.2750125101217977</v>
      </c>
      <c r="G985" s="7">
        <f>Rankings!P501</f>
        <v>1.4376356077157479</v>
      </c>
      <c r="H985" s="7">
        <f>Rankings!Q501</f>
        <v>1</v>
      </c>
      <c r="I985" s="7">
        <f>Rankings!R501</f>
        <v>13.483618509091659</v>
      </c>
      <c r="K985" s="7">
        <f>D985</f>
        <v>2.8461847181793671</v>
      </c>
      <c r="L985" s="7">
        <f>H985</f>
        <v>1</v>
      </c>
      <c r="M985" s="7">
        <f>E985</f>
        <v>2.5685792482572625</v>
      </c>
      <c r="N985" s="7">
        <f>G985</f>
        <v>1.4376356077157479</v>
      </c>
      <c r="O985" s="7">
        <f>C985</f>
        <v>4.3562064248174837</v>
      </c>
      <c r="P985" s="7">
        <f>F985</f>
        <v>1.2750125101217977</v>
      </c>
      <c r="R985" s="7">
        <f t="shared" ref="R985:W985" si="842">K985/$I985</f>
        <v>0.21108463698081176</v>
      </c>
      <c r="S985" s="7">
        <f t="shared" si="842"/>
        <v>7.416406800042033E-2</v>
      </c>
      <c r="T985" s="7">
        <f t="shared" si="842"/>
        <v>0.19049628603222013</v>
      </c>
      <c r="U985" s="7">
        <f t="shared" si="842"/>
        <v>0.10662090497045633</v>
      </c>
      <c r="V985" s="7">
        <f t="shared" si="842"/>
        <v>0.32307398951403177</v>
      </c>
      <c r="W985" s="7">
        <f t="shared" si="842"/>
        <v>9.4560114502059617E-2</v>
      </c>
      <c r="X985" s="7">
        <f>SUM(R985:W985)</f>
        <v>0.99999999999999989</v>
      </c>
    </row>
    <row r="986" spans="1:24" ht="15.75" customHeight="1" x14ac:dyDescent="0.3">
      <c r="C986" t="s">
        <v>72</v>
      </c>
      <c r="D986" t="s">
        <v>68</v>
      </c>
      <c r="E986" t="s">
        <v>71</v>
      </c>
      <c r="F986" t="s">
        <v>69</v>
      </c>
      <c r="G986" t="s">
        <v>70</v>
      </c>
      <c r="H986" t="s">
        <v>73</v>
      </c>
      <c r="K986" t="s">
        <v>68</v>
      </c>
      <c r="L986" t="s">
        <v>69</v>
      </c>
      <c r="M986" t="s">
        <v>70</v>
      </c>
      <c r="N986" t="s">
        <v>71</v>
      </c>
      <c r="O986" t="s">
        <v>72</v>
      </c>
      <c r="P986" t="s">
        <v>73</v>
      </c>
    </row>
    <row r="987" spans="1:24" ht="15.75" customHeight="1" x14ac:dyDescent="0.3">
      <c r="A987">
        <v>493</v>
      </c>
      <c r="B987" s="16" t="s">
        <v>574</v>
      </c>
      <c r="C987" s="7">
        <f>Rankings!L502</f>
        <v>7.5597560812736173</v>
      </c>
      <c r="D987" s="7">
        <f>Rankings!M502</f>
        <v>4.9392659882011918</v>
      </c>
      <c r="E987" s="7">
        <f>Rankings!N502</f>
        <v>3.9391808169904543</v>
      </c>
      <c r="F987" s="7">
        <f>Rankings!O502</f>
        <v>2.740041214789747</v>
      </c>
      <c r="G987" s="7">
        <f>Rankings!P502</f>
        <v>2.0145521929129111</v>
      </c>
      <c r="H987" s="7">
        <f>Rankings!Q502</f>
        <v>1</v>
      </c>
      <c r="I987" s="7">
        <f>Rankings!R502</f>
        <v>22.192796294167923</v>
      </c>
      <c r="K987" s="7">
        <f>D987</f>
        <v>4.9392659882011918</v>
      </c>
      <c r="L987" s="7">
        <f t="shared" ref="L987:M987" si="843">F987</f>
        <v>2.740041214789747</v>
      </c>
      <c r="M987" s="7">
        <f t="shared" si="843"/>
        <v>2.0145521929129111</v>
      </c>
      <c r="N987" s="7">
        <f>E987</f>
        <v>3.9391808169904543</v>
      </c>
      <c r="O987" s="7">
        <f>C987</f>
        <v>7.5597560812736173</v>
      </c>
      <c r="P987" s="7">
        <f>H987</f>
        <v>1</v>
      </c>
      <c r="R987" s="7">
        <f t="shared" ref="R987:W987" si="844">K987/$I987</f>
        <v>0.22256167824598058</v>
      </c>
      <c r="S987" s="7">
        <f t="shared" si="844"/>
        <v>0.12346534336954224</v>
      </c>
      <c r="T987" s="7">
        <f t="shared" si="844"/>
        <v>9.0775049985130446E-2</v>
      </c>
      <c r="U987" s="7">
        <f t="shared" si="844"/>
        <v>0.17749817394690534</v>
      </c>
      <c r="V987" s="7">
        <f t="shared" si="844"/>
        <v>0.34064008793971839</v>
      </c>
      <c r="W987" s="7">
        <f t="shared" si="844"/>
        <v>4.5059666512722932E-2</v>
      </c>
      <c r="X987" s="7">
        <f>SUM(R987:W987)</f>
        <v>1</v>
      </c>
    </row>
    <row r="988" spans="1:24" ht="15.75" customHeight="1" x14ac:dyDescent="0.3">
      <c r="C988" t="s">
        <v>72</v>
      </c>
      <c r="D988" t="s">
        <v>68</v>
      </c>
      <c r="E988" t="s">
        <v>71</v>
      </c>
      <c r="F988" t="s">
        <v>69</v>
      </c>
      <c r="G988" t="s">
        <v>73</v>
      </c>
      <c r="H988" t="s">
        <v>70</v>
      </c>
      <c r="K988" t="s">
        <v>68</v>
      </c>
      <c r="L988" t="s">
        <v>69</v>
      </c>
      <c r="M988" t="s">
        <v>70</v>
      </c>
      <c r="N988" t="s">
        <v>71</v>
      </c>
      <c r="O988" t="s">
        <v>72</v>
      </c>
      <c r="P988" t="s">
        <v>73</v>
      </c>
    </row>
    <row r="989" spans="1:24" ht="15.75" customHeight="1" x14ac:dyDescent="0.3">
      <c r="A989">
        <v>494</v>
      </c>
      <c r="B989" s="16" t="s">
        <v>575</v>
      </c>
      <c r="C989" s="7">
        <f>Rankings!L503</f>
        <v>5.170270801592423</v>
      </c>
      <c r="D989" s="7">
        <f>Rankings!M503</f>
        <v>3.3780643774147814</v>
      </c>
      <c r="E989" s="7">
        <f>Rankings!N503</f>
        <v>2.6940858066478115</v>
      </c>
      <c r="F989" s="7">
        <f>Rankings!O503</f>
        <v>1.8739698656521393</v>
      </c>
      <c r="G989" s="7">
        <f>Rankings!P503</f>
        <v>1.4032439022773779</v>
      </c>
      <c r="H989" s="7">
        <f>Rankings!Q503</f>
        <v>1</v>
      </c>
      <c r="I989" s="7">
        <f>Rankings!R503</f>
        <v>15.519634753584532</v>
      </c>
      <c r="K989" s="7">
        <f>D989</f>
        <v>3.3780643774147814</v>
      </c>
      <c r="L989" s="7">
        <f>F989</f>
        <v>1.8739698656521393</v>
      </c>
      <c r="M989" s="7">
        <f>H989</f>
        <v>1</v>
      </c>
      <c r="N989" s="7">
        <f>E989</f>
        <v>2.6940858066478115</v>
      </c>
      <c r="O989" s="7">
        <f>C989</f>
        <v>5.170270801592423</v>
      </c>
      <c r="P989" s="7">
        <f>G989</f>
        <v>1.4032439022773779</v>
      </c>
      <c r="R989" s="7">
        <f t="shared" ref="R989:W989" si="845">K989/$I989</f>
        <v>0.21766390968927657</v>
      </c>
      <c r="S989" s="7">
        <f t="shared" si="845"/>
        <v>0.12074832271547584</v>
      </c>
      <c r="T989" s="7">
        <f t="shared" si="845"/>
        <v>6.4434506087137938E-2</v>
      </c>
      <c r="U989" s="7">
        <f t="shared" si="845"/>
        <v>0.17359208830772033</v>
      </c>
      <c r="V989" s="7">
        <f t="shared" si="845"/>
        <v>0.33314384543735853</v>
      </c>
      <c r="W989" s="7">
        <f t="shared" si="845"/>
        <v>9.0417327763030908E-2</v>
      </c>
      <c r="X989" s="7">
        <f>SUM(R989:W989)</f>
        <v>1</v>
      </c>
    </row>
    <row r="990" spans="1:24" ht="15.75" customHeight="1" x14ac:dyDescent="0.3">
      <c r="C990" t="s">
        <v>72</v>
      </c>
      <c r="D990" t="s">
        <v>68</v>
      </c>
      <c r="E990" t="s">
        <v>71</v>
      </c>
      <c r="F990" t="s">
        <v>70</v>
      </c>
      <c r="G990" t="s">
        <v>69</v>
      </c>
      <c r="H990" t="s">
        <v>73</v>
      </c>
      <c r="K990" t="s">
        <v>68</v>
      </c>
      <c r="L990" t="s">
        <v>69</v>
      </c>
      <c r="M990" t="s">
        <v>70</v>
      </c>
      <c r="N990" t="s">
        <v>71</v>
      </c>
      <c r="O990" t="s">
        <v>72</v>
      </c>
      <c r="P990" t="s">
        <v>73</v>
      </c>
    </row>
    <row r="991" spans="1:24" ht="15.75" customHeight="1" x14ac:dyDescent="0.3">
      <c r="A991">
        <v>495</v>
      </c>
      <c r="B991" s="16" t="s">
        <v>576</v>
      </c>
      <c r="C991" s="7">
        <f>Rankings!L504</f>
        <v>8.6412827824051988</v>
      </c>
      <c r="D991" s="7">
        <f>Rankings!M504</f>
        <v>5.6458956721222471</v>
      </c>
      <c r="E991" s="7">
        <f>Rankings!N504</f>
        <v>4.5027346126894745</v>
      </c>
      <c r="F991" s="7">
        <f>Rankings!O504</f>
        <v>2.0111729678309791</v>
      </c>
      <c r="G991" s="7">
        <f>Rankings!P504</f>
        <v>1.3354555559520354</v>
      </c>
      <c r="H991" s="7">
        <f>Rankings!Q504</f>
        <v>1</v>
      </c>
      <c r="I991" s="7">
        <f>Rankings!R504</f>
        <v>23.136541590999936</v>
      </c>
      <c r="K991" s="7">
        <f>D991</f>
        <v>5.6458956721222471</v>
      </c>
      <c r="L991" s="7">
        <f>G991</f>
        <v>1.3354555559520354</v>
      </c>
      <c r="M991" s="7">
        <f>F991</f>
        <v>2.0111729678309791</v>
      </c>
      <c r="N991" s="7">
        <f>E991</f>
        <v>4.5027346126894745</v>
      </c>
      <c r="O991" s="7">
        <f>C991</f>
        <v>8.6412827824051988</v>
      </c>
      <c r="P991" s="7">
        <f>H991</f>
        <v>1</v>
      </c>
      <c r="R991" s="7">
        <f t="shared" ref="R991:W991" si="846">K991/$I991</f>
        <v>0.24402504799241423</v>
      </c>
      <c r="S991" s="7">
        <f t="shared" si="846"/>
        <v>5.7720621325337777E-2</v>
      </c>
      <c r="T991" s="7">
        <f t="shared" si="846"/>
        <v>8.6926257319863268E-2</v>
      </c>
      <c r="U991" s="7">
        <f t="shared" si="846"/>
        <v>0.19461571622446064</v>
      </c>
      <c r="V991" s="7">
        <f t="shared" si="846"/>
        <v>0.37349068565055715</v>
      </c>
      <c r="W991" s="7">
        <f t="shared" si="846"/>
        <v>4.3221671487366886E-2</v>
      </c>
      <c r="X991" s="7">
        <f>SUM(R991:W991)</f>
        <v>0.99999999999999989</v>
      </c>
    </row>
    <row r="992" spans="1:24" ht="15.75" customHeight="1" x14ac:dyDescent="0.3">
      <c r="C992" t="s">
        <v>72</v>
      </c>
      <c r="D992" t="s">
        <v>68</v>
      </c>
      <c r="E992" t="s">
        <v>71</v>
      </c>
      <c r="F992" t="s">
        <v>70</v>
      </c>
      <c r="G992" t="s">
        <v>73</v>
      </c>
      <c r="H992" t="s">
        <v>69</v>
      </c>
      <c r="K992" t="s">
        <v>68</v>
      </c>
      <c r="L992" t="s">
        <v>69</v>
      </c>
      <c r="M992" t="s">
        <v>70</v>
      </c>
      <c r="N992" t="s">
        <v>71</v>
      </c>
      <c r="O992" t="s">
        <v>72</v>
      </c>
      <c r="P992" t="s">
        <v>73</v>
      </c>
    </row>
    <row r="993" spans="1:24" ht="15.75" customHeight="1" x14ac:dyDescent="0.3">
      <c r="A993">
        <v>496</v>
      </c>
      <c r="B993" s="16" t="s">
        <v>577</v>
      </c>
      <c r="C993" s="7">
        <f>Rankings!L505</f>
        <v>10.749935373630056</v>
      </c>
      <c r="D993" s="7">
        <f>Rankings!M505</f>
        <v>7.0236115551212883</v>
      </c>
      <c r="E993" s="7">
        <f>Rankings!N505</f>
        <v>5.601495438799458</v>
      </c>
      <c r="F993" s="7">
        <f>Rankings!O505</f>
        <v>2.5019409703147248</v>
      </c>
      <c r="G993" s="7">
        <f>Rankings!P505</f>
        <v>1.2419340531937677</v>
      </c>
      <c r="H993" s="7">
        <f>Rankings!Q505</f>
        <v>1</v>
      </c>
      <c r="I993" s="7">
        <f>Rankings!R505</f>
        <v>28.118917391059291</v>
      </c>
      <c r="K993" s="7">
        <f>D993</f>
        <v>7.0236115551212883</v>
      </c>
      <c r="L993" s="7">
        <f>H993</f>
        <v>1</v>
      </c>
      <c r="M993" s="7">
        <f>F993</f>
        <v>2.5019409703147248</v>
      </c>
      <c r="N993" s="7">
        <f>E993</f>
        <v>5.601495438799458</v>
      </c>
      <c r="O993" s="7">
        <f>C993</f>
        <v>10.749935373630056</v>
      </c>
      <c r="P993" s="7">
        <f>G993</f>
        <v>1.2419340531937677</v>
      </c>
      <c r="R993" s="7">
        <f t="shared" ref="R993:W993" si="847">K993/$I993</f>
        <v>0.24978243143011331</v>
      </c>
      <c r="S993" s="7">
        <f t="shared" si="847"/>
        <v>3.5563246838157453E-2</v>
      </c>
      <c r="T993" s="7">
        <f t="shared" si="847"/>
        <v>8.8977144301801731E-2</v>
      </c>
      <c r="U993" s="7">
        <f t="shared" si="847"/>
        <v>0.19920736495283822</v>
      </c>
      <c r="V993" s="7">
        <f t="shared" si="847"/>
        <v>0.38230260518664605</v>
      </c>
      <c r="W993" s="7">
        <f t="shared" si="847"/>
        <v>4.4167207290443329E-2</v>
      </c>
      <c r="X993" s="7">
        <f>SUM(R993:W993)</f>
        <v>1</v>
      </c>
    </row>
    <row r="994" spans="1:24" ht="15.75" customHeight="1" x14ac:dyDescent="0.3">
      <c r="C994" t="s">
        <v>72</v>
      </c>
      <c r="D994" t="s">
        <v>68</v>
      </c>
      <c r="E994" t="s">
        <v>71</v>
      </c>
      <c r="F994" t="s">
        <v>73</v>
      </c>
      <c r="G994" t="s">
        <v>69</v>
      </c>
      <c r="H994" t="s">
        <v>70</v>
      </c>
      <c r="K994" t="s">
        <v>68</v>
      </c>
      <c r="L994" t="s">
        <v>69</v>
      </c>
      <c r="M994" t="s">
        <v>70</v>
      </c>
      <c r="N994" t="s">
        <v>71</v>
      </c>
      <c r="O994" t="s">
        <v>72</v>
      </c>
      <c r="P994" t="s">
        <v>73</v>
      </c>
    </row>
    <row r="995" spans="1:24" ht="15.75" customHeight="1" x14ac:dyDescent="0.3">
      <c r="A995">
        <v>497</v>
      </c>
      <c r="B995" s="16" t="s">
        <v>578</v>
      </c>
      <c r="C995" s="7">
        <f>Rankings!L506</f>
        <v>4.7921949317968187</v>
      </c>
      <c r="D995" s="7">
        <f>Rankings!M506</f>
        <v>3.1310435391013836</v>
      </c>
      <c r="E995" s="7">
        <f>Rankings!N506</f>
        <v>2.4970808771693309</v>
      </c>
      <c r="F995" s="7">
        <f>Rankings!O506</f>
        <v>1.6891845759932191</v>
      </c>
      <c r="G995" s="7">
        <f>Rankings!P506</f>
        <v>1.3601242124324544</v>
      </c>
      <c r="H995" s="7">
        <f>Rankings!Q506</f>
        <v>1</v>
      </c>
      <c r="I995" s="7">
        <f>Rankings!R506</f>
        <v>14.469628136493206</v>
      </c>
      <c r="K995" s="7">
        <f>D995</f>
        <v>3.1310435391013836</v>
      </c>
      <c r="L995" s="7">
        <f t="shared" ref="L995:M995" si="848">G995</f>
        <v>1.3601242124324544</v>
      </c>
      <c r="M995" s="7">
        <f t="shared" si="848"/>
        <v>1</v>
      </c>
      <c r="N995" s="7">
        <f>E995</f>
        <v>2.4970808771693309</v>
      </c>
      <c r="O995" s="7">
        <f>C995</f>
        <v>4.7921949317968187</v>
      </c>
      <c r="P995" s="7">
        <f>F995</f>
        <v>1.6891845759932191</v>
      </c>
      <c r="R995" s="7">
        <f t="shared" ref="R995:W995" si="849">K995/$I995</f>
        <v>0.2163872844254178</v>
      </c>
      <c r="S995" s="7">
        <f t="shared" si="849"/>
        <v>9.3998560267222461E-2</v>
      </c>
      <c r="T995" s="7">
        <f t="shared" si="849"/>
        <v>6.9110276405648902E-2</v>
      </c>
      <c r="U995" s="7">
        <f t="shared" si="849"/>
        <v>0.1725739496284327</v>
      </c>
      <c r="V995" s="7">
        <f t="shared" si="849"/>
        <v>0.33118991632622796</v>
      </c>
      <c r="W995" s="7">
        <f t="shared" si="849"/>
        <v>0.11674001294705022</v>
      </c>
      <c r="X995" s="7">
        <f>SUM(R995:W995)</f>
        <v>1</v>
      </c>
    </row>
    <row r="996" spans="1:24" ht="15.75" customHeight="1" x14ac:dyDescent="0.3">
      <c r="C996" t="s">
        <v>72</v>
      </c>
      <c r="D996" t="s">
        <v>68</v>
      </c>
      <c r="E996" t="s">
        <v>71</v>
      </c>
      <c r="F996" t="s">
        <v>73</v>
      </c>
      <c r="G996" t="s">
        <v>70</v>
      </c>
      <c r="H996" t="s">
        <v>69</v>
      </c>
      <c r="K996" t="s">
        <v>68</v>
      </c>
      <c r="L996" t="s">
        <v>69</v>
      </c>
      <c r="M996" t="s">
        <v>70</v>
      </c>
      <c r="N996" t="s">
        <v>71</v>
      </c>
      <c r="O996" t="s">
        <v>72</v>
      </c>
      <c r="P996" t="s">
        <v>73</v>
      </c>
    </row>
    <row r="997" spans="1:24" ht="15.75" customHeight="1" x14ac:dyDescent="0.3">
      <c r="A997">
        <v>498</v>
      </c>
      <c r="B997" s="16" t="s">
        <v>579</v>
      </c>
      <c r="C997" s="7">
        <f>Rankings!L507</f>
        <v>5.9952944235132968</v>
      </c>
      <c r="D997" s="7">
        <f>Rankings!M507</f>
        <v>3.9171044034958604</v>
      </c>
      <c r="E997" s="7">
        <f>Rankings!N507</f>
        <v>3.1239829078367118</v>
      </c>
      <c r="F997" s="7">
        <f>Rankings!O507</f>
        <v>2.113261044858973</v>
      </c>
      <c r="G997" s="7">
        <f>Rankings!P507</f>
        <v>1.5059827029565431</v>
      </c>
      <c r="H997" s="7">
        <f>Rankings!Q507</f>
        <v>1</v>
      </c>
      <c r="I997" s="7">
        <f>Rankings!R507</f>
        <v>17.655625482661385</v>
      </c>
      <c r="K997" s="7">
        <f>D997</f>
        <v>3.9171044034958604</v>
      </c>
      <c r="L997" s="7">
        <f>H997</f>
        <v>1</v>
      </c>
      <c r="M997" s="7">
        <f>G997</f>
        <v>1.5059827029565431</v>
      </c>
      <c r="N997" s="7">
        <f>E997</f>
        <v>3.1239829078367118</v>
      </c>
      <c r="O997" s="7">
        <f>C997</f>
        <v>5.9952944235132968</v>
      </c>
      <c r="P997" s="7">
        <f>F997</f>
        <v>2.113261044858973</v>
      </c>
      <c r="R997" s="7">
        <f t="shared" ref="R997:W997" si="850">K997/$I997</f>
        <v>0.22186154817016437</v>
      </c>
      <c r="S997" s="7">
        <f t="shared" si="850"/>
        <v>5.6639171519697488E-2</v>
      </c>
      <c r="T997" s="7">
        <f t="shared" si="850"/>
        <v>8.5297612618453283E-2</v>
      </c>
      <c r="U997" s="7">
        <f t="shared" si="850"/>
        <v>0.17693980374156684</v>
      </c>
      <c r="V997" s="7">
        <f t="shared" si="850"/>
        <v>0.33956850916445552</v>
      </c>
      <c r="W997" s="7">
        <f t="shared" si="850"/>
        <v>0.11969335478566251</v>
      </c>
      <c r="X997" s="7">
        <f>SUM(R997:W997)</f>
        <v>1</v>
      </c>
    </row>
    <row r="998" spans="1:24" ht="15.75" customHeight="1" x14ac:dyDescent="0.3">
      <c r="C998" t="s">
        <v>72</v>
      </c>
      <c r="D998" t="s">
        <v>68</v>
      </c>
      <c r="E998" t="s">
        <v>73</v>
      </c>
      <c r="F998" t="s">
        <v>69</v>
      </c>
      <c r="G998" t="s">
        <v>70</v>
      </c>
      <c r="H998" t="s">
        <v>71</v>
      </c>
      <c r="K998" t="s">
        <v>68</v>
      </c>
      <c r="L998" t="s">
        <v>69</v>
      </c>
      <c r="M998" t="s">
        <v>70</v>
      </c>
      <c r="N998" t="s">
        <v>71</v>
      </c>
      <c r="O998" t="s">
        <v>72</v>
      </c>
      <c r="P998" t="s">
        <v>73</v>
      </c>
    </row>
    <row r="999" spans="1:24" ht="15.75" customHeight="1" x14ac:dyDescent="0.3">
      <c r="A999">
        <v>499</v>
      </c>
      <c r="B999" s="16" t="s">
        <v>580</v>
      </c>
      <c r="C999" s="7">
        <f>Rankings!L508</f>
        <v>4.3052226285325519</v>
      </c>
      <c r="D999" s="7">
        <f>Rankings!M508</f>
        <v>2.8128737848328087</v>
      </c>
      <c r="E999" s="7">
        <f>Rankings!N508</f>
        <v>2.4220603764145552</v>
      </c>
      <c r="F999" s="7">
        <f>Rankings!O508</f>
        <v>1.9502326795742213</v>
      </c>
      <c r="G999" s="7">
        <f>Rankings!P508</f>
        <v>1.4338636587362954</v>
      </c>
      <c r="H999" s="7">
        <f>Rankings!Q508</f>
        <v>1</v>
      </c>
      <c r="I999" s="7">
        <f>Rankings!R508</f>
        <v>13.924253128090431</v>
      </c>
      <c r="K999" s="7">
        <f>D999</f>
        <v>2.8128737848328087</v>
      </c>
      <c r="L999" s="7">
        <f t="shared" ref="L999:N999" si="851">F999</f>
        <v>1.9502326795742213</v>
      </c>
      <c r="M999" s="7">
        <f t="shared" si="851"/>
        <v>1.4338636587362954</v>
      </c>
      <c r="N999" s="7">
        <f t="shared" si="851"/>
        <v>1</v>
      </c>
      <c r="O999" s="7">
        <f>C999</f>
        <v>4.3052226285325519</v>
      </c>
      <c r="P999" s="7">
        <f>E999</f>
        <v>2.4220603764145552</v>
      </c>
      <c r="R999" s="7">
        <f t="shared" ref="R999:W999" si="852">K999/$I999</f>
        <v>0.20201254307551975</v>
      </c>
      <c r="S999" s="7">
        <f t="shared" si="852"/>
        <v>0.14006012829800343</v>
      </c>
      <c r="T999" s="7">
        <f t="shared" si="852"/>
        <v>0.10297598338281108</v>
      </c>
      <c r="U999" s="7">
        <f t="shared" si="852"/>
        <v>7.1817137393360486E-2</v>
      </c>
      <c r="V999" s="7">
        <f t="shared" si="852"/>
        <v>0.30918876502232684</v>
      </c>
      <c r="W999" s="7">
        <f t="shared" si="852"/>
        <v>0.17394544282797852</v>
      </c>
      <c r="X999" s="7">
        <f>SUM(R999:W999)</f>
        <v>1</v>
      </c>
    </row>
    <row r="1000" spans="1:24" ht="15.75" customHeight="1" x14ac:dyDescent="0.3">
      <c r="C1000" t="s">
        <v>72</v>
      </c>
      <c r="D1000" t="s">
        <v>68</v>
      </c>
      <c r="E1000" t="s">
        <v>73</v>
      </c>
      <c r="F1000" t="s">
        <v>69</v>
      </c>
      <c r="G1000" t="s">
        <v>71</v>
      </c>
      <c r="H1000" t="s">
        <v>70</v>
      </c>
      <c r="K1000" t="s">
        <v>68</v>
      </c>
      <c r="L1000" t="s">
        <v>69</v>
      </c>
      <c r="M1000" t="s">
        <v>70</v>
      </c>
      <c r="N1000" t="s">
        <v>71</v>
      </c>
      <c r="O1000" t="s">
        <v>72</v>
      </c>
      <c r="P1000" t="s">
        <v>73</v>
      </c>
    </row>
    <row r="1001" spans="1:24" ht="15.75" customHeight="1" x14ac:dyDescent="0.3">
      <c r="A1001">
        <v>500</v>
      </c>
      <c r="B1001" s="16" t="s">
        <v>581</v>
      </c>
      <c r="C1001" s="7">
        <f>Rankings!L509</f>
        <v>4.5016383493404231</v>
      </c>
      <c r="D1001" s="7">
        <f>Rankings!M509</f>
        <v>2.941204577374847</v>
      </c>
      <c r="E1001" s="7">
        <f>Rankings!N509</f>
        <v>2.5325612205569175</v>
      </c>
      <c r="F1001" s="7">
        <f>Rankings!O509</f>
        <v>2.039207487743945</v>
      </c>
      <c r="G1001" s="7">
        <f>Rankings!P509</f>
        <v>2.2388599512381115</v>
      </c>
      <c r="H1001" s="7">
        <f>Rankings!Q509</f>
        <v>1</v>
      </c>
      <c r="I1001" s="7">
        <f>Rankings!R509</f>
        <v>15.253471586254246</v>
      </c>
      <c r="K1001" s="7">
        <f>D1001</f>
        <v>2.941204577374847</v>
      </c>
      <c r="L1001" s="7">
        <f>F1001</f>
        <v>2.039207487743945</v>
      </c>
      <c r="M1001" s="7">
        <f>H1001</f>
        <v>1</v>
      </c>
      <c r="N1001" s="7">
        <f>G1001</f>
        <v>2.2388599512381115</v>
      </c>
      <c r="O1001" s="7">
        <f>C1001</f>
        <v>4.5016383493404231</v>
      </c>
      <c r="P1001" s="7">
        <f>E1001</f>
        <v>2.5325612205569175</v>
      </c>
      <c r="R1001" s="7">
        <f t="shared" ref="R1001:W1001" si="853">K1001/$I1001</f>
        <v>0.1928219789667639</v>
      </c>
      <c r="S1001" s="7">
        <f t="shared" si="853"/>
        <v>0.13368809036112073</v>
      </c>
      <c r="T1001" s="7">
        <f t="shared" si="853"/>
        <v>6.5558846348208091E-2</v>
      </c>
      <c r="U1001" s="7">
        <f t="shared" si="853"/>
        <v>0.14677707553837602</v>
      </c>
      <c r="V1001" s="7">
        <f t="shared" si="853"/>
        <v>0.29512221685960988</v>
      </c>
      <c r="W1001" s="7">
        <f t="shared" si="853"/>
        <v>0.1660317919259213</v>
      </c>
      <c r="X1001" s="7">
        <f>SUM(R1001:W1001)</f>
        <v>1</v>
      </c>
    </row>
    <row r="1002" spans="1:24" ht="15.75" customHeight="1" x14ac:dyDescent="0.3">
      <c r="C1002" t="s">
        <v>72</v>
      </c>
      <c r="D1002" t="s">
        <v>68</v>
      </c>
      <c r="E1002" t="s">
        <v>73</v>
      </c>
      <c r="F1002" t="s">
        <v>70</v>
      </c>
      <c r="G1002" t="s">
        <v>69</v>
      </c>
      <c r="H1002" t="s">
        <v>71</v>
      </c>
      <c r="K1002" t="s">
        <v>68</v>
      </c>
      <c r="L1002" t="s">
        <v>69</v>
      </c>
      <c r="M1002" t="s">
        <v>70</v>
      </c>
      <c r="N1002" t="s">
        <v>71</v>
      </c>
      <c r="O1002" t="s">
        <v>72</v>
      </c>
      <c r="P1002" t="s">
        <v>73</v>
      </c>
    </row>
    <row r="1003" spans="1:24" ht="15.75" customHeight="1" x14ac:dyDescent="0.3">
      <c r="A1003">
        <v>501</v>
      </c>
      <c r="B1003" s="16" t="s">
        <v>582</v>
      </c>
      <c r="C1003" s="7">
        <f>Rankings!L510</f>
        <v>3.4213561605237821</v>
      </c>
      <c r="D1003" s="7">
        <f>Rankings!M510</f>
        <v>2.2353880119304992</v>
      </c>
      <c r="E1003" s="7">
        <f>Rankings!N510</f>
        <v>1.9248089831840005</v>
      </c>
      <c r="F1003" s="7">
        <f>Rankings!O510</f>
        <v>1.3716852644505737</v>
      </c>
      <c r="G1003" s="7">
        <f>Rankings!P510</f>
        <v>0.9108240498099236</v>
      </c>
      <c r="H1003" s="7">
        <f>Rankings!Q510</f>
        <v>1</v>
      </c>
      <c r="I1003" s="7">
        <f>Rankings!R510</f>
        <v>10.864062469898778</v>
      </c>
      <c r="K1003" s="7">
        <f>D1003</f>
        <v>2.2353880119304992</v>
      </c>
      <c r="L1003" s="7">
        <f>G1003</f>
        <v>0.9108240498099236</v>
      </c>
      <c r="M1003" s="7">
        <f>F1003</f>
        <v>1.3716852644505737</v>
      </c>
      <c r="N1003" s="7">
        <f>H1003</f>
        <v>1</v>
      </c>
      <c r="O1003" s="7">
        <f>C1003</f>
        <v>3.4213561605237821</v>
      </c>
      <c r="P1003" s="7">
        <f>E1003</f>
        <v>1.9248089831840005</v>
      </c>
      <c r="R1003" s="7">
        <f t="shared" ref="R1003:W1003" si="854">K1003/$I1003</f>
        <v>0.20575986359836593</v>
      </c>
      <c r="S1003" s="7">
        <f t="shared" si="854"/>
        <v>8.3838255931752745E-2</v>
      </c>
      <c r="T1003" s="7">
        <f t="shared" si="854"/>
        <v>0.12625896327926342</v>
      </c>
      <c r="U1003" s="7">
        <f t="shared" si="854"/>
        <v>9.2046598845571356E-2</v>
      </c>
      <c r="V1003" s="7">
        <f t="shared" si="854"/>
        <v>0.31492419801555682</v>
      </c>
      <c r="W1003" s="7">
        <f t="shared" si="854"/>
        <v>0.17717212032948981</v>
      </c>
      <c r="X1003" s="7">
        <f>SUM(R1003:W1003)</f>
        <v>1</v>
      </c>
    </row>
    <row r="1004" spans="1:24" ht="15.75" customHeight="1" x14ac:dyDescent="0.3">
      <c r="C1004" t="s">
        <v>72</v>
      </c>
      <c r="D1004" t="s">
        <v>68</v>
      </c>
      <c r="E1004" t="s">
        <v>73</v>
      </c>
      <c r="F1004" t="s">
        <v>70</v>
      </c>
      <c r="G1004" t="s">
        <v>71</v>
      </c>
      <c r="H1004" t="s">
        <v>69</v>
      </c>
      <c r="K1004" t="s">
        <v>68</v>
      </c>
      <c r="L1004" t="s">
        <v>69</v>
      </c>
      <c r="M1004" t="s">
        <v>70</v>
      </c>
      <c r="N1004" t="s">
        <v>71</v>
      </c>
      <c r="O1004" t="s">
        <v>72</v>
      </c>
      <c r="P1004" t="s">
        <v>73</v>
      </c>
    </row>
    <row r="1005" spans="1:24" ht="15.75" customHeight="1" x14ac:dyDescent="0.3">
      <c r="A1005">
        <v>502</v>
      </c>
      <c r="B1005" s="16" t="s">
        <v>583</v>
      </c>
      <c r="C1005" s="7">
        <f>Rankings!L511</f>
        <v>5.1416261028102843</v>
      </c>
      <c r="D1005" s="7">
        <f>Rankings!M511</f>
        <v>3.3593489870085538</v>
      </c>
      <c r="E1005" s="7">
        <f>Rankings!N511</f>
        <v>2.8926097274092277</v>
      </c>
      <c r="F1005" s="7">
        <f>Rankings!O511</f>
        <v>2.0613734524088798</v>
      </c>
      <c r="G1005" s="7">
        <f>Rankings!P511</f>
        <v>1.4376356077157479</v>
      </c>
      <c r="H1005" s="7">
        <f>Rankings!Q511</f>
        <v>1</v>
      </c>
      <c r="I1005" s="7">
        <f>Rankings!R511</f>
        <v>15.892593877352693</v>
      </c>
      <c r="K1005" s="7">
        <f>D1005</f>
        <v>3.3593489870085538</v>
      </c>
      <c r="L1005" s="7">
        <f>H1005</f>
        <v>1</v>
      </c>
      <c r="M1005" s="7">
        <f t="shared" ref="M1005:N1005" si="855">F1005</f>
        <v>2.0613734524088798</v>
      </c>
      <c r="N1005" s="7">
        <f t="shared" si="855"/>
        <v>1.4376356077157479</v>
      </c>
      <c r="O1005" s="7">
        <f>C1005</f>
        <v>5.1416261028102843</v>
      </c>
      <c r="P1005" s="7">
        <f>E1005</f>
        <v>2.8926097274092277</v>
      </c>
      <c r="R1005" s="7">
        <f t="shared" ref="R1005:W1005" si="856">K1005/$I1005</f>
        <v>0.2113782692072502</v>
      </c>
      <c r="S1005" s="7">
        <f t="shared" si="856"/>
        <v>6.2922390625297656E-2</v>
      </c>
      <c r="T1005" s="7">
        <f t="shared" si="856"/>
        <v>0.12970654559708997</v>
      </c>
      <c r="U1005" s="7">
        <f t="shared" si="856"/>
        <v>9.0459469285527477E-2</v>
      </c>
      <c r="V1005" s="7">
        <f t="shared" si="856"/>
        <v>0.32352340609025554</v>
      </c>
      <c r="W1005" s="7">
        <f t="shared" si="856"/>
        <v>0.18200991919457918</v>
      </c>
      <c r="X1005" s="7">
        <f>SUM(R1005:W1005)</f>
        <v>1</v>
      </c>
    </row>
    <row r="1006" spans="1:24" ht="15.75" customHeight="1" x14ac:dyDescent="0.3">
      <c r="C1006" t="s">
        <v>72</v>
      </c>
      <c r="D1006" t="s">
        <v>68</v>
      </c>
      <c r="E1006" t="s">
        <v>73</v>
      </c>
      <c r="F1006" t="s">
        <v>71</v>
      </c>
      <c r="G1006" t="s">
        <v>69</v>
      </c>
      <c r="H1006" t="s">
        <v>70</v>
      </c>
      <c r="K1006" t="s">
        <v>68</v>
      </c>
      <c r="L1006" t="s">
        <v>69</v>
      </c>
      <c r="M1006" t="s">
        <v>70</v>
      </c>
      <c r="N1006" t="s">
        <v>71</v>
      </c>
      <c r="O1006" t="s">
        <v>72</v>
      </c>
      <c r="P1006" t="s">
        <v>73</v>
      </c>
    </row>
    <row r="1007" spans="1:24" ht="15.75" customHeight="1" x14ac:dyDescent="0.3">
      <c r="A1007">
        <v>503</v>
      </c>
      <c r="B1007" s="16" t="s">
        <v>584</v>
      </c>
      <c r="C1007" s="7">
        <f>Rankings!L512</f>
        <v>3.0825041304046437</v>
      </c>
      <c r="D1007" s="7">
        <f>Rankings!M512</f>
        <v>2.0139945847607676</v>
      </c>
      <c r="E1007" s="7">
        <f>Rankings!N512</f>
        <v>1.734175386170937</v>
      </c>
      <c r="F1007" s="7">
        <f>Rankings!O512</f>
        <v>1.9553629987092347</v>
      </c>
      <c r="G1007" s="7">
        <f>Rankings!P512</f>
        <v>1.3601242124324544</v>
      </c>
      <c r="H1007" s="7">
        <f>Rankings!Q512</f>
        <v>1</v>
      </c>
      <c r="I1007" s="7">
        <f>Rankings!R512</f>
        <v>11.146161312478039</v>
      </c>
      <c r="K1007" s="7">
        <f>D1007</f>
        <v>2.0139945847607676</v>
      </c>
      <c r="L1007" s="7">
        <f t="shared" ref="L1007:M1007" si="857">G1007</f>
        <v>1.3601242124324544</v>
      </c>
      <c r="M1007" s="7">
        <f t="shared" si="857"/>
        <v>1</v>
      </c>
      <c r="N1007" s="7">
        <f>F1007</f>
        <v>1.9553629987092347</v>
      </c>
      <c r="O1007" s="7">
        <f>C1007</f>
        <v>3.0825041304046437</v>
      </c>
      <c r="P1007" s="7">
        <f>E1007</f>
        <v>1.734175386170937</v>
      </c>
      <c r="R1007" s="7">
        <f t="shared" ref="R1007:W1007" si="858">K1007/$I1007</f>
        <v>0.18068952424958329</v>
      </c>
      <c r="S1007" s="7">
        <f t="shared" si="858"/>
        <v>0.12202624511721413</v>
      </c>
      <c r="T1007" s="7">
        <f t="shared" si="858"/>
        <v>8.9716986141274296E-2</v>
      </c>
      <c r="U1007" s="7">
        <f t="shared" si="858"/>
        <v>0.17542927505635697</v>
      </c>
      <c r="V1007" s="7">
        <f t="shared" si="858"/>
        <v>0.27655298034793419</v>
      </c>
      <c r="W1007" s="7">
        <f t="shared" si="858"/>
        <v>0.15558498908763696</v>
      </c>
      <c r="X1007" s="7">
        <f>SUM(R1007:W1007)</f>
        <v>0.99999999999999989</v>
      </c>
    </row>
    <row r="1008" spans="1:24" ht="15.75" customHeight="1" x14ac:dyDescent="0.3">
      <c r="C1008" t="s">
        <v>72</v>
      </c>
      <c r="D1008" t="s">
        <v>68</v>
      </c>
      <c r="E1008" t="s">
        <v>73</v>
      </c>
      <c r="F1008" t="s">
        <v>71</v>
      </c>
      <c r="G1008" t="s">
        <v>70</v>
      </c>
      <c r="H1008" t="s">
        <v>69</v>
      </c>
      <c r="K1008" t="s">
        <v>68</v>
      </c>
      <c r="L1008" t="s">
        <v>69</v>
      </c>
      <c r="M1008" t="s">
        <v>70</v>
      </c>
      <c r="N1008" t="s">
        <v>71</v>
      </c>
      <c r="O1008" t="s">
        <v>72</v>
      </c>
      <c r="P1008" t="s">
        <v>73</v>
      </c>
    </row>
    <row r="1009" spans="1:24" ht="15.75" customHeight="1" x14ac:dyDescent="0.3">
      <c r="A1009">
        <v>504</v>
      </c>
      <c r="B1009" s="16" t="s">
        <v>585</v>
      </c>
      <c r="C1009" s="7">
        <f>Rankings!L513</f>
        <v>5.3152437556486731</v>
      </c>
      <c r="D1009" s="7">
        <f>Rankings!M513</f>
        <v>3.4727843622239276</v>
      </c>
      <c r="E1009" s="7">
        <f>Rankings!N513</f>
        <v>2.9902846849826275</v>
      </c>
      <c r="F1009" s="7">
        <f>Rankings!O513</f>
        <v>3.3716843609067255</v>
      </c>
      <c r="G1009" s="7">
        <f>Rankings!P513</f>
        <v>1.5059827029565431</v>
      </c>
      <c r="H1009" s="7">
        <f>Rankings!Q513</f>
        <v>1</v>
      </c>
      <c r="I1009" s="7">
        <f>Rankings!R513</f>
        <v>17.655979866718496</v>
      </c>
      <c r="K1009" s="7">
        <f>D1009</f>
        <v>3.4727843622239276</v>
      </c>
      <c r="L1009" s="7">
        <f>H1009</f>
        <v>1</v>
      </c>
      <c r="M1009" s="7">
        <f>G1009</f>
        <v>1.5059827029565431</v>
      </c>
      <c r="N1009" s="7">
        <f>F1009</f>
        <v>3.3716843609067255</v>
      </c>
      <c r="O1009" s="7">
        <f>C1009</f>
        <v>5.3152437556486731</v>
      </c>
      <c r="P1009" s="7">
        <f>E1009</f>
        <v>2.9902846849826275</v>
      </c>
      <c r="R1009" s="7">
        <f t="shared" ref="R1009:W1009" si="859">K1009/$I1009</f>
        <v>0.19669168114368563</v>
      </c>
      <c r="S1009" s="7">
        <f t="shared" si="859"/>
        <v>5.6638034679966927E-2</v>
      </c>
      <c r="T1009" s="7">
        <f t="shared" si="859"/>
        <v>8.5295900557483012E-2</v>
      </c>
      <c r="U1009" s="7">
        <f t="shared" si="859"/>
        <v>0.19096557576293724</v>
      </c>
      <c r="V1009" s="7">
        <f t="shared" si="859"/>
        <v>0.30104496016490717</v>
      </c>
      <c r="W1009" s="7">
        <f t="shared" si="859"/>
        <v>0.16936384769102003</v>
      </c>
      <c r="X1009" s="7">
        <f>SUM(R1009:W1009)</f>
        <v>1</v>
      </c>
    </row>
    <row r="1010" spans="1:24" ht="15.75" customHeight="1" x14ac:dyDescent="0.3">
      <c r="C1010" t="s">
        <v>72</v>
      </c>
      <c r="D1010" t="s">
        <v>69</v>
      </c>
      <c r="E1010" t="s">
        <v>68</v>
      </c>
      <c r="F1010" t="s">
        <v>70</v>
      </c>
      <c r="G1010" t="s">
        <v>71</v>
      </c>
      <c r="H1010" t="s">
        <v>73</v>
      </c>
      <c r="K1010" t="s">
        <v>68</v>
      </c>
      <c r="L1010" t="s">
        <v>69</v>
      </c>
      <c r="M1010" t="s">
        <v>70</v>
      </c>
      <c r="N1010" t="s">
        <v>71</v>
      </c>
      <c r="O1010" t="s">
        <v>72</v>
      </c>
      <c r="P1010" t="s">
        <v>73</v>
      </c>
    </row>
    <row r="1011" spans="1:24" ht="15.75" customHeight="1" x14ac:dyDescent="0.3">
      <c r="A1011">
        <v>505</v>
      </c>
      <c r="B1011" s="16" t="s">
        <v>586</v>
      </c>
      <c r="C1011" s="7">
        <f>Rankings!L514</f>
        <v>7.4728039194822271</v>
      </c>
      <c r="D1011" s="7">
        <f>Rankings!M514</f>
        <v>4.0962114750450622</v>
      </c>
      <c r="E1011" s="7">
        <f>Rankings!N514</f>
        <v>2.3487320402220293</v>
      </c>
      <c r="F1011" s="7">
        <f>Rankings!O514</f>
        <v>2.1196461142164886</v>
      </c>
      <c r="G1011" s="7">
        <f>Rankings!P514</f>
        <v>1.478275916473532</v>
      </c>
      <c r="H1011" s="7">
        <f>Rankings!Q514</f>
        <v>1</v>
      </c>
      <c r="I1011" s="7">
        <f>Rankings!R514</f>
        <v>18.515669465439341</v>
      </c>
      <c r="K1011" s="7">
        <f>E1011</f>
        <v>2.3487320402220293</v>
      </c>
      <c r="L1011" s="7">
        <f>D1011</f>
        <v>4.0962114750450622</v>
      </c>
      <c r="M1011" s="7">
        <f t="shared" ref="M1011:N1011" si="860">F1011</f>
        <v>2.1196461142164886</v>
      </c>
      <c r="N1011" s="7">
        <f t="shared" si="860"/>
        <v>1.478275916473532</v>
      </c>
      <c r="O1011" s="7">
        <f>C1011</f>
        <v>7.4728039194822271</v>
      </c>
      <c r="P1011" s="7">
        <f>H1011</f>
        <v>1</v>
      </c>
      <c r="R1011" s="7">
        <f t="shared" ref="R1011:W1011" si="861">K1011/$I1011</f>
        <v>0.12685104606161204</v>
      </c>
      <c r="S1011" s="7">
        <f t="shared" si="861"/>
        <v>0.22122945555335702</v>
      </c>
      <c r="T1011" s="7">
        <f t="shared" si="861"/>
        <v>0.11447850255552147</v>
      </c>
      <c r="U1011" s="7">
        <f t="shared" si="861"/>
        <v>7.9839182657306926E-2</v>
      </c>
      <c r="V1011" s="7">
        <f t="shared" si="861"/>
        <v>0.40359350405507532</v>
      </c>
      <c r="W1011" s="7">
        <f t="shared" si="861"/>
        <v>5.4008309117127132E-2</v>
      </c>
      <c r="X1011" s="7">
        <f>SUM(R1011:W1011)</f>
        <v>1</v>
      </c>
    </row>
    <row r="1012" spans="1:24" ht="15.75" customHeight="1" x14ac:dyDescent="0.3">
      <c r="C1012" t="s">
        <v>72</v>
      </c>
      <c r="D1012" t="s">
        <v>69</v>
      </c>
      <c r="E1012" t="s">
        <v>68</v>
      </c>
      <c r="F1012" t="s">
        <v>70</v>
      </c>
      <c r="G1012" t="s">
        <v>73</v>
      </c>
      <c r="H1012" t="s">
        <v>71</v>
      </c>
      <c r="K1012" t="s">
        <v>68</v>
      </c>
      <c r="L1012" t="s">
        <v>69</v>
      </c>
      <c r="M1012" t="s">
        <v>70</v>
      </c>
      <c r="N1012" t="s">
        <v>71</v>
      </c>
      <c r="O1012" t="s">
        <v>72</v>
      </c>
      <c r="P1012" t="s">
        <v>73</v>
      </c>
    </row>
    <row r="1013" spans="1:24" ht="15.75" customHeight="1" x14ac:dyDescent="0.3">
      <c r="A1013">
        <v>506</v>
      </c>
      <c r="B1013" s="16" t="s">
        <v>587</v>
      </c>
      <c r="C1013" s="7">
        <f>Rankings!L515</f>
        <v>6.2988951052361521</v>
      </c>
      <c r="D1013" s="7">
        <f>Rankings!M515</f>
        <v>3.4527343000271347</v>
      </c>
      <c r="E1013" s="7">
        <f>Rankings!N515</f>
        <v>1.9797678235736356</v>
      </c>
      <c r="F1013" s="7">
        <f>Rankings!O515</f>
        <v>1.7866691910465862</v>
      </c>
      <c r="G1013" s="7">
        <f>Rankings!P515</f>
        <v>0.88688155974910687</v>
      </c>
      <c r="H1013" s="7">
        <f>Rankings!Q515</f>
        <v>1</v>
      </c>
      <c r="I1013" s="7">
        <f>Rankings!R515</f>
        <v>15.404947979632615</v>
      </c>
      <c r="K1013" s="7">
        <f>E1013</f>
        <v>1.9797678235736356</v>
      </c>
      <c r="L1013" s="7">
        <f>D1013</f>
        <v>3.4527343000271347</v>
      </c>
      <c r="M1013" s="7">
        <f>F1013</f>
        <v>1.7866691910465862</v>
      </c>
      <c r="N1013" s="7">
        <f>H1013</f>
        <v>1</v>
      </c>
      <c r="O1013" s="7">
        <f>C1013</f>
        <v>6.2988951052361521</v>
      </c>
      <c r="P1013" s="7">
        <f>G1013</f>
        <v>0.88688155974910687</v>
      </c>
      <c r="R1013" s="7">
        <f t="shared" ref="R1013:W1013" si="862">K1013/$I1013</f>
        <v>0.12851506062799767</v>
      </c>
      <c r="S1013" s="7">
        <f t="shared" si="862"/>
        <v>0.22413151310813301</v>
      </c>
      <c r="T1013" s="7">
        <f t="shared" si="862"/>
        <v>0.11598021579876802</v>
      </c>
      <c r="U1013" s="7">
        <f t="shared" si="862"/>
        <v>6.4914208170136808E-2</v>
      </c>
      <c r="V1013" s="7">
        <f t="shared" si="862"/>
        <v>0.40888778810315535</v>
      </c>
      <c r="W1013" s="7">
        <f t="shared" si="862"/>
        <v>5.7571214191809147E-2</v>
      </c>
      <c r="X1013" s="7">
        <f>SUM(R1013:W1013)</f>
        <v>0.99999999999999989</v>
      </c>
    </row>
    <row r="1014" spans="1:24" ht="15.75" customHeight="1" x14ac:dyDescent="0.3">
      <c r="C1014" t="s">
        <v>72</v>
      </c>
      <c r="D1014" t="s">
        <v>69</v>
      </c>
      <c r="E1014" t="s">
        <v>68</v>
      </c>
      <c r="F1014" t="s">
        <v>71</v>
      </c>
      <c r="G1014" t="s">
        <v>70</v>
      </c>
      <c r="H1014" t="s">
        <v>73</v>
      </c>
      <c r="K1014" t="s">
        <v>68</v>
      </c>
      <c r="L1014" t="s">
        <v>69</v>
      </c>
      <c r="M1014" t="s">
        <v>70</v>
      </c>
      <c r="N1014" t="s">
        <v>71</v>
      </c>
      <c r="O1014" t="s">
        <v>72</v>
      </c>
      <c r="P1014" t="s">
        <v>73</v>
      </c>
    </row>
    <row r="1015" spans="1:24" ht="15.75" customHeight="1" x14ac:dyDescent="0.3">
      <c r="A1015">
        <v>507</v>
      </c>
      <c r="B1015" s="16" t="s">
        <v>588</v>
      </c>
      <c r="C1015" s="7">
        <f>Rankings!L516</f>
        <v>17.993351496114293</v>
      </c>
      <c r="D1015" s="7">
        <f>Rankings!M516</f>
        <v>9.8630411913724352</v>
      </c>
      <c r="E1015" s="7">
        <f>Rankings!N516</f>
        <v>5.6553820527421017</v>
      </c>
      <c r="F1015" s="7">
        <f>Rankings!O516</f>
        <v>4.5103002243916306</v>
      </c>
      <c r="G1015" s="7">
        <f>Rankings!P516</f>
        <v>2.0145521929129111</v>
      </c>
      <c r="H1015" s="7">
        <f>Rankings!Q516</f>
        <v>1</v>
      </c>
      <c r="I1015" s="7">
        <f>Rankings!R516</f>
        <v>41.036627157533367</v>
      </c>
      <c r="K1015" s="7">
        <f>E1015</f>
        <v>5.6553820527421017</v>
      </c>
      <c r="L1015" s="7">
        <f>D1015</f>
        <v>9.8630411913724352</v>
      </c>
      <c r="M1015" s="7">
        <f>G1015</f>
        <v>2.0145521929129111</v>
      </c>
      <c r="N1015" s="7">
        <f>F1015</f>
        <v>4.5103002243916306</v>
      </c>
      <c r="O1015" s="7">
        <f>C1015</f>
        <v>17.993351496114293</v>
      </c>
      <c r="P1015" s="7">
        <f>H1015</f>
        <v>1</v>
      </c>
      <c r="R1015" s="7">
        <f t="shared" ref="R1015:W1015" si="863">K1015/$I1015</f>
        <v>0.13781303300176084</v>
      </c>
      <c r="S1015" s="7">
        <f t="shared" si="863"/>
        <v>0.24034726717451024</v>
      </c>
      <c r="T1015" s="7">
        <f t="shared" si="863"/>
        <v>4.9091563621429017E-2</v>
      </c>
      <c r="U1015" s="7">
        <f t="shared" si="863"/>
        <v>0.10990913573567522</v>
      </c>
      <c r="V1015" s="7">
        <f t="shared" si="863"/>
        <v>0.43847052602643377</v>
      </c>
      <c r="W1015" s="7">
        <f t="shared" si="863"/>
        <v>2.4368474440191006E-2</v>
      </c>
      <c r="X1015" s="7">
        <f>SUM(R1015:W1015)</f>
        <v>1.0000000000000002</v>
      </c>
    </row>
    <row r="1016" spans="1:24" ht="15.75" customHeight="1" x14ac:dyDescent="0.3">
      <c r="C1016" t="s">
        <v>72</v>
      </c>
      <c r="D1016" t="s">
        <v>69</v>
      </c>
      <c r="E1016" t="s">
        <v>68</v>
      </c>
      <c r="F1016" t="s">
        <v>71</v>
      </c>
      <c r="G1016" t="s">
        <v>73</v>
      </c>
      <c r="H1016" t="s">
        <v>70</v>
      </c>
      <c r="K1016" t="s">
        <v>68</v>
      </c>
      <c r="L1016" t="s">
        <v>69</v>
      </c>
      <c r="M1016" t="s">
        <v>70</v>
      </c>
      <c r="N1016" t="s">
        <v>71</v>
      </c>
      <c r="O1016" t="s">
        <v>72</v>
      </c>
      <c r="P1016" t="s">
        <v>73</v>
      </c>
    </row>
    <row r="1017" spans="1:24" ht="15.75" customHeight="1" x14ac:dyDescent="0.3">
      <c r="A1017">
        <v>508</v>
      </c>
      <c r="B1017" s="16" t="s">
        <v>589</v>
      </c>
      <c r="C1017" s="7">
        <f>Rankings!L517</f>
        <v>8.2755197194483081</v>
      </c>
      <c r="D1017" s="7">
        <f>Rankings!M517</f>
        <v>4.5362194969936507</v>
      </c>
      <c r="E1017" s="7">
        <f>Rankings!N517</f>
        <v>2.6010288138142665</v>
      </c>
      <c r="F1017" s="7">
        <f>Rankings!O517</f>
        <v>2.0743816656749861</v>
      </c>
      <c r="G1017" s="7">
        <f>Rankings!P517</f>
        <v>1.4032439022773779</v>
      </c>
      <c r="H1017" s="7">
        <f>Rankings!Q517</f>
        <v>1</v>
      </c>
      <c r="I1017" s="7">
        <f>Rankings!R517</f>
        <v>19.89039359820859</v>
      </c>
      <c r="K1017" s="7">
        <f>E1017</f>
        <v>2.6010288138142665</v>
      </c>
      <c r="L1017" s="7">
        <f>D1017</f>
        <v>4.5362194969936507</v>
      </c>
      <c r="M1017" s="7">
        <f>H1017</f>
        <v>1</v>
      </c>
      <c r="N1017" s="7">
        <f>F1017</f>
        <v>2.0743816656749861</v>
      </c>
      <c r="O1017" s="7">
        <f>C1017</f>
        <v>8.2755197194483081</v>
      </c>
      <c r="P1017" s="7">
        <f>G1017</f>
        <v>1.4032439022773779</v>
      </c>
      <c r="R1017" s="7">
        <f t="shared" ref="R1017:W1017" si="864">K1017/$I1017</f>
        <v>0.13076809169068057</v>
      </c>
      <c r="S1017" s="7">
        <f t="shared" si="864"/>
        <v>0.22806082114947193</v>
      </c>
      <c r="T1017" s="7">
        <f t="shared" si="864"/>
        <v>5.0275525975014598E-2</v>
      </c>
      <c r="U1017" s="7">
        <f t="shared" si="864"/>
        <v>0.1042906293147368</v>
      </c>
      <c r="V1017" s="7">
        <f t="shared" si="864"/>
        <v>0.41605610661186893</v>
      </c>
      <c r="W1017" s="7">
        <f t="shared" si="864"/>
        <v>7.0548825258227157E-2</v>
      </c>
      <c r="X1017" s="7">
        <f>SUM(R1017:W1017)</f>
        <v>1</v>
      </c>
    </row>
    <row r="1018" spans="1:24" ht="15.75" customHeight="1" x14ac:dyDescent="0.3">
      <c r="C1018" t="s">
        <v>72</v>
      </c>
      <c r="D1018" t="s">
        <v>69</v>
      </c>
      <c r="E1018" t="s">
        <v>68</v>
      </c>
      <c r="F1018" t="s">
        <v>73</v>
      </c>
      <c r="G1018" t="s">
        <v>70</v>
      </c>
      <c r="H1018" t="s">
        <v>71</v>
      </c>
      <c r="K1018" t="s">
        <v>68</v>
      </c>
      <c r="L1018" t="s">
        <v>69</v>
      </c>
      <c r="M1018" t="s">
        <v>70</v>
      </c>
      <c r="N1018" t="s">
        <v>71</v>
      </c>
      <c r="O1018" t="s">
        <v>72</v>
      </c>
      <c r="P1018" t="s">
        <v>73</v>
      </c>
    </row>
    <row r="1019" spans="1:24" ht="15.75" customHeight="1" x14ac:dyDescent="0.3">
      <c r="A1019">
        <v>509</v>
      </c>
      <c r="B1019" s="16" t="s">
        <v>590</v>
      </c>
      <c r="C1019" s="7">
        <f>Rankings!L518</f>
        <v>7.4345796166679747</v>
      </c>
      <c r="D1019" s="7">
        <f>Rankings!M518</f>
        <v>4.0752588541144981</v>
      </c>
      <c r="E1019" s="7">
        <f>Rankings!N518</f>
        <v>2.3367179895788799</v>
      </c>
      <c r="F1019" s="7">
        <f>Rankings!O518</f>
        <v>2.0120604358188379</v>
      </c>
      <c r="G1019" s="7">
        <f>Rankings!P518</f>
        <v>1.4338636587362954</v>
      </c>
      <c r="H1019" s="7">
        <f>Rankings!Q518</f>
        <v>1</v>
      </c>
      <c r="I1019" s="7">
        <f>Rankings!R518</f>
        <v>18.292480554916487</v>
      </c>
      <c r="K1019" s="7">
        <f>E1019</f>
        <v>2.3367179895788799</v>
      </c>
      <c r="L1019" s="7">
        <f>D1019</f>
        <v>4.0752588541144981</v>
      </c>
      <c r="M1019" s="7">
        <f t="shared" ref="M1019:N1019" si="865">G1019</f>
        <v>1.4338636587362954</v>
      </c>
      <c r="N1019" s="7">
        <f t="shared" si="865"/>
        <v>1</v>
      </c>
      <c r="O1019" s="7">
        <f>C1019</f>
        <v>7.4345796166679747</v>
      </c>
      <c r="P1019" s="7">
        <f>F1019</f>
        <v>2.0120604358188379</v>
      </c>
      <c r="R1019" s="7">
        <f t="shared" ref="R1019:W1019" si="866">K1019/$I1019</f>
        <v>0.1277419966397525</v>
      </c>
      <c r="S1019" s="7">
        <f t="shared" si="866"/>
        <v>0.22278328200923997</v>
      </c>
      <c r="T1019" s="7">
        <f t="shared" si="866"/>
        <v>7.8385413855252911E-2</v>
      </c>
      <c r="U1019" s="7">
        <f t="shared" si="866"/>
        <v>5.4667271450575851E-2</v>
      </c>
      <c r="V1019" s="7">
        <f t="shared" si="866"/>
        <v>0.40642818202530634</v>
      </c>
      <c r="W1019" s="7">
        <f t="shared" si="866"/>
        <v>0.10999385401987236</v>
      </c>
      <c r="X1019" s="7">
        <f>SUM(R1019:W1019)</f>
        <v>1</v>
      </c>
    </row>
    <row r="1020" spans="1:24" ht="15.75" customHeight="1" x14ac:dyDescent="0.3">
      <c r="C1020" t="s">
        <v>72</v>
      </c>
      <c r="D1020" t="s">
        <v>69</v>
      </c>
      <c r="E1020" t="s">
        <v>68</v>
      </c>
      <c r="F1020" t="s">
        <v>73</v>
      </c>
      <c r="G1020" t="s">
        <v>71</v>
      </c>
      <c r="H1020" t="s">
        <v>70</v>
      </c>
      <c r="K1020" t="s">
        <v>68</v>
      </c>
      <c r="L1020" t="s">
        <v>69</v>
      </c>
      <c r="M1020" t="s">
        <v>70</v>
      </c>
      <c r="N1020" t="s">
        <v>71</v>
      </c>
      <c r="O1020" t="s">
        <v>72</v>
      </c>
      <c r="P1020" t="s">
        <v>73</v>
      </c>
    </row>
    <row r="1021" spans="1:24" ht="15.75" customHeight="1" x14ac:dyDescent="0.3">
      <c r="A1021">
        <v>510</v>
      </c>
      <c r="B1021" s="16" t="s">
        <v>591</v>
      </c>
      <c r="C1021" s="7">
        <f>Rankings!L519</f>
        <v>7.3368214146468311</v>
      </c>
      <c r="D1021" s="7">
        <f>Rankings!M519</f>
        <v>4.0216727740816989</v>
      </c>
      <c r="E1021" s="7">
        <f>Rankings!N519</f>
        <v>2.3059921972584161</v>
      </c>
      <c r="F1021" s="7">
        <f>Rankings!O519</f>
        <v>1.9856036056138657</v>
      </c>
      <c r="G1021" s="7">
        <f>Rankings!P519</f>
        <v>2.2388599512381115</v>
      </c>
      <c r="H1021" s="7">
        <f>Rankings!Q519</f>
        <v>1</v>
      </c>
      <c r="I1021" s="7">
        <f>Rankings!R519</f>
        <v>18.888949942838924</v>
      </c>
      <c r="K1021" s="7">
        <f>E1021</f>
        <v>2.3059921972584161</v>
      </c>
      <c r="L1021" s="7">
        <f>D1021</f>
        <v>4.0216727740816989</v>
      </c>
      <c r="M1021" s="7">
        <f>H1021</f>
        <v>1</v>
      </c>
      <c r="N1021" s="7">
        <f>G1021</f>
        <v>2.2388599512381115</v>
      </c>
      <c r="O1021" s="7">
        <f>C1021</f>
        <v>7.3368214146468311</v>
      </c>
      <c r="P1021" s="7">
        <f>F1021</f>
        <v>1.9856036056138657</v>
      </c>
      <c r="R1021" s="7">
        <f t="shared" ref="R1021:W1021" si="867">K1021/$I1021</f>
        <v>0.12208154525459217</v>
      </c>
      <c r="S1021" s="7">
        <f t="shared" si="867"/>
        <v>0.2129113998529269</v>
      </c>
      <c r="T1021" s="7">
        <f t="shared" si="867"/>
        <v>5.2941005351073767E-2</v>
      </c>
      <c r="U1021" s="7">
        <f t="shared" si="867"/>
        <v>0.11852749665880162</v>
      </c>
      <c r="V1021" s="7">
        <f t="shared" si="867"/>
        <v>0.3884187017726905</v>
      </c>
      <c r="W1021" s="7">
        <f t="shared" si="867"/>
        <v>0.10511985110991504</v>
      </c>
      <c r="X1021" s="7">
        <f>SUM(R1021:W1021)</f>
        <v>1</v>
      </c>
    </row>
    <row r="1022" spans="1:24" ht="15.75" customHeight="1" x14ac:dyDescent="0.3">
      <c r="C1022" t="s">
        <v>72</v>
      </c>
      <c r="D1022" t="s">
        <v>69</v>
      </c>
      <c r="E1022" t="s">
        <v>70</v>
      </c>
      <c r="F1022" t="s">
        <v>68</v>
      </c>
      <c r="G1022" t="s">
        <v>71</v>
      </c>
      <c r="H1022" t="s">
        <v>73</v>
      </c>
      <c r="K1022" t="s">
        <v>68</v>
      </c>
      <c r="L1022" t="s">
        <v>69</v>
      </c>
      <c r="M1022" t="s">
        <v>70</v>
      </c>
      <c r="N1022" t="s">
        <v>71</v>
      </c>
      <c r="O1022" t="s">
        <v>72</v>
      </c>
      <c r="P1022" t="s">
        <v>73</v>
      </c>
    </row>
    <row r="1023" spans="1:24" ht="15.75" customHeight="1" x14ac:dyDescent="0.3">
      <c r="A1023">
        <v>511</v>
      </c>
      <c r="B1023" s="16" t="s">
        <v>592</v>
      </c>
      <c r="C1023" s="7">
        <f>Rankings!L520</f>
        <v>7.8288577198669351</v>
      </c>
      <c r="D1023" s="7">
        <f>Rankings!M520</f>
        <v>4.2913820801598144</v>
      </c>
      <c r="E1023" s="7">
        <f>Rankings!N520</f>
        <v>3.1551398327694509</v>
      </c>
      <c r="F1023" s="7">
        <f>Rankings!O520</f>
        <v>1.8535828373050172</v>
      </c>
      <c r="G1023" s="7">
        <f>Rankings!P520</f>
        <v>1.478275916473532</v>
      </c>
      <c r="H1023" s="7">
        <f>Rankings!Q520</f>
        <v>1</v>
      </c>
      <c r="I1023" s="7">
        <f>Rankings!R520</f>
        <v>19.607238386574746</v>
      </c>
      <c r="K1023" s="7">
        <f>F1023</f>
        <v>1.8535828373050172</v>
      </c>
      <c r="L1023" s="7">
        <f t="shared" ref="L1023:M1023" si="868">D1023</f>
        <v>4.2913820801598144</v>
      </c>
      <c r="M1023" s="7">
        <f t="shared" si="868"/>
        <v>3.1551398327694509</v>
      </c>
      <c r="N1023" s="7">
        <f>G1023</f>
        <v>1.478275916473532</v>
      </c>
      <c r="O1023" s="7">
        <f>C1023</f>
        <v>7.8288577198669351</v>
      </c>
      <c r="P1023" s="7">
        <f>H1023</f>
        <v>1</v>
      </c>
      <c r="R1023" s="7">
        <f t="shared" ref="R1023:W1023" si="869">K1023/$I1023</f>
        <v>9.4535640397690177E-2</v>
      </c>
      <c r="S1023" s="7">
        <f t="shared" si="869"/>
        <v>0.2188672364537661</v>
      </c>
      <c r="T1023" s="7">
        <f t="shared" si="869"/>
        <v>0.16091709452208239</v>
      </c>
      <c r="U1023" s="7">
        <f t="shared" si="869"/>
        <v>7.5394397075608618E-2</v>
      </c>
      <c r="V1023" s="7">
        <f t="shared" si="869"/>
        <v>0.39928405854581872</v>
      </c>
      <c r="W1023" s="7">
        <f t="shared" si="869"/>
        <v>5.1001573005034155E-2</v>
      </c>
      <c r="X1023" s="7">
        <f>SUM(R1023:W1023)</f>
        <v>1</v>
      </c>
    </row>
    <row r="1024" spans="1:24" ht="15.75" customHeight="1" x14ac:dyDescent="0.3">
      <c r="C1024" t="s">
        <v>72</v>
      </c>
      <c r="D1024" t="s">
        <v>69</v>
      </c>
      <c r="E1024" t="s">
        <v>70</v>
      </c>
      <c r="F1024" t="s">
        <v>68</v>
      </c>
      <c r="G1024" t="s">
        <v>73</v>
      </c>
      <c r="H1024" t="s">
        <v>71</v>
      </c>
      <c r="K1024" t="s">
        <v>68</v>
      </c>
      <c r="L1024" t="s">
        <v>69</v>
      </c>
      <c r="M1024" t="s">
        <v>70</v>
      </c>
      <c r="N1024" t="s">
        <v>71</v>
      </c>
      <c r="O1024" t="s">
        <v>72</v>
      </c>
      <c r="P1024" t="s">
        <v>73</v>
      </c>
    </row>
    <row r="1025" spans="1:24" ht="15.75" customHeight="1" x14ac:dyDescent="0.3">
      <c r="A1025">
        <v>512</v>
      </c>
      <c r="B1025" s="16" t="s">
        <v>593</v>
      </c>
      <c r="C1025" s="7">
        <f>Rankings!L521</f>
        <v>4.3502809599610472</v>
      </c>
      <c r="D1025" s="7">
        <f>Rankings!M521</f>
        <v>2.3846030191432042</v>
      </c>
      <c r="E1025" s="7">
        <f>Rankings!N521</f>
        <v>1.7532244462280142</v>
      </c>
      <c r="F1025" s="7">
        <f>Rankings!O521</f>
        <v>1.0299850135704913</v>
      </c>
      <c r="G1025" s="7">
        <f>Rankings!P521</f>
        <v>0.88688155974910687</v>
      </c>
      <c r="H1025" s="7">
        <f>Rankings!Q521</f>
        <v>1</v>
      </c>
      <c r="I1025" s="7">
        <f>Rankings!R521</f>
        <v>11.404974998651863</v>
      </c>
      <c r="K1025" s="7">
        <f>F1025</f>
        <v>1.0299850135704913</v>
      </c>
      <c r="L1025" s="7">
        <f t="shared" ref="L1025:M1025" si="870">D1025</f>
        <v>2.3846030191432042</v>
      </c>
      <c r="M1025" s="7">
        <f t="shared" si="870"/>
        <v>1.7532244462280142</v>
      </c>
      <c r="N1025" s="7">
        <f>H1025</f>
        <v>1</v>
      </c>
      <c r="O1025" s="7">
        <f>C1025</f>
        <v>4.3502809599610472</v>
      </c>
      <c r="P1025" s="7">
        <f>G1025</f>
        <v>0.88688155974910687</v>
      </c>
      <c r="R1025" s="7">
        <f t="shared" ref="R1025:W1025" si="871">K1025/$I1025</f>
        <v>9.031015093783562E-2</v>
      </c>
      <c r="S1025" s="7">
        <f t="shared" si="871"/>
        <v>0.2090844582671228</v>
      </c>
      <c r="T1025" s="7">
        <f t="shared" si="871"/>
        <v>0.15372453218312676</v>
      </c>
      <c r="U1025" s="7">
        <f t="shared" si="871"/>
        <v>8.7681033945116588E-2</v>
      </c>
      <c r="V1025" s="7">
        <f t="shared" si="871"/>
        <v>0.38143713252113898</v>
      </c>
      <c r="W1025" s="7">
        <f t="shared" si="871"/>
        <v>7.7762692145659382E-2</v>
      </c>
      <c r="X1025" s="7">
        <f>SUM(R1025:W1025)</f>
        <v>1.0000000000000002</v>
      </c>
    </row>
    <row r="1026" spans="1:24" ht="15.75" customHeight="1" x14ac:dyDescent="0.3">
      <c r="C1026" t="s">
        <v>72</v>
      </c>
      <c r="D1026" t="s">
        <v>69</v>
      </c>
      <c r="E1026" t="s">
        <v>70</v>
      </c>
      <c r="F1026" t="s">
        <v>71</v>
      </c>
      <c r="G1026" t="s">
        <v>68</v>
      </c>
      <c r="H1026" t="s">
        <v>73</v>
      </c>
      <c r="K1026" t="s">
        <v>68</v>
      </c>
      <c r="L1026" t="s">
        <v>69</v>
      </c>
      <c r="M1026" t="s">
        <v>70</v>
      </c>
      <c r="N1026" t="s">
        <v>71</v>
      </c>
      <c r="O1026" t="s">
        <v>72</v>
      </c>
      <c r="P1026" t="s">
        <v>73</v>
      </c>
    </row>
    <row r="1027" spans="1:24" ht="15.75" customHeight="1" x14ac:dyDescent="0.3">
      <c r="A1027">
        <v>513</v>
      </c>
      <c r="B1027" s="16" t="s">
        <v>594</v>
      </c>
      <c r="C1027" s="7">
        <f>Rankings!L522</f>
        <v>12.036789679132955</v>
      </c>
      <c r="D1027" s="7">
        <f>Rankings!M522</f>
        <v>6.5979566087403256</v>
      </c>
      <c r="E1027" s="7">
        <f>Rankings!N522</f>
        <v>4.8509956285099136</v>
      </c>
      <c r="F1027" s="7">
        <f>Rankings!O522</f>
        <v>3.3831638028857181</v>
      </c>
      <c r="G1027" s="7">
        <f>Rankings!P522</f>
        <v>1.1613557664474019</v>
      </c>
      <c r="H1027" s="7">
        <f>Rankings!Q522</f>
        <v>1</v>
      </c>
      <c r="I1027" s="7">
        <f>Rankings!R522</f>
        <v>29.030261485716316</v>
      </c>
      <c r="K1027" s="7">
        <f>G1027</f>
        <v>1.1613557664474019</v>
      </c>
      <c r="L1027" s="7">
        <f t="shared" ref="L1027:N1027" si="872">D1027</f>
        <v>6.5979566087403256</v>
      </c>
      <c r="M1027" s="7">
        <f t="shared" si="872"/>
        <v>4.8509956285099136</v>
      </c>
      <c r="N1027" s="7">
        <f t="shared" si="872"/>
        <v>3.3831638028857181</v>
      </c>
      <c r="O1027" s="7">
        <f>C1027</f>
        <v>12.036789679132955</v>
      </c>
      <c r="P1027" s="7">
        <f>H1027</f>
        <v>1</v>
      </c>
      <c r="R1027" s="7">
        <f t="shared" ref="R1027:W1027" si="873">K1027/$I1027</f>
        <v>4.0005005363758804E-2</v>
      </c>
      <c r="S1027" s="7">
        <f t="shared" si="873"/>
        <v>0.22727858004264623</v>
      </c>
      <c r="T1027" s="7">
        <f t="shared" si="873"/>
        <v>0.16710134116073105</v>
      </c>
      <c r="U1027" s="7">
        <f t="shared" si="873"/>
        <v>0.11653921217865458</v>
      </c>
      <c r="V1027" s="7">
        <f t="shared" si="873"/>
        <v>0.41462904786632337</v>
      </c>
      <c r="W1027" s="7">
        <f t="shared" si="873"/>
        <v>3.4446813387885855E-2</v>
      </c>
      <c r="X1027" s="7">
        <f>SUM(R1027:W1027)</f>
        <v>0.99999999999999978</v>
      </c>
    </row>
    <row r="1028" spans="1:24" ht="15.75" customHeight="1" x14ac:dyDescent="0.3">
      <c r="C1028" t="s">
        <v>72</v>
      </c>
      <c r="D1028" t="s">
        <v>69</v>
      </c>
      <c r="E1028" t="s">
        <v>70</v>
      </c>
      <c r="F1028" t="s">
        <v>71</v>
      </c>
      <c r="G1028" t="s">
        <v>73</v>
      </c>
      <c r="H1028" t="s">
        <v>68</v>
      </c>
      <c r="K1028" t="s">
        <v>68</v>
      </c>
      <c r="L1028" t="s">
        <v>69</v>
      </c>
      <c r="M1028" t="s">
        <v>70</v>
      </c>
      <c r="N1028" t="s">
        <v>71</v>
      </c>
      <c r="O1028" t="s">
        <v>72</v>
      </c>
      <c r="P1028" t="s">
        <v>73</v>
      </c>
    </row>
    <row r="1029" spans="1:24" ht="15.75" customHeight="1" x14ac:dyDescent="0.3">
      <c r="A1029">
        <v>514</v>
      </c>
      <c r="B1029" s="16" t="s">
        <v>595</v>
      </c>
      <c r="C1029" s="7">
        <f>Rankings!L523</f>
        <v>8.6242574608114229</v>
      </c>
      <c r="D1029" s="7">
        <f>Rankings!M523</f>
        <v>4.7273798102234217</v>
      </c>
      <c r="E1029" s="7">
        <f>Rankings!N523</f>
        <v>3.4756971216393153</v>
      </c>
      <c r="F1029" s="7">
        <f>Rankings!O523</f>
        <v>2.4240080990005324</v>
      </c>
      <c r="G1029" s="7">
        <f>Rankings!P523</f>
        <v>1.6397534939100344</v>
      </c>
      <c r="H1029" s="7">
        <f>Rankings!Q523</f>
        <v>1</v>
      </c>
      <c r="I1029" s="7">
        <f>Rankings!R523</f>
        <v>21.891095985584727</v>
      </c>
      <c r="K1029" s="7">
        <f>H1029</f>
        <v>1</v>
      </c>
      <c r="L1029" s="7">
        <f t="shared" ref="L1029:N1029" si="874">D1029</f>
        <v>4.7273798102234217</v>
      </c>
      <c r="M1029" s="7">
        <f t="shared" si="874"/>
        <v>3.4756971216393153</v>
      </c>
      <c r="N1029" s="7">
        <f t="shared" si="874"/>
        <v>2.4240080990005324</v>
      </c>
      <c r="O1029" s="7">
        <f>C1029</f>
        <v>8.6242574608114229</v>
      </c>
      <c r="P1029" s="7">
        <f>G1029</f>
        <v>1.6397534939100344</v>
      </c>
      <c r="R1029" s="7">
        <f t="shared" ref="R1029:W1029" si="875">K1029/$I1029</f>
        <v>4.5680673122008117E-2</v>
      </c>
      <c r="S1029" s="7">
        <f t="shared" si="875"/>
        <v>0.21594989183439689</v>
      </c>
      <c r="T1029" s="7">
        <f t="shared" si="875"/>
        <v>0.15877218408471006</v>
      </c>
      <c r="U1029" s="7">
        <f t="shared" si="875"/>
        <v>0.11073032161554361</v>
      </c>
      <c r="V1029" s="7">
        <f t="shared" si="875"/>
        <v>0.39396188598736631</v>
      </c>
      <c r="W1029" s="7">
        <f t="shared" si="875"/>
        <v>7.4905043355975004E-2</v>
      </c>
      <c r="X1029" s="7">
        <f>SUM(R1029:W1029)</f>
        <v>1</v>
      </c>
    </row>
    <row r="1030" spans="1:24" ht="15.75" customHeight="1" x14ac:dyDescent="0.3">
      <c r="C1030" t="s">
        <v>72</v>
      </c>
      <c r="D1030" t="s">
        <v>69</v>
      </c>
      <c r="E1030" t="s">
        <v>70</v>
      </c>
      <c r="F1030" t="s">
        <v>73</v>
      </c>
      <c r="G1030" t="s">
        <v>68</v>
      </c>
      <c r="H1030" t="s">
        <v>71</v>
      </c>
      <c r="K1030" t="s">
        <v>68</v>
      </c>
      <c r="L1030" t="s">
        <v>69</v>
      </c>
      <c r="M1030" t="s">
        <v>70</v>
      </c>
      <c r="N1030" t="s">
        <v>71</v>
      </c>
      <c r="O1030" t="s">
        <v>72</v>
      </c>
      <c r="P1030" t="s">
        <v>73</v>
      </c>
    </row>
    <row r="1031" spans="1:24" ht="15.75" customHeight="1" x14ac:dyDescent="0.3">
      <c r="A1031">
        <v>515</v>
      </c>
      <c r="B1031" s="16" t="s">
        <v>596</v>
      </c>
      <c r="C1031" s="7">
        <f>Rankings!L524</f>
        <v>10.277639383502249</v>
      </c>
      <c r="D1031" s="7">
        <f>Rankings!M524</f>
        <v>5.6336797850831246</v>
      </c>
      <c r="E1031" s="7">
        <f>Rankings!N524</f>
        <v>4.1420333037140908</v>
      </c>
      <c r="F1031" s="7">
        <f>Rankings!O524</f>
        <v>2.0560565858186979</v>
      </c>
      <c r="G1031" s="7">
        <f>Rankings!P524</f>
        <v>1.2538815092968505</v>
      </c>
      <c r="H1031" s="7">
        <f>Rankings!Q524</f>
        <v>1</v>
      </c>
      <c r="I1031" s="7">
        <f>Rankings!R524</f>
        <v>24.363290567415014</v>
      </c>
      <c r="K1031" s="7">
        <f>G1031</f>
        <v>1.2538815092968505</v>
      </c>
      <c r="L1031" s="7">
        <f t="shared" ref="L1031:M1031" si="876">D1031</f>
        <v>5.6336797850831246</v>
      </c>
      <c r="M1031" s="7">
        <f t="shared" si="876"/>
        <v>4.1420333037140908</v>
      </c>
      <c r="N1031" s="7">
        <f>H1031</f>
        <v>1</v>
      </c>
      <c r="O1031" s="7">
        <f>C1031</f>
        <v>10.277639383502249</v>
      </c>
      <c r="P1031" s="7">
        <f>F1031</f>
        <v>2.0560565858186979</v>
      </c>
      <c r="R1031" s="7">
        <f t="shared" ref="R1031:W1031" si="877">K1031/$I1031</f>
        <v>5.1466016293130371E-2</v>
      </c>
      <c r="S1031" s="7">
        <f t="shared" si="877"/>
        <v>0.23123640747518562</v>
      </c>
      <c r="T1031" s="7">
        <f t="shared" si="877"/>
        <v>0.17001124262146694</v>
      </c>
      <c r="U1031" s="7">
        <f t="shared" si="877"/>
        <v>4.10453586814526E-2</v>
      </c>
      <c r="V1031" s="7">
        <f t="shared" si="877"/>
        <v>0.42184939489447315</v>
      </c>
      <c r="W1031" s="7">
        <f t="shared" si="877"/>
        <v>8.4391580034291272E-2</v>
      </c>
      <c r="X1031" s="7">
        <f>SUM(R1031:W1031)</f>
        <v>0.99999999999999989</v>
      </c>
    </row>
    <row r="1032" spans="1:24" ht="15.75" customHeight="1" x14ac:dyDescent="0.3">
      <c r="C1032" t="s">
        <v>72</v>
      </c>
      <c r="D1032" t="s">
        <v>69</v>
      </c>
      <c r="E1032" t="s">
        <v>70</v>
      </c>
      <c r="F1032" t="s">
        <v>73</v>
      </c>
      <c r="G1032" t="s">
        <v>71</v>
      </c>
      <c r="H1032" t="s">
        <v>68</v>
      </c>
      <c r="K1032" t="s">
        <v>68</v>
      </c>
      <c r="L1032" t="s">
        <v>69</v>
      </c>
      <c r="M1032" t="s">
        <v>70</v>
      </c>
      <c r="N1032" t="s">
        <v>71</v>
      </c>
      <c r="O1032" t="s">
        <v>72</v>
      </c>
      <c r="P1032" t="s">
        <v>73</v>
      </c>
    </row>
    <row r="1033" spans="1:24" ht="15.75" customHeight="1" x14ac:dyDescent="0.3">
      <c r="A1033">
        <v>516</v>
      </c>
      <c r="B1033" s="16" t="s">
        <v>597</v>
      </c>
      <c r="C1033" s="7">
        <f>Rankings!L525</f>
        <v>12.914621496010232</v>
      </c>
      <c r="D1033" s="7">
        <f>Rankings!M525</f>
        <v>7.0791394151134268</v>
      </c>
      <c r="E1033" s="7">
        <f>Rankings!N525</f>
        <v>5.2047742040067435</v>
      </c>
      <c r="F1033" s="7">
        <f>Rankings!O525</f>
        <v>2.5835886616970591</v>
      </c>
      <c r="G1033" s="7">
        <f>Rankings!P525</f>
        <v>2.9131157743633094</v>
      </c>
      <c r="H1033" s="7">
        <f>Rankings!Q525</f>
        <v>1</v>
      </c>
      <c r="I1033" s="7">
        <f>Rankings!R525</f>
        <v>31.69523955119077</v>
      </c>
      <c r="K1033" s="7">
        <f>H1033</f>
        <v>1</v>
      </c>
      <c r="L1033" s="7">
        <f t="shared" ref="L1033:M1033" si="878">D1033</f>
        <v>7.0791394151134268</v>
      </c>
      <c r="M1033" s="7">
        <f t="shared" si="878"/>
        <v>5.2047742040067435</v>
      </c>
      <c r="N1033" s="7">
        <f>G1033</f>
        <v>2.9131157743633094</v>
      </c>
      <c r="O1033" s="7">
        <f>C1033</f>
        <v>12.914621496010232</v>
      </c>
      <c r="P1033" s="7">
        <f>F1033</f>
        <v>2.5835886616970591</v>
      </c>
      <c r="R1033" s="7">
        <f t="shared" ref="R1033:W1033" si="879">K1033/$I1033</f>
        <v>3.1550479319927736E-2</v>
      </c>
      <c r="S1033" s="7">
        <f t="shared" si="879"/>
        <v>0.2233502417194215</v>
      </c>
      <c r="T1033" s="7">
        <f t="shared" si="879"/>
        <v>0.16421312088840809</v>
      </c>
      <c r="U1033" s="7">
        <f t="shared" si="879"/>
        <v>9.1910198995604861E-2</v>
      </c>
      <c r="V1033" s="7">
        <f t="shared" si="879"/>
        <v>0.407462498434565</v>
      </c>
      <c r="W1033" s="7">
        <f t="shared" si="879"/>
        <v>8.1513460642072835E-2</v>
      </c>
      <c r="X1033" s="7">
        <f>SUM(R1033:W1033)</f>
        <v>1</v>
      </c>
    </row>
    <row r="1034" spans="1:24" ht="15.75" customHeight="1" x14ac:dyDescent="0.3">
      <c r="C1034" t="s">
        <v>72</v>
      </c>
      <c r="D1034" t="s">
        <v>69</v>
      </c>
      <c r="E1034" t="s">
        <v>71</v>
      </c>
      <c r="F1034" t="s">
        <v>68</v>
      </c>
      <c r="G1034" t="s">
        <v>70</v>
      </c>
      <c r="H1034" t="s">
        <v>73</v>
      </c>
      <c r="K1034" t="s">
        <v>68</v>
      </c>
      <c r="L1034" t="s">
        <v>69</v>
      </c>
      <c r="M1034" t="s">
        <v>70</v>
      </c>
      <c r="N1034" t="s">
        <v>71</v>
      </c>
      <c r="O1034" t="s">
        <v>72</v>
      </c>
      <c r="P1034" t="s">
        <v>73</v>
      </c>
    </row>
    <row r="1035" spans="1:24" ht="15.75" customHeight="1" x14ac:dyDescent="0.3">
      <c r="A1035">
        <v>517</v>
      </c>
      <c r="B1035" s="16" t="s">
        <v>598</v>
      </c>
      <c r="C1035" s="7">
        <f>Rankings!L526</f>
        <v>10.805430835483588</v>
      </c>
      <c r="D1035" s="7">
        <f>Rankings!M526</f>
        <v>5.9229882461816796</v>
      </c>
      <c r="E1035" s="7">
        <f>Rankings!N526</f>
        <v>6.502889605756156</v>
      </c>
      <c r="F1035" s="7">
        <f>Rankings!O526</f>
        <v>2.2322798369307613</v>
      </c>
      <c r="G1035" s="7">
        <f>Rankings!P526</f>
        <v>2.0145521929129111</v>
      </c>
      <c r="H1035" s="7">
        <f>Rankings!Q526</f>
        <v>1</v>
      </c>
      <c r="I1035" s="7">
        <f>Rankings!R526</f>
        <v>28.478140717265095</v>
      </c>
      <c r="K1035" s="7">
        <f>F1035</f>
        <v>2.2322798369307613</v>
      </c>
      <c r="L1035" s="7">
        <f>D1035</f>
        <v>5.9229882461816796</v>
      </c>
      <c r="M1035" s="7">
        <f>G1035</f>
        <v>2.0145521929129111</v>
      </c>
      <c r="N1035" s="7">
        <f>E1035</f>
        <v>6.502889605756156</v>
      </c>
      <c r="O1035" s="7">
        <f>C1035</f>
        <v>10.805430835483588</v>
      </c>
      <c r="P1035" s="7">
        <f>H1035</f>
        <v>1</v>
      </c>
      <c r="R1035" s="7">
        <f t="shared" ref="R1035:W1035" si="880">K1035/$I1035</f>
        <v>7.8385729570379717E-2</v>
      </c>
      <c r="S1035" s="7">
        <f t="shared" si="880"/>
        <v>0.20798367087886541</v>
      </c>
      <c r="T1035" s="7">
        <f t="shared" si="880"/>
        <v>7.0740299126746467E-2</v>
      </c>
      <c r="U1035" s="7">
        <f t="shared" si="880"/>
        <v>0.22834670529644965</v>
      </c>
      <c r="V1035" s="7">
        <f t="shared" si="880"/>
        <v>0.37942894315894404</v>
      </c>
      <c r="W1035" s="7">
        <f t="shared" si="880"/>
        <v>3.5114651968614727E-2</v>
      </c>
      <c r="X1035" s="7">
        <f>SUM(R1035:W1035)</f>
        <v>1</v>
      </c>
    </row>
    <row r="1036" spans="1:24" ht="15.75" customHeight="1" x14ac:dyDescent="0.3">
      <c r="C1036" t="s">
        <v>72</v>
      </c>
      <c r="D1036" t="s">
        <v>69</v>
      </c>
      <c r="E1036" t="s">
        <v>71</v>
      </c>
      <c r="F1036" t="s">
        <v>68</v>
      </c>
      <c r="G1036" t="s">
        <v>73</v>
      </c>
      <c r="H1036" t="s">
        <v>70</v>
      </c>
      <c r="K1036" t="s">
        <v>68</v>
      </c>
      <c r="L1036" t="s">
        <v>69</v>
      </c>
      <c r="M1036" t="s">
        <v>70</v>
      </c>
      <c r="N1036" t="s">
        <v>71</v>
      </c>
      <c r="O1036" t="s">
        <v>72</v>
      </c>
      <c r="P1036" t="s">
        <v>73</v>
      </c>
    </row>
    <row r="1037" spans="1:24" ht="15.75" customHeight="1" x14ac:dyDescent="0.3">
      <c r="A1037">
        <v>518</v>
      </c>
      <c r="B1037" s="16" t="s">
        <v>599</v>
      </c>
      <c r="C1037" s="7">
        <f>Rankings!L527</f>
        <v>7.8884539688415147</v>
      </c>
      <c r="D1037" s="7">
        <f>Rankings!M527</f>
        <v>4.3240497162372016</v>
      </c>
      <c r="E1037" s="7">
        <f>Rankings!N527</f>
        <v>4.7474039768049288</v>
      </c>
      <c r="F1037" s="7">
        <f>Rankings!O527</f>
        <v>1.6296653976419875</v>
      </c>
      <c r="G1037" s="7">
        <f>Rankings!P527</f>
        <v>1.4032439022773779</v>
      </c>
      <c r="H1037" s="7">
        <f>Rankings!Q527</f>
        <v>1</v>
      </c>
      <c r="I1037" s="7">
        <f>Rankings!R527</f>
        <v>20.992816961803008</v>
      </c>
      <c r="K1037" s="7">
        <f>F1037</f>
        <v>1.6296653976419875</v>
      </c>
      <c r="L1037" s="7">
        <f>D1037</f>
        <v>4.3240497162372016</v>
      </c>
      <c r="M1037" s="7">
        <f>H1037</f>
        <v>1</v>
      </c>
      <c r="N1037" s="7">
        <f>E1037</f>
        <v>4.7474039768049288</v>
      </c>
      <c r="O1037" s="7">
        <f>C1037</f>
        <v>7.8884539688415147</v>
      </c>
      <c r="P1037" s="7">
        <f>G1037</f>
        <v>1.4032439022773779</v>
      </c>
      <c r="R1037" s="7">
        <f t="shared" ref="R1037:W1037" si="881">K1037/$I1037</f>
        <v>7.7629667357516016E-2</v>
      </c>
      <c r="S1037" s="7">
        <f t="shared" si="881"/>
        <v>0.20597758386141915</v>
      </c>
      <c r="T1037" s="7">
        <f t="shared" si="881"/>
        <v>4.7635341260752508E-2</v>
      </c>
      <c r="U1037" s="7">
        <f t="shared" si="881"/>
        <v>0.22614420853775638</v>
      </c>
      <c r="V1037" s="7">
        <f t="shared" si="881"/>
        <v>0.37576919682550308</v>
      </c>
      <c r="W1037" s="7">
        <f t="shared" si="881"/>
        <v>6.684400215705294E-2</v>
      </c>
      <c r="X1037" s="7">
        <f>SUM(R1037:W1037)</f>
        <v>1</v>
      </c>
    </row>
    <row r="1038" spans="1:24" ht="15.75" customHeight="1" x14ac:dyDescent="0.3">
      <c r="C1038" t="s">
        <v>72</v>
      </c>
      <c r="D1038" t="s">
        <v>69</v>
      </c>
      <c r="E1038" t="s">
        <v>71</v>
      </c>
      <c r="F1038" t="s">
        <v>70</v>
      </c>
      <c r="G1038" t="s">
        <v>68</v>
      </c>
      <c r="H1038" t="s">
        <v>73</v>
      </c>
      <c r="K1038" t="s">
        <v>68</v>
      </c>
      <c r="L1038" t="s">
        <v>69</v>
      </c>
      <c r="M1038" t="s">
        <v>70</v>
      </c>
      <c r="N1038" t="s">
        <v>71</v>
      </c>
      <c r="O1038" t="s">
        <v>72</v>
      </c>
      <c r="P1038" t="s">
        <v>73</v>
      </c>
    </row>
    <row r="1039" spans="1:24" ht="15.75" customHeight="1" x14ac:dyDescent="0.3">
      <c r="A1039">
        <v>519</v>
      </c>
      <c r="B1039" s="16" t="s">
        <v>600</v>
      </c>
      <c r="C1039" s="7">
        <f>Rankings!L528</f>
        <v>7.3541845949218656</v>
      </c>
      <c r="D1039" s="7">
        <f>Rankings!M528</f>
        <v>4.0311903874236554</v>
      </c>
      <c r="E1039" s="7">
        <f>Rankings!N528</f>
        <v>4.4258717018560381</v>
      </c>
      <c r="F1039" s="7">
        <f>Rankings!O528</f>
        <v>1.9768416954390056</v>
      </c>
      <c r="G1039" s="7">
        <f>Rankings!P528</f>
        <v>1.1613557664474019</v>
      </c>
      <c r="H1039" s="7">
        <f>Rankings!Q528</f>
        <v>1</v>
      </c>
      <c r="I1039" s="7">
        <f>Rankings!R528</f>
        <v>19.94944414608797</v>
      </c>
      <c r="K1039" s="7">
        <f>G1039</f>
        <v>1.1613557664474019</v>
      </c>
      <c r="L1039" s="7">
        <f>D1039</f>
        <v>4.0311903874236554</v>
      </c>
      <c r="M1039" s="7">
        <f>F1039</f>
        <v>1.9768416954390056</v>
      </c>
      <c r="N1039" s="7">
        <f>E1039</f>
        <v>4.4258717018560381</v>
      </c>
      <c r="O1039" s="7">
        <f>C1039</f>
        <v>7.3541845949218656</v>
      </c>
      <c r="P1039" s="7">
        <f>H1039</f>
        <v>1</v>
      </c>
      <c r="R1039" s="7">
        <f t="shared" ref="R1039:W1039" si="882">K1039/$I1039</f>
        <v>5.8214943631657051E-2</v>
      </c>
      <c r="S1039" s="7">
        <f t="shared" si="882"/>
        <v>0.20207031122790259</v>
      </c>
      <c r="T1039" s="7">
        <f t="shared" si="882"/>
        <v>9.9092570247209549E-2</v>
      </c>
      <c r="U1039" s="7">
        <f t="shared" si="882"/>
        <v>0.22185438699172674</v>
      </c>
      <c r="V1039" s="7">
        <f t="shared" si="882"/>
        <v>0.36864107797028522</v>
      </c>
      <c r="W1039" s="7">
        <f t="shared" si="882"/>
        <v>5.012670993121867E-2</v>
      </c>
      <c r="X1039" s="7">
        <f>SUM(R1039:W1039)</f>
        <v>0.99999999999999989</v>
      </c>
    </row>
    <row r="1040" spans="1:24" ht="15.75" customHeight="1" x14ac:dyDescent="0.3">
      <c r="C1040" t="s">
        <v>72</v>
      </c>
      <c r="D1040" t="s">
        <v>69</v>
      </c>
      <c r="E1040" t="s">
        <v>71</v>
      </c>
      <c r="F1040" t="s">
        <v>70</v>
      </c>
      <c r="G1040" t="s">
        <v>73</v>
      </c>
      <c r="H1040" t="s">
        <v>68</v>
      </c>
      <c r="K1040" t="s">
        <v>68</v>
      </c>
      <c r="L1040" t="s">
        <v>69</v>
      </c>
      <c r="M1040" t="s">
        <v>70</v>
      </c>
      <c r="N1040" t="s">
        <v>71</v>
      </c>
      <c r="O1040" t="s">
        <v>72</v>
      </c>
      <c r="P1040" t="s">
        <v>73</v>
      </c>
    </row>
    <row r="1041" spans="1:24" ht="15.75" customHeight="1" x14ac:dyDescent="0.3">
      <c r="A1041">
        <v>520</v>
      </c>
      <c r="B1041" s="16" t="s">
        <v>601</v>
      </c>
      <c r="C1041" s="7">
        <f>Rankings!L529</f>
        <v>12.289089938298744</v>
      </c>
      <c r="D1041" s="7">
        <f>Rankings!M529</f>
        <v>6.7362547934494694</v>
      </c>
      <c r="E1041" s="7">
        <f>Rankings!N529</f>
        <v>7.3957805515293886</v>
      </c>
      <c r="F1041" s="7">
        <f>Rankings!O529</f>
        <v>3.3033689969930675</v>
      </c>
      <c r="G1041" s="7">
        <f>Rankings!P529</f>
        <v>1.6397534939100344</v>
      </c>
      <c r="H1041" s="7">
        <f>Rankings!Q529</f>
        <v>1</v>
      </c>
      <c r="I1041" s="7">
        <f>Rankings!R529</f>
        <v>32.364247774180704</v>
      </c>
      <c r="K1041" s="7">
        <f>H1041</f>
        <v>1</v>
      </c>
      <c r="L1041" s="7">
        <f>D1041</f>
        <v>6.7362547934494694</v>
      </c>
      <c r="M1041" s="7">
        <f>F1041</f>
        <v>3.3033689969930675</v>
      </c>
      <c r="N1041" s="7">
        <f>E1041</f>
        <v>7.3957805515293886</v>
      </c>
      <c r="O1041" s="7">
        <f>C1041</f>
        <v>12.289089938298744</v>
      </c>
      <c r="P1041" s="7">
        <f>G1041</f>
        <v>1.6397534939100344</v>
      </c>
      <c r="R1041" s="7">
        <f t="shared" ref="R1041:W1041" si="883">K1041/$I1041</f>
        <v>3.0898292677074737E-2</v>
      </c>
      <c r="S1041" s="7">
        <f t="shared" si="883"/>
        <v>0.20813877215534934</v>
      </c>
      <c r="T1041" s="7">
        <f t="shared" si="883"/>
        <v>0.10206846208946661</v>
      </c>
      <c r="U1041" s="7">
        <f t="shared" si="883"/>
        <v>0.22851699205657228</v>
      </c>
      <c r="V1041" s="7">
        <f t="shared" si="883"/>
        <v>0.37971189764844893</v>
      </c>
      <c r="W1041" s="7">
        <f t="shared" si="883"/>
        <v>5.066558337308813E-2</v>
      </c>
      <c r="X1041" s="7">
        <f>SUM(R1041:W1041)</f>
        <v>1</v>
      </c>
    </row>
    <row r="1042" spans="1:24" ht="15.75" customHeight="1" x14ac:dyDescent="0.3">
      <c r="C1042" t="s">
        <v>72</v>
      </c>
      <c r="D1042" t="s">
        <v>69</v>
      </c>
      <c r="E1042" t="s">
        <v>71</v>
      </c>
      <c r="F1042" t="s">
        <v>73</v>
      </c>
      <c r="G1042" t="s">
        <v>68</v>
      </c>
      <c r="H1042" t="s">
        <v>70</v>
      </c>
      <c r="K1042" t="s">
        <v>68</v>
      </c>
      <c r="L1042" t="s">
        <v>69</v>
      </c>
      <c r="M1042" t="s">
        <v>70</v>
      </c>
      <c r="N1042" t="s">
        <v>71</v>
      </c>
      <c r="O1042" t="s">
        <v>72</v>
      </c>
      <c r="P1042" t="s">
        <v>73</v>
      </c>
    </row>
    <row r="1043" spans="1:24" ht="15.75" customHeight="1" x14ac:dyDescent="0.3">
      <c r="A1043">
        <v>521</v>
      </c>
      <c r="B1043" s="16" t="s">
        <v>602</v>
      </c>
      <c r="C1043" s="7">
        <f>Rankings!L530</f>
        <v>4.4631335860738384</v>
      </c>
      <c r="D1043" s="7">
        <f>Rankings!M530</f>
        <v>2.4464630956356457</v>
      </c>
      <c r="E1043" s="7">
        <f>Rankings!N530</f>
        <v>2.6859886891943496</v>
      </c>
      <c r="F1043" s="7">
        <f>Rankings!O530</f>
        <v>1.8169738539756839</v>
      </c>
      <c r="G1043" s="7">
        <f>Rankings!P530</f>
        <v>1.1080774401297739</v>
      </c>
      <c r="H1043" s="7">
        <f>Rankings!Q530</f>
        <v>1</v>
      </c>
      <c r="I1043" s="7">
        <f>Rankings!R530</f>
        <v>13.520636665009292</v>
      </c>
      <c r="K1043" s="7">
        <f>G1043</f>
        <v>1.1080774401297739</v>
      </c>
      <c r="L1043" s="7">
        <f>D1043</f>
        <v>2.4464630956356457</v>
      </c>
      <c r="M1043" s="7">
        <f>H1043</f>
        <v>1</v>
      </c>
      <c r="N1043" s="7">
        <f>E1043</f>
        <v>2.6859886891943496</v>
      </c>
      <c r="O1043" s="7">
        <f>C1043</f>
        <v>4.4631335860738384</v>
      </c>
      <c r="P1043" s="7">
        <f>F1043</f>
        <v>1.8169738539756839</v>
      </c>
      <c r="R1043" s="7">
        <f t="shared" ref="R1043:W1043" si="884">K1043/$I1043</f>
        <v>8.195453125350384E-2</v>
      </c>
      <c r="S1043" s="7">
        <f t="shared" si="884"/>
        <v>0.18094289168844879</v>
      </c>
      <c r="T1043" s="7">
        <f t="shared" si="884"/>
        <v>7.3961014172353901E-2</v>
      </c>
      <c r="U1043" s="7">
        <f t="shared" si="884"/>
        <v>0.19865844750828557</v>
      </c>
      <c r="V1043" s="7">
        <f t="shared" si="884"/>
        <v>0.33009788641271587</v>
      </c>
      <c r="W1043" s="7">
        <f t="shared" si="884"/>
        <v>0.13438522896469204</v>
      </c>
      <c r="X1043" s="7">
        <f>SUM(R1043:W1043)</f>
        <v>1</v>
      </c>
    </row>
    <row r="1044" spans="1:24" ht="15.75" customHeight="1" x14ac:dyDescent="0.3">
      <c r="C1044" t="s">
        <v>72</v>
      </c>
      <c r="D1044" t="s">
        <v>69</v>
      </c>
      <c r="E1044" t="s">
        <v>71</v>
      </c>
      <c r="F1044" t="s">
        <v>73</v>
      </c>
      <c r="G1044" t="s">
        <v>70</v>
      </c>
      <c r="H1044" t="s">
        <v>68</v>
      </c>
      <c r="K1044" t="s">
        <v>68</v>
      </c>
      <c r="L1044" t="s">
        <v>69</v>
      </c>
      <c r="M1044" t="s">
        <v>70</v>
      </c>
      <c r="N1044" t="s">
        <v>71</v>
      </c>
      <c r="O1044" t="s">
        <v>72</v>
      </c>
      <c r="P1044" t="s">
        <v>73</v>
      </c>
    </row>
    <row r="1045" spans="1:24" ht="15.75" customHeight="1" x14ac:dyDescent="0.3">
      <c r="A1045">
        <v>522</v>
      </c>
      <c r="B1045" s="16" t="s">
        <v>603</v>
      </c>
      <c r="C1045" s="7">
        <f>Rankings!L531</f>
        <v>5.8672012295343583</v>
      </c>
      <c r="D1045" s="7">
        <f>Rankings!M531</f>
        <v>3.2161016482929936</v>
      </c>
      <c r="E1045" s="7">
        <f>Rankings!N531</f>
        <v>3.5309801590813823</v>
      </c>
      <c r="F1045" s="7">
        <f>Rankings!O531</f>
        <v>2.3885799124054143</v>
      </c>
      <c r="G1045" s="7">
        <f>Rankings!P531</f>
        <v>1.7021844231989158</v>
      </c>
      <c r="H1045" s="7">
        <f>Rankings!Q531</f>
        <v>1</v>
      </c>
      <c r="I1045" s="7">
        <f>Rankings!R531</f>
        <v>17.705047372513064</v>
      </c>
      <c r="K1045" s="7">
        <f>H1045</f>
        <v>1</v>
      </c>
      <c r="L1045" s="7">
        <f>D1045</f>
        <v>3.2161016482929936</v>
      </c>
      <c r="M1045" s="7">
        <f>G1045</f>
        <v>1.7021844231989158</v>
      </c>
      <c r="N1045" s="7">
        <f>E1045</f>
        <v>3.5309801590813823</v>
      </c>
      <c r="O1045" s="7">
        <f>C1045</f>
        <v>5.8672012295343583</v>
      </c>
      <c r="P1045" s="7">
        <f>F1045</f>
        <v>2.3885799124054143</v>
      </c>
      <c r="R1045" s="7">
        <f t="shared" ref="R1045:W1045" si="885">K1045/$I1045</f>
        <v>5.648106887036583E-2</v>
      </c>
      <c r="S1045" s="7">
        <f t="shared" si="885"/>
        <v>0.18164885869133365</v>
      </c>
      <c r="T1045" s="7">
        <f t="shared" si="885"/>
        <v>9.6141195636761906E-2</v>
      </c>
      <c r="U1045" s="7">
        <f t="shared" si="885"/>
        <v>0.19943353354497084</v>
      </c>
      <c r="V1045" s="7">
        <f t="shared" si="885"/>
        <v>0.33138579672162516</v>
      </c>
      <c r="W1045" s="7">
        <f t="shared" si="885"/>
        <v>0.13490954653494258</v>
      </c>
      <c r="X1045" s="7">
        <f>SUM(R1045:W1045)</f>
        <v>1</v>
      </c>
    </row>
    <row r="1046" spans="1:24" ht="15.75" customHeight="1" x14ac:dyDescent="0.3">
      <c r="C1046" t="s">
        <v>72</v>
      </c>
      <c r="D1046" t="s">
        <v>69</v>
      </c>
      <c r="E1046" t="s">
        <v>73</v>
      </c>
      <c r="F1046" t="s">
        <v>68</v>
      </c>
      <c r="G1046" t="s">
        <v>70</v>
      </c>
      <c r="H1046" t="s">
        <v>71</v>
      </c>
      <c r="K1046" t="s">
        <v>68</v>
      </c>
      <c r="L1046" t="s">
        <v>69</v>
      </c>
      <c r="M1046" t="s">
        <v>70</v>
      </c>
      <c r="N1046" t="s">
        <v>71</v>
      </c>
      <c r="O1046" t="s">
        <v>72</v>
      </c>
      <c r="P1046" t="s">
        <v>73</v>
      </c>
    </row>
    <row r="1047" spans="1:24" ht="15.75" customHeight="1" x14ac:dyDescent="0.3">
      <c r="A1047">
        <v>523</v>
      </c>
      <c r="B1047" s="16" t="s">
        <v>604</v>
      </c>
      <c r="C1047" s="7">
        <f>Rankings!L532</f>
        <v>6.3472732027555825</v>
      </c>
      <c r="D1047" s="7">
        <f>Rankings!M532</f>
        <v>3.4792527153816848</v>
      </c>
      <c r="E1047" s="7">
        <f>Rankings!N532</f>
        <v>2.6052927780897615</v>
      </c>
      <c r="F1047" s="7">
        <f>Rankings!O532</f>
        <v>1.5888319724676261</v>
      </c>
      <c r="G1047" s="7">
        <f>Rankings!P532</f>
        <v>1.4338636587362954</v>
      </c>
      <c r="H1047" s="7">
        <f>Rankings!Q532</f>
        <v>1</v>
      </c>
      <c r="I1047" s="7">
        <f>Rankings!R532</f>
        <v>16.45451432743095</v>
      </c>
      <c r="K1047" s="7">
        <f>F1047</f>
        <v>1.5888319724676261</v>
      </c>
      <c r="L1047" s="7">
        <f>D1047</f>
        <v>3.4792527153816848</v>
      </c>
      <c r="M1047" s="7">
        <f t="shared" ref="M1047:N1047" si="886">G1047</f>
        <v>1.4338636587362954</v>
      </c>
      <c r="N1047" s="7">
        <f t="shared" si="886"/>
        <v>1</v>
      </c>
      <c r="O1047" s="7">
        <f>C1047</f>
        <v>6.3472732027555825</v>
      </c>
      <c r="P1047" s="7">
        <f>E1047</f>
        <v>2.6052927780897615</v>
      </c>
      <c r="R1047" s="7">
        <f t="shared" ref="R1047:W1047" si="887">K1047/$I1047</f>
        <v>9.6559031816510085E-2</v>
      </c>
      <c r="S1047" s="7">
        <f t="shared" si="887"/>
        <v>0.21144669761425294</v>
      </c>
      <c r="T1047" s="7">
        <f t="shared" si="887"/>
        <v>8.7141050182558938E-2</v>
      </c>
      <c r="U1047" s="7">
        <f t="shared" si="887"/>
        <v>6.0773595628582158E-2</v>
      </c>
      <c r="V1047" s="7">
        <f t="shared" si="887"/>
        <v>0.38574661496840335</v>
      </c>
      <c r="W1047" s="7">
        <f t="shared" si="887"/>
        <v>0.15833300978969259</v>
      </c>
      <c r="X1047" s="7">
        <f>SUM(R1047:W1047)</f>
        <v>1.0000000000000002</v>
      </c>
    </row>
    <row r="1048" spans="1:24" ht="15.75" customHeight="1" x14ac:dyDescent="0.3">
      <c r="C1048" t="s">
        <v>72</v>
      </c>
      <c r="D1048" t="s">
        <v>69</v>
      </c>
      <c r="E1048" t="s">
        <v>73</v>
      </c>
      <c r="F1048" t="s">
        <v>68</v>
      </c>
      <c r="G1048" t="s">
        <v>71</v>
      </c>
      <c r="H1048" t="s">
        <v>70</v>
      </c>
      <c r="K1048" t="s">
        <v>68</v>
      </c>
      <c r="L1048" t="s">
        <v>69</v>
      </c>
      <c r="M1048" t="s">
        <v>70</v>
      </c>
      <c r="N1048" t="s">
        <v>71</v>
      </c>
      <c r="O1048" t="s">
        <v>72</v>
      </c>
      <c r="P1048" t="s">
        <v>73</v>
      </c>
    </row>
    <row r="1049" spans="1:24" ht="15.75" customHeight="1" x14ac:dyDescent="0.3">
      <c r="A1049">
        <v>524</v>
      </c>
      <c r="B1049" s="16" t="s">
        <v>605</v>
      </c>
      <c r="C1049" s="7">
        <f>Rankings!L533</f>
        <v>11.214828765904363</v>
      </c>
      <c r="D1049" s="7">
        <f>Rankings!M533</f>
        <v>6.1473993933920665</v>
      </c>
      <c r="E1049" s="7">
        <f>Rankings!N533</f>
        <v>4.6032227474688483</v>
      </c>
      <c r="F1049" s="7">
        <f>Rankings!O533</f>
        <v>2.8072650947627165</v>
      </c>
      <c r="G1049" s="7">
        <f>Rankings!P533</f>
        <v>2.2388599512381115</v>
      </c>
      <c r="H1049" s="7">
        <f>Rankings!Q533</f>
        <v>1</v>
      </c>
      <c r="I1049" s="7">
        <f>Rankings!R533</f>
        <v>28.011575952766105</v>
      </c>
      <c r="K1049" s="7">
        <f>F1049</f>
        <v>2.8072650947627165</v>
      </c>
      <c r="L1049" s="7">
        <f>D1049</f>
        <v>6.1473993933920665</v>
      </c>
      <c r="M1049" s="7">
        <f>H1049</f>
        <v>1</v>
      </c>
      <c r="N1049" s="7">
        <f>G1049</f>
        <v>2.2388599512381115</v>
      </c>
      <c r="O1049" s="7">
        <f>C1049</f>
        <v>11.214828765904363</v>
      </c>
      <c r="P1049" s="7">
        <f>E1049</f>
        <v>4.6032227474688483</v>
      </c>
      <c r="R1049" s="7">
        <f t="shared" ref="R1049:W1049" si="888">K1049/$I1049</f>
        <v>0.10021803484018195</v>
      </c>
      <c r="S1049" s="7">
        <f t="shared" si="888"/>
        <v>0.2194592479822621</v>
      </c>
      <c r="T1049" s="7">
        <f t="shared" si="888"/>
        <v>3.5699526570237519E-2</v>
      </c>
      <c r="U1049" s="7">
        <f t="shared" si="888"/>
        <v>7.9926240316265648E-2</v>
      </c>
      <c r="V1049" s="7">
        <f t="shared" si="888"/>
        <v>0.40036407750906688</v>
      </c>
      <c r="W1049" s="7">
        <f t="shared" si="888"/>
        <v>0.16433287278198591</v>
      </c>
      <c r="X1049" s="7">
        <f>SUM(R1049:W1049)</f>
        <v>1</v>
      </c>
    </row>
    <row r="1050" spans="1:24" ht="15.75" customHeight="1" x14ac:dyDescent="0.3">
      <c r="C1050" t="s">
        <v>72</v>
      </c>
      <c r="D1050" t="s">
        <v>69</v>
      </c>
      <c r="E1050" t="s">
        <v>73</v>
      </c>
      <c r="F1050" t="s">
        <v>70</v>
      </c>
      <c r="G1050" t="s">
        <v>68</v>
      </c>
      <c r="H1050" t="s">
        <v>71</v>
      </c>
      <c r="K1050" t="s">
        <v>68</v>
      </c>
      <c r="L1050" t="s">
        <v>69</v>
      </c>
      <c r="M1050" t="s">
        <v>70</v>
      </c>
      <c r="N1050" t="s">
        <v>71</v>
      </c>
      <c r="O1050" t="s">
        <v>72</v>
      </c>
      <c r="P1050" t="s">
        <v>73</v>
      </c>
    </row>
    <row r="1051" spans="1:24" ht="15.75" customHeight="1" x14ac:dyDescent="0.3">
      <c r="A1051">
        <v>525</v>
      </c>
      <c r="B1051" s="16" t="s">
        <v>606</v>
      </c>
      <c r="C1051" s="7">
        <f>Rankings!L534</f>
        <v>7.2967073763685422</v>
      </c>
      <c r="D1051" s="7">
        <f>Rankings!M534</f>
        <v>3.999684296172151</v>
      </c>
      <c r="E1051" s="7">
        <f>Rankings!N534</f>
        <v>2.99499618564304</v>
      </c>
      <c r="F1051" s="7">
        <f>Rankings!O534</f>
        <v>2.1343375736622456</v>
      </c>
      <c r="G1051" s="7">
        <f>Rankings!P534</f>
        <v>1.2538815092968505</v>
      </c>
      <c r="H1051" s="7">
        <f>Rankings!Q534</f>
        <v>1</v>
      </c>
      <c r="I1051" s="7">
        <f>Rankings!R534</f>
        <v>18.679606941142829</v>
      </c>
      <c r="K1051" s="7">
        <f>G1051</f>
        <v>1.2538815092968505</v>
      </c>
      <c r="L1051" s="7">
        <f>D1051</f>
        <v>3.999684296172151</v>
      </c>
      <c r="M1051" s="7">
        <f>F1051</f>
        <v>2.1343375736622456</v>
      </c>
      <c r="N1051" s="7">
        <f>H1051</f>
        <v>1</v>
      </c>
      <c r="O1051" s="7">
        <f>C1051</f>
        <v>7.2967073763685422</v>
      </c>
      <c r="P1051" s="7">
        <f>E1051</f>
        <v>2.99499618564304</v>
      </c>
      <c r="R1051" s="7">
        <f t="shared" ref="R1051:W1051" si="889">K1051/$I1051</f>
        <v>6.7125690237898411E-2</v>
      </c>
      <c r="S1051" s="7">
        <f t="shared" si="889"/>
        <v>0.21412036713484764</v>
      </c>
      <c r="T1051" s="7">
        <f t="shared" si="889"/>
        <v>0.1142603043194262</v>
      </c>
      <c r="U1051" s="7">
        <f t="shared" si="889"/>
        <v>5.3534317030913894E-2</v>
      </c>
      <c r="V1051" s="7">
        <f t="shared" si="889"/>
        <v>0.39062424596832152</v>
      </c>
      <c r="W1051" s="7">
        <f t="shared" si="889"/>
        <v>0.16033507530859237</v>
      </c>
      <c r="X1051" s="7">
        <f>SUM(R1051:W1051)</f>
        <v>1</v>
      </c>
    </row>
    <row r="1052" spans="1:24" ht="15.75" customHeight="1" x14ac:dyDescent="0.3">
      <c r="C1052" t="s">
        <v>72</v>
      </c>
      <c r="D1052" t="s">
        <v>69</v>
      </c>
      <c r="E1052" t="s">
        <v>73</v>
      </c>
      <c r="F1052" t="s">
        <v>70</v>
      </c>
      <c r="G1052" t="s">
        <v>71</v>
      </c>
      <c r="H1052" t="s">
        <v>68</v>
      </c>
      <c r="K1052" t="s">
        <v>68</v>
      </c>
      <c r="L1052" t="s">
        <v>69</v>
      </c>
      <c r="M1052" t="s">
        <v>70</v>
      </c>
      <c r="N1052" t="s">
        <v>71</v>
      </c>
      <c r="O1052" t="s">
        <v>72</v>
      </c>
      <c r="P1052" t="s">
        <v>73</v>
      </c>
    </row>
    <row r="1053" spans="1:24" ht="15.75" customHeight="1" x14ac:dyDescent="0.3">
      <c r="A1053">
        <v>526</v>
      </c>
      <c r="B1053" s="16" t="s">
        <v>607</v>
      </c>
      <c r="C1053" s="7">
        <f>Rankings!L535</f>
        <v>14.280039953434445</v>
      </c>
      <c r="D1053" s="7">
        <f>Rankings!M535</f>
        <v>7.82759244744281</v>
      </c>
      <c r="E1053" s="7">
        <f>Rankings!N535</f>
        <v>5.8613649945561717</v>
      </c>
      <c r="F1053" s="7">
        <f>Rankings!O535</f>
        <v>4.1770108425509909</v>
      </c>
      <c r="G1053" s="7">
        <f>Rankings!P535</f>
        <v>2.9131157743633094</v>
      </c>
      <c r="H1053" s="7">
        <f>Rankings!Q535</f>
        <v>1</v>
      </c>
      <c r="I1053" s="7">
        <f>Rankings!R535</f>
        <v>36.059124012347731</v>
      </c>
      <c r="K1053" s="7">
        <f>H1053</f>
        <v>1</v>
      </c>
      <c r="L1053" s="7">
        <f>D1053</f>
        <v>7.82759244744281</v>
      </c>
      <c r="M1053" s="7">
        <f t="shared" ref="M1053:N1053" si="890">F1053</f>
        <v>4.1770108425509909</v>
      </c>
      <c r="N1053" s="7">
        <f t="shared" si="890"/>
        <v>2.9131157743633094</v>
      </c>
      <c r="O1053" s="7">
        <f>C1053</f>
        <v>14.280039953434445</v>
      </c>
      <c r="P1053" s="7">
        <f>E1053</f>
        <v>5.8613649945561717</v>
      </c>
      <c r="R1053" s="7">
        <f t="shared" ref="R1053:W1053" si="891">K1053/$I1053</f>
        <v>2.7732232198917808E-2</v>
      </c>
      <c r="S1053" s="7">
        <f t="shared" si="891"/>
        <v>0.21707661131097933</v>
      </c>
      <c r="T1053" s="7">
        <f t="shared" si="891"/>
        <v>0.11583783458302138</v>
      </c>
      <c r="U1053" s="7">
        <f t="shared" si="891"/>
        <v>8.0787203076973554E-2</v>
      </c>
      <c r="V1053" s="7">
        <f t="shared" si="891"/>
        <v>0.39601738379846746</v>
      </c>
      <c r="W1053" s="7">
        <f t="shared" si="891"/>
        <v>0.16254873503164036</v>
      </c>
      <c r="X1053" s="7">
        <f>SUM(R1053:W1053)</f>
        <v>0.99999999999999989</v>
      </c>
    </row>
    <row r="1054" spans="1:24" ht="15.75" customHeight="1" x14ac:dyDescent="0.3">
      <c r="C1054" t="s">
        <v>72</v>
      </c>
      <c r="D1054" t="s">
        <v>69</v>
      </c>
      <c r="E1054" t="s">
        <v>73</v>
      </c>
      <c r="F1054" t="s">
        <v>71</v>
      </c>
      <c r="G1054" t="s">
        <v>68</v>
      </c>
      <c r="H1054" t="s">
        <v>70</v>
      </c>
      <c r="K1054" t="s">
        <v>68</v>
      </c>
      <c r="L1054" t="s">
        <v>69</v>
      </c>
      <c r="M1054" t="s">
        <v>70</v>
      </c>
      <c r="N1054" t="s">
        <v>71</v>
      </c>
      <c r="O1054" t="s">
        <v>72</v>
      </c>
      <c r="P1054" t="s">
        <v>73</v>
      </c>
    </row>
    <row r="1055" spans="1:24" ht="15.75" customHeight="1" x14ac:dyDescent="0.3">
      <c r="A1055">
        <v>527</v>
      </c>
      <c r="B1055" s="16" t="s">
        <v>608</v>
      </c>
      <c r="C1055" s="7">
        <f>Rankings!L536</f>
        <v>6.9746776276009745</v>
      </c>
      <c r="D1055" s="7">
        <f>Rankings!M536</f>
        <v>3.8231639476629953</v>
      </c>
      <c r="E1055" s="7">
        <f>Rankings!N536</f>
        <v>2.8628163106015858</v>
      </c>
      <c r="F1055" s="7">
        <f>Rankings!O536</f>
        <v>3.2279578700581602</v>
      </c>
      <c r="G1055" s="7">
        <f>Rankings!P536</f>
        <v>1.1080774401297739</v>
      </c>
      <c r="H1055" s="7">
        <f>Rankings!Q536</f>
        <v>1</v>
      </c>
      <c r="I1055" s="7">
        <f>Rankings!R536</f>
        <v>18.996693196053489</v>
      </c>
      <c r="K1055" s="7">
        <f>G1055</f>
        <v>1.1080774401297739</v>
      </c>
      <c r="L1055" s="7">
        <f>D1055</f>
        <v>3.8231639476629953</v>
      </c>
      <c r="M1055" s="7">
        <f>H1055</f>
        <v>1</v>
      </c>
      <c r="N1055" s="7">
        <f>F1055</f>
        <v>3.2279578700581602</v>
      </c>
      <c r="O1055" s="7">
        <f>C1055</f>
        <v>6.9746776276009745</v>
      </c>
      <c r="P1055" s="7">
        <f>E1055</f>
        <v>2.8628163106015858</v>
      </c>
      <c r="R1055" s="7">
        <f t="shared" ref="R1055:W1055" si="892">K1055/$I1055</f>
        <v>5.8330017161090646E-2</v>
      </c>
      <c r="S1055" s="7">
        <f t="shared" si="892"/>
        <v>0.20125418188346839</v>
      </c>
      <c r="T1055" s="7">
        <f t="shared" si="892"/>
        <v>5.2640740663630198E-2</v>
      </c>
      <c r="U1055" s="7">
        <f t="shared" si="892"/>
        <v>0.16992209311085571</v>
      </c>
      <c r="V1055" s="7">
        <f t="shared" si="892"/>
        <v>0.36715219620696643</v>
      </c>
      <c r="W1055" s="7">
        <f t="shared" si="892"/>
        <v>0.15070077097398868</v>
      </c>
      <c r="X1055" s="7">
        <f>SUM(R1055:W1055)</f>
        <v>1</v>
      </c>
    </row>
    <row r="1056" spans="1:24" ht="15.75" customHeight="1" x14ac:dyDescent="0.3">
      <c r="C1056" t="s">
        <v>72</v>
      </c>
      <c r="D1056" t="s">
        <v>69</v>
      </c>
      <c r="E1056" t="s">
        <v>73</v>
      </c>
      <c r="F1056" t="s">
        <v>71</v>
      </c>
      <c r="G1056" t="s">
        <v>70</v>
      </c>
      <c r="H1056" t="s">
        <v>68</v>
      </c>
      <c r="K1056" t="s">
        <v>68</v>
      </c>
      <c r="L1056" t="s">
        <v>69</v>
      </c>
      <c r="M1056" t="s">
        <v>70</v>
      </c>
      <c r="N1056" t="s">
        <v>71</v>
      </c>
      <c r="O1056" t="s">
        <v>72</v>
      </c>
      <c r="P1056" t="s">
        <v>73</v>
      </c>
    </row>
    <row r="1057" spans="1:24" ht="15.75" customHeight="1" x14ac:dyDescent="0.3">
      <c r="A1057">
        <v>528</v>
      </c>
      <c r="B1057" s="16" t="s">
        <v>609</v>
      </c>
      <c r="C1057" s="7">
        <f>Rankings!L537</f>
        <v>8.2343594476007365</v>
      </c>
      <c r="D1057" s="7">
        <f>Rankings!M537</f>
        <v>4.5136575269922101</v>
      </c>
      <c r="E1057" s="7">
        <f>Rankings!N537</f>
        <v>3.3798635281235256</v>
      </c>
      <c r="F1057" s="7">
        <f>Rankings!O537</f>
        <v>3.8109525347213977</v>
      </c>
      <c r="G1057" s="7">
        <f>Rankings!P537</f>
        <v>1.7021844231989158</v>
      </c>
      <c r="H1057" s="7">
        <f>Rankings!Q537</f>
        <v>1</v>
      </c>
      <c r="I1057" s="7">
        <f>Rankings!R537</f>
        <v>22.641017460636785</v>
      </c>
      <c r="K1057" s="7">
        <f>H1057</f>
        <v>1</v>
      </c>
      <c r="L1057" s="7">
        <f>D1057</f>
        <v>4.5136575269922101</v>
      </c>
      <c r="M1057" s="7">
        <f>G1057</f>
        <v>1.7021844231989158</v>
      </c>
      <c r="N1057" s="7">
        <f>F1057</f>
        <v>3.8109525347213977</v>
      </c>
      <c r="O1057" s="7">
        <f>C1057</f>
        <v>8.2343594476007365</v>
      </c>
      <c r="P1057" s="7">
        <f>E1057</f>
        <v>3.3798635281235256</v>
      </c>
      <c r="R1057" s="7">
        <f t="shared" ref="R1057:W1057" si="893">K1057/$I1057</f>
        <v>4.4167626377152873E-2</v>
      </c>
      <c r="S1057" s="7">
        <f t="shared" si="893"/>
        <v>0.19935753924661573</v>
      </c>
      <c r="T1057" s="7">
        <f t="shared" si="893"/>
        <v>7.5181445628859186E-2</v>
      </c>
      <c r="U1057" s="7">
        <f t="shared" si="893"/>
        <v>0.16832072769463841</v>
      </c>
      <c r="V1057" s="7">
        <f t="shared" si="893"/>
        <v>0.36369211153680825</v>
      </c>
      <c r="W1057" s="7">
        <f t="shared" si="893"/>
        <v>0.14928054951592559</v>
      </c>
      <c r="X1057" s="7">
        <f>SUM(R1057:W1057)</f>
        <v>1</v>
      </c>
    </row>
    <row r="1058" spans="1:24" ht="15.75" customHeight="1" x14ac:dyDescent="0.3">
      <c r="C1058" t="s">
        <v>72</v>
      </c>
      <c r="D1058" t="s">
        <v>70</v>
      </c>
      <c r="E1058" t="s">
        <v>68</v>
      </c>
      <c r="F1058" t="s">
        <v>69</v>
      </c>
      <c r="G1058" t="s">
        <v>71</v>
      </c>
      <c r="H1058" t="s">
        <v>73</v>
      </c>
      <c r="K1058" t="s">
        <v>68</v>
      </c>
      <c r="L1058" t="s">
        <v>69</v>
      </c>
      <c r="M1058" t="s">
        <v>70</v>
      </c>
      <c r="N1058" t="s">
        <v>71</v>
      </c>
      <c r="O1058" t="s">
        <v>72</v>
      </c>
      <c r="P1058" t="s">
        <v>73</v>
      </c>
    </row>
    <row r="1059" spans="1:24" ht="15.75" customHeight="1" x14ac:dyDescent="0.3">
      <c r="A1059">
        <v>529</v>
      </c>
      <c r="B1059" s="16" t="s">
        <v>610</v>
      </c>
      <c r="C1059" s="7">
        <f>Rankings!L538</f>
        <v>7.4100507102434623</v>
      </c>
      <c r="D1059" s="7">
        <f>Rankings!M538</f>
        <v>3.7526146167566878</v>
      </c>
      <c r="E1059" s="7">
        <f>Rankings!N538</f>
        <v>2.2045875673708717</v>
      </c>
      <c r="F1059" s="7">
        <f>Rankings!O538</f>
        <v>1.3464492569788988</v>
      </c>
      <c r="G1059" s="7">
        <f>Rankings!P538</f>
        <v>1.478275916473532</v>
      </c>
      <c r="H1059" s="7">
        <f>Rankings!Q538</f>
        <v>1</v>
      </c>
      <c r="I1059" s="7">
        <f>Rankings!R538</f>
        <v>17.191978067823452</v>
      </c>
      <c r="K1059" s="7">
        <f t="shared" ref="K1059:L1059" si="894">E1059</f>
        <v>2.2045875673708717</v>
      </c>
      <c r="L1059" s="7">
        <f t="shared" si="894"/>
        <v>1.3464492569788988</v>
      </c>
      <c r="M1059" s="7">
        <f>D1059</f>
        <v>3.7526146167566878</v>
      </c>
      <c r="N1059" s="7">
        <f>G1059</f>
        <v>1.478275916473532</v>
      </c>
      <c r="O1059" s="7">
        <f>C1059</f>
        <v>7.4100507102434623</v>
      </c>
      <c r="P1059" s="7">
        <f>H1059</f>
        <v>1</v>
      </c>
      <c r="R1059" s="7">
        <f t="shared" ref="R1059:W1059" si="895">K1059/$I1059</f>
        <v>0.128233502780985</v>
      </c>
      <c r="S1059" s="7">
        <f t="shared" si="895"/>
        <v>7.8318460602210552E-2</v>
      </c>
      <c r="T1059" s="7">
        <f t="shared" si="895"/>
        <v>0.2182770709660275</v>
      </c>
      <c r="U1059" s="7">
        <f t="shared" si="895"/>
        <v>8.5986377521053078E-2</v>
      </c>
      <c r="V1059" s="7">
        <f t="shared" si="895"/>
        <v>0.43101792481413942</v>
      </c>
      <c r="W1059" s="7">
        <f t="shared" si="895"/>
        <v>5.8166663315584517E-2</v>
      </c>
      <c r="X1059" s="7">
        <f>SUM(R1059:W1059)</f>
        <v>1.0000000000000002</v>
      </c>
    </row>
    <row r="1060" spans="1:24" ht="15.75" customHeight="1" x14ac:dyDescent="0.3">
      <c r="C1060" t="s">
        <v>72</v>
      </c>
      <c r="D1060" t="s">
        <v>70</v>
      </c>
      <c r="E1060" t="s">
        <v>68</v>
      </c>
      <c r="F1060" t="s">
        <v>69</v>
      </c>
      <c r="G1060" t="s">
        <v>73</v>
      </c>
      <c r="H1060" t="s">
        <v>71</v>
      </c>
      <c r="K1060" t="s">
        <v>68</v>
      </c>
      <c r="L1060" t="s">
        <v>69</v>
      </c>
      <c r="M1060" t="s">
        <v>70</v>
      </c>
      <c r="N1060" t="s">
        <v>71</v>
      </c>
      <c r="O1060" t="s">
        <v>72</v>
      </c>
      <c r="P1060" t="s">
        <v>73</v>
      </c>
    </row>
    <row r="1061" spans="1:24" ht="15.75" customHeight="1" x14ac:dyDescent="0.3">
      <c r="A1061">
        <v>530</v>
      </c>
      <c r="B1061" s="16" t="s">
        <v>611</v>
      </c>
      <c r="C1061" s="7">
        <f>Rankings!L539</f>
        <v>6.5181785588797343</v>
      </c>
      <c r="D1061" s="7">
        <f>Rankings!M539</f>
        <v>3.3009507075125639</v>
      </c>
      <c r="E1061" s="7">
        <f>Rankings!N539</f>
        <v>1.9392438695385814</v>
      </c>
      <c r="F1061" s="7">
        <f>Rankings!O539</f>
        <v>1.1843909064383518</v>
      </c>
      <c r="G1061" s="7">
        <f>Rankings!P539</f>
        <v>0.88688155974910687</v>
      </c>
      <c r="H1061" s="7">
        <f>Rankings!Q539</f>
        <v>1</v>
      </c>
      <c r="I1061" s="7">
        <f>Rankings!R539</f>
        <v>14.829645602118338</v>
      </c>
      <c r="K1061" s="7">
        <f t="shared" ref="K1061:L1061" si="896">E1061</f>
        <v>1.9392438695385814</v>
      </c>
      <c r="L1061" s="7">
        <f t="shared" si="896"/>
        <v>1.1843909064383518</v>
      </c>
      <c r="M1061" s="7">
        <f>D1061</f>
        <v>3.3009507075125639</v>
      </c>
      <c r="N1061" s="7">
        <f>H1061</f>
        <v>1</v>
      </c>
      <c r="O1061" s="7">
        <f>C1061</f>
        <v>6.5181785588797343</v>
      </c>
      <c r="P1061" s="7">
        <f>G1061</f>
        <v>0.88688155974910687</v>
      </c>
      <c r="R1061" s="7">
        <f t="shared" ref="R1061:W1061" si="897">K1061/$I1061</f>
        <v>0.13076805215504073</v>
      </c>
      <c r="S1061" s="7">
        <f t="shared" si="897"/>
        <v>7.9866433643509843E-2</v>
      </c>
      <c r="T1061" s="7">
        <f t="shared" si="897"/>
        <v>0.22259134143037376</v>
      </c>
      <c r="U1061" s="7">
        <f t="shared" si="897"/>
        <v>6.7432494803325249E-2</v>
      </c>
      <c r="V1061" s="7">
        <f t="shared" si="897"/>
        <v>0.43953704179880376</v>
      </c>
      <c r="W1061" s="7">
        <f t="shared" si="897"/>
        <v>5.9804636168946643E-2</v>
      </c>
      <c r="X1061" s="7">
        <f>SUM(R1061:W1061)</f>
        <v>1</v>
      </c>
    </row>
    <row r="1062" spans="1:24" ht="15.75" customHeight="1" x14ac:dyDescent="0.3">
      <c r="C1062" t="s">
        <v>72</v>
      </c>
      <c r="D1062" t="s">
        <v>70</v>
      </c>
      <c r="E1062" t="s">
        <v>68</v>
      </c>
      <c r="F1062" t="s">
        <v>71</v>
      </c>
      <c r="G1062" t="s">
        <v>69</v>
      </c>
      <c r="H1062" t="s">
        <v>73</v>
      </c>
      <c r="K1062" t="s">
        <v>68</v>
      </c>
      <c r="L1062" t="s">
        <v>69</v>
      </c>
      <c r="M1062" t="s">
        <v>70</v>
      </c>
      <c r="N1062" t="s">
        <v>71</v>
      </c>
      <c r="O1062" t="s">
        <v>72</v>
      </c>
      <c r="P1062" t="s">
        <v>73</v>
      </c>
    </row>
    <row r="1063" spans="1:24" ht="15.75" customHeight="1" x14ac:dyDescent="0.3">
      <c r="A1063">
        <v>531</v>
      </c>
      <c r="B1063" s="16" t="s">
        <v>612</v>
      </c>
      <c r="C1063" s="7">
        <f>Rankings!L540</f>
        <v>8.0914915388921074</v>
      </c>
      <c r="D1063" s="7">
        <f>Rankings!M540</f>
        <v>4.097711420278789</v>
      </c>
      <c r="E1063" s="7">
        <f>Rankings!N540</f>
        <v>2.4073251784186569</v>
      </c>
      <c r="F1063" s="7">
        <f>Rankings!O540</f>
        <v>1.9198984597584763</v>
      </c>
      <c r="G1063" s="7">
        <f>Rankings!P540</f>
        <v>1.3354555559520354</v>
      </c>
      <c r="H1063" s="7">
        <f>Rankings!Q540</f>
        <v>1</v>
      </c>
      <c r="I1063" s="7">
        <f>Rankings!R540</f>
        <v>18.85188215330006</v>
      </c>
      <c r="K1063" s="7">
        <f>E1063</f>
        <v>2.4073251784186569</v>
      </c>
      <c r="L1063" s="7">
        <f>G1063</f>
        <v>1.3354555559520354</v>
      </c>
      <c r="M1063" s="7">
        <f>D1063</f>
        <v>4.097711420278789</v>
      </c>
      <c r="N1063" s="7">
        <f>F1063</f>
        <v>1.9198984597584763</v>
      </c>
      <c r="O1063" s="7">
        <f>C1063</f>
        <v>8.0914915388921074</v>
      </c>
      <c r="P1063" s="7">
        <f>H1063</f>
        <v>1</v>
      </c>
      <c r="R1063" s="7">
        <f t="shared" ref="R1063:W1063" si="898">K1063/$I1063</f>
        <v>0.12769680814057335</v>
      </c>
      <c r="S1063" s="7">
        <f t="shared" si="898"/>
        <v>7.0839375352145476E-2</v>
      </c>
      <c r="T1063" s="7">
        <f t="shared" si="898"/>
        <v>0.2173635177091045</v>
      </c>
      <c r="U1063" s="7">
        <f t="shared" si="898"/>
        <v>0.10184120843458562</v>
      </c>
      <c r="V1063" s="7">
        <f t="shared" si="898"/>
        <v>0.42921398898495</v>
      </c>
      <c r="W1063" s="7">
        <f t="shared" si="898"/>
        <v>5.3045101378641282E-2</v>
      </c>
      <c r="X1063" s="7">
        <f>SUM(R1063:W1063)</f>
        <v>1.0000000000000002</v>
      </c>
    </row>
    <row r="1064" spans="1:24" ht="15.75" customHeight="1" x14ac:dyDescent="0.3">
      <c r="C1064" t="s">
        <v>72</v>
      </c>
      <c r="D1064" t="s">
        <v>70</v>
      </c>
      <c r="E1064" t="s">
        <v>68</v>
      </c>
      <c r="F1064" t="s">
        <v>71</v>
      </c>
      <c r="G1064" t="s">
        <v>73</v>
      </c>
      <c r="H1064" t="s">
        <v>69</v>
      </c>
      <c r="K1064" t="s">
        <v>68</v>
      </c>
      <c r="L1064" t="s">
        <v>69</v>
      </c>
      <c r="M1064" t="s">
        <v>70</v>
      </c>
      <c r="N1064" t="s">
        <v>71</v>
      </c>
      <c r="O1064" t="s">
        <v>72</v>
      </c>
      <c r="P1064" t="s">
        <v>73</v>
      </c>
    </row>
    <row r="1065" spans="1:24" ht="15.75" customHeight="1" x14ac:dyDescent="0.3">
      <c r="A1065">
        <v>532</v>
      </c>
      <c r="B1065" s="16" t="s">
        <v>613</v>
      </c>
      <c r="C1065" s="7">
        <f>Rankings!L541</f>
        <v>7.7375659040227234</v>
      </c>
      <c r="D1065" s="7">
        <f>Rankings!M541</f>
        <v>3.9184756009044706</v>
      </c>
      <c r="E1065" s="7">
        <f>Rankings!N541</f>
        <v>2.3020276460646238</v>
      </c>
      <c r="F1065" s="7">
        <f>Rankings!O541</f>
        <v>1.8359212006847052</v>
      </c>
      <c r="G1065" s="7">
        <f>Rankings!P541</f>
        <v>1.2419340531937677</v>
      </c>
      <c r="H1065" s="7">
        <f>Rankings!Q541</f>
        <v>1</v>
      </c>
      <c r="I1065" s="7">
        <f>Rankings!R541</f>
        <v>18.03592440487029</v>
      </c>
      <c r="K1065" s="7">
        <f>E1065</f>
        <v>2.3020276460646238</v>
      </c>
      <c r="L1065" s="7">
        <f>H1065</f>
        <v>1</v>
      </c>
      <c r="M1065" s="7">
        <f>D1065</f>
        <v>3.9184756009044706</v>
      </c>
      <c r="N1065" s="7">
        <f>F1065</f>
        <v>1.8359212006847052</v>
      </c>
      <c r="O1065" s="7">
        <f>C1065</f>
        <v>7.7375659040227234</v>
      </c>
      <c r="P1065" s="7">
        <f>G1065</f>
        <v>1.2419340531937677</v>
      </c>
      <c r="R1065" s="7">
        <f t="shared" ref="R1065:W1065" si="899">K1065/$I1065</f>
        <v>0.12763568943785333</v>
      </c>
      <c r="S1065" s="7">
        <f t="shared" si="899"/>
        <v>5.5444898611904096E-2</v>
      </c>
      <c r="T1065" s="7">
        <f t="shared" si="899"/>
        <v>0.21725948240536835</v>
      </c>
      <c r="U1065" s="7">
        <f t="shared" si="899"/>
        <v>0.10179246483140872</v>
      </c>
      <c r="V1065" s="7">
        <f t="shared" si="899"/>
        <v>0.42900855705146596</v>
      </c>
      <c r="W1065" s="7">
        <f t="shared" si="899"/>
        <v>6.8858907661999563E-2</v>
      </c>
      <c r="X1065" s="7">
        <f>SUM(R1065:W1065)</f>
        <v>0.99999999999999989</v>
      </c>
    </row>
    <row r="1066" spans="1:24" ht="15.75" customHeight="1" x14ac:dyDescent="0.3">
      <c r="C1066" t="s">
        <v>72</v>
      </c>
      <c r="D1066" t="s">
        <v>70</v>
      </c>
      <c r="E1066" t="s">
        <v>68</v>
      </c>
      <c r="F1066" t="s">
        <v>73</v>
      </c>
      <c r="G1066" t="s">
        <v>69</v>
      </c>
      <c r="H1066" t="s">
        <v>71</v>
      </c>
      <c r="K1066" t="s">
        <v>68</v>
      </c>
      <c r="L1066" t="s">
        <v>69</v>
      </c>
      <c r="M1066" t="s">
        <v>70</v>
      </c>
      <c r="N1066" t="s">
        <v>71</v>
      </c>
      <c r="O1066" t="s">
        <v>72</v>
      </c>
      <c r="P1066" t="s">
        <v>73</v>
      </c>
    </row>
    <row r="1067" spans="1:24" ht="15.75" customHeight="1" x14ac:dyDescent="0.3">
      <c r="A1067">
        <v>533</v>
      </c>
      <c r="B1067" s="16" t="s">
        <v>614</v>
      </c>
      <c r="C1067" s="7">
        <f>Rankings!L542</f>
        <v>4.4156244719793953</v>
      </c>
      <c r="D1067" s="7">
        <f>Rankings!M542</f>
        <v>2.2361705180711215</v>
      </c>
      <c r="E1067" s="7">
        <f>Rankings!N542</f>
        <v>1.3137063690599906</v>
      </c>
      <c r="F1067" s="7">
        <f>Rankings!O542</f>
        <v>1.1311834039268005</v>
      </c>
      <c r="G1067" s="7">
        <f>Rankings!P542</f>
        <v>0.9108240498099236</v>
      </c>
      <c r="H1067" s="7">
        <f>Rankings!Q542</f>
        <v>1</v>
      </c>
      <c r="I1067" s="7">
        <f>Rankings!R542</f>
        <v>11.007508812847231</v>
      </c>
      <c r="K1067" s="7">
        <f>E1067</f>
        <v>1.3137063690599906</v>
      </c>
      <c r="L1067" s="7">
        <f>G1067</f>
        <v>0.9108240498099236</v>
      </c>
      <c r="M1067" s="7">
        <f>D1067</f>
        <v>2.2361705180711215</v>
      </c>
      <c r="N1067" s="7">
        <f>H1067</f>
        <v>1</v>
      </c>
      <c r="O1067" s="7">
        <f>C1067</f>
        <v>4.4156244719793953</v>
      </c>
      <c r="P1067" s="7">
        <f>F1067</f>
        <v>1.1311834039268005</v>
      </c>
      <c r="R1067" s="7">
        <f t="shared" ref="R1067:W1067" si="900">K1067/$I1067</f>
        <v>0.11934638358197089</v>
      </c>
      <c r="S1067" s="7">
        <f t="shared" si="900"/>
        <v>8.2745702528702086E-2</v>
      </c>
      <c r="T1067" s="7">
        <f t="shared" si="900"/>
        <v>0.20314955509835361</v>
      </c>
      <c r="U1067" s="7">
        <f t="shared" si="900"/>
        <v>9.0847076936505983E-2</v>
      </c>
      <c r="V1067" s="7">
        <f t="shared" si="900"/>
        <v>0.40114657612863075</v>
      </c>
      <c r="W1067" s="7">
        <f t="shared" si="900"/>
        <v>0.10276470572583676</v>
      </c>
      <c r="X1067" s="7">
        <f>SUM(R1067:W1067)</f>
        <v>1</v>
      </c>
    </row>
    <row r="1068" spans="1:24" ht="15.75" customHeight="1" x14ac:dyDescent="0.3">
      <c r="C1068" t="s">
        <v>72</v>
      </c>
      <c r="D1068" t="s">
        <v>70</v>
      </c>
      <c r="E1068" t="s">
        <v>68</v>
      </c>
      <c r="F1068" t="s">
        <v>73</v>
      </c>
      <c r="G1068" t="s">
        <v>71</v>
      </c>
      <c r="H1068" t="s">
        <v>69</v>
      </c>
      <c r="K1068" t="s">
        <v>68</v>
      </c>
      <c r="L1068" t="s">
        <v>69</v>
      </c>
      <c r="M1068" t="s">
        <v>70</v>
      </c>
      <c r="N1068" t="s">
        <v>71</v>
      </c>
      <c r="O1068" t="s">
        <v>72</v>
      </c>
      <c r="P1068" t="s">
        <v>73</v>
      </c>
    </row>
    <row r="1069" spans="1:24" ht="15.75" customHeight="1" x14ac:dyDescent="0.3">
      <c r="A1069">
        <v>534</v>
      </c>
      <c r="B1069" s="16" t="s">
        <v>615</v>
      </c>
      <c r="C1069" s="7">
        <f>Rankings!L543</f>
        <v>4.9770677524349569</v>
      </c>
      <c r="D1069" s="7">
        <f>Rankings!M543</f>
        <v>2.5204978922151167</v>
      </c>
      <c r="E1069" s="7">
        <f>Rankings!N543</f>
        <v>1.4807431309225263</v>
      </c>
      <c r="F1069" s="7">
        <f>Rankings!O543</f>
        <v>1.2750125101217977</v>
      </c>
      <c r="G1069" s="7">
        <f>Rankings!P543</f>
        <v>1.4376356077157479</v>
      </c>
      <c r="H1069" s="7">
        <f>Rankings!Q543</f>
        <v>1</v>
      </c>
      <c r="I1069" s="7">
        <f>Rankings!R543</f>
        <v>12.690956893410146</v>
      </c>
      <c r="K1069" s="7">
        <f>E1069</f>
        <v>1.4807431309225263</v>
      </c>
      <c r="L1069" s="7">
        <f>H1069</f>
        <v>1</v>
      </c>
      <c r="M1069" s="7">
        <f>D1069</f>
        <v>2.5204978922151167</v>
      </c>
      <c r="N1069" s="7">
        <f>G1069</f>
        <v>1.4376356077157479</v>
      </c>
      <c r="O1069" s="7">
        <f>C1069</f>
        <v>4.9770677524349569</v>
      </c>
      <c r="P1069" s="7">
        <f>F1069</f>
        <v>1.2750125101217977</v>
      </c>
      <c r="R1069" s="7">
        <f t="shared" ref="R1069:W1069" si="901">K1069/$I1069</f>
        <v>0.11667702785212444</v>
      </c>
      <c r="S1069" s="7">
        <f t="shared" si="901"/>
        <v>7.8796264804843516E-2</v>
      </c>
      <c r="T1069" s="7">
        <f t="shared" si="901"/>
        <v>0.19860581935503224</v>
      </c>
      <c r="U1069" s="7">
        <f t="shared" si="901"/>
        <v>0.1132803160384422</v>
      </c>
      <c r="V1069" s="7">
        <f t="shared" si="901"/>
        <v>0.39217434857251221</v>
      </c>
      <c r="W1069" s="7">
        <f t="shared" si="901"/>
        <v>0.10046622337704539</v>
      </c>
      <c r="X1069" s="7">
        <f>SUM(R1069:W1069)</f>
        <v>1</v>
      </c>
    </row>
    <row r="1070" spans="1:24" ht="15.75" customHeight="1" x14ac:dyDescent="0.3">
      <c r="C1070" t="s">
        <v>72</v>
      </c>
      <c r="D1070" t="s">
        <v>70</v>
      </c>
      <c r="E1070" t="s">
        <v>69</v>
      </c>
      <c r="F1070" t="s">
        <v>68</v>
      </c>
      <c r="G1070" t="s">
        <v>71</v>
      </c>
      <c r="H1070" t="s">
        <v>73</v>
      </c>
      <c r="K1070" t="s">
        <v>68</v>
      </c>
      <c r="L1070" t="s">
        <v>69</v>
      </c>
      <c r="M1070" t="s">
        <v>70</v>
      </c>
      <c r="N1070" t="s">
        <v>71</v>
      </c>
      <c r="O1070" t="s">
        <v>72</v>
      </c>
      <c r="P1070" t="s">
        <v>73</v>
      </c>
    </row>
    <row r="1071" spans="1:24" ht="15.75" customHeight="1" x14ac:dyDescent="0.3">
      <c r="A1071">
        <v>535</v>
      </c>
      <c r="B1071" s="16" t="s">
        <v>616</v>
      </c>
      <c r="C1071" s="7">
        <f>Rankings!L544</f>
        <v>9.6132025985827365</v>
      </c>
      <c r="D1071" s="7">
        <f>Rankings!M544</f>
        <v>4.8683397720094268</v>
      </c>
      <c r="E1071" s="7">
        <f>Rankings!N544</f>
        <v>3.2326664592175653</v>
      </c>
      <c r="F1071" s="7">
        <f>Rankings!O544</f>
        <v>1.8535828373050172</v>
      </c>
      <c r="G1071" s="7">
        <f>Rankings!P544</f>
        <v>1.478275916473532</v>
      </c>
      <c r="H1071" s="7">
        <f>Rankings!Q544</f>
        <v>1</v>
      </c>
      <c r="I1071" s="7">
        <f>Rankings!R544</f>
        <v>22.046067583588275</v>
      </c>
      <c r="K1071" s="7">
        <f>F1071</f>
        <v>1.8535828373050172</v>
      </c>
      <c r="L1071" s="7">
        <f>E1071</f>
        <v>3.2326664592175653</v>
      </c>
      <c r="M1071" s="7">
        <f>D1071</f>
        <v>4.8683397720094268</v>
      </c>
      <c r="N1071" s="7">
        <f>G1071</f>
        <v>1.478275916473532</v>
      </c>
      <c r="O1071" s="7">
        <f>C1071</f>
        <v>9.6132025985827365</v>
      </c>
      <c r="P1071" s="7">
        <f>H1071</f>
        <v>1</v>
      </c>
      <c r="R1071" s="7">
        <f t="shared" ref="R1071:W1071" si="902">K1071/$I1071</f>
        <v>8.4077708202476772E-2</v>
      </c>
      <c r="S1071" s="7">
        <f t="shared" si="902"/>
        <v>0.14663233916710183</v>
      </c>
      <c r="T1071" s="7">
        <f t="shared" si="902"/>
        <v>0.22082576647971261</v>
      </c>
      <c r="U1071" s="7">
        <f t="shared" si="902"/>
        <v>6.7053950137302629E-2</v>
      </c>
      <c r="V1071" s="7">
        <f t="shared" si="902"/>
        <v>0.43605067262603697</v>
      </c>
      <c r="W1071" s="7">
        <f t="shared" si="902"/>
        <v>4.5359563387369302E-2</v>
      </c>
      <c r="X1071" s="7">
        <f>SUM(R1071:W1071)</f>
        <v>1.0000000000000002</v>
      </c>
    </row>
    <row r="1072" spans="1:24" ht="15.75" customHeight="1" x14ac:dyDescent="0.3">
      <c r="C1072" t="s">
        <v>72</v>
      </c>
      <c r="D1072" t="s">
        <v>70</v>
      </c>
      <c r="E1072" t="s">
        <v>69</v>
      </c>
      <c r="F1072" t="s">
        <v>68</v>
      </c>
      <c r="G1072" t="s">
        <v>73</v>
      </c>
      <c r="H1072" t="s">
        <v>71</v>
      </c>
      <c r="K1072" t="s">
        <v>68</v>
      </c>
      <c r="L1072" t="s">
        <v>69</v>
      </c>
      <c r="M1072" t="s">
        <v>70</v>
      </c>
      <c r="N1072" t="s">
        <v>71</v>
      </c>
      <c r="O1072" t="s">
        <v>72</v>
      </c>
      <c r="P1072" t="s">
        <v>73</v>
      </c>
    </row>
    <row r="1073" spans="1:24" ht="15.75" customHeight="1" x14ac:dyDescent="0.3">
      <c r="A1073">
        <v>536</v>
      </c>
      <c r="B1073" s="16" t="s">
        <v>617</v>
      </c>
      <c r="C1073" s="7">
        <f>Rankings!L545</f>
        <v>5.3417923438227124</v>
      </c>
      <c r="D1073" s="7">
        <f>Rankings!M545</f>
        <v>2.7052025435396057</v>
      </c>
      <c r="E1073" s="7">
        <f>Rankings!N545</f>
        <v>1.7963038607473749</v>
      </c>
      <c r="F1073" s="7">
        <f>Rankings!O545</f>
        <v>1.0299850135704913</v>
      </c>
      <c r="G1073" s="7">
        <f>Rankings!P545</f>
        <v>0.88688155974910687</v>
      </c>
      <c r="H1073" s="7">
        <f>Rankings!Q545</f>
        <v>1</v>
      </c>
      <c r="I1073" s="7">
        <f>Rankings!R545</f>
        <v>12.760165321429291</v>
      </c>
      <c r="K1073" s="7">
        <f>F1073</f>
        <v>1.0299850135704913</v>
      </c>
      <c r="L1073" s="7">
        <f>E1073</f>
        <v>1.7963038607473749</v>
      </c>
      <c r="M1073" s="7">
        <f>D1073</f>
        <v>2.7052025435396057</v>
      </c>
      <c r="N1073" s="7">
        <f>H1073</f>
        <v>1</v>
      </c>
      <c r="O1073" s="7">
        <f>C1073</f>
        <v>5.3417923438227124</v>
      </c>
      <c r="P1073" s="7">
        <f>G1073</f>
        <v>0.88688155974910687</v>
      </c>
      <c r="R1073" s="7">
        <f t="shared" ref="R1073:W1073" si="903">K1073/$I1073</f>
        <v>8.0718782839023645E-2</v>
      </c>
      <c r="S1073" s="7">
        <f t="shared" si="903"/>
        <v>0.14077434073136033</v>
      </c>
      <c r="T1073" s="7">
        <f t="shared" si="903"/>
        <v>0.21200372216153943</v>
      </c>
      <c r="U1073" s="7">
        <f t="shared" si="903"/>
        <v>7.8368890591143853E-2</v>
      </c>
      <c r="V1073" s="7">
        <f t="shared" si="903"/>
        <v>0.41863033975365199</v>
      </c>
      <c r="W1073" s="7">
        <f t="shared" si="903"/>
        <v>6.9503923923280767E-2</v>
      </c>
      <c r="X1073" s="7">
        <f>SUM(R1073:W1073)</f>
        <v>0.99999999999999989</v>
      </c>
    </row>
    <row r="1074" spans="1:24" ht="15.75" customHeight="1" x14ac:dyDescent="0.3">
      <c r="C1074" t="s">
        <v>72</v>
      </c>
      <c r="D1074" t="s">
        <v>70</v>
      </c>
      <c r="E1074" t="s">
        <v>69</v>
      </c>
      <c r="F1074" t="s">
        <v>71</v>
      </c>
      <c r="G1074" t="s">
        <v>68</v>
      </c>
      <c r="H1074" t="s">
        <v>73</v>
      </c>
      <c r="K1074" t="s">
        <v>68</v>
      </c>
      <c r="L1074" t="s">
        <v>69</v>
      </c>
      <c r="M1074" t="s">
        <v>70</v>
      </c>
      <c r="N1074" t="s">
        <v>71</v>
      </c>
      <c r="O1074" t="s">
        <v>72</v>
      </c>
      <c r="P1074" t="s">
        <v>73</v>
      </c>
    </row>
    <row r="1075" spans="1:24" ht="15.75" customHeight="1" x14ac:dyDescent="0.3">
      <c r="A1075">
        <v>537</v>
      </c>
      <c r="B1075" s="16" t="s">
        <v>618</v>
      </c>
      <c r="C1075" s="7">
        <f>Rankings!L546</f>
        <v>9.1635702364229292</v>
      </c>
      <c r="D1075" s="7">
        <f>Rankings!M546</f>
        <v>4.6406359356409048</v>
      </c>
      <c r="E1075" s="7">
        <f>Rankings!N546</f>
        <v>3.0814669561147117</v>
      </c>
      <c r="F1075" s="7">
        <f>Rankings!O546</f>
        <v>3.3831638028857181</v>
      </c>
      <c r="G1075" s="7">
        <f>Rankings!P546</f>
        <v>1.1613557664474019</v>
      </c>
      <c r="H1075" s="7">
        <f>Rankings!Q546</f>
        <v>1</v>
      </c>
      <c r="I1075" s="7">
        <f>Rankings!R546</f>
        <v>22.430192697511664</v>
      </c>
      <c r="K1075" s="7">
        <f>G1075</f>
        <v>1.1613557664474019</v>
      </c>
      <c r="L1075" s="7">
        <f>E1075</f>
        <v>3.0814669561147117</v>
      </c>
      <c r="M1075" s="7">
        <f>D1075</f>
        <v>4.6406359356409048</v>
      </c>
      <c r="N1075" s="7">
        <f>F1075</f>
        <v>3.3831638028857181</v>
      </c>
      <c r="O1075" s="7">
        <f>C1075</f>
        <v>9.1635702364229292</v>
      </c>
      <c r="P1075" s="7">
        <f>H1075</f>
        <v>1</v>
      </c>
      <c r="R1075" s="7">
        <f t="shared" ref="R1075:W1075" si="904">K1075/$I1075</f>
        <v>5.1776450702371322E-2</v>
      </c>
      <c r="S1075" s="7">
        <f t="shared" si="904"/>
        <v>0.13738031579445861</v>
      </c>
      <c r="T1075" s="7">
        <f t="shared" si="904"/>
        <v>0.20689237931316223</v>
      </c>
      <c r="U1075" s="7">
        <f t="shared" si="904"/>
        <v>0.15083079528162216</v>
      </c>
      <c r="V1075" s="7">
        <f t="shared" si="904"/>
        <v>0.40853729435144387</v>
      </c>
      <c r="W1075" s="7">
        <f t="shared" si="904"/>
        <v>4.4582764556941899E-2</v>
      </c>
      <c r="X1075" s="7">
        <f>SUM(R1075:W1075)</f>
        <v>1</v>
      </c>
    </row>
    <row r="1076" spans="1:24" ht="15.75" customHeight="1" x14ac:dyDescent="0.3">
      <c r="C1076" t="s">
        <v>72</v>
      </c>
      <c r="D1076" t="s">
        <v>70</v>
      </c>
      <c r="E1076" t="s">
        <v>69</v>
      </c>
      <c r="F1076" t="s">
        <v>71</v>
      </c>
      <c r="G1076" t="s">
        <v>73</v>
      </c>
      <c r="H1076" t="s">
        <v>68</v>
      </c>
      <c r="K1076" t="s">
        <v>68</v>
      </c>
      <c r="L1076" t="s">
        <v>69</v>
      </c>
      <c r="M1076" t="s">
        <v>70</v>
      </c>
      <c r="N1076" t="s">
        <v>71</v>
      </c>
      <c r="O1076" t="s">
        <v>72</v>
      </c>
      <c r="P1076" t="s">
        <v>73</v>
      </c>
    </row>
    <row r="1077" spans="1:24" ht="15.75" customHeight="1" x14ac:dyDescent="0.3">
      <c r="A1077">
        <v>538</v>
      </c>
      <c r="B1077" s="16" t="s">
        <v>619</v>
      </c>
      <c r="C1077" s="7">
        <f>Rankings!L547</f>
        <v>6.5656201600120205</v>
      </c>
      <c r="D1077" s="7">
        <f>Rankings!M547</f>
        <v>3.3249761903078774</v>
      </c>
      <c r="E1077" s="7">
        <f>Rankings!N547</f>
        <v>2.2078448735037193</v>
      </c>
      <c r="F1077" s="7">
        <f>Rankings!O547</f>
        <v>2.4240080990005324</v>
      </c>
      <c r="G1077" s="7">
        <f>Rankings!P547</f>
        <v>1.6397534939100344</v>
      </c>
      <c r="H1077" s="7">
        <f>Rankings!Q547</f>
        <v>1</v>
      </c>
      <c r="I1077" s="7">
        <f>Rankings!R547</f>
        <v>17.162202816734183</v>
      </c>
      <c r="K1077" s="7">
        <f>H1077</f>
        <v>1</v>
      </c>
      <c r="L1077" s="7">
        <f>E1077</f>
        <v>2.2078448735037193</v>
      </c>
      <c r="M1077" s="7">
        <f>D1077</f>
        <v>3.3249761903078774</v>
      </c>
      <c r="N1077" s="7">
        <f>F1077</f>
        <v>2.4240080990005324</v>
      </c>
      <c r="O1077" s="7">
        <f>C1077</f>
        <v>6.5656201600120205</v>
      </c>
      <c r="P1077" s="7">
        <f>G1077</f>
        <v>1.6397534939100344</v>
      </c>
      <c r="R1077" s="7">
        <f t="shared" ref="R1077:W1077" si="905">K1077/$I1077</f>
        <v>5.8267578508333424E-2</v>
      </c>
      <c r="S1077" s="7">
        <f t="shared" si="905"/>
        <v>0.12864577450109943</v>
      </c>
      <c r="T1077" s="7">
        <f t="shared" si="905"/>
        <v>0.19373831120710361</v>
      </c>
      <c r="U1077" s="7">
        <f t="shared" si="905"/>
        <v>0.14124108221334958</v>
      </c>
      <c r="V1077" s="7">
        <f t="shared" si="905"/>
        <v>0.38256278812939704</v>
      </c>
      <c r="W1077" s="7">
        <f t="shared" si="905"/>
        <v>9.5544465440716958E-2</v>
      </c>
      <c r="X1077" s="7">
        <f>SUM(R1077:W1077)</f>
        <v>1</v>
      </c>
    </row>
    <row r="1078" spans="1:24" ht="15.75" customHeight="1" x14ac:dyDescent="0.3">
      <c r="C1078" t="s">
        <v>72</v>
      </c>
      <c r="D1078" t="s">
        <v>70</v>
      </c>
      <c r="E1078" t="s">
        <v>69</v>
      </c>
      <c r="F1078" t="s">
        <v>73</v>
      </c>
      <c r="G1078" t="s">
        <v>68</v>
      </c>
      <c r="H1078" t="s">
        <v>71</v>
      </c>
      <c r="K1078" t="s">
        <v>68</v>
      </c>
      <c r="L1078" t="s">
        <v>69</v>
      </c>
      <c r="M1078" t="s">
        <v>70</v>
      </c>
      <c r="N1078" t="s">
        <v>71</v>
      </c>
      <c r="O1078" t="s">
        <v>72</v>
      </c>
      <c r="P1078" t="s">
        <v>73</v>
      </c>
    </row>
    <row r="1079" spans="1:24" ht="15.75" customHeight="1" x14ac:dyDescent="0.3">
      <c r="A1079">
        <v>539</v>
      </c>
      <c r="B1079" s="16" t="s">
        <v>620</v>
      </c>
      <c r="C1079" s="7">
        <f>Rankings!L548</f>
        <v>8.1652916233445474</v>
      </c>
      <c r="D1079" s="7">
        <f>Rankings!M548</f>
        <v>4.1350854257294207</v>
      </c>
      <c r="E1079" s="7">
        <f>Rankings!N548</f>
        <v>2.7457721908833532</v>
      </c>
      <c r="F1079" s="7">
        <f>Rankings!O548</f>
        <v>2.0560565858186979</v>
      </c>
      <c r="G1079" s="7">
        <f>Rankings!P548</f>
        <v>1.2538815092968505</v>
      </c>
      <c r="H1079" s="7">
        <f>Rankings!Q548</f>
        <v>1</v>
      </c>
      <c r="I1079" s="7">
        <f>Rankings!R548</f>
        <v>19.356087335072871</v>
      </c>
      <c r="K1079" s="7">
        <f>G1079</f>
        <v>1.2538815092968505</v>
      </c>
      <c r="L1079" s="7">
        <f>E1079</f>
        <v>2.7457721908833532</v>
      </c>
      <c r="M1079" s="7">
        <f>D1079</f>
        <v>4.1350854257294207</v>
      </c>
      <c r="N1079" s="7">
        <f>H1079</f>
        <v>1</v>
      </c>
      <c r="O1079" s="7">
        <f>C1079</f>
        <v>8.1652916233445474</v>
      </c>
      <c r="P1079" s="7">
        <f>F1079</f>
        <v>2.0560565858186979</v>
      </c>
      <c r="R1079" s="7">
        <f t="shared" ref="R1079:W1079" si="906">K1079/$I1079</f>
        <v>6.4779698892184712E-2</v>
      </c>
      <c r="S1079" s="7">
        <f t="shared" si="906"/>
        <v>0.14185574508687326</v>
      </c>
      <c r="T1079" s="7">
        <f t="shared" si="906"/>
        <v>0.21363229841584372</v>
      </c>
      <c r="U1079" s="7">
        <f t="shared" si="906"/>
        <v>5.1663333745556032E-2</v>
      </c>
      <c r="V1079" s="7">
        <f t="shared" si="906"/>
        <v>0.42184618626664233</v>
      </c>
      <c r="W1079" s="7">
        <f t="shared" si="906"/>
        <v>0.10622273759289985</v>
      </c>
      <c r="X1079" s="7">
        <f>SUM(R1079:W1079)</f>
        <v>1</v>
      </c>
    </row>
    <row r="1080" spans="1:24" ht="15.75" customHeight="1" x14ac:dyDescent="0.3">
      <c r="C1080" t="s">
        <v>72</v>
      </c>
      <c r="D1080" t="s">
        <v>70</v>
      </c>
      <c r="E1080" t="s">
        <v>69</v>
      </c>
      <c r="F1080" t="s">
        <v>73</v>
      </c>
      <c r="G1080" t="s">
        <v>71</v>
      </c>
      <c r="H1080" t="s">
        <v>68</v>
      </c>
      <c r="K1080" t="s">
        <v>68</v>
      </c>
      <c r="L1080" t="s">
        <v>69</v>
      </c>
      <c r="M1080" t="s">
        <v>70</v>
      </c>
      <c r="N1080" t="s">
        <v>71</v>
      </c>
      <c r="O1080" t="s">
        <v>72</v>
      </c>
      <c r="P1080" t="s">
        <v>73</v>
      </c>
    </row>
    <row r="1081" spans="1:24" ht="15.75" customHeight="1" x14ac:dyDescent="0.3">
      <c r="A1081">
        <v>540</v>
      </c>
      <c r="B1081" s="16" t="s">
        <v>621</v>
      </c>
      <c r="C1081" s="7">
        <f>Rankings!L549</f>
        <v>10.260298769512152</v>
      </c>
      <c r="D1081" s="7">
        <f>Rankings!M549</f>
        <v>5.196043676399742</v>
      </c>
      <c r="E1081" s="7">
        <f>Rankings!N549</f>
        <v>3.4502678325580209</v>
      </c>
      <c r="F1081" s="7">
        <f>Rankings!O549</f>
        <v>2.5835886616970591</v>
      </c>
      <c r="G1081" s="7">
        <f>Rankings!P549</f>
        <v>2.9131157743633094</v>
      </c>
      <c r="H1081" s="7">
        <f>Rankings!Q549</f>
        <v>1</v>
      </c>
      <c r="I1081" s="7">
        <f>Rankings!R549</f>
        <v>25.403314714530282</v>
      </c>
      <c r="K1081" s="7">
        <f>H1081</f>
        <v>1</v>
      </c>
      <c r="L1081" s="7">
        <f>E1081</f>
        <v>3.4502678325580209</v>
      </c>
      <c r="M1081" s="7">
        <f>D1081</f>
        <v>5.196043676399742</v>
      </c>
      <c r="N1081" s="7">
        <f>G1081</f>
        <v>2.9131157743633094</v>
      </c>
      <c r="O1081" s="7">
        <f>C1081</f>
        <v>10.260298769512152</v>
      </c>
      <c r="P1081" s="7">
        <f>F1081</f>
        <v>2.5835886616970591</v>
      </c>
      <c r="R1081" s="7">
        <f t="shared" ref="R1081:W1081" si="907">K1081/$I1081</f>
        <v>3.9364941592760584E-2</v>
      </c>
      <c r="S1081" s="7">
        <f t="shared" si="907"/>
        <v>0.13581959170802715</v>
      </c>
      <c r="T1081" s="7">
        <f t="shared" si="907"/>
        <v>0.20454195583490881</v>
      </c>
      <c r="U1081" s="7">
        <f t="shared" si="907"/>
        <v>0.11467463231076119</v>
      </c>
      <c r="V1081" s="7">
        <f t="shared" si="907"/>
        <v>0.40389606178611914</v>
      </c>
      <c r="W1081" s="7">
        <f t="shared" si="907"/>
        <v>0.10170281676742321</v>
      </c>
      <c r="X1081" s="7">
        <f>SUM(R1081:W1081)</f>
        <v>1</v>
      </c>
    </row>
    <row r="1082" spans="1:24" ht="15.75" customHeight="1" x14ac:dyDescent="0.3">
      <c r="C1082" t="s">
        <v>72</v>
      </c>
      <c r="D1082" t="s">
        <v>70</v>
      </c>
      <c r="E1082" t="s">
        <v>71</v>
      </c>
      <c r="F1082" t="s">
        <v>68</v>
      </c>
      <c r="G1082" t="s">
        <v>69</v>
      </c>
      <c r="H1082" t="s">
        <v>73</v>
      </c>
      <c r="K1082" t="s">
        <v>68</v>
      </c>
      <c r="L1082" t="s">
        <v>69</v>
      </c>
      <c r="M1082" t="s">
        <v>70</v>
      </c>
      <c r="N1082" t="s">
        <v>71</v>
      </c>
      <c r="O1082" t="s">
        <v>72</v>
      </c>
      <c r="P1082" t="s">
        <v>73</v>
      </c>
    </row>
    <row r="1083" spans="1:24" ht="15.75" customHeight="1" x14ac:dyDescent="0.3">
      <c r="A1083">
        <v>541</v>
      </c>
      <c r="B1083" s="16" t="s">
        <v>622</v>
      </c>
      <c r="C1083" s="7">
        <f>Rankings!L550</f>
        <v>18.035144195599685</v>
      </c>
      <c r="D1083" s="7">
        <f>Rankings!M550</f>
        <v>9.1333984570664661</v>
      </c>
      <c r="E1083" s="7">
        <f>Rankings!N550</f>
        <v>6.3697816744417599</v>
      </c>
      <c r="F1083" s="7">
        <f>Rankings!O550</f>
        <v>2.186587203467373</v>
      </c>
      <c r="G1083" s="7">
        <f>Rankings!P550</f>
        <v>1.3354555559520354</v>
      </c>
      <c r="H1083" s="7">
        <f>Rankings!Q550</f>
        <v>1</v>
      </c>
      <c r="I1083" s="7">
        <f>Rankings!R550</f>
        <v>38.060367086527322</v>
      </c>
      <c r="K1083" s="7">
        <f t="shared" ref="K1083:L1083" si="908">F1083</f>
        <v>2.186587203467373</v>
      </c>
      <c r="L1083" s="7">
        <f t="shared" si="908"/>
        <v>1.3354555559520354</v>
      </c>
      <c r="M1083" s="7">
        <f t="shared" ref="M1083:N1083" si="909">D1083</f>
        <v>9.1333984570664661</v>
      </c>
      <c r="N1083" s="7">
        <f t="shared" si="909"/>
        <v>6.3697816744417599</v>
      </c>
      <c r="O1083" s="7">
        <f>C1083</f>
        <v>18.035144195599685</v>
      </c>
      <c r="P1083" s="7">
        <f>H1083</f>
        <v>1</v>
      </c>
      <c r="R1083" s="7">
        <f t="shared" ref="R1083:W1083" si="910">K1083/$I1083</f>
        <v>5.7450502211298562E-2</v>
      </c>
      <c r="S1083" s="7">
        <f t="shared" si="910"/>
        <v>3.5087826476186627E-2</v>
      </c>
      <c r="T1083" s="7">
        <f t="shared" si="910"/>
        <v>0.23997137064659377</v>
      </c>
      <c r="U1083" s="7">
        <f t="shared" si="910"/>
        <v>0.16735996423682806</v>
      </c>
      <c r="V1083" s="7">
        <f t="shared" si="910"/>
        <v>0.47385628610985725</v>
      </c>
      <c r="W1083" s="7">
        <f t="shared" si="910"/>
        <v>2.6274050319235669E-2</v>
      </c>
      <c r="X1083" s="7">
        <f>SUM(R1083:W1083)</f>
        <v>0.99999999999999989</v>
      </c>
    </row>
    <row r="1084" spans="1:24" ht="15.75" customHeight="1" x14ac:dyDescent="0.3">
      <c r="C1084" t="s">
        <v>72</v>
      </c>
      <c r="D1084" t="s">
        <v>70</v>
      </c>
      <c r="E1084" t="s">
        <v>71</v>
      </c>
      <c r="F1084" t="s">
        <v>68</v>
      </c>
      <c r="G1084" t="s">
        <v>73</v>
      </c>
      <c r="H1084" t="s">
        <v>69</v>
      </c>
      <c r="K1084" t="s">
        <v>68</v>
      </c>
      <c r="L1084" t="s">
        <v>69</v>
      </c>
      <c r="M1084" t="s">
        <v>70</v>
      </c>
      <c r="N1084" t="s">
        <v>71</v>
      </c>
      <c r="O1084" t="s">
        <v>72</v>
      </c>
      <c r="P1084" t="s">
        <v>73</v>
      </c>
    </row>
    <row r="1085" spans="1:24" ht="15.75" customHeight="1" x14ac:dyDescent="0.3">
      <c r="A1085">
        <v>542</v>
      </c>
      <c r="B1085" s="16" t="s">
        <v>623</v>
      </c>
      <c r="C1085" s="7">
        <f>Rankings!L551</f>
        <v>11.896429434246349</v>
      </c>
      <c r="D1085" s="7">
        <f>Rankings!M551</f>
        <v>6.0246166629405655</v>
      </c>
      <c r="E1085" s="7">
        <f>Rankings!N551</f>
        <v>4.2016663343363012</v>
      </c>
      <c r="F1085" s="7">
        <f>Rankings!O551</f>
        <v>1.4423272742239766</v>
      </c>
      <c r="G1085" s="7">
        <f>Rankings!P551</f>
        <v>1.2419340531937677</v>
      </c>
      <c r="H1085" s="7">
        <f>Rankings!Q551</f>
        <v>1</v>
      </c>
      <c r="I1085" s="7">
        <f>Rankings!R551</f>
        <v>25.806973758940959</v>
      </c>
      <c r="K1085" s="7">
        <f>F1085</f>
        <v>1.4423272742239766</v>
      </c>
      <c r="L1085" s="7">
        <f>H1085</f>
        <v>1</v>
      </c>
      <c r="M1085" s="7">
        <f t="shared" ref="M1085:N1085" si="911">D1085</f>
        <v>6.0246166629405655</v>
      </c>
      <c r="N1085" s="7">
        <f t="shared" si="911"/>
        <v>4.2016663343363012</v>
      </c>
      <c r="O1085" s="7">
        <f>C1085</f>
        <v>11.896429434246349</v>
      </c>
      <c r="P1085" s="7">
        <f>G1085</f>
        <v>1.2419340531937677</v>
      </c>
      <c r="R1085" s="7">
        <f t="shared" ref="R1085:W1085" si="912">K1085/$I1085</f>
        <v>5.5889051064124666E-2</v>
      </c>
      <c r="S1085" s="7">
        <f t="shared" si="912"/>
        <v>3.8749215980953398E-2</v>
      </c>
      <c r="T1085" s="7">
        <f t="shared" si="912"/>
        <v>0.23344917227473469</v>
      </c>
      <c r="U1085" s="7">
        <f t="shared" si="912"/>
        <v>0.16281127626909808</v>
      </c>
      <c r="V1085" s="7">
        <f t="shared" si="912"/>
        <v>0.460977313549783</v>
      </c>
      <c r="W1085" s="7">
        <f t="shared" si="912"/>
        <v>4.8123970861306174E-2</v>
      </c>
      <c r="X1085" s="7">
        <f>SUM(R1085:W1085)</f>
        <v>1</v>
      </c>
    </row>
    <row r="1086" spans="1:24" ht="15.75" customHeight="1" x14ac:dyDescent="0.3">
      <c r="C1086" t="s">
        <v>72</v>
      </c>
      <c r="D1086" t="s">
        <v>70</v>
      </c>
      <c r="E1086" t="s">
        <v>71</v>
      </c>
      <c r="F1086" t="s">
        <v>69</v>
      </c>
      <c r="G1086" t="s">
        <v>68</v>
      </c>
      <c r="H1086" t="s">
        <v>73</v>
      </c>
      <c r="K1086" t="s">
        <v>68</v>
      </c>
      <c r="L1086" t="s">
        <v>69</v>
      </c>
      <c r="M1086" t="s">
        <v>70</v>
      </c>
      <c r="N1086" t="s">
        <v>71</v>
      </c>
      <c r="O1086" t="s">
        <v>72</v>
      </c>
      <c r="P1086" t="s">
        <v>73</v>
      </c>
    </row>
    <row r="1087" spans="1:24" ht="15.75" customHeight="1" x14ac:dyDescent="0.3">
      <c r="A1087">
        <v>543</v>
      </c>
      <c r="B1087" s="16" t="s">
        <v>624</v>
      </c>
      <c r="C1087" s="7">
        <f>Rankings!L552</f>
        <v>8.2443813299016746</v>
      </c>
      <c r="D1087" s="7">
        <f>Rankings!M552</f>
        <v>4.1751382135532618</v>
      </c>
      <c r="E1087" s="7">
        <f>Rankings!N552</f>
        <v>2.9118097722296197</v>
      </c>
      <c r="F1087" s="7">
        <f>Rankings!O552</f>
        <v>2.0254157288550885</v>
      </c>
      <c r="G1087" s="7">
        <f>Rankings!P552</f>
        <v>1.1613557664474019</v>
      </c>
      <c r="H1087" s="7">
        <f>Rankings!Q552</f>
        <v>1</v>
      </c>
      <c r="I1087" s="7">
        <f>Rankings!R552</f>
        <v>19.518100810987043</v>
      </c>
      <c r="K1087" s="7">
        <f>G1087</f>
        <v>1.1613557664474019</v>
      </c>
      <c r="L1087" s="7">
        <f>F1087</f>
        <v>2.0254157288550885</v>
      </c>
      <c r="M1087" s="7">
        <f t="shared" ref="M1087:N1087" si="913">D1087</f>
        <v>4.1751382135532618</v>
      </c>
      <c r="N1087" s="7">
        <f t="shared" si="913"/>
        <v>2.9118097722296197</v>
      </c>
      <c r="O1087" s="7">
        <f>C1087</f>
        <v>8.2443813299016746</v>
      </c>
      <c r="P1087" s="7">
        <f>H1087</f>
        <v>1</v>
      </c>
      <c r="R1087" s="7">
        <f t="shared" ref="R1087:W1087" si="914">K1087/$I1087</f>
        <v>5.9501473923818278E-2</v>
      </c>
      <c r="S1087" s="7">
        <f t="shared" si="914"/>
        <v>0.10377114804709639</v>
      </c>
      <c r="T1087" s="7">
        <f t="shared" si="914"/>
        <v>0.21391108971027609</v>
      </c>
      <c r="U1087" s="7">
        <f t="shared" si="914"/>
        <v>0.14918509748604827</v>
      </c>
      <c r="V1087" s="7">
        <f t="shared" si="914"/>
        <v>0.42239669780067862</v>
      </c>
      <c r="W1087" s="7">
        <f t="shared" si="914"/>
        <v>5.123449303208253E-2</v>
      </c>
      <c r="X1087" s="7">
        <f>SUM(R1087:W1087)</f>
        <v>1.0000000000000002</v>
      </c>
    </row>
    <row r="1088" spans="1:24" ht="15.75" customHeight="1" x14ac:dyDescent="0.3">
      <c r="C1088" t="s">
        <v>72</v>
      </c>
      <c r="D1088" t="s">
        <v>70</v>
      </c>
      <c r="E1088" t="s">
        <v>71</v>
      </c>
      <c r="F1088" t="s">
        <v>69</v>
      </c>
      <c r="G1088" t="s">
        <v>73</v>
      </c>
      <c r="H1088" t="s">
        <v>68</v>
      </c>
      <c r="K1088" t="s">
        <v>68</v>
      </c>
      <c r="L1088" t="s">
        <v>69</v>
      </c>
      <c r="M1088" t="s">
        <v>70</v>
      </c>
      <c r="N1088" t="s">
        <v>71</v>
      </c>
      <c r="O1088" t="s">
        <v>72</v>
      </c>
      <c r="P1088" t="s">
        <v>73</v>
      </c>
    </row>
    <row r="1089" spans="1:24" ht="15.75" customHeight="1" x14ac:dyDescent="0.3">
      <c r="A1089">
        <v>544</v>
      </c>
      <c r="B1089" s="16" t="s">
        <v>625</v>
      </c>
      <c r="C1089" s="7">
        <f>Rankings!L553</f>
        <v>8.9135744664636505</v>
      </c>
      <c r="D1089" s="7">
        <f>Rankings!M553</f>
        <v>4.514032513186633</v>
      </c>
      <c r="E1089" s="7">
        <f>Rankings!N553</f>
        <v>3.148160207341455</v>
      </c>
      <c r="F1089" s="7">
        <f>Rankings!O553</f>
        <v>2.1898179138339176</v>
      </c>
      <c r="G1089" s="7">
        <f>Rankings!P553</f>
        <v>1.6397534939100344</v>
      </c>
      <c r="H1089" s="7">
        <f>Rankings!Q553</f>
        <v>1</v>
      </c>
      <c r="I1089" s="7">
        <f>Rankings!R553</f>
        <v>21.405338594735692</v>
      </c>
      <c r="K1089" s="7">
        <f>H1089</f>
        <v>1</v>
      </c>
      <c r="L1089" s="7">
        <f>F1089</f>
        <v>2.1898179138339176</v>
      </c>
      <c r="M1089" s="7">
        <f t="shared" ref="M1089:N1089" si="915">D1089</f>
        <v>4.514032513186633</v>
      </c>
      <c r="N1089" s="7">
        <f t="shared" si="915"/>
        <v>3.148160207341455</v>
      </c>
      <c r="O1089" s="7">
        <f>C1089</f>
        <v>8.9135744664636505</v>
      </c>
      <c r="P1089" s="7">
        <f>G1089</f>
        <v>1.6397534939100344</v>
      </c>
      <c r="R1089" s="7">
        <f t="shared" ref="R1089:W1089" si="916">K1089/$I1089</f>
        <v>4.6717317531521523E-2</v>
      </c>
      <c r="S1089" s="7">
        <f t="shared" si="916"/>
        <v>0.10230241881679317</v>
      </c>
      <c r="T1089" s="7">
        <f t="shared" si="916"/>
        <v>0.21088349026615205</v>
      </c>
      <c r="U1089" s="7">
        <f t="shared" si="916"/>
        <v>0.14707360004647138</v>
      </c>
      <c r="V1089" s="7">
        <f t="shared" si="916"/>
        <v>0.4164182886906449</v>
      </c>
      <c r="W1089" s="7">
        <f t="shared" si="916"/>
        <v>7.6604884648416915E-2</v>
      </c>
      <c r="X1089" s="7">
        <f>SUM(R1089:W1089)</f>
        <v>1</v>
      </c>
    </row>
    <row r="1090" spans="1:24" ht="15.75" customHeight="1" x14ac:dyDescent="0.3">
      <c r="C1090" t="s">
        <v>72</v>
      </c>
      <c r="D1090" t="s">
        <v>70</v>
      </c>
      <c r="E1090" t="s">
        <v>71</v>
      </c>
      <c r="F1090" t="s">
        <v>73</v>
      </c>
      <c r="G1090" t="s">
        <v>68</v>
      </c>
      <c r="H1090" t="s">
        <v>69</v>
      </c>
      <c r="K1090" t="s">
        <v>68</v>
      </c>
      <c r="L1090" t="s">
        <v>69</v>
      </c>
      <c r="M1090" t="s">
        <v>70</v>
      </c>
      <c r="N1090" t="s">
        <v>71</v>
      </c>
      <c r="O1090" t="s">
        <v>72</v>
      </c>
      <c r="P1090" t="s">
        <v>73</v>
      </c>
    </row>
    <row r="1091" spans="1:24" ht="15.75" customHeight="1" x14ac:dyDescent="0.3">
      <c r="A1091">
        <v>545</v>
      </c>
      <c r="B1091" s="16" t="s">
        <v>626</v>
      </c>
      <c r="C1091" s="7">
        <f>Rankings!L554</f>
        <v>11.237417111876319</v>
      </c>
      <c r="D1091" s="7">
        <f>Rankings!M554</f>
        <v>5.6908781542243023</v>
      </c>
      <c r="E1091" s="7">
        <f>Rankings!N554</f>
        <v>3.968911632253679</v>
      </c>
      <c r="F1091" s="7">
        <f>Rankings!O554</f>
        <v>2.6848246582556978</v>
      </c>
      <c r="G1091" s="7">
        <f>Rankings!P554</f>
        <v>1.6373343116675814</v>
      </c>
      <c r="H1091" s="7">
        <f>Rankings!Q554</f>
        <v>1</v>
      </c>
      <c r="I1091" s="7">
        <f>Rankings!R554</f>
        <v>26.219365868277578</v>
      </c>
      <c r="K1091" s="7">
        <f t="shared" ref="K1091:L1091" si="917">G1091</f>
        <v>1.6373343116675814</v>
      </c>
      <c r="L1091" s="7">
        <f t="shared" si="917"/>
        <v>1</v>
      </c>
      <c r="M1091" s="7">
        <f t="shared" ref="M1091:N1091" si="918">D1091</f>
        <v>5.6908781542243023</v>
      </c>
      <c r="N1091" s="7">
        <f t="shared" si="918"/>
        <v>3.968911632253679</v>
      </c>
      <c r="O1091" s="7">
        <f>C1091</f>
        <v>11.237417111876319</v>
      </c>
      <c r="P1091" s="7">
        <f>F1091</f>
        <v>2.6848246582556978</v>
      </c>
      <c r="R1091" s="7">
        <f t="shared" ref="R1091:W1091" si="919">K1091/$I1091</f>
        <v>6.2447517605624774E-2</v>
      </c>
      <c r="S1091" s="7">
        <f t="shared" si="919"/>
        <v>3.8139747735466217E-2</v>
      </c>
      <c r="T1091" s="7">
        <f t="shared" si="919"/>
        <v>0.21704865719539052</v>
      </c>
      <c r="U1091" s="7">
        <f t="shared" si="919"/>
        <v>0.15137328843851278</v>
      </c>
      <c r="V1091" s="7">
        <f t="shared" si="919"/>
        <v>0.42859225384517413</v>
      </c>
      <c r="W1091" s="7">
        <f t="shared" si="919"/>
        <v>0.10239853517983162</v>
      </c>
      <c r="X1091" s="7">
        <f>SUM(R1091:W1091)</f>
        <v>1</v>
      </c>
    </row>
    <row r="1092" spans="1:24" ht="15.75" customHeight="1" x14ac:dyDescent="0.3">
      <c r="C1092" t="s">
        <v>72</v>
      </c>
      <c r="D1092" t="s">
        <v>70</v>
      </c>
      <c r="E1092" t="s">
        <v>71</v>
      </c>
      <c r="F1092" t="s">
        <v>73</v>
      </c>
      <c r="G1092" t="s">
        <v>69</v>
      </c>
      <c r="H1092" t="s">
        <v>68</v>
      </c>
      <c r="K1092" t="s">
        <v>68</v>
      </c>
      <c r="L1092" t="s">
        <v>69</v>
      </c>
      <c r="M1092" t="s">
        <v>70</v>
      </c>
      <c r="N1092" t="s">
        <v>71</v>
      </c>
      <c r="O1092" t="s">
        <v>72</v>
      </c>
      <c r="P1092" t="s">
        <v>73</v>
      </c>
    </row>
    <row r="1093" spans="1:24" ht="15.75" customHeight="1" x14ac:dyDescent="0.3">
      <c r="A1093">
        <v>546</v>
      </c>
      <c r="B1093" s="16" t="s">
        <v>627</v>
      </c>
      <c r="C1093" s="7">
        <f>Rankings!L555</f>
        <v>9.0656303439283192</v>
      </c>
      <c r="D1093" s="7">
        <f>Rankings!M555</f>
        <v>4.59103699408025</v>
      </c>
      <c r="E1093" s="7">
        <f>Rankings!N555</f>
        <v>3.2018643935271092</v>
      </c>
      <c r="F1093" s="7">
        <f>Rankings!O555</f>
        <v>2.1659450430371923</v>
      </c>
      <c r="G1093" s="7">
        <f>Rankings!P555</f>
        <v>1.7440097060445605</v>
      </c>
      <c r="H1093" s="7">
        <f>Rankings!Q555</f>
        <v>1</v>
      </c>
      <c r="I1093" s="7">
        <f>Rankings!R555</f>
        <v>21.76848648061743</v>
      </c>
      <c r="K1093" s="7">
        <f>H1093</f>
        <v>1</v>
      </c>
      <c r="L1093" s="7">
        <f>G1093</f>
        <v>1.7440097060445605</v>
      </c>
      <c r="M1093" s="7">
        <f t="shared" ref="M1093:N1093" si="920">D1093</f>
        <v>4.59103699408025</v>
      </c>
      <c r="N1093" s="7">
        <f t="shared" si="920"/>
        <v>3.2018643935271092</v>
      </c>
      <c r="O1093" s="7">
        <f>C1093</f>
        <v>9.0656303439283192</v>
      </c>
      <c r="P1093" s="7">
        <f>F1093</f>
        <v>2.1659450430371923</v>
      </c>
      <c r="R1093" s="7">
        <f t="shared" ref="R1093:W1093" si="921">K1093/$I1093</f>
        <v>4.593796637586154E-2</v>
      </c>
      <c r="S1093" s="7">
        <f t="shared" si="921"/>
        <v>8.0116259235451195E-2</v>
      </c>
      <c r="T1093" s="7">
        <f t="shared" si="921"/>
        <v>0.21090290306439496</v>
      </c>
      <c r="U1093" s="7">
        <f t="shared" si="921"/>
        <v>0.14708713884991664</v>
      </c>
      <c r="V1093" s="7">
        <f t="shared" si="921"/>
        <v>0.4164566219153692</v>
      </c>
      <c r="W1093" s="7">
        <f t="shared" si="921"/>
        <v>9.9499110559006509E-2</v>
      </c>
      <c r="X1093" s="7">
        <f>SUM(R1093:W1093)</f>
        <v>1</v>
      </c>
    </row>
    <row r="1094" spans="1:24" ht="15.75" customHeight="1" x14ac:dyDescent="0.3">
      <c r="C1094" t="s">
        <v>72</v>
      </c>
      <c r="D1094" t="s">
        <v>70</v>
      </c>
      <c r="E1094" t="s">
        <v>73</v>
      </c>
      <c r="F1094" t="s">
        <v>68</v>
      </c>
      <c r="G1094" t="s">
        <v>69</v>
      </c>
      <c r="H1094" t="s">
        <v>71</v>
      </c>
      <c r="K1094" t="s">
        <v>68</v>
      </c>
      <c r="L1094" t="s">
        <v>69</v>
      </c>
      <c r="M1094" t="s">
        <v>70</v>
      </c>
      <c r="N1094" t="s">
        <v>71</v>
      </c>
      <c r="O1094" t="s">
        <v>72</v>
      </c>
      <c r="P1094" t="s">
        <v>73</v>
      </c>
    </row>
    <row r="1095" spans="1:24" ht="15.75" customHeight="1" x14ac:dyDescent="0.3">
      <c r="A1095">
        <v>547</v>
      </c>
      <c r="B1095" s="16" t="s">
        <v>628</v>
      </c>
      <c r="C1095" s="7">
        <f>Rankings!L556</f>
        <v>9.7278340900339497</v>
      </c>
      <c r="D1095" s="7">
        <f>Rankings!M556</f>
        <v>4.926391710812732</v>
      </c>
      <c r="E1095" s="7">
        <f>Rankings!N556</f>
        <v>2.4454028682619988</v>
      </c>
      <c r="F1095" s="7">
        <f>Rankings!O556</f>
        <v>1.4913234686458101</v>
      </c>
      <c r="G1095" s="7">
        <f>Rankings!P556</f>
        <v>0.9108240498099236</v>
      </c>
      <c r="H1095" s="7">
        <f>Rankings!Q556</f>
        <v>1</v>
      </c>
      <c r="I1095" s="7">
        <f>Rankings!R556</f>
        <v>20.501776187564417</v>
      </c>
      <c r="K1095" s="7">
        <f t="shared" ref="K1095:L1095" si="922">F1095</f>
        <v>1.4913234686458101</v>
      </c>
      <c r="L1095" s="7">
        <f t="shared" si="922"/>
        <v>0.9108240498099236</v>
      </c>
      <c r="M1095" s="7">
        <f>D1095</f>
        <v>4.926391710812732</v>
      </c>
      <c r="N1095" s="7">
        <f>H1095</f>
        <v>1</v>
      </c>
      <c r="O1095" s="7">
        <f>C1095</f>
        <v>9.7278340900339497</v>
      </c>
      <c r="P1095" s="7">
        <f>E1095</f>
        <v>2.4454028682619988</v>
      </c>
      <c r="R1095" s="7">
        <f t="shared" ref="R1095:W1095" si="923">K1095/$I1095</f>
        <v>7.2741183739503959E-2</v>
      </c>
      <c r="S1095" s="7">
        <f t="shared" si="923"/>
        <v>4.442659218777318E-2</v>
      </c>
      <c r="T1095" s="7">
        <f t="shared" si="923"/>
        <v>0.24029097116965359</v>
      </c>
      <c r="U1095" s="7">
        <f t="shared" si="923"/>
        <v>4.877626166880903E-2</v>
      </c>
      <c r="V1095" s="7">
        <f t="shared" si="923"/>
        <v>0.47448738104625671</v>
      </c>
      <c r="W1095" s="7">
        <f t="shared" si="923"/>
        <v>0.1192776101880034</v>
      </c>
      <c r="X1095" s="7">
        <f>SUM(R1095:W1095)</f>
        <v>0.99999999999999989</v>
      </c>
    </row>
    <row r="1096" spans="1:24" ht="15.75" customHeight="1" x14ac:dyDescent="0.3">
      <c r="C1096" t="s">
        <v>72</v>
      </c>
      <c r="D1096" t="s">
        <v>70</v>
      </c>
      <c r="E1096" t="s">
        <v>73</v>
      </c>
      <c r="F1096" t="s">
        <v>68</v>
      </c>
      <c r="G1096" t="s">
        <v>71</v>
      </c>
      <c r="H1096" t="s">
        <v>69</v>
      </c>
      <c r="K1096" t="s">
        <v>68</v>
      </c>
      <c r="L1096" t="s">
        <v>69</v>
      </c>
      <c r="M1096" t="s">
        <v>70</v>
      </c>
      <c r="N1096" t="s">
        <v>71</v>
      </c>
      <c r="O1096" t="s">
        <v>72</v>
      </c>
      <c r="P1096" t="s">
        <v>73</v>
      </c>
    </row>
    <row r="1097" spans="1:24" ht="15.75" customHeight="1" x14ac:dyDescent="0.3">
      <c r="A1097">
        <v>548</v>
      </c>
      <c r="B1097" s="16" t="s">
        <v>629</v>
      </c>
      <c r="C1097" s="7">
        <f>Rankings!L557</f>
        <v>11.758437677377639</v>
      </c>
      <c r="D1097" s="7">
        <f>Rankings!M557</f>
        <v>5.9547345657638742</v>
      </c>
      <c r="E1097" s="7">
        <f>Rankings!N557</f>
        <v>2.9558601592514298</v>
      </c>
      <c r="F1097" s="7">
        <f>Rankings!O557</f>
        <v>1.802624705621517</v>
      </c>
      <c r="G1097" s="7">
        <f>Rankings!P557</f>
        <v>1.4376356077157479</v>
      </c>
      <c r="H1097" s="7">
        <f>Rankings!Q557</f>
        <v>1</v>
      </c>
      <c r="I1097" s="7">
        <f>Rankings!R557</f>
        <v>24.90929271573021</v>
      </c>
      <c r="K1097" s="7">
        <f>F1097</f>
        <v>1.802624705621517</v>
      </c>
      <c r="L1097" s="7">
        <f>H1097</f>
        <v>1</v>
      </c>
      <c r="M1097" s="7">
        <f>D1097</f>
        <v>5.9547345657638742</v>
      </c>
      <c r="N1097" s="7">
        <f>G1097</f>
        <v>1.4376356077157479</v>
      </c>
      <c r="O1097" s="7">
        <f>C1097</f>
        <v>11.758437677377639</v>
      </c>
      <c r="P1097" s="7">
        <f>E1097</f>
        <v>2.9558601592514298</v>
      </c>
      <c r="R1097" s="7">
        <f t="shared" ref="R1097:W1097" si="924">K1097/$I1097</f>
        <v>7.2367558814030883E-2</v>
      </c>
      <c r="S1097" s="7">
        <f t="shared" si="924"/>
        <v>4.0145660152305342E-2</v>
      </c>
      <c r="T1097" s="7">
        <f t="shared" si="924"/>
        <v>0.23905675017434203</v>
      </c>
      <c r="U1097" s="7">
        <f t="shared" si="924"/>
        <v>5.7714830530209378E-2</v>
      </c>
      <c r="V1097" s="7">
        <f t="shared" si="924"/>
        <v>0.47205024291806524</v>
      </c>
      <c r="W1097" s="7">
        <f t="shared" si="924"/>
        <v>0.11866495741104705</v>
      </c>
      <c r="X1097" s="7">
        <f>SUM(R1097:W1097)</f>
        <v>1</v>
      </c>
    </row>
    <row r="1098" spans="1:24" ht="15.75" customHeight="1" x14ac:dyDescent="0.3">
      <c r="C1098" t="s">
        <v>72</v>
      </c>
      <c r="D1098" t="s">
        <v>70</v>
      </c>
      <c r="E1098" t="s">
        <v>73</v>
      </c>
      <c r="F1098" t="s">
        <v>69</v>
      </c>
      <c r="G1098" t="s">
        <v>68</v>
      </c>
      <c r="H1098" t="s">
        <v>71</v>
      </c>
      <c r="K1098" t="s">
        <v>68</v>
      </c>
      <c r="L1098" t="s">
        <v>69</v>
      </c>
      <c r="M1098" t="s">
        <v>70</v>
      </c>
      <c r="N1098" t="s">
        <v>71</v>
      </c>
      <c r="O1098" t="s">
        <v>72</v>
      </c>
      <c r="P1098" t="s">
        <v>73</v>
      </c>
    </row>
    <row r="1099" spans="1:24" ht="15.75" customHeight="1" x14ac:dyDescent="0.3">
      <c r="A1099">
        <v>549</v>
      </c>
      <c r="B1099" s="16" t="s">
        <v>630</v>
      </c>
      <c r="C1099" s="7">
        <f>Rankings!L558</f>
        <v>10.803629168355604</v>
      </c>
      <c r="D1099" s="7">
        <f>Rankings!M558</f>
        <v>5.4711982841286266</v>
      </c>
      <c r="E1099" s="7">
        <f>Rankings!N558</f>
        <v>2.7158384396175066</v>
      </c>
      <c r="F1099" s="7">
        <f>Rankings!O558</f>
        <v>2.1867815224435101</v>
      </c>
      <c r="G1099" s="7">
        <f>Rankings!P558</f>
        <v>1.2538815092968505</v>
      </c>
      <c r="H1099" s="7">
        <f>Rankings!Q558</f>
        <v>1</v>
      </c>
      <c r="I1099" s="7">
        <f>Rankings!R558</f>
        <v>23.431328923842099</v>
      </c>
      <c r="K1099" s="7">
        <f>G1099</f>
        <v>1.2538815092968505</v>
      </c>
      <c r="L1099" s="7">
        <f>F1099</f>
        <v>2.1867815224435101</v>
      </c>
      <c r="M1099" s="7">
        <f>D1099</f>
        <v>5.4711982841286266</v>
      </c>
      <c r="N1099" s="7">
        <f>H1099</f>
        <v>1</v>
      </c>
      <c r="O1099" s="7">
        <f>C1099</f>
        <v>10.803629168355604</v>
      </c>
      <c r="P1099" s="7">
        <f>E1099</f>
        <v>2.7158384396175066</v>
      </c>
      <c r="R1099" s="7">
        <f t="shared" ref="R1099:W1099" si="925">K1099/$I1099</f>
        <v>5.3513034338440249E-2</v>
      </c>
      <c r="S1099" s="7">
        <f t="shared" si="925"/>
        <v>9.3327251286135657E-2</v>
      </c>
      <c r="T1099" s="7">
        <f t="shared" si="925"/>
        <v>0.23349927363964038</v>
      </c>
      <c r="U1099" s="7">
        <f t="shared" si="925"/>
        <v>4.2677903726684029E-2</v>
      </c>
      <c r="V1099" s="7">
        <f t="shared" si="925"/>
        <v>0.4610762455458759</v>
      </c>
      <c r="W1099" s="7">
        <f t="shared" si="925"/>
        <v>0.11590629146322373</v>
      </c>
      <c r="X1099" s="7">
        <f>SUM(R1099:W1099)</f>
        <v>0.99999999999999989</v>
      </c>
    </row>
    <row r="1100" spans="1:24" ht="15.75" customHeight="1" x14ac:dyDescent="0.3">
      <c r="C1100" t="s">
        <v>72</v>
      </c>
      <c r="D1100" t="s">
        <v>70</v>
      </c>
      <c r="E1100" t="s">
        <v>73</v>
      </c>
      <c r="F1100" t="s">
        <v>69</v>
      </c>
      <c r="G1100" t="s">
        <v>71</v>
      </c>
      <c r="H1100" t="s">
        <v>68</v>
      </c>
      <c r="K1100" t="s">
        <v>68</v>
      </c>
      <c r="L1100" t="s">
        <v>69</v>
      </c>
      <c r="M1100" t="s">
        <v>70</v>
      </c>
      <c r="N1100" t="s">
        <v>71</v>
      </c>
      <c r="O1100" t="s">
        <v>72</v>
      </c>
      <c r="P1100" t="s">
        <v>73</v>
      </c>
    </row>
    <row r="1101" spans="1:24" ht="15.75" customHeight="1" x14ac:dyDescent="0.3">
      <c r="A1101">
        <v>550</v>
      </c>
      <c r="B1101" s="16" t="s">
        <v>631</v>
      </c>
      <c r="C1101" s="7">
        <f>Rankings!L559</f>
        <v>13.108605915109573</v>
      </c>
      <c r="D1101" s="7">
        <f>Rankings!M559</f>
        <v>6.6384898141577144</v>
      </c>
      <c r="E1101" s="7">
        <f>Rankings!N559</f>
        <v>3.2952682176771457</v>
      </c>
      <c r="F1101" s="7">
        <f>Rankings!O559</f>
        <v>2.653335907170761</v>
      </c>
      <c r="G1101" s="7">
        <f>Rankings!P559</f>
        <v>2.9131157743633094</v>
      </c>
      <c r="H1101" s="7">
        <f>Rankings!Q559</f>
        <v>1</v>
      </c>
      <c r="I1101" s="7">
        <f>Rankings!R559</f>
        <v>29.608815628478503</v>
      </c>
      <c r="K1101" s="7">
        <f>H1101</f>
        <v>1</v>
      </c>
      <c r="L1101" s="7">
        <f>F1101</f>
        <v>2.653335907170761</v>
      </c>
      <c r="M1101" s="7">
        <f>D1101</f>
        <v>6.6384898141577144</v>
      </c>
      <c r="N1101" s="7">
        <f>G1101</f>
        <v>2.9131157743633094</v>
      </c>
      <c r="O1101" s="7">
        <f>C1101</f>
        <v>13.108605915109573</v>
      </c>
      <c r="P1101" s="7">
        <f>E1101</f>
        <v>3.2952682176771457</v>
      </c>
      <c r="R1101" s="7">
        <f t="shared" ref="R1101:W1101" si="926">K1101/$I1101</f>
        <v>3.3773725114427569E-2</v>
      </c>
      <c r="S1101" s="7">
        <f t="shared" si="926"/>
        <v>8.9613037565025588E-2</v>
      </c>
      <c r="T1101" s="7">
        <f t="shared" si="926"/>
        <v>0.22420653015829003</v>
      </c>
      <c r="U1101" s="7">
        <f t="shared" si="926"/>
        <v>9.838677138984922E-2</v>
      </c>
      <c r="V1101" s="7">
        <f t="shared" si="926"/>
        <v>0.44272645281027001</v>
      </c>
      <c r="W1101" s="7">
        <f t="shared" si="926"/>
        <v>0.1112934829621376</v>
      </c>
      <c r="X1101" s="7">
        <f>SUM(R1101:W1101)</f>
        <v>1</v>
      </c>
    </row>
    <row r="1102" spans="1:24" ht="15.75" customHeight="1" x14ac:dyDescent="0.3">
      <c r="C1102" t="s">
        <v>72</v>
      </c>
      <c r="D1102" t="s">
        <v>70</v>
      </c>
      <c r="E1102" t="s">
        <v>73</v>
      </c>
      <c r="F1102" t="s">
        <v>71</v>
      </c>
      <c r="G1102" t="s">
        <v>68</v>
      </c>
      <c r="H1102" t="s">
        <v>69</v>
      </c>
      <c r="K1102" t="s">
        <v>68</v>
      </c>
      <c r="L1102" t="s">
        <v>69</v>
      </c>
      <c r="M1102" t="s">
        <v>70</v>
      </c>
      <c r="N1102" t="s">
        <v>71</v>
      </c>
      <c r="O1102" t="s">
        <v>72</v>
      </c>
      <c r="P1102" t="s">
        <v>73</v>
      </c>
    </row>
    <row r="1103" spans="1:24" ht="15.75" customHeight="1" x14ac:dyDescent="0.3">
      <c r="A1103">
        <v>551</v>
      </c>
      <c r="B1103" s="16" t="s">
        <v>632</v>
      </c>
      <c r="C1103" s="7">
        <f>Rankings!L560</f>
        <v>16.827766245630691</v>
      </c>
      <c r="D1103" s="7">
        <f>Rankings!M560</f>
        <v>8.5219553887025654</v>
      </c>
      <c r="E1103" s="7">
        <f>Rankings!N560</f>
        <v>4.2301983630319224</v>
      </c>
      <c r="F1103" s="7">
        <f>Rankings!O560</f>
        <v>4.7697444112251226</v>
      </c>
      <c r="G1103" s="7">
        <f>Rankings!P560</f>
        <v>1.6373343116675814</v>
      </c>
      <c r="H1103" s="7">
        <f>Rankings!Q560</f>
        <v>1</v>
      </c>
      <c r="I1103" s="7">
        <f>Rankings!R560</f>
        <v>36.98699872025788</v>
      </c>
      <c r="K1103" s="7">
        <f t="shared" ref="K1103:L1103" si="927">G1103</f>
        <v>1.6373343116675814</v>
      </c>
      <c r="L1103" s="7">
        <f t="shared" si="927"/>
        <v>1</v>
      </c>
      <c r="M1103" s="7">
        <f>D1103</f>
        <v>8.5219553887025654</v>
      </c>
      <c r="N1103" s="7">
        <f>F1103</f>
        <v>4.7697444112251226</v>
      </c>
      <c r="O1103" s="7">
        <f>C1103</f>
        <v>16.827766245630691</v>
      </c>
      <c r="P1103" s="7">
        <f>E1103</f>
        <v>4.2301983630319224</v>
      </c>
      <c r="R1103" s="7">
        <f t="shared" ref="R1103:W1103" si="928">K1103/$I1103</f>
        <v>4.4267833788060477E-2</v>
      </c>
      <c r="S1103" s="7">
        <f t="shared" si="928"/>
        <v>2.7036527282552864E-2</v>
      </c>
      <c r="T1103" s="7">
        <f t="shared" si="928"/>
        <v>0.2304040793673553</v>
      </c>
      <c r="U1103" s="7">
        <f t="shared" si="928"/>
        <v>0.12895732490489206</v>
      </c>
      <c r="V1103" s="7">
        <f t="shared" si="928"/>
        <v>0.45496436120441636</v>
      </c>
      <c r="W1103" s="7">
        <f t="shared" si="928"/>
        <v>0.11436987345272304</v>
      </c>
      <c r="X1103" s="7">
        <f>SUM(R1103:W1103)</f>
        <v>1</v>
      </c>
    </row>
    <row r="1104" spans="1:24" ht="15.75" customHeight="1" x14ac:dyDescent="0.3">
      <c r="C1104" t="s">
        <v>72</v>
      </c>
      <c r="D1104" t="s">
        <v>70</v>
      </c>
      <c r="E1104" t="s">
        <v>73</v>
      </c>
      <c r="F1104" t="s">
        <v>71</v>
      </c>
      <c r="G1104" t="s">
        <v>69</v>
      </c>
      <c r="H1104" t="s">
        <v>68</v>
      </c>
      <c r="K1104" t="s">
        <v>68</v>
      </c>
      <c r="L1104" t="s">
        <v>69</v>
      </c>
      <c r="M1104" t="s">
        <v>70</v>
      </c>
      <c r="N1104" t="s">
        <v>71</v>
      </c>
      <c r="O1104" t="s">
        <v>72</v>
      </c>
      <c r="P1104" t="s">
        <v>73</v>
      </c>
    </row>
    <row r="1105" spans="1:24" ht="15.75" customHeight="1" x14ac:dyDescent="0.3">
      <c r="A1105">
        <v>552</v>
      </c>
      <c r="B1105" s="16" t="s">
        <v>633</v>
      </c>
      <c r="C1105" s="7">
        <f>Rankings!L561</f>
        <v>8.8456363517787384</v>
      </c>
      <c r="D1105" s="7">
        <f>Rankings!M561</f>
        <v>4.4796271397053067</v>
      </c>
      <c r="E1105" s="7">
        <f>Rankings!N561</f>
        <v>2.2236341929806538</v>
      </c>
      <c r="F1105" s="7">
        <f>Rankings!O561</f>
        <v>2.5072504536115345</v>
      </c>
      <c r="G1105" s="7">
        <f>Rankings!P561</f>
        <v>1.7440097060445605</v>
      </c>
      <c r="H1105" s="7">
        <f>Rankings!Q561</f>
        <v>1</v>
      </c>
      <c r="I1105" s="7">
        <f>Rankings!R561</f>
        <v>20.800157844120793</v>
      </c>
      <c r="K1105" s="7">
        <f>H1105</f>
        <v>1</v>
      </c>
      <c r="L1105" s="7">
        <f>G1105</f>
        <v>1.7440097060445605</v>
      </c>
      <c r="M1105" s="7">
        <f>D1105</f>
        <v>4.4796271397053067</v>
      </c>
      <c r="N1105" s="7">
        <f>F1105</f>
        <v>2.5072504536115345</v>
      </c>
      <c r="O1105" s="7">
        <f>C1105</f>
        <v>8.8456363517787384</v>
      </c>
      <c r="P1105" s="7">
        <f>E1105</f>
        <v>2.2236341929806538</v>
      </c>
      <c r="R1105" s="7">
        <f t="shared" ref="R1105:W1105" si="929">K1105/$I1105</f>
        <v>4.8076558240285276E-2</v>
      </c>
      <c r="S1105" s="7">
        <f t="shared" si="929"/>
        <v>8.3845984204274124E-2</v>
      </c>
      <c r="T1105" s="7">
        <f t="shared" si="929"/>
        <v>0.21536505507680473</v>
      </c>
      <c r="U1105" s="7">
        <f t="shared" si="929"/>
        <v>0.12053997245603662</v>
      </c>
      <c r="V1105" s="7">
        <f t="shared" si="929"/>
        <v>0.42526775123867511</v>
      </c>
      <c r="W1105" s="7">
        <f t="shared" si="929"/>
        <v>0.10690467878392415</v>
      </c>
      <c r="X1105" s="7">
        <f>SUM(R1105:W1105)</f>
        <v>1</v>
      </c>
    </row>
    <row r="1106" spans="1:24" ht="15.75" customHeight="1" x14ac:dyDescent="0.3">
      <c r="C1106" t="s">
        <v>72</v>
      </c>
      <c r="D1106" t="s">
        <v>71</v>
      </c>
      <c r="E1106" t="s">
        <v>68</v>
      </c>
      <c r="F1106" t="s">
        <v>69</v>
      </c>
      <c r="G1106" t="s">
        <v>70</v>
      </c>
      <c r="H1106" t="s">
        <v>73</v>
      </c>
      <c r="K1106" t="s">
        <v>68</v>
      </c>
      <c r="L1106" t="s">
        <v>69</v>
      </c>
      <c r="M1106" t="s">
        <v>70</v>
      </c>
      <c r="N1106" t="s">
        <v>71</v>
      </c>
      <c r="O1106" t="s">
        <v>72</v>
      </c>
      <c r="P1106" t="s">
        <v>73</v>
      </c>
    </row>
    <row r="1107" spans="1:24" ht="15.75" customHeight="1" x14ac:dyDescent="0.3">
      <c r="A1107">
        <v>553</v>
      </c>
      <c r="B1107" s="16" t="s">
        <v>634</v>
      </c>
      <c r="C1107" s="7">
        <f>Rankings!L562</f>
        <v>16.388985014901561</v>
      </c>
      <c r="D1107" s="7">
        <f>Rankings!M562</f>
        <v>13.069296270769891</v>
      </c>
      <c r="E1107" s="7">
        <f>Rankings!N562</f>
        <v>4.4863634963585737</v>
      </c>
      <c r="F1107" s="7">
        <f>Rankings!O562</f>
        <v>2.740041214789747</v>
      </c>
      <c r="G1107" s="7">
        <f>Rankings!P562</f>
        <v>2.0145521929129111</v>
      </c>
      <c r="H1107" s="7">
        <f>Rankings!Q562</f>
        <v>1</v>
      </c>
      <c r="I1107" s="7">
        <f>Rankings!R562</f>
        <v>39.699238189732682</v>
      </c>
      <c r="K1107" s="7">
        <f t="shared" ref="K1107:M1107" si="930">E1107</f>
        <v>4.4863634963585737</v>
      </c>
      <c r="L1107" s="7">
        <f t="shared" si="930"/>
        <v>2.740041214789747</v>
      </c>
      <c r="M1107" s="7">
        <f t="shared" si="930"/>
        <v>2.0145521929129111</v>
      </c>
      <c r="N1107" s="7">
        <f>D1107</f>
        <v>13.069296270769891</v>
      </c>
      <c r="O1107" s="7">
        <f>C1107</f>
        <v>16.388985014901561</v>
      </c>
      <c r="P1107" s="7">
        <f>H1107</f>
        <v>1</v>
      </c>
      <c r="R1107" s="7">
        <f t="shared" ref="R1107:W1107" si="931">K1107/$I1107</f>
        <v>0.11300880573367957</v>
      </c>
      <c r="S1107" s="7">
        <f t="shared" si="931"/>
        <v>6.9019994834520454E-2</v>
      </c>
      <c r="T1107" s="7">
        <f t="shared" si="931"/>
        <v>5.0745361492451256E-2</v>
      </c>
      <c r="U1107" s="7">
        <f t="shared" si="931"/>
        <v>0.32920773462474079</v>
      </c>
      <c r="V1107" s="7">
        <f t="shared" si="931"/>
        <v>0.41282870307421177</v>
      </c>
      <c r="W1107" s="7">
        <f t="shared" si="931"/>
        <v>2.5189400240396238E-2</v>
      </c>
      <c r="X1107" s="7">
        <f>SUM(R1107:W1107)</f>
        <v>1.0000000000000002</v>
      </c>
    </row>
    <row r="1108" spans="1:24" ht="15.75" customHeight="1" x14ac:dyDescent="0.3">
      <c r="C1108" t="s">
        <v>72</v>
      </c>
      <c r="D1108" t="s">
        <v>71</v>
      </c>
      <c r="E1108" t="s">
        <v>68</v>
      </c>
      <c r="F1108" t="s">
        <v>69</v>
      </c>
      <c r="G1108" t="s">
        <v>73</v>
      </c>
      <c r="H1108" t="s">
        <v>70</v>
      </c>
      <c r="K1108" t="s">
        <v>68</v>
      </c>
      <c r="L1108" t="s">
        <v>69</v>
      </c>
      <c r="M1108" t="s">
        <v>70</v>
      </c>
      <c r="N1108" t="s">
        <v>71</v>
      </c>
      <c r="O1108" t="s">
        <v>72</v>
      </c>
      <c r="P1108" t="s">
        <v>73</v>
      </c>
    </row>
    <row r="1109" spans="1:24" ht="15.75" customHeight="1" x14ac:dyDescent="0.3">
      <c r="A1109">
        <v>554</v>
      </c>
      <c r="B1109" s="16" t="s">
        <v>635</v>
      </c>
      <c r="C1109" s="7">
        <f>Rankings!L563</f>
        <v>11.208759883163538</v>
      </c>
      <c r="D1109" s="7">
        <f>Rankings!M563</f>
        <v>8.9383572934985853</v>
      </c>
      <c r="E1109" s="7">
        <f>Rankings!N563</f>
        <v>3.0683151600633356</v>
      </c>
      <c r="F1109" s="7">
        <f>Rankings!O563</f>
        <v>1.8739698656521393</v>
      </c>
      <c r="G1109" s="7">
        <f>Rankings!P563</f>
        <v>1.4032439022773779</v>
      </c>
      <c r="H1109" s="7">
        <f>Rankings!Q563</f>
        <v>1</v>
      </c>
      <c r="I1109" s="7">
        <f>Rankings!R563</f>
        <v>27.492646104654973</v>
      </c>
      <c r="K1109" s="7">
        <f t="shared" ref="K1109:L1109" si="932">E1109</f>
        <v>3.0683151600633356</v>
      </c>
      <c r="L1109" s="7">
        <f t="shared" si="932"/>
        <v>1.8739698656521393</v>
      </c>
      <c r="M1109" s="7">
        <f>H1109</f>
        <v>1</v>
      </c>
      <c r="N1109" s="7">
        <f>D1109</f>
        <v>8.9383572934985853</v>
      </c>
      <c r="O1109" s="7">
        <f>C1109</f>
        <v>11.208759883163538</v>
      </c>
      <c r="P1109" s="7">
        <f>G1109</f>
        <v>1.4032439022773779</v>
      </c>
      <c r="R1109" s="7">
        <f t="shared" ref="R1109:W1109" si="933">K1109/$I1109</f>
        <v>0.11160494149538475</v>
      </c>
      <c r="S1109" s="7">
        <f t="shared" si="933"/>
        <v>6.8162586406509781E-2</v>
      </c>
      <c r="T1109" s="7">
        <f t="shared" si="933"/>
        <v>3.6373363123845794E-2</v>
      </c>
      <c r="U1109" s="7">
        <f t="shared" si="933"/>
        <v>0.32511811556709957</v>
      </c>
      <c r="V1109" s="7">
        <f t="shared" si="933"/>
        <v>0.40770029339830272</v>
      </c>
      <c r="W1109" s="7">
        <f t="shared" si="933"/>
        <v>5.1040700008857451E-2</v>
      </c>
      <c r="X1109" s="7">
        <f>SUM(R1109:W1109)</f>
        <v>1</v>
      </c>
    </row>
    <row r="1110" spans="1:24" ht="15.75" customHeight="1" x14ac:dyDescent="0.3">
      <c r="C1110" t="s">
        <v>72</v>
      </c>
      <c r="D1110" t="s">
        <v>71</v>
      </c>
      <c r="E1110" t="s">
        <v>68</v>
      </c>
      <c r="F1110" t="s">
        <v>70</v>
      </c>
      <c r="G1110" t="s">
        <v>69</v>
      </c>
      <c r="H1110" t="s">
        <v>73</v>
      </c>
      <c r="K1110" t="s">
        <v>68</v>
      </c>
      <c r="L1110" t="s">
        <v>69</v>
      </c>
      <c r="M1110" t="s">
        <v>70</v>
      </c>
      <c r="N1110" t="s">
        <v>71</v>
      </c>
      <c r="O1110" t="s">
        <v>72</v>
      </c>
      <c r="P1110" t="s">
        <v>73</v>
      </c>
    </row>
    <row r="1111" spans="1:24" ht="15.75" customHeight="1" x14ac:dyDescent="0.3">
      <c r="A1111">
        <v>555</v>
      </c>
      <c r="B1111" s="16" t="s">
        <v>636</v>
      </c>
      <c r="C1111" s="7">
        <f>Rankings!L564</f>
        <v>8.1409883984364519</v>
      </c>
      <c r="D1111" s="7">
        <f>Rankings!M564</f>
        <v>6.4919816095582359</v>
      </c>
      <c r="E1111" s="7">
        <f>Rankings!N564</f>
        <v>2.2285353938523516</v>
      </c>
      <c r="F1111" s="7">
        <f>Rankings!O564</f>
        <v>2.0111729678309791</v>
      </c>
      <c r="G1111" s="7">
        <f>Rankings!P564</f>
        <v>1.3354555559520354</v>
      </c>
      <c r="H1111" s="7">
        <f>Rankings!Q564</f>
        <v>1</v>
      </c>
      <c r="I1111" s="7">
        <f>Rankings!R564</f>
        <v>21.208133925630055</v>
      </c>
      <c r="K1111" s="7">
        <f>E1111</f>
        <v>2.2285353938523516</v>
      </c>
      <c r="L1111" s="7">
        <f>G1111</f>
        <v>1.3354555559520354</v>
      </c>
      <c r="M1111" s="7">
        <f>F1111</f>
        <v>2.0111729678309791</v>
      </c>
      <c r="N1111" s="7">
        <f>D1111</f>
        <v>6.4919816095582359</v>
      </c>
      <c r="O1111" s="7">
        <f>C1111</f>
        <v>8.1409883984364519</v>
      </c>
      <c r="P1111" s="7">
        <f>H1111</f>
        <v>1</v>
      </c>
      <c r="R1111" s="7">
        <f t="shared" ref="R1111:W1111" si="934">K1111/$I1111</f>
        <v>0.10507927768030378</v>
      </c>
      <c r="S1111" s="7">
        <f t="shared" si="934"/>
        <v>6.2969026913685028E-2</v>
      </c>
      <c r="T1111" s="7">
        <f t="shared" si="934"/>
        <v>9.4830265354014676E-2</v>
      </c>
      <c r="U1111" s="7">
        <f t="shared" si="934"/>
        <v>0.30610810136919536</v>
      </c>
      <c r="V1111" s="7">
        <f t="shared" si="934"/>
        <v>0.38386160833311495</v>
      </c>
      <c r="W1111" s="7">
        <f t="shared" si="934"/>
        <v>4.7151720349686156E-2</v>
      </c>
      <c r="X1111" s="7">
        <f>SUM(R1111:W1111)</f>
        <v>1</v>
      </c>
    </row>
    <row r="1112" spans="1:24" ht="15.75" customHeight="1" x14ac:dyDescent="0.3">
      <c r="C1112" t="s">
        <v>72</v>
      </c>
      <c r="D1112" t="s">
        <v>71</v>
      </c>
      <c r="E1112" t="s">
        <v>68</v>
      </c>
      <c r="F1112" t="s">
        <v>70</v>
      </c>
      <c r="G1112" t="s">
        <v>73</v>
      </c>
      <c r="H1112" t="s">
        <v>69</v>
      </c>
      <c r="K1112" t="s">
        <v>68</v>
      </c>
      <c r="L1112" t="s">
        <v>69</v>
      </c>
      <c r="M1112" t="s">
        <v>70</v>
      </c>
      <c r="N1112" t="s">
        <v>71</v>
      </c>
      <c r="O1112" t="s">
        <v>72</v>
      </c>
      <c r="P1112" t="s">
        <v>73</v>
      </c>
    </row>
    <row r="1113" spans="1:24" ht="15.75" customHeight="1" x14ac:dyDescent="0.3">
      <c r="A1113">
        <v>556</v>
      </c>
      <c r="B1113" s="16" t="s">
        <v>637</v>
      </c>
      <c r="C1113" s="7">
        <f>Rankings!L565</f>
        <v>10.127558762323611</v>
      </c>
      <c r="D1113" s="7">
        <f>Rankings!M565</f>
        <v>8.0761600455483649</v>
      </c>
      <c r="E1113" s="7">
        <f>Rankings!N565</f>
        <v>2.7723443457421433</v>
      </c>
      <c r="F1113" s="7">
        <f>Rankings!O565</f>
        <v>2.5019409703147248</v>
      </c>
      <c r="G1113" s="7">
        <f>Rankings!P565</f>
        <v>1.2419340531937677</v>
      </c>
      <c r="H1113" s="7">
        <f>Rankings!Q565</f>
        <v>1</v>
      </c>
      <c r="I1113" s="7">
        <f>Rankings!R565</f>
        <v>25.719938177122611</v>
      </c>
      <c r="K1113" s="7">
        <f>E1113</f>
        <v>2.7723443457421433</v>
      </c>
      <c r="L1113" s="7">
        <f>H1113</f>
        <v>1</v>
      </c>
      <c r="M1113" s="7">
        <f>F1113</f>
        <v>2.5019409703147248</v>
      </c>
      <c r="N1113" s="7">
        <f>D1113</f>
        <v>8.0761600455483649</v>
      </c>
      <c r="O1113" s="7">
        <f>C1113</f>
        <v>10.127558762323611</v>
      </c>
      <c r="P1113" s="7">
        <f>G1113</f>
        <v>1.2419340531937677</v>
      </c>
      <c r="R1113" s="7">
        <f t="shared" ref="R1113:W1113" si="935">K1113/$I1113</f>
        <v>0.1077896971077516</v>
      </c>
      <c r="S1113" s="7">
        <f t="shared" si="935"/>
        <v>3.8880342289838034E-2</v>
      </c>
      <c r="T1113" s="7">
        <f t="shared" si="935"/>
        <v>9.7276321314806E-2</v>
      </c>
      <c r="U1113" s="7">
        <f t="shared" si="935"/>
        <v>0.31400386695843435</v>
      </c>
      <c r="V1113" s="7">
        <f t="shared" si="935"/>
        <v>0.39376295123959043</v>
      </c>
      <c r="W1113" s="7">
        <f t="shared" si="935"/>
        <v>4.8286821089579608E-2</v>
      </c>
      <c r="X1113" s="7">
        <f>SUM(R1113:W1113)</f>
        <v>0.99999999999999989</v>
      </c>
    </row>
    <row r="1114" spans="1:24" ht="15.75" customHeight="1" x14ac:dyDescent="0.3">
      <c r="C1114" t="s">
        <v>72</v>
      </c>
      <c r="D1114" t="s">
        <v>71</v>
      </c>
      <c r="E1114" t="s">
        <v>68</v>
      </c>
      <c r="F1114" t="s">
        <v>73</v>
      </c>
      <c r="G1114" t="s">
        <v>69</v>
      </c>
      <c r="H1114" t="s">
        <v>70</v>
      </c>
      <c r="K1114" t="s">
        <v>68</v>
      </c>
      <c r="L1114" t="s">
        <v>69</v>
      </c>
      <c r="M1114" t="s">
        <v>70</v>
      </c>
      <c r="N1114" t="s">
        <v>71</v>
      </c>
      <c r="O1114" t="s">
        <v>72</v>
      </c>
      <c r="P1114" t="s">
        <v>73</v>
      </c>
    </row>
    <row r="1115" spans="1:24" ht="15.75" customHeight="1" x14ac:dyDescent="0.3">
      <c r="A1115">
        <v>557</v>
      </c>
      <c r="B1115" s="16" t="s">
        <v>638</v>
      </c>
      <c r="C1115" s="7">
        <f>Rankings!L566</f>
        <v>7.1663825520128439</v>
      </c>
      <c r="D1115" s="7">
        <f>Rankings!M566</f>
        <v>5.7147881138931194</v>
      </c>
      <c r="E1115" s="7">
        <f>Rankings!N566</f>
        <v>1.9617442479237348</v>
      </c>
      <c r="F1115" s="7">
        <f>Rankings!O566</f>
        <v>1.6891845759932191</v>
      </c>
      <c r="G1115" s="7">
        <f>Rankings!P566</f>
        <v>1.3601242124324544</v>
      </c>
      <c r="H1115" s="7">
        <f>Rankings!Q566</f>
        <v>1</v>
      </c>
      <c r="I1115" s="7">
        <f>Rankings!R566</f>
        <v>18.892223702255368</v>
      </c>
      <c r="K1115" s="7">
        <f>E1115</f>
        <v>1.9617442479237348</v>
      </c>
      <c r="L1115" s="7">
        <f t="shared" ref="L1115:M1115" si="936">G1115</f>
        <v>1.3601242124324544</v>
      </c>
      <c r="M1115" s="7">
        <f t="shared" si="936"/>
        <v>1</v>
      </c>
      <c r="N1115" s="7">
        <f>D1115</f>
        <v>5.7147881138931194</v>
      </c>
      <c r="O1115" s="7">
        <f>C1115</f>
        <v>7.1663825520128439</v>
      </c>
      <c r="P1115" s="7">
        <f>F1115</f>
        <v>1.6891845759932191</v>
      </c>
      <c r="R1115" s="7">
        <f t="shared" ref="R1115:W1115" si="937">K1115/$I1115</f>
        <v>0.10383871580398131</v>
      </c>
      <c r="S1115" s="7">
        <f t="shared" si="937"/>
        <v>7.1993865511452829E-2</v>
      </c>
      <c r="T1115" s="7">
        <f t="shared" si="937"/>
        <v>5.2931831411705085E-2</v>
      </c>
      <c r="U1115" s="7">
        <f t="shared" si="937"/>
        <v>0.30249420099820667</v>
      </c>
      <c r="V1115" s="7">
        <f t="shared" si="937"/>
        <v>0.37932975307492867</v>
      </c>
      <c r="W1115" s="7">
        <f t="shared" si="937"/>
        <v>8.9411633199725615E-2</v>
      </c>
      <c r="X1115" s="7">
        <f>SUM(R1115:W1115)</f>
        <v>1.0000000000000002</v>
      </c>
    </row>
    <row r="1116" spans="1:24" ht="15.75" customHeight="1" x14ac:dyDescent="0.3">
      <c r="C1116" t="s">
        <v>72</v>
      </c>
      <c r="D1116" t="s">
        <v>71</v>
      </c>
      <c r="E1116" t="s">
        <v>68</v>
      </c>
      <c r="F1116" t="s">
        <v>73</v>
      </c>
      <c r="G1116" t="s">
        <v>70</v>
      </c>
      <c r="H1116" t="s">
        <v>69</v>
      </c>
      <c r="K1116" t="s">
        <v>68</v>
      </c>
      <c r="L1116" t="s">
        <v>69</v>
      </c>
      <c r="M1116" t="s">
        <v>70</v>
      </c>
      <c r="N1116" t="s">
        <v>71</v>
      </c>
      <c r="O1116" t="s">
        <v>72</v>
      </c>
      <c r="P1116" t="s">
        <v>73</v>
      </c>
    </row>
    <row r="1117" spans="1:24" ht="15.75" customHeight="1" x14ac:dyDescent="0.3">
      <c r="A1117">
        <v>558</v>
      </c>
      <c r="B1117" s="16" t="s">
        <v>639</v>
      </c>
      <c r="C1117" s="7">
        <f>Rankings!L567</f>
        <v>8.965531236171179</v>
      </c>
      <c r="D1117" s="7">
        <f>Rankings!M567</f>
        <v>7.1495082730153285</v>
      </c>
      <c r="E1117" s="7">
        <f>Rankings!N567</f>
        <v>2.4542479004556301</v>
      </c>
      <c r="F1117" s="7">
        <f>Rankings!O567</f>
        <v>2.113261044858973</v>
      </c>
      <c r="G1117" s="7">
        <f>Rankings!P567</f>
        <v>1.5059827029565431</v>
      </c>
      <c r="H1117" s="7">
        <f>Rankings!Q567</f>
        <v>1</v>
      </c>
      <c r="I1117" s="7">
        <f>Rankings!R567</f>
        <v>23.188531157457657</v>
      </c>
      <c r="K1117" s="7">
        <f>E1117</f>
        <v>2.4542479004556301</v>
      </c>
      <c r="L1117" s="7">
        <f>H1117</f>
        <v>1</v>
      </c>
      <c r="M1117" s="7">
        <f>G1117</f>
        <v>1.5059827029565431</v>
      </c>
      <c r="N1117" s="7">
        <f>D1117</f>
        <v>7.1495082730153285</v>
      </c>
      <c r="O1117" s="7">
        <f>C1117</f>
        <v>8.965531236171179</v>
      </c>
      <c r="P1117" s="7">
        <f>F1117</f>
        <v>2.113261044858973</v>
      </c>
      <c r="R1117" s="7">
        <f t="shared" ref="R1117:W1117" si="938">K1117/$I1117</f>
        <v>0.10583886852472414</v>
      </c>
      <c r="S1117" s="7">
        <f t="shared" si="938"/>
        <v>4.312476686037918E-2</v>
      </c>
      <c r="T1117" s="7">
        <f t="shared" si="938"/>
        <v>6.4945152960764585E-2</v>
      </c>
      <c r="U1117" s="7">
        <f t="shared" si="938"/>
        <v>0.3083208774401382</v>
      </c>
      <c r="V1117" s="7">
        <f t="shared" si="938"/>
        <v>0.38663644433932925</v>
      </c>
      <c r="W1117" s="7">
        <f t="shared" si="938"/>
        <v>9.1133889874664517E-2</v>
      </c>
      <c r="X1117" s="7">
        <f>SUM(R1117:W1117)</f>
        <v>1</v>
      </c>
    </row>
    <row r="1118" spans="1:24" ht="15.75" customHeight="1" x14ac:dyDescent="0.3">
      <c r="C1118" t="s">
        <v>72</v>
      </c>
      <c r="D1118" t="s">
        <v>71</v>
      </c>
      <c r="E1118" t="s">
        <v>69</v>
      </c>
      <c r="F1118" t="s">
        <v>68</v>
      </c>
      <c r="G1118" t="s">
        <v>70</v>
      </c>
      <c r="H1118" t="s">
        <v>73</v>
      </c>
      <c r="K1118" t="s">
        <v>68</v>
      </c>
      <c r="L1118" t="s">
        <v>69</v>
      </c>
      <c r="M1118" t="s">
        <v>70</v>
      </c>
      <c r="N1118" t="s">
        <v>71</v>
      </c>
      <c r="O1118" t="s">
        <v>72</v>
      </c>
      <c r="P1118" t="s">
        <v>73</v>
      </c>
    </row>
    <row r="1119" spans="1:24" ht="15.75" customHeight="1" x14ac:dyDescent="0.3">
      <c r="A1119">
        <v>559</v>
      </c>
      <c r="B1119" s="16" t="s">
        <v>640</v>
      </c>
      <c r="C1119" s="7">
        <f>Rankings!L568</f>
        <v>7.0185307985960756</v>
      </c>
      <c r="D1119" s="7">
        <f>Rankings!M568</f>
        <v>5.5968846337325333</v>
      </c>
      <c r="E1119" s="7">
        <f>Rankings!N568</f>
        <v>3.8931177022148158</v>
      </c>
      <c r="F1119" s="7">
        <f>Rankings!O568</f>
        <v>2.2322798369307613</v>
      </c>
      <c r="G1119" s="7">
        <f>Rankings!P568</f>
        <v>2.0145521929129111</v>
      </c>
      <c r="H1119" s="7">
        <f>Rankings!Q568</f>
        <v>1</v>
      </c>
      <c r="I1119" s="7">
        <f>Rankings!R568</f>
        <v>21.755365164387097</v>
      </c>
      <c r="K1119" s="7">
        <f>F1119</f>
        <v>2.2322798369307613</v>
      </c>
      <c r="L1119" s="7">
        <f>E1119</f>
        <v>3.8931177022148158</v>
      </c>
      <c r="M1119" s="7">
        <f>G1119</f>
        <v>2.0145521929129111</v>
      </c>
      <c r="N1119" s="7">
        <f>D1119</f>
        <v>5.5968846337325333</v>
      </c>
      <c r="O1119" s="7">
        <f>C1119</f>
        <v>7.0185307985960756</v>
      </c>
      <c r="P1119" s="7">
        <f>H1119</f>
        <v>1</v>
      </c>
      <c r="R1119" s="7">
        <f t="shared" ref="R1119:W1119" si="939">K1119/$I1119</f>
        <v>0.10260824491169372</v>
      </c>
      <c r="S1119" s="7">
        <f t="shared" si="939"/>
        <v>0.17894977504619122</v>
      </c>
      <c r="T1119" s="7">
        <f t="shared" si="939"/>
        <v>9.2600247235136032E-2</v>
      </c>
      <c r="U1119" s="7">
        <f t="shared" si="939"/>
        <v>0.2572645685991275</v>
      </c>
      <c r="V1119" s="7">
        <f t="shared" si="939"/>
        <v>0.3226114912603355</v>
      </c>
      <c r="W1119" s="7">
        <f t="shared" si="939"/>
        <v>4.5965672947516002E-2</v>
      </c>
      <c r="X1119" s="7">
        <f>SUM(R1119:W1119)</f>
        <v>1</v>
      </c>
    </row>
    <row r="1120" spans="1:24" ht="15.75" customHeight="1" x14ac:dyDescent="0.3">
      <c r="C1120" t="s">
        <v>72</v>
      </c>
      <c r="D1120" t="s">
        <v>71</v>
      </c>
      <c r="E1120" t="s">
        <v>69</v>
      </c>
      <c r="F1120" t="s">
        <v>68</v>
      </c>
      <c r="G1120" t="s">
        <v>73</v>
      </c>
      <c r="H1120" t="s">
        <v>70</v>
      </c>
      <c r="K1120" t="s">
        <v>68</v>
      </c>
      <c r="L1120" t="s">
        <v>69</v>
      </c>
      <c r="M1120" t="s">
        <v>70</v>
      </c>
      <c r="N1120" t="s">
        <v>71</v>
      </c>
      <c r="O1120" t="s">
        <v>72</v>
      </c>
      <c r="P1120" t="s">
        <v>73</v>
      </c>
    </row>
    <row r="1121" spans="1:24" ht="15.75" customHeight="1" x14ac:dyDescent="0.3">
      <c r="A1121">
        <v>560</v>
      </c>
      <c r="B1121" s="16" t="s">
        <v>641</v>
      </c>
      <c r="C1121" s="7">
        <f>Rankings!L569</f>
        <v>5.1238454048319113</v>
      </c>
      <c r="D1121" s="7">
        <f>Rankings!M569</f>
        <v>4.0859793074728943</v>
      </c>
      <c r="E1121" s="7">
        <f>Rankings!N569</f>
        <v>2.8421522710925942</v>
      </c>
      <c r="F1121" s="7">
        <f>Rankings!O569</f>
        <v>1.6296653976419875</v>
      </c>
      <c r="G1121" s="7">
        <f>Rankings!P569</f>
        <v>1.4032439022773779</v>
      </c>
      <c r="H1121" s="7">
        <f>Rankings!Q569</f>
        <v>1</v>
      </c>
      <c r="I1121" s="7">
        <f>Rankings!R569</f>
        <v>16.084886283316763</v>
      </c>
      <c r="K1121" s="7">
        <f>F1121</f>
        <v>1.6296653976419875</v>
      </c>
      <c r="L1121" s="7">
        <f>E1121</f>
        <v>2.8421522710925942</v>
      </c>
      <c r="M1121" s="7">
        <f>H1121</f>
        <v>1</v>
      </c>
      <c r="N1121" s="7">
        <f>D1121</f>
        <v>4.0859793074728943</v>
      </c>
      <c r="O1121" s="7">
        <f>C1121</f>
        <v>5.1238454048319113</v>
      </c>
      <c r="P1121" s="7">
        <f>G1121</f>
        <v>1.4032439022773779</v>
      </c>
      <c r="R1121" s="7">
        <f t="shared" ref="R1121:W1121" si="940">K1121/$I1121</f>
        <v>0.10131656319710981</v>
      </c>
      <c r="S1121" s="7">
        <f t="shared" si="940"/>
        <v>0.1766970695988366</v>
      </c>
      <c r="T1121" s="7">
        <f t="shared" si="940"/>
        <v>6.2170162871291144E-2</v>
      </c>
      <c r="U1121" s="7">
        <f t="shared" si="940"/>
        <v>0.25402599903431522</v>
      </c>
      <c r="V1121" s="7">
        <f t="shared" si="940"/>
        <v>0.3185503033457166</v>
      </c>
      <c r="W1121" s="7">
        <f t="shared" si="940"/>
        <v>8.7239901952730736E-2</v>
      </c>
      <c r="X1121" s="7">
        <f>SUM(R1121:W1121)</f>
        <v>1.0000000000000002</v>
      </c>
    </row>
    <row r="1122" spans="1:24" ht="15.75" customHeight="1" x14ac:dyDescent="0.3">
      <c r="C1122" t="s">
        <v>72</v>
      </c>
      <c r="D1122" t="s">
        <v>71</v>
      </c>
      <c r="E1122" t="s">
        <v>69</v>
      </c>
      <c r="F1122" t="s">
        <v>70</v>
      </c>
      <c r="G1122" t="s">
        <v>68</v>
      </c>
      <c r="H1122" t="s">
        <v>73</v>
      </c>
      <c r="K1122" t="s">
        <v>68</v>
      </c>
      <c r="L1122" t="s">
        <v>69</v>
      </c>
      <c r="M1122" t="s">
        <v>70</v>
      </c>
      <c r="N1122" t="s">
        <v>71</v>
      </c>
      <c r="O1122" t="s">
        <v>72</v>
      </c>
      <c r="P1122" t="s">
        <v>73</v>
      </c>
    </row>
    <row r="1123" spans="1:24" ht="15.75" customHeight="1" x14ac:dyDescent="0.3">
      <c r="A1123">
        <v>561</v>
      </c>
      <c r="B1123" s="16" t="s">
        <v>642</v>
      </c>
      <c r="C1123" s="7">
        <f>Rankings!L570</f>
        <v>4.8472915312800726</v>
      </c>
      <c r="D1123" s="7">
        <f>Rankings!M570</f>
        <v>3.8654431055670617</v>
      </c>
      <c r="E1123" s="7">
        <f>Rankings!N570</f>
        <v>2.6887502541126156</v>
      </c>
      <c r="F1123" s="7">
        <f>Rankings!O570</f>
        <v>1.9768416954390056</v>
      </c>
      <c r="G1123" s="7">
        <f>Rankings!P570</f>
        <v>1.1613557664474019</v>
      </c>
      <c r="H1123" s="7">
        <f>Rankings!Q570</f>
        <v>1</v>
      </c>
      <c r="I1123" s="7">
        <f>Rankings!R570</f>
        <v>15.539682352846159</v>
      </c>
      <c r="K1123" s="7">
        <f>G1123</f>
        <v>1.1613557664474019</v>
      </c>
      <c r="L1123" s="7">
        <f t="shared" ref="L1123:M1123" si="941">E1123</f>
        <v>2.6887502541126156</v>
      </c>
      <c r="M1123" s="7">
        <f t="shared" si="941"/>
        <v>1.9768416954390056</v>
      </c>
      <c r="N1123" s="7">
        <f>D1123</f>
        <v>3.8654431055670617</v>
      </c>
      <c r="O1123" s="7">
        <f>C1123</f>
        <v>4.8472915312800726</v>
      </c>
      <c r="P1123" s="7">
        <f>H1123</f>
        <v>1</v>
      </c>
      <c r="R1123" s="7">
        <f t="shared" ref="R1123:W1123" si="942">K1123/$I1123</f>
        <v>7.4734845930405691E-2</v>
      </c>
      <c r="S1123" s="7">
        <f t="shared" si="942"/>
        <v>0.17302478860645176</v>
      </c>
      <c r="T1123" s="7">
        <f t="shared" si="942"/>
        <v>0.12721249061290746</v>
      </c>
      <c r="U1123" s="7">
        <f t="shared" si="942"/>
        <v>0.24874659711812511</v>
      </c>
      <c r="V1123" s="7">
        <f t="shared" si="942"/>
        <v>0.31192989800028126</v>
      </c>
      <c r="W1123" s="7">
        <f t="shared" si="942"/>
        <v>6.4351379731828667E-2</v>
      </c>
      <c r="X1123" s="7">
        <f>SUM(R1123:W1123)</f>
        <v>1</v>
      </c>
    </row>
    <row r="1124" spans="1:24" ht="15.75" customHeight="1" x14ac:dyDescent="0.3">
      <c r="C1124" t="s">
        <v>72</v>
      </c>
      <c r="D1124" t="s">
        <v>71</v>
      </c>
      <c r="E1124" t="s">
        <v>69</v>
      </c>
      <c r="F1124" t="s">
        <v>70</v>
      </c>
      <c r="G1124" t="s">
        <v>73</v>
      </c>
      <c r="H1124" t="s">
        <v>68</v>
      </c>
      <c r="K1124" t="s">
        <v>68</v>
      </c>
      <c r="L1124" t="s">
        <v>69</v>
      </c>
      <c r="M1124" t="s">
        <v>70</v>
      </c>
      <c r="N1124" t="s">
        <v>71</v>
      </c>
      <c r="O1124" t="s">
        <v>72</v>
      </c>
      <c r="P1124" t="s">
        <v>73</v>
      </c>
    </row>
    <row r="1125" spans="1:24" ht="15.75" customHeight="1" x14ac:dyDescent="0.3">
      <c r="A1125">
        <v>562</v>
      </c>
      <c r="B1125" s="16" t="s">
        <v>643</v>
      </c>
      <c r="C1125" s="7">
        <f>Rankings!L571</f>
        <v>8.0999872679545568</v>
      </c>
      <c r="D1125" s="7">
        <f>Rankings!M571</f>
        <v>6.4592855078034814</v>
      </c>
      <c r="E1125" s="7">
        <f>Rankings!N571</f>
        <v>4.4929921554089827</v>
      </c>
      <c r="F1125" s="7">
        <f>Rankings!O571</f>
        <v>3.3033689969930675</v>
      </c>
      <c r="G1125" s="7">
        <f>Rankings!P571</f>
        <v>1.6397534939100344</v>
      </c>
      <c r="H1125" s="7">
        <f>Rankings!Q571</f>
        <v>1</v>
      </c>
      <c r="I1125" s="7">
        <f>Rankings!R571</f>
        <v>24.995387422070127</v>
      </c>
      <c r="K1125" s="7">
        <f>H1125</f>
        <v>1</v>
      </c>
      <c r="L1125" s="7">
        <f t="shared" ref="L1125:M1125" si="943">E1125</f>
        <v>4.4929921554089827</v>
      </c>
      <c r="M1125" s="7">
        <f t="shared" si="943"/>
        <v>3.3033689969930675</v>
      </c>
      <c r="N1125" s="7">
        <f>D1125</f>
        <v>6.4592855078034814</v>
      </c>
      <c r="O1125" s="7">
        <f>C1125</f>
        <v>8.0999872679545568</v>
      </c>
      <c r="P1125" s="7">
        <f>G1125</f>
        <v>1.6397534939100344</v>
      </c>
      <c r="R1125" s="7">
        <f t="shared" ref="R1125:W1125" si="944">K1125/$I1125</f>
        <v>4.0007381486595085E-2</v>
      </c>
      <c r="S1125" s="7">
        <f t="shared" si="944"/>
        <v>0.17975285117772627</v>
      </c>
      <c r="T1125" s="7">
        <f t="shared" si="944"/>
        <v>0.13215914365369261</v>
      </c>
      <c r="U1125" s="7">
        <f t="shared" si="944"/>
        <v>0.25841909944152891</v>
      </c>
      <c r="V1125" s="7">
        <f t="shared" si="944"/>
        <v>0.32405928066562101</v>
      </c>
      <c r="W1125" s="7">
        <f t="shared" si="944"/>
        <v>6.560224357483592E-2</v>
      </c>
      <c r="X1125" s="7">
        <f>SUM(R1125:W1125)</f>
        <v>0.99999999999999989</v>
      </c>
    </row>
    <row r="1126" spans="1:24" ht="15.75" customHeight="1" x14ac:dyDescent="0.3">
      <c r="C1126" t="s">
        <v>72</v>
      </c>
      <c r="D1126" t="s">
        <v>71</v>
      </c>
      <c r="E1126" t="s">
        <v>69</v>
      </c>
      <c r="F1126" t="s">
        <v>73</v>
      </c>
      <c r="G1126" t="s">
        <v>68</v>
      </c>
      <c r="H1126" t="s">
        <v>70</v>
      </c>
      <c r="K1126" t="s">
        <v>68</v>
      </c>
      <c r="L1126" t="s">
        <v>69</v>
      </c>
      <c r="M1126" t="s">
        <v>70</v>
      </c>
      <c r="N1126" t="s">
        <v>71</v>
      </c>
      <c r="O1126" t="s">
        <v>72</v>
      </c>
      <c r="P1126" t="s">
        <v>73</v>
      </c>
    </row>
    <row r="1127" spans="1:24" ht="15.75" customHeight="1" x14ac:dyDescent="0.3">
      <c r="A1127">
        <v>563</v>
      </c>
      <c r="B1127" s="16" t="s">
        <v>644</v>
      </c>
      <c r="C1127" s="7">
        <f>Rankings!L572</f>
        <v>4.3744836036509902</v>
      </c>
      <c r="D1127" s="7">
        <f>Rankings!M572</f>
        <v>3.4884053036693379</v>
      </c>
      <c r="E1127" s="7">
        <f>Rankings!N572</f>
        <v>2.4264878283114091</v>
      </c>
      <c r="F1127" s="7">
        <f>Rankings!O572</f>
        <v>1.8169738539756839</v>
      </c>
      <c r="G1127" s="7">
        <f>Rankings!P572</f>
        <v>1.1080774401297739</v>
      </c>
      <c r="H1127" s="7">
        <f>Rankings!Q572</f>
        <v>1</v>
      </c>
      <c r="I1127" s="7">
        <f>Rankings!R572</f>
        <v>14.214428029737196</v>
      </c>
      <c r="K1127" s="7">
        <f>G1127</f>
        <v>1.1080774401297739</v>
      </c>
      <c r="L1127" s="7">
        <f>E1127</f>
        <v>2.4264878283114091</v>
      </c>
      <c r="M1127" s="7">
        <f>H1127</f>
        <v>1</v>
      </c>
      <c r="N1127" s="7">
        <f>D1127</f>
        <v>3.4884053036693379</v>
      </c>
      <c r="O1127" s="7">
        <f>C1127</f>
        <v>4.3744836036509902</v>
      </c>
      <c r="P1127" s="7">
        <f>F1127</f>
        <v>1.8169738539756839</v>
      </c>
      <c r="R1127" s="7">
        <f t="shared" ref="R1127:W1127" si="945">K1127/$I1127</f>
        <v>7.7954416302339305E-2</v>
      </c>
      <c r="S1127" s="7">
        <f t="shared" si="945"/>
        <v>0.17070597728132936</v>
      </c>
      <c r="T1127" s="7">
        <f t="shared" si="945"/>
        <v>7.0351054429200879E-2</v>
      </c>
      <c r="U1127" s="7">
        <f t="shared" si="945"/>
        <v>0.24541299138955461</v>
      </c>
      <c r="V1127" s="7">
        <f t="shared" si="945"/>
        <v>0.30774953410009759</v>
      </c>
      <c r="W1127" s="7">
        <f t="shared" si="945"/>
        <v>0.12782602649747821</v>
      </c>
      <c r="X1127" s="7">
        <f>SUM(R1127:W1127)</f>
        <v>1</v>
      </c>
    </row>
    <row r="1128" spans="1:24" ht="15.75" customHeight="1" x14ac:dyDescent="0.3">
      <c r="C1128" t="s">
        <v>72</v>
      </c>
      <c r="D1128" t="s">
        <v>71</v>
      </c>
      <c r="E1128" t="s">
        <v>69</v>
      </c>
      <c r="F1128" t="s">
        <v>73</v>
      </c>
      <c r="G1128" t="s">
        <v>70</v>
      </c>
      <c r="H1128" t="s">
        <v>68</v>
      </c>
      <c r="K1128" t="s">
        <v>68</v>
      </c>
      <c r="L1128" t="s">
        <v>69</v>
      </c>
      <c r="M1128" t="s">
        <v>70</v>
      </c>
      <c r="N1128" t="s">
        <v>71</v>
      </c>
      <c r="O1128" t="s">
        <v>72</v>
      </c>
      <c r="P1128" t="s">
        <v>73</v>
      </c>
    </row>
    <row r="1129" spans="1:24" ht="15.75" customHeight="1" x14ac:dyDescent="0.3">
      <c r="A1129">
        <v>564</v>
      </c>
      <c r="B1129" s="16" t="s">
        <v>645</v>
      </c>
      <c r="C1129" s="7">
        <f>Rankings!L573</f>
        <v>5.7506626416031184</v>
      </c>
      <c r="D1129" s="7">
        <f>Rankings!M573</f>
        <v>4.5858308948371906</v>
      </c>
      <c r="E1129" s="7">
        <f>Rankings!N573</f>
        <v>3.1898423148572363</v>
      </c>
      <c r="F1129" s="7">
        <f>Rankings!O573</f>
        <v>2.3885799124054143</v>
      </c>
      <c r="G1129" s="7">
        <f>Rankings!P573</f>
        <v>1.7021844231989158</v>
      </c>
      <c r="H1129" s="7">
        <f>Rankings!Q573</f>
        <v>1</v>
      </c>
      <c r="I1129" s="7">
        <f>Rankings!R573</f>
        <v>18.617100186901872</v>
      </c>
      <c r="K1129" s="7">
        <f>H1129</f>
        <v>1</v>
      </c>
      <c r="L1129" s="7">
        <f>E1129</f>
        <v>3.1898423148572363</v>
      </c>
      <c r="M1129" s="7">
        <f>G1129</f>
        <v>1.7021844231989158</v>
      </c>
      <c r="N1129" s="7">
        <f>D1129</f>
        <v>4.5858308948371906</v>
      </c>
      <c r="O1129" s="7">
        <f>C1129</f>
        <v>5.7506626416031184</v>
      </c>
      <c r="P1129" s="7">
        <f>F1129</f>
        <v>2.3885799124054143</v>
      </c>
      <c r="R1129" s="7">
        <f t="shared" ref="R1129:W1129" si="946">K1129/$I1129</f>
        <v>5.3714058041302998E-2</v>
      </c>
      <c r="S1129" s="7">
        <f t="shared" si="946"/>
        <v>0.1713393752428459</v>
      </c>
      <c r="T1129" s="7">
        <f t="shared" si="946"/>
        <v>9.143123290470842E-2</v>
      </c>
      <c r="U1129" s="7">
        <f t="shared" si="946"/>
        <v>0.2463235868528853</v>
      </c>
      <c r="V1129" s="7">
        <f t="shared" si="946"/>
        <v>0.3088914269070227</v>
      </c>
      <c r="W1129" s="7">
        <f t="shared" si="946"/>
        <v>0.12830032005123485</v>
      </c>
      <c r="X1129" s="7">
        <f>SUM(R1129:W1129)</f>
        <v>1.0000000000000002</v>
      </c>
    </row>
    <row r="1130" spans="1:24" ht="15.75" customHeight="1" x14ac:dyDescent="0.3">
      <c r="C1130" t="s">
        <v>72</v>
      </c>
      <c r="D1130" t="s">
        <v>71</v>
      </c>
      <c r="E1130" t="s">
        <v>70</v>
      </c>
      <c r="F1130" t="s">
        <v>68</v>
      </c>
      <c r="G1130" t="s">
        <v>69</v>
      </c>
      <c r="H1130" t="s">
        <v>73</v>
      </c>
      <c r="K1130" t="s">
        <v>68</v>
      </c>
      <c r="L1130" t="s">
        <v>69</v>
      </c>
      <c r="M1130" t="s">
        <v>70</v>
      </c>
      <c r="N1130" t="s">
        <v>71</v>
      </c>
      <c r="O1130" t="s">
        <v>72</v>
      </c>
      <c r="P1130" t="s">
        <v>73</v>
      </c>
    </row>
    <row r="1131" spans="1:24" ht="15.75" customHeight="1" x14ac:dyDescent="0.3">
      <c r="A1131">
        <v>565</v>
      </c>
      <c r="B1131" s="16" t="s">
        <v>646</v>
      </c>
      <c r="C1131" s="7">
        <f>Rankings!L574</f>
        <v>10.449612761452832</v>
      </c>
      <c r="D1131" s="7">
        <f>Rankings!M574</f>
        <v>8.3329800454433585</v>
      </c>
      <c r="E1131" s="7">
        <f>Rankings!N574</f>
        <v>3.7219746777082405</v>
      </c>
      <c r="F1131" s="7">
        <f>Rankings!O574</f>
        <v>2.186587203467373</v>
      </c>
      <c r="G1131" s="7">
        <f>Rankings!P574</f>
        <v>1.3354555559520354</v>
      </c>
      <c r="H1131" s="7">
        <f>Rankings!Q574</f>
        <v>1</v>
      </c>
      <c r="I1131" s="7">
        <f>Rankings!R574</f>
        <v>27.026610244023836</v>
      </c>
      <c r="K1131" s="7">
        <f t="shared" ref="K1131:L1131" si="947">F1131</f>
        <v>2.186587203467373</v>
      </c>
      <c r="L1131" s="7">
        <f t="shared" si="947"/>
        <v>1.3354555559520354</v>
      </c>
      <c r="M1131" s="7">
        <f>E1131</f>
        <v>3.7219746777082405</v>
      </c>
      <c r="N1131" s="7">
        <f>D1131</f>
        <v>8.3329800454433585</v>
      </c>
      <c r="O1131" s="7">
        <f>C1131</f>
        <v>10.449612761452832</v>
      </c>
      <c r="P1131" s="7">
        <f>H1131</f>
        <v>1</v>
      </c>
      <c r="R1131" s="7">
        <f t="shared" ref="R1131:W1131" si="948">K1131/$I1131</f>
        <v>8.0904974161562657E-2</v>
      </c>
      <c r="S1131" s="7">
        <f t="shared" si="948"/>
        <v>4.9412617560773579E-2</v>
      </c>
      <c r="T1131" s="7">
        <f t="shared" si="948"/>
        <v>0.13771518677712272</v>
      </c>
      <c r="U1131" s="7">
        <f t="shared" si="948"/>
        <v>0.30832501635257642</v>
      </c>
      <c r="V1131" s="7">
        <f t="shared" si="948"/>
        <v>0.38664163456323442</v>
      </c>
      <c r="W1131" s="7">
        <f t="shared" si="948"/>
        <v>3.7000570584730337E-2</v>
      </c>
      <c r="X1131" s="7">
        <f>SUM(R1131:W1131)</f>
        <v>1</v>
      </c>
    </row>
    <row r="1132" spans="1:24" ht="15.75" customHeight="1" x14ac:dyDescent="0.3">
      <c r="C1132" t="s">
        <v>72</v>
      </c>
      <c r="D1132" t="s">
        <v>71</v>
      </c>
      <c r="E1132" t="s">
        <v>70</v>
      </c>
      <c r="F1132" t="s">
        <v>68</v>
      </c>
      <c r="G1132" t="s">
        <v>73</v>
      </c>
      <c r="H1132" t="s">
        <v>69</v>
      </c>
      <c r="K1132" t="s">
        <v>68</v>
      </c>
      <c r="L1132" t="s">
        <v>69</v>
      </c>
      <c r="M1132" t="s">
        <v>70</v>
      </c>
      <c r="N1132" t="s">
        <v>71</v>
      </c>
      <c r="O1132" t="s">
        <v>72</v>
      </c>
      <c r="P1132" t="s">
        <v>73</v>
      </c>
    </row>
    <row r="1133" spans="1:24" ht="15.75" customHeight="1" x14ac:dyDescent="0.3">
      <c r="A1133">
        <v>566</v>
      </c>
      <c r="B1133" s="16" t="s">
        <v>647</v>
      </c>
      <c r="C1133" s="7">
        <f>Rankings!L575</f>
        <v>6.8928243369495386</v>
      </c>
      <c r="D1133" s="7">
        <f>Rankings!M575</f>
        <v>5.496640781601668</v>
      </c>
      <c r="E1133" s="7">
        <f>Rankings!N575</f>
        <v>2.4551070193390037</v>
      </c>
      <c r="F1133" s="7">
        <f>Rankings!O575</f>
        <v>1.4423272742239766</v>
      </c>
      <c r="G1133" s="7">
        <f>Rankings!P575</f>
        <v>1.2419340531937677</v>
      </c>
      <c r="H1133" s="7">
        <f>Rankings!Q575</f>
        <v>1</v>
      </c>
      <c r="I1133" s="7">
        <f>Rankings!R575</f>
        <v>18.528833465307954</v>
      </c>
      <c r="K1133" s="7">
        <f>F1133</f>
        <v>1.4423272742239766</v>
      </c>
      <c r="L1133" s="7">
        <f>H1133</f>
        <v>1</v>
      </c>
      <c r="M1133" s="7">
        <f>E1133</f>
        <v>2.4551070193390037</v>
      </c>
      <c r="N1133" s="7">
        <f>D1133</f>
        <v>5.496640781601668</v>
      </c>
      <c r="O1133" s="7">
        <f>C1133</f>
        <v>6.8928243369495386</v>
      </c>
      <c r="P1133" s="7">
        <f>G1133</f>
        <v>1.2419340531937677</v>
      </c>
      <c r="R1133" s="7">
        <f t="shared" ref="R1133:W1133" si="949">K1133/$I1133</f>
        <v>7.7842314084396388E-2</v>
      </c>
      <c r="S1133" s="7">
        <f t="shared" si="949"/>
        <v>5.3969938359709882E-2</v>
      </c>
      <c r="T1133" s="7">
        <f t="shared" si="949"/>
        <v>0.13250197450021708</v>
      </c>
      <c r="U1133" s="7">
        <f t="shared" si="949"/>
        <v>0.29665336416850957</v>
      </c>
      <c r="V1133" s="7">
        <f t="shared" si="949"/>
        <v>0.37200530458947473</v>
      </c>
      <c r="W1133" s="7">
        <f t="shared" si="949"/>
        <v>6.7027104297692305E-2</v>
      </c>
      <c r="X1133" s="7">
        <f>SUM(R1133:W1133)</f>
        <v>0.99999999999999989</v>
      </c>
    </row>
    <row r="1134" spans="1:24" ht="15.75" customHeight="1" x14ac:dyDescent="0.3">
      <c r="C1134" t="s">
        <v>72</v>
      </c>
      <c r="D1134" t="s">
        <v>71</v>
      </c>
      <c r="E1134" t="s">
        <v>70</v>
      </c>
      <c r="F1134" t="s">
        <v>69</v>
      </c>
      <c r="G1134" t="s">
        <v>68</v>
      </c>
      <c r="H1134" t="s">
        <v>73</v>
      </c>
      <c r="K1134" t="s">
        <v>68</v>
      </c>
      <c r="L1134" t="s">
        <v>69</v>
      </c>
      <c r="M1134" t="s">
        <v>70</v>
      </c>
      <c r="N1134" t="s">
        <v>71</v>
      </c>
      <c r="O1134" t="s">
        <v>72</v>
      </c>
      <c r="P1134" t="s">
        <v>73</v>
      </c>
    </row>
    <row r="1135" spans="1:24" ht="15.75" customHeight="1" x14ac:dyDescent="0.3">
      <c r="A1135">
        <v>567</v>
      </c>
      <c r="B1135" s="16" t="s">
        <v>648</v>
      </c>
      <c r="C1135" s="7">
        <f>Rankings!L576</f>
        <v>8.5636901384049313</v>
      </c>
      <c r="D1135" s="7">
        <f>Rankings!M576</f>
        <v>6.829062537315199</v>
      </c>
      <c r="E1135" s="7">
        <f>Rankings!N576</f>
        <v>3.0502410539518832</v>
      </c>
      <c r="F1135" s="7">
        <f>Rankings!O576</f>
        <v>2.0254157288550885</v>
      </c>
      <c r="G1135" s="7">
        <f>Rankings!P576</f>
        <v>1.1613557664474019</v>
      </c>
      <c r="H1135" s="7">
        <f>Rankings!Q576</f>
        <v>1</v>
      </c>
      <c r="I1135" s="7">
        <f>Rankings!R576</f>
        <v>22.629765224974506</v>
      </c>
      <c r="K1135" s="7">
        <f>G1135</f>
        <v>1.1613557664474019</v>
      </c>
      <c r="L1135" s="7">
        <f>F1135</f>
        <v>2.0254157288550885</v>
      </c>
      <c r="M1135" s="7">
        <f>E1135</f>
        <v>3.0502410539518832</v>
      </c>
      <c r="N1135" s="7">
        <f>D1135</f>
        <v>6.829062537315199</v>
      </c>
      <c r="O1135" s="7">
        <f>C1135</f>
        <v>8.5636901384049313</v>
      </c>
      <c r="P1135" s="7">
        <f>H1135</f>
        <v>1</v>
      </c>
      <c r="R1135" s="7">
        <f t="shared" ref="R1135:W1135" si="950">K1135/$I1135</f>
        <v>5.1319832746904263E-2</v>
      </c>
      <c r="S1135" s="7">
        <f t="shared" si="950"/>
        <v>8.9502286423184502E-2</v>
      </c>
      <c r="T1135" s="7">
        <f t="shared" si="950"/>
        <v>0.13478889522837811</v>
      </c>
      <c r="U1135" s="7">
        <f t="shared" si="950"/>
        <v>0.30177345939844558</v>
      </c>
      <c r="V1135" s="7">
        <f t="shared" si="950"/>
        <v>0.37842593828388155</v>
      </c>
      <c r="W1135" s="7">
        <f t="shared" si="950"/>
        <v>4.4189587919205936E-2</v>
      </c>
      <c r="X1135" s="7">
        <f>SUM(R1135:W1135)</f>
        <v>0.99999999999999989</v>
      </c>
    </row>
    <row r="1136" spans="1:24" ht="15.75" customHeight="1" x14ac:dyDescent="0.3">
      <c r="C1136" t="s">
        <v>72</v>
      </c>
      <c r="D1136" t="s">
        <v>71</v>
      </c>
      <c r="E1136" t="s">
        <v>70</v>
      </c>
      <c r="F1136" t="s">
        <v>69</v>
      </c>
      <c r="G1136" t="s">
        <v>73</v>
      </c>
      <c r="H1136" t="s">
        <v>68</v>
      </c>
      <c r="K1136" t="s">
        <v>68</v>
      </c>
      <c r="L1136" t="s">
        <v>69</v>
      </c>
      <c r="M1136" t="s">
        <v>70</v>
      </c>
      <c r="N1136" t="s">
        <v>71</v>
      </c>
      <c r="O1136" t="s">
        <v>72</v>
      </c>
      <c r="P1136" t="s">
        <v>73</v>
      </c>
    </row>
    <row r="1137" spans="1:24" ht="15.75" customHeight="1" x14ac:dyDescent="0.3">
      <c r="A1137">
        <v>568</v>
      </c>
      <c r="B1137" s="16" t="s">
        <v>649</v>
      </c>
      <c r="C1137" s="7">
        <f>Rankings!L577</f>
        <v>9.2588014432980064</v>
      </c>
      <c r="D1137" s="7">
        <f>Rankings!M577</f>
        <v>7.3833748133072117</v>
      </c>
      <c r="E1137" s="7">
        <f>Rankings!N577</f>
        <v>3.2978279008582612</v>
      </c>
      <c r="F1137" s="7">
        <f>Rankings!O577</f>
        <v>2.1898179138339176</v>
      </c>
      <c r="G1137" s="7">
        <f>Rankings!P577</f>
        <v>1.6397534939100344</v>
      </c>
      <c r="H1137" s="7">
        <f>Rankings!Q577</f>
        <v>1</v>
      </c>
      <c r="I1137" s="7">
        <f>Rankings!R577</f>
        <v>24.769575565207433</v>
      </c>
      <c r="K1137" s="7">
        <f>H1137</f>
        <v>1</v>
      </c>
      <c r="L1137" s="7">
        <f>F1137</f>
        <v>2.1898179138339176</v>
      </c>
      <c r="M1137" s="7">
        <f>E1137</f>
        <v>3.2978279008582612</v>
      </c>
      <c r="N1137" s="7">
        <f>D1137</f>
        <v>7.3833748133072117</v>
      </c>
      <c r="O1137" s="7">
        <f>C1137</f>
        <v>9.2588014432980064</v>
      </c>
      <c r="P1137" s="7">
        <f>G1137</f>
        <v>1.6397534939100344</v>
      </c>
      <c r="R1137" s="7">
        <f t="shared" ref="R1137:W1137" si="951">K1137/$I1137</f>
        <v>4.0372108814195805E-2</v>
      </c>
      <c r="S1137" s="7">
        <f t="shared" si="951"/>
        <v>8.8407567100578177E-2</v>
      </c>
      <c r="T1137" s="7">
        <f t="shared" si="951"/>
        <v>0.13314026686394065</v>
      </c>
      <c r="U1137" s="7">
        <f t="shared" si="951"/>
        <v>0.2980824113788314</v>
      </c>
      <c r="V1137" s="7">
        <f t="shared" si="951"/>
        <v>0.37379733935786025</v>
      </c>
      <c r="W1137" s="7">
        <f t="shared" si="951"/>
        <v>6.6200306484593671E-2</v>
      </c>
      <c r="X1137" s="7">
        <f>SUM(R1137:W1137)</f>
        <v>0.99999999999999989</v>
      </c>
    </row>
    <row r="1138" spans="1:24" ht="15.75" customHeight="1" x14ac:dyDescent="0.3">
      <c r="C1138" t="s">
        <v>72</v>
      </c>
      <c r="D1138" t="s">
        <v>71</v>
      </c>
      <c r="E1138" t="s">
        <v>70</v>
      </c>
      <c r="F1138" t="s">
        <v>73</v>
      </c>
      <c r="G1138" t="s">
        <v>68</v>
      </c>
      <c r="H1138" t="s">
        <v>69</v>
      </c>
      <c r="K1138" t="s">
        <v>68</v>
      </c>
      <c r="L1138" t="s">
        <v>69</v>
      </c>
      <c r="M1138" t="s">
        <v>70</v>
      </c>
      <c r="N1138" t="s">
        <v>71</v>
      </c>
      <c r="O1138" t="s">
        <v>72</v>
      </c>
      <c r="P1138" t="s">
        <v>73</v>
      </c>
    </row>
    <row r="1139" spans="1:24" ht="15.75" customHeight="1" x14ac:dyDescent="0.3">
      <c r="A1139">
        <v>569</v>
      </c>
      <c r="B1139" s="16" t="s">
        <v>650</v>
      </c>
      <c r="C1139" s="7">
        <f>Rankings!L578</f>
        <v>15.185225099437821</v>
      </c>
      <c r="D1139" s="7">
        <f>Rankings!M578</f>
        <v>12.109365258582857</v>
      </c>
      <c r="E1139" s="7">
        <f>Rankings!N578</f>
        <v>5.4087194028756729</v>
      </c>
      <c r="F1139" s="7">
        <f>Rankings!O578</f>
        <v>2.6848246582556978</v>
      </c>
      <c r="G1139" s="7">
        <f>Rankings!P578</f>
        <v>1.6373343116675814</v>
      </c>
      <c r="H1139" s="7">
        <f>Rankings!Q578</f>
        <v>1</v>
      </c>
      <c r="I1139" s="7">
        <f>Rankings!R578</f>
        <v>38.025468730819632</v>
      </c>
      <c r="K1139" s="7">
        <f t="shared" ref="K1139:L1139" si="952">G1139</f>
        <v>1.6373343116675814</v>
      </c>
      <c r="L1139" s="7">
        <f t="shared" si="952"/>
        <v>1</v>
      </c>
      <c r="M1139" s="7">
        <f>E1139</f>
        <v>5.4087194028756729</v>
      </c>
      <c r="N1139" s="7">
        <f>D1139</f>
        <v>12.109365258582857</v>
      </c>
      <c r="O1139" s="7">
        <f>C1139</f>
        <v>15.185225099437821</v>
      </c>
      <c r="P1139" s="7">
        <f>F1139</f>
        <v>2.6848246582556978</v>
      </c>
      <c r="R1139" s="7">
        <f t="shared" ref="R1139:W1139" si="953">K1139/$I1139</f>
        <v>4.3058885697325341E-2</v>
      </c>
      <c r="S1139" s="7">
        <f t="shared" si="953"/>
        <v>2.6298163661806494E-2</v>
      </c>
      <c r="T1139" s="7">
        <f t="shared" si="953"/>
        <v>0.14223938805761274</v>
      </c>
      <c r="U1139" s="7">
        <f t="shared" si="953"/>
        <v>0.31845406941080567</v>
      </c>
      <c r="V1139" s="7">
        <f t="shared" si="953"/>
        <v>0.39934353490638763</v>
      </c>
      <c r="W1139" s="7">
        <f t="shared" si="953"/>
        <v>7.060595826606203E-2</v>
      </c>
      <c r="X1139" s="7">
        <f>SUM(R1139:W1139)</f>
        <v>1</v>
      </c>
    </row>
    <row r="1140" spans="1:24" ht="15.75" customHeight="1" x14ac:dyDescent="0.3">
      <c r="C1140" t="s">
        <v>72</v>
      </c>
      <c r="D1140" t="s">
        <v>71</v>
      </c>
      <c r="E1140" t="s">
        <v>70</v>
      </c>
      <c r="F1140" t="s">
        <v>73</v>
      </c>
      <c r="G1140" t="s">
        <v>69</v>
      </c>
      <c r="H1140" t="s">
        <v>68</v>
      </c>
      <c r="K1140" t="s">
        <v>68</v>
      </c>
      <c r="L1140" t="s">
        <v>69</v>
      </c>
      <c r="M1140" t="s">
        <v>70</v>
      </c>
      <c r="N1140" t="s">
        <v>71</v>
      </c>
      <c r="O1140" t="s">
        <v>72</v>
      </c>
      <c r="P1140" t="s">
        <v>73</v>
      </c>
    </row>
    <row r="1141" spans="1:24" ht="15.75" customHeight="1" x14ac:dyDescent="0.3">
      <c r="A1141">
        <v>570</v>
      </c>
      <c r="B1141" s="16" t="s">
        <v>651</v>
      </c>
      <c r="C1141" s="7">
        <f>Rankings!L579</f>
        <v>12.250469664897901</v>
      </c>
      <c r="D1141" s="7">
        <f>Rankings!M579</f>
        <v>9.7690624136305892</v>
      </c>
      <c r="E1141" s="7">
        <f>Rankings!N579</f>
        <v>4.3634093361794255</v>
      </c>
      <c r="F1141" s="7">
        <f>Rankings!O579</f>
        <v>2.1659450430371923</v>
      </c>
      <c r="G1141" s="7">
        <f>Rankings!P579</f>
        <v>1.7440097060445605</v>
      </c>
      <c r="H1141" s="7">
        <f>Rankings!Q579</f>
        <v>1</v>
      </c>
      <c r="I1141" s="7">
        <f>Rankings!R579</f>
        <v>31.292896163789674</v>
      </c>
      <c r="K1141" s="7">
        <f>H1141</f>
        <v>1</v>
      </c>
      <c r="L1141" s="7">
        <f>G1141</f>
        <v>1.7440097060445605</v>
      </c>
      <c r="M1141" s="7">
        <f>E1141</f>
        <v>4.3634093361794255</v>
      </c>
      <c r="N1141" s="7">
        <f>D1141</f>
        <v>9.7690624136305892</v>
      </c>
      <c r="O1141" s="7">
        <f>C1141</f>
        <v>12.250469664897901</v>
      </c>
      <c r="P1141" s="7">
        <f>F1141</f>
        <v>2.1659450430371923</v>
      </c>
      <c r="R1141" s="7">
        <f t="shared" ref="R1141:W1141" si="954">K1141/$I1141</f>
        <v>3.1956134541396078E-2</v>
      </c>
      <c r="S1141" s="7">
        <f t="shared" si="954"/>
        <v>5.5731808807860599E-2</v>
      </c>
      <c r="T1141" s="7">
        <f t="shared" si="954"/>
        <v>0.13943769580613347</v>
      </c>
      <c r="U1141" s="7">
        <f t="shared" si="954"/>
        <v>0.31218147283327463</v>
      </c>
      <c r="V1141" s="7">
        <f t="shared" si="954"/>
        <v>0.39147765680676866</v>
      </c>
      <c r="W1141" s="7">
        <f t="shared" si="954"/>
        <v>6.9215231204566435E-2</v>
      </c>
      <c r="X1141" s="7">
        <f>SUM(R1141:W1141)</f>
        <v>0.99999999999999978</v>
      </c>
    </row>
    <row r="1142" spans="1:24" ht="15.75" customHeight="1" x14ac:dyDescent="0.3">
      <c r="C1142" t="s">
        <v>72</v>
      </c>
      <c r="D1142" t="s">
        <v>71</v>
      </c>
      <c r="E1142" t="s">
        <v>73</v>
      </c>
      <c r="F1142" t="s">
        <v>68</v>
      </c>
      <c r="G1142" t="s">
        <v>69</v>
      </c>
      <c r="H1142" t="s">
        <v>70</v>
      </c>
      <c r="K1142" t="s">
        <v>68</v>
      </c>
      <c r="L1142" t="s">
        <v>69</v>
      </c>
      <c r="M1142" t="s">
        <v>70</v>
      </c>
      <c r="N1142" t="s">
        <v>71</v>
      </c>
      <c r="O1142" t="s">
        <v>72</v>
      </c>
      <c r="P1142" t="s">
        <v>73</v>
      </c>
    </row>
    <row r="1143" spans="1:24" ht="15.75" customHeight="1" x14ac:dyDescent="0.3">
      <c r="A1143">
        <v>571</v>
      </c>
      <c r="B1143" s="16" t="s">
        <v>652</v>
      </c>
      <c r="C1143" s="7">
        <f>Rankings!L580</f>
        <v>6.7693949991763036</v>
      </c>
      <c r="D1143" s="7">
        <f>Rankings!M580</f>
        <v>5.3982128080330423</v>
      </c>
      <c r="E1143" s="7">
        <f>Rankings!N580</f>
        <v>3.6516950238292645</v>
      </c>
      <c r="F1143" s="7">
        <f>Rankings!O580</f>
        <v>2.2269780411455038</v>
      </c>
      <c r="G1143" s="7">
        <f>Rankings!P580</f>
        <v>1.3601242124324544</v>
      </c>
      <c r="H1143" s="7">
        <f>Rankings!Q580</f>
        <v>1</v>
      </c>
      <c r="I1143" s="7">
        <f>Rankings!R580</f>
        <v>20.406405084616566</v>
      </c>
      <c r="K1143" s="7">
        <f t="shared" ref="K1143:M1143" si="955">F1143</f>
        <v>2.2269780411455038</v>
      </c>
      <c r="L1143" s="7">
        <f t="shared" si="955"/>
        <v>1.3601242124324544</v>
      </c>
      <c r="M1143" s="7">
        <f t="shared" si="955"/>
        <v>1</v>
      </c>
      <c r="N1143" s="7">
        <f>D1143</f>
        <v>5.3982128080330423</v>
      </c>
      <c r="O1143" s="7">
        <f>C1143</f>
        <v>6.7693949991763036</v>
      </c>
      <c r="P1143" s="7">
        <f>E1143</f>
        <v>3.6516950238292645</v>
      </c>
      <c r="R1143" s="7">
        <f t="shared" ref="R1143:W1143" si="956">K1143/$I1143</f>
        <v>0.10913132577302008</v>
      </c>
      <c r="S1143" s="7">
        <f t="shared" si="956"/>
        <v>6.6651828521123904E-2</v>
      </c>
      <c r="T1143" s="7">
        <f t="shared" si="956"/>
        <v>4.9004221755543469E-2</v>
      </c>
      <c r="U1143" s="7">
        <f t="shared" si="956"/>
        <v>0.2645352175284662</v>
      </c>
      <c r="V1143" s="7">
        <f t="shared" si="956"/>
        <v>0.3317289336905026</v>
      </c>
      <c r="W1143" s="7">
        <f t="shared" si="956"/>
        <v>0.17894847273134387</v>
      </c>
      <c r="X1143" s="7">
        <f>SUM(R1143:W1143)</f>
        <v>1.0000000000000002</v>
      </c>
    </row>
    <row r="1144" spans="1:24" ht="15.75" customHeight="1" x14ac:dyDescent="0.3">
      <c r="C1144" t="s">
        <v>72</v>
      </c>
      <c r="D1144" t="s">
        <v>71</v>
      </c>
      <c r="E1144" t="s">
        <v>73</v>
      </c>
      <c r="F1144" t="s">
        <v>68</v>
      </c>
      <c r="G1144" t="s">
        <v>70</v>
      </c>
      <c r="H1144" t="s">
        <v>69</v>
      </c>
      <c r="K1144" t="s">
        <v>68</v>
      </c>
      <c r="L1144" t="s">
        <v>69</v>
      </c>
      <c r="M1144" t="s">
        <v>70</v>
      </c>
      <c r="N1144" t="s">
        <v>71</v>
      </c>
      <c r="O1144" t="s">
        <v>72</v>
      </c>
      <c r="P1144" t="s">
        <v>73</v>
      </c>
    </row>
    <row r="1145" spans="1:24" ht="15.75" customHeight="1" x14ac:dyDescent="0.3">
      <c r="A1145">
        <v>572</v>
      </c>
      <c r="B1145" s="16" t="s">
        <v>653</v>
      </c>
      <c r="C1145" s="7">
        <f>Rankings!L581</f>
        <v>5.0725229221342767</v>
      </c>
      <c r="D1145" s="7">
        <f>Rankings!M581</f>
        <v>4.0450525062636089</v>
      </c>
      <c r="E1145" s="7">
        <f>Rankings!N581</f>
        <v>2.7363311958116676</v>
      </c>
      <c r="F1145" s="7">
        <f>Rankings!O581</f>
        <v>1.668745458371804</v>
      </c>
      <c r="G1145" s="7">
        <f>Rankings!P581</f>
        <v>1.5059827029565431</v>
      </c>
      <c r="H1145" s="7">
        <f>Rankings!Q581</f>
        <v>1</v>
      </c>
      <c r="I1145" s="7">
        <f>Rankings!R581</f>
        <v>16.0286347855379</v>
      </c>
      <c r="K1145" s="7">
        <f>F1145</f>
        <v>1.668745458371804</v>
      </c>
      <c r="L1145" s="7">
        <f>H1145</f>
        <v>1</v>
      </c>
      <c r="M1145" s="7">
        <f>G1145</f>
        <v>1.5059827029565431</v>
      </c>
      <c r="N1145" s="7">
        <f>D1145</f>
        <v>4.0450525062636089</v>
      </c>
      <c r="O1145" s="7">
        <f>C1145</f>
        <v>5.0725229221342767</v>
      </c>
      <c r="P1145" s="7">
        <f>E1145</f>
        <v>2.7363311958116676</v>
      </c>
      <c r="R1145" s="7">
        <f t="shared" ref="R1145:W1145" si="957">K1145/$I1145</f>
        <v>0.10411026769899687</v>
      </c>
      <c r="S1145" s="7">
        <f t="shared" si="957"/>
        <v>6.2388345194705319E-2</v>
      </c>
      <c r="T1145" s="7">
        <f t="shared" si="957"/>
        <v>9.3955768729308178E-2</v>
      </c>
      <c r="U1145" s="7">
        <f t="shared" si="957"/>
        <v>0.25236413209148195</v>
      </c>
      <c r="V1145" s="7">
        <f t="shared" si="957"/>
        <v>0.31646631107416862</v>
      </c>
      <c r="W1145" s="7">
        <f t="shared" si="957"/>
        <v>0.17071517521133911</v>
      </c>
      <c r="X1145" s="7">
        <f>SUM(R1145:W1145)</f>
        <v>1</v>
      </c>
    </row>
    <row r="1146" spans="1:24" ht="15.75" customHeight="1" x14ac:dyDescent="0.3">
      <c r="C1146" t="s">
        <v>72</v>
      </c>
      <c r="D1146" t="s">
        <v>71</v>
      </c>
      <c r="E1146" t="s">
        <v>73</v>
      </c>
      <c r="F1146" t="s">
        <v>69</v>
      </c>
      <c r="G1146" t="s">
        <v>68</v>
      </c>
      <c r="H1146" t="s">
        <v>70</v>
      </c>
      <c r="K1146" t="s">
        <v>68</v>
      </c>
      <c r="L1146" t="s">
        <v>69</v>
      </c>
      <c r="M1146" t="s">
        <v>70</v>
      </c>
      <c r="N1146" t="s">
        <v>71</v>
      </c>
      <c r="O1146" t="s">
        <v>72</v>
      </c>
      <c r="P1146" t="s">
        <v>73</v>
      </c>
    </row>
    <row r="1147" spans="1:24" ht="15.75" customHeight="1" x14ac:dyDescent="0.3">
      <c r="A1147">
        <v>573</v>
      </c>
      <c r="B1147" s="16" t="s">
        <v>654</v>
      </c>
      <c r="C1147" s="7">
        <f>Rankings!L582</f>
        <v>4.4491075320548612</v>
      </c>
      <c r="D1147" s="7">
        <f>Rankings!M582</f>
        <v>3.5479137008221904</v>
      </c>
      <c r="E1147" s="7">
        <f>Rankings!N582</f>
        <v>2.4000348387504249</v>
      </c>
      <c r="F1147" s="7">
        <f>Rankings!O582</f>
        <v>1.9324978106353361</v>
      </c>
      <c r="G1147" s="7">
        <f>Rankings!P582</f>
        <v>1.1080774401297739</v>
      </c>
      <c r="H1147" s="7">
        <f>Rankings!Q582</f>
        <v>1</v>
      </c>
      <c r="I1147" s="7">
        <f>Rankings!R582</f>
        <v>14.437631322392587</v>
      </c>
      <c r="K1147" s="7">
        <f>G1147</f>
        <v>1.1080774401297739</v>
      </c>
      <c r="L1147" s="7">
        <f>F1147</f>
        <v>1.9324978106353361</v>
      </c>
      <c r="M1147" s="7">
        <f>H1147</f>
        <v>1</v>
      </c>
      <c r="N1147" s="7">
        <f>D1147</f>
        <v>3.5479137008221904</v>
      </c>
      <c r="O1147" s="7">
        <f>C1147</f>
        <v>4.4491075320548612</v>
      </c>
      <c r="P1147" s="7">
        <f>E1147</f>
        <v>2.4000348387504249</v>
      </c>
      <c r="R1147" s="7">
        <f t="shared" ref="R1147:W1147" si="958">K1147/$I1147</f>
        <v>7.6749254457769644E-2</v>
      </c>
      <c r="S1147" s="7">
        <f t="shared" si="958"/>
        <v>0.13385144470603402</v>
      </c>
      <c r="T1147" s="7">
        <f t="shared" si="958"/>
        <v>6.9263439249138636E-2</v>
      </c>
      <c r="U1147" s="7">
        <f t="shared" si="958"/>
        <v>0.2457407050780844</v>
      </c>
      <c r="V1147" s="7">
        <f t="shared" si="958"/>
        <v>0.30816048925936701</v>
      </c>
      <c r="W1147" s="7">
        <f t="shared" si="958"/>
        <v>0.16623466724960628</v>
      </c>
      <c r="X1147" s="7">
        <f>SUM(R1147:W1147)</f>
        <v>1</v>
      </c>
    </row>
    <row r="1148" spans="1:24" ht="15.75" customHeight="1" x14ac:dyDescent="0.3">
      <c r="C1148" t="s">
        <v>72</v>
      </c>
      <c r="D1148" t="s">
        <v>71</v>
      </c>
      <c r="E1148" t="s">
        <v>73</v>
      </c>
      <c r="F1148" t="s">
        <v>69</v>
      </c>
      <c r="G1148" t="s">
        <v>70</v>
      </c>
      <c r="H1148" t="s">
        <v>68</v>
      </c>
      <c r="K1148" t="s">
        <v>68</v>
      </c>
      <c r="L1148" t="s">
        <v>69</v>
      </c>
      <c r="M1148" t="s">
        <v>70</v>
      </c>
      <c r="N1148" t="s">
        <v>71</v>
      </c>
      <c r="O1148" t="s">
        <v>72</v>
      </c>
      <c r="P1148" t="s">
        <v>73</v>
      </c>
    </row>
    <row r="1149" spans="1:24" ht="15.75" customHeight="1" x14ac:dyDescent="0.3">
      <c r="A1149">
        <v>574</v>
      </c>
      <c r="B1149" s="16" t="s">
        <v>655</v>
      </c>
      <c r="C1149" s="7">
        <f>Rankings!L583</f>
        <v>5.3301456390013291</v>
      </c>
      <c r="D1149" s="7">
        <f>Rankings!M583</f>
        <v>4.2504921725855205</v>
      </c>
      <c r="E1149" s="7">
        <f>Rankings!N583</f>
        <v>2.8753036731635229</v>
      </c>
      <c r="F1149" s="7">
        <f>Rankings!O583</f>
        <v>2.3151822480182171</v>
      </c>
      <c r="G1149" s="7">
        <f>Rankings!P583</f>
        <v>1.7021844231989158</v>
      </c>
      <c r="H1149" s="7">
        <f>Rankings!Q583</f>
        <v>1</v>
      </c>
      <c r="I1149" s="7">
        <f>Rankings!R583</f>
        <v>17.473308155967505</v>
      </c>
      <c r="K1149" s="7">
        <f>H1149</f>
        <v>1</v>
      </c>
      <c r="L1149" s="7">
        <f t="shared" ref="L1149:M1149" si="959">F1149</f>
        <v>2.3151822480182171</v>
      </c>
      <c r="M1149" s="7">
        <f t="shared" si="959"/>
        <v>1.7021844231989158</v>
      </c>
      <c r="N1149" s="7">
        <f>D1149</f>
        <v>4.2504921725855205</v>
      </c>
      <c r="O1149" s="7">
        <f>C1149</f>
        <v>5.3301456390013291</v>
      </c>
      <c r="P1149" s="7">
        <f>E1149</f>
        <v>2.8753036731635229</v>
      </c>
      <c r="R1149" s="7">
        <f t="shared" ref="R1149:W1149" si="960">K1149/$I1149</f>
        <v>5.7230147323789907E-2</v>
      </c>
      <c r="S1149" s="7">
        <f t="shared" si="960"/>
        <v>0.13249822113550566</v>
      </c>
      <c r="T1149" s="7">
        <f t="shared" si="960"/>
        <v>9.74162653119343E-2</v>
      </c>
      <c r="U1149" s="7">
        <f t="shared" si="960"/>
        <v>0.24325629323568515</v>
      </c>
      <c r="V1149" s="7">
        <f t="shared" si="960"/>
        <v>0.30504502017730234</v>
      </c>
      <c r="W1149" s="7">
        <f t="shared" si="960"/>
        <v>0.16455405281578267</v>
      </c>
      <c r="X1149" s="7">
        <f>SUM(R1149:W1149)</f>
        <v>1</v>
      </c>
    </row>
    <row r="1150" spans="1:24" ht="15.75" customHeight="1" x14ac:dyDescent="0.3">
      <c r="C1150" t="s">
        <v>72</v>
      </c>
      <c r="D1150" t="s">
        <v>71</v>
      </c>
      <c r="E1150" t="s">
        <v>73</v>
      </c>
      <c r="F1150" t="s">
        <v>70</v>
      </c>
      <c r="G1150" t="s">
        <v>68</v>
      </c>
      <c r="H1150" t="s">
        <v>69</v>
      </c>
      <c r="K1150" t="s">
        <v>68</v>
      </c>
      <c r="L1150" t="s">
        <v>69</v>
      </c>
      <c r="M1150" t="s">
        <v>70</v>
      </c>
      <c r="N1150" t="s">
        <v>71</v>
      </c>
      <c r="O1150" t="s">
        <v>72</v>
      </c>
      <c r="P1150" t="s">
        <v>73</v>
      </c>
    </row>
    <row r="1151" spans="1:24" ht="15.75" customHeight="1" x14ac:dyDescent="0.3">
      <c r="A1151">
        <v>575</v>
      </c>
      <c r="B1151" s="16" t="s">
        <v>656</v>
      </c>
      <c r="C1151" s="7">
        <f>Rankings!L584</f>
        <v>7.249907993309999</v>
      </c>
      <c r="D1151" s="7">
        <f>Rankings!M584</f>
        <v>5.7813949682814023</v>
      </c>
      <c r="E1151" s="7">
        <f>Rankings!N584</f>
        <v>3.9109038467413311</v>
      </c>
      <c r="F1151" s="7">
        <f>Rankings!O584</f>
        <v>2.7870449608896757</v>
      </c>
      <c r="G1151" s="7">
        <f>Rankings!P584</f>
        <v>1.6373343116675814</v>
      </c>
      <c r="H1151" s="7">
        <f>Rankings!Q584</f>
        <v>1</v>
      </c>
      <c r="I1151" s="7">
        <f>Rankings!R584</f>
        <v>22.366586080889988</v>
      </c>
      <c r="K1151" s="7">
        <f t="shared" ref="K1151:L1151" si="961">G1151</f>
        <v>1.6373343116675814</v>
      </c>
      <c r="L1151" s="7">
        <f t="shared" si="961"/>
        <v>1</v>
      </c>
      <c r="M1151" s="7">
        <f>F1151</f>
        <v>2.7870449608896757</v>
      </c>
      <c r="N1151" s="7">
        <f>D1151</f>
        <v>5.7813949682814023</v>
      </c>
      <c r="O1151" s="7">
        <f>C1151</f>
        <v>7.249907993309999</v>
      </c>
      <c r="P1151" s="7">
        <f>E1151</f>
        <v>3.9109038467413311</v>
      </c>
      <c r="R1151" s="7">
        <f t="shared" ref="R1151:W1151" si="962">K1151/$I1151</f>
        <v>7.3204480368442099E-2</v>
      </c>
      <c r="S1151" s="7">
        <f t="shared" si="962"/>
        <v>4.4709550057547676E-2</v>
      </c>
      <c r="T1151" s="7">
        <f t="shared" si="962"/>
        <v>0.12460752619153295</v>
      </c>
      <c r="U1151" s="7">
        <f t="shared" si="962"/>
        <v>0.25848356773683162</v>
      </c>
      <c r="V1151" s="7">
        <f t="shared" si="962"/>
        <v>0.3241401243395084</v>
      </c>
      <c r="W1151" s="7">
        <f t="shared" si="962"/>
        <v>0.17485475130613731</v>
      </c>
      <c r="X1151" s="7">
        <f>SUM(R1151:W1151)</f>
        <v>1</v>
      </c>
    </row>
    <row r="1152" spans="1:24" ht="15.75" customHeight="1" x14ac:dyDescent="0.3">
      <c r="C1152" t="s">
        <v>72</v>
      </c>
      <c r="D1152" t="s">
        <v>71</v>
      </c>
      <c r="E1152" t="s">
        <v>73</v>
      </c>
      <c r="F1152" t="s">
        <v>70</v>
      </c>
      <c r="G1152" t="s">
        <v>69</v>
      </c>
      <c r="H1152" t="s">
        <v>68</v>
      </c>
      <c r="K1152" t="s">
        <v>68</v>
      </c>
      <c r="L1152" t="s">
        <v>69</v>
      </c>
      <c r="M1152" t="s">
        <v>70</v>
      </c>
      <c r="N1152" t="s">
        <v>71</v>
      </c>
      <c r="O1152" t="s">
        <v>72</v>
      </c>
      <c r="P1152" t="s">
        <v>73</v>
      </c>
    </row>
    <row r="1153" spans="1:24" ht="15.75" customHeight="1" x14ac:dyDescent="0.3">
      <c r="A1153">
        <v>576</v>
      </c>
      <c r="B1153" s="16" t="s">
        <v>657</v>
      </c>
      <c r="C1153" s="7">
        <f>Rankings!L585</f>
        <v>6.8321501399482454</v>
      </c>
      <c r="D1153" s="7">
        <f>Rankings!M585</f>
        <v>5.4482565127845355</v>
      </c>
      <c r="E1153" s="7">
        <f>Rankings!N585</f>
        <v>3.6855477736399185</v>
      </c>
      <c r="F1153" s="7">
        <f>Rankings!O585</f>
        <v>2.6264484510914334</v>
      </c>
      <c r="G1153" s="7">
        <f>Rankings!P585</f>
        <v>1.7440097060445605</v>
      </c>
      <c r="H1153" s="7">
        <f>Rankings!Q585</f>
        <v>1</v>
      </c>
      <c r="I1153" s="7">
        <f>Rankings!R585</f>
        <v>21.336412583508693</v>
      </c>
      <c r="K1153" s="7">
        <f>H1153</f>
        <v>1</v>
      </c>
      <c r="L1153" s="7">
        <f>G1153</f>
        <v>1.7440097060445605</v>
      </c>
      <c r="M1153" s="7">
        <f>F1153</f>
        <v>2.6264484510914334</v>
      </c>
      <c r="N1153" s="7">
        <f>D1153</f>
        <v>5.4482565127845355</v>
      </c>
      <c r="O1153" s="7">
        <f>C1153</f>
        <v>6.8321501399482454</v>
      </c>
      <c r="P1153" s="7">
        <f>E1153</f>
        <v>3.6855477736399185</v>
      </c>
      <c r="R1153" s="7">
        <f t="shared" ref="R1153:W1153" si="963">K1153/$I1153</f>
        <v>4.6868235045891382E-2</v>
      </c>
      <c r="S1153" s="7">
        <f t="shared" si="963"/>
        <v>8.1738656825212391E-2</v>
      </c>
      <c r="T1153" s="7">
        <f t="shared" si="963"/>
        <v>0.12309700334167066</v>
      </c>
      <c r="U1153" s="7">
        <f t="shared" si="963"/>
        <v>0.25535016683149414</v>
      </c>
      <c r="V1153" s="7">
        <f t="shared" si="963"/>
        <v>0.32021081862791406</v>
      </c>
      <c r="W1153" s="7">
        <f t="shared" si="963"/>
        <v>0.17273511932781738</v>
      </c>
      <c r="X1153" s="7">
        <f>SUM(R1153:W1153)</f>
        <v>0.99999999999999989</v>
      </c>
    </row>
    <row r="1154" spans="1:24" ht="15.75" customHeight="1" x14ac:dyDescent="0.3">
      <c r="C1154" t="s">
        <v>72</v>
      </c>
      <c r="D1154" t="s">
        <v>73</v>
      </c>
      <c r="E1154" t="s">
        <v>68</v>
      </c>
      <c r="F1154" t="s">
        <v>69</v>
      </c>
      <c r="G1154" t="s">
        <v>70</v>
      </c>
      <c r="H1154" t="s">
        <v>71</v>
      </c>
      <c r="K1154" t="s">
        <v>68</v>
      </c>
      <c r="L1154" t="s">
        <v>69</v>
      </c>
      <c r="M1154" t="s">
        <v>70</v>
      </c>
      <c r="N1154" t="s">
        <v>71</v>
      </c>
      <c r="O1154" t="s">
        <v>72</v>
      </c>
      <c r="P1154" t="s">
        <v>73</v>
      </c>
    </row>
    <row r="1155" spans="1:24" ht="15.75" customHeight="1" x14ac:dyDescent="0.3">
      <c r="A1155">
        <v>577</v>
      </c>
      <c r="B1155" s="16" t="s">
        <v>658</v>
      </c>
      <c r="C1155" s="7">
        <f>Rankings!L586</f>
        <v>6.9216998607171112</v>
      </c>
      <c r="D1155" s="7">
        <f>Rankings!M586</f>
        <v>5.2360327874569528</v>
      </c>
      <c r="E1155" s="7">
        <f>Rankings!N586</f>
        <v>3.1931828820022803</v>
      </c>
      <c r="F1155" s="7">
        <f>Rankings!O586</f>
        <v>1.9502326795742213</v>
      </c>
      <c r="G1155" s="7">
        <f>Rankings!P586</f>
        <v>1.4338636587362954</v>
      </c>
      <c r="H1155" s="7">
        <f>Rankings!Q586</f>
        <v>1</v>
      </c>
      <c r="I1155" s="7">
        <f>Rankings!R586</f>
        <v>19.735011868486861</v>
      </c>
      <c r="K1155" s="7">
        <f t="shared" ref="K1155:N1155" si="964">E1155</f>
        <v>3.1931828820022803</v>
      </c>
      <c r="L1155" s="7">
        <f t="shared" si="964"/>
        <v>1.9502326795742213</v>
      </c>
      <c r="M1155" s="7">
        <f t="shared" si="964"/>
        <v>1.4338636587362954</v>
      </c>
      <c r="N1155" s="7">
        <f t="shared" si="964"/>
        <v>1</v>
      </c>
      <c r="O1155" s="7">
        <f t="shared" ref="O1155:P1155" si="965">C1155</f>
        <v>6.9216998607171112</v>
      </c>
      <c r="P1155" s="7">
        <f t="shared" si="965"/>
        <v>5.2360327874569528</v>
      </c>
      <c r="R1155" s="7">
        <f t="shared" ref="R1155:W1155" si="966">K1155/$I1155</f>
        <v>0.16180293699752968</v>
      </c>
      <c r="S1155" s="7">
        <f t="shared" si="966"/>
        <v>9.8820952962707848E-2</v>
      </c>
      <c r="T1155" s="7">
        <f t="shared" si="966"/>
        <v>7.2655829562783728E-2</v>
      </c>
      <c r="U1155" s="7">
        <f t="shared" si="966"/>
        <v>5.0671365523565444E-2</v>
      </c>
      <c r="V1155" s="7">
        <f t="shared" si="966"/>
        <v>0.35073198368680875</v>
      </c>
      <c r="W1155" s="7">
        <f t="shared" si="966"/>
        <v>0.26531693126660449</v>
      </c>
      <c r="X1155" s="7">
        <f>SUM(R1155:W1155)</f>
        <v>0.99999999999999989</v>
      </c>
    </row>
    <row r="1156" spans="1:24" ht="15.75" customHeight="1" x14ac:dyDescent="0.3">
      <c r="C1156" t="s">
        <v>72</v>
      </c>
      <c r="D1156" t="s">
        <v>73</v>
      </c>
      <c r="E1156" t="s">
        <v>68</v>
      </c>
      <c r="F1156" t="s">
        <v>69</v>
      </c>
      <c r="G1156" t="s">
        <v>71</v>
      </c>
      <c r="H1156" t="s">
        <v>70</v>
      </c>
      <c r="K1156" t="s">
        <v>68</v>
      </c>
      <c r="L1156" t="s">
        <v>69</v>
      </c>
      <c r="M1156" t="s">
        <v>70</v>
      </c>
      <c r="N1156" t="s">
        <v>71</v>
      </c>
      <c r="O1156" t="s">
        <v>72</v>
      </c>
      <c r="P1156" t="s">
        <v>73</v>
      </c>
    </row>
    <row r="1157" spans="1:24" ht="15.75" customHeight="1" x14ac:dyDescent="0.3">
      <c r="A1157">
        <v>578</v>
      </c>
      <c r="B1157" s="16" t="s">
        <v>659</v>
      </c>
      <c r="C1157" s="7">
        <f>Rankings!L587</f>
        <v>7.237486240345496</v>
      </c>
      <c r="D1157" s="7">
        <f>Rankings!M587</f>
        <v>5.4749145463945972</v>
      </c>
      <c r="E1157" s="7">
        <f>Rankings!N587</f>
        <v>3.3388643882926097</v>
      </c>
      <c r="F1157" s="7">
        <f>Rankings!O587</f>
        <v>2.039207487743945</v>
      </c>
      <c r="G1157" s="7">
        <f>Rankings!P587</f>
        <v>2.2388599512381115</v>
      </c>
      <c r="H1157" s="7">
        <f>Rankings!Q587</f>
        <v>1</v>
      </c>
      <c r="I1157" s="7">
        <f>Rankings!R587</f>
        <v>21.32933261401476</v>
      </c>
      <c r="K1157" s="7">
        <f t="shared" ref="K1157:L1157" si="967">E1157</f>
        <v>3.3388643882926097</v>
      </c>
      <c r="L1157" s="7">
        <f t="shared" si="967"/>
        <v>2.039207487743945</v>
      </c>
      <c r="M1157" s="7">
        <f>H1157</f>
        <v>1</v>
      </c>
      <c r="N1157" s="7">
        <f>G1157</f>
        <v>2.2388599512381115</v>
      </c>
      <c r="O1157" s="7">
        <f t="shared" ref="O1157:P1157" si="968">C1157</f>
        <v>7.237486240345496</v>
      </c>
      <c r="P1157" s="7">
        <f t="shared" si="968"/>
        <v>5.4749145463945972</v>
      </c>
      <c r="R1157" s="7">
        <f t="shared" ref="R1157:W1157" si="969">K1157/$I1157</f>
        <v>0.15653862447148292</v>
      </c>
      <c r="S1157" s="7">
        <f t="shared" si="969"/>
        <v>9.5605780295444073E-2</v>
      </c>
      <c r="T1157" s="7">
        <f t="shared" si="969"/>
        <v>4.6883792291885162E-2</v>
      </c>
      <c r="U1157" s="7">
        <f t="shared" si="969"/>
        <v>0.10496624492446777</v>
      </c>
      <c r="V1157" s="7">
        <f t="shared" si="969"/>
        <v>0.33932080160773509</v>
      </c>
      <c r="W1157" s="7">
        <f t="shared" si="969"/>
        <v>0.25668475640898497</v>
      </c>
      <c r="X1157" s="7">
        <f>SUM(R1157:W1157)</f>
        <v>1</v>
      </c>
    </row>
    <row r="1158" spans="1:24" ht="15.75" customHeight="1" x14ac:dyDescent="0.3">
      <c r="C1158" t="s">
        <v>72</v>
      </c>
      <c r="D1158" t="s">
        <v>73</v>
      </c>
      <c r="E1158" t="s">
        <v>68</v>
      </c>
      <c r="F1158" t="s">
        <v>70</v>
      </c>
      <c r="G1158" t="s">
        <v>69</v>
      </c>
      <c r="H1158" t="s">
        <v>71</v>
      </c>
      <c r="K1158" t="s">
        <v>68</v>
      </c>
      <c r="L1158" t="s">
        <v>69</v>
      </c>
      <c r="M1158" t="s">
        <v>70</v>
      </c>
      <c r="N1158" t="s">
        <v>71</v>
      </c>
      <c r="O1158" t="s">
        <v>72</v>
      </c>
      <c r="P1158" t="s">
        <v>73</v>
      </c>
    </row>
    <row r="1159" spans="1:24" ht="15.75" customHeight="1" x14ac:dyDescent="0.3">
      <c r="A1159">
        <v>579</v>
      </c>
      <c r="B1159" s="16" t="s">
        <v>660</v>
      </c>
      <c r="C1159" s="7">
        <f>Rankings!L588</f>
        <v>3.2946824092955227</v>
      </c>
      <c r="D1159" s="7">
        <f>Rankings!M588</f>
        <v>2.492316261390414</v>
      </c>
      <c r="E1159" s="7">
        <f>Rankings!N588</f>
        <v>1.5199334964961237</v>
      </c>
      <c r="F1159" s="7">
        <f>Rankings!O588</f>
        <v>1.3716852644505737</v>
      </c>
      <c r="G1159" s="7">
        <f>Rankings!P588</f>
        <v>0.9108240498099236</v>
      </c>
      <c r="H1159" s="7">
        <f>Rankings!Q588</f>
        <v>1</v>
      </c>
      <c r="I1159" s="7">
        <f>Rankings!R588</f>
        <v>10.589441481442558</v>
      </c>
      <c r="K1159" s="7">
        <f>E1159</f>
        <v>1.5199334964961237</v>
      </c>
      <c r="L1159" s="7">
        <f>G1159</f>
        <v>0.9108240498099236</v>
      </c>
      <c r="M1159" s="7">
        <f>F1159</f>
        <v>1.3716852644505737</v>
      </c>
      <c r="N1159" s="7">
        <f>H1159</f>
        <v>1</v>
      </c>
      <c r="O1159" s="7">
        <f t="shared" ref="O1159:P1159" si="970">C1159</f>
        <v>3.2946824092955227</v>
      </c>
      <c r="P1159" s="7">
        <f t="shared" si="970"/>
        <v>2.492316261390414</v>
      </c>
      <c r="R1159" s="7">
        <f t="shared" ref="R1159:W1159" si="971">K1159/$I1159</f>
        <v>0.14353292372971016</v>
      </c>
      <c r="S1159" s="7">
        <f t="shared" si="971"/>
        <v>8.6012473028544062E-2</v>
      </c>
      <c r="T1159" s="7">
        <f t="shared" si="971"/>
        <v>0.12953329661950352</v>
      </c>
      <c r="U1159" s="7">
        <f t="shared" si="971"/>
        <v>9.4433686776818931E-2</v>
      </c>
      <c r="V1159" s="7">
        <f t="shared" si="971"/>
        <v>0.31112900666850857</v>
      </c>
      <c r="W1159" s="7">
        <f t="shared" si="971"/>
        <v>0.23535861317691475</v>
      </c>
      <c r="X1159" s="7">
        <f>SUM(R1159:W1159)</f>
        <v>1</v>
      </c>
    </row>
    <row r="1160" spans="1:24" ht="15.75" customHeight="1" x14ac:dyDescent="0.3">
      <c r="C1160" t="s">
        <v>72</v>
      </c>
      <c r="D1160" t="s">
        <v>73</v>
      </c>
      <c r="E1160" t="s">
        <v>68</v>
      </c>
      <c r="F1160" t="s">
        <v>70</v>
      </c>
      <c r="G1160" t="s">
        <v>71</v>
      </c>
      <c r="H1160" t="s">
        <v>69</v>
      </c>
      <c r="K1160" t="s">
        <v>68</v>
      </c>
      <c r="L1160" t="s">
        <v>69</v>
      </c>
      <c r="M1160" t="s">
        <v>70</v>
      </c>
      <c r="N1160" t="s">
        <v>71</v>
      </c>
      <c r="O1160" t="s">
        <v>72</v>
      </c>
      <c r="P1160" t="s">
        <v>73</v>
      </c>
    </row>
    <row r="1161" spans="1:24" ht="15.75" customHeight="1" x14ac:dyDescent="0.3">
      <c r="A1161">
        <v>580</v>
      </c>
      <c r="B1161" s="16" t="s">
        <v>661</v>
      </c>
      <c r="C1161" s="7">
        <f>Rankings!L589</f>
        <v>4.9512603427730699</v>
      </c>
      <c r="D1161" s="7">
        <f>Rankings!M589</f>
        <v>3.7454616663065234</v>
      </c>
      <c r="E1161" s="7">
        <f>Rankings!N589</f>
        <v>2.2841614182967063</v>
      </c>
      <c r="F1161" s="7">
        <f>Rankings!O589</f>
        <v>2.0613734524088798</v>
      </c>
      <c r="G1161" s="7">
        <f>Rankings!P589</f>
        <v>1.4376356077157479</v>
      </c>
      <c r="H1161" s="7">
        <f>Rankings!Q589</f>
        <v>1</v>
      </c>
      <c r="I1161" s="7">
        <f>Rankings!R589</f>
        <v>15.479892487500928</v>
      </c>
      <c r="K1161" s="7">
        <f>E1161</f>
        <v>2.2841614182967063</v>
      </c>
      <c r="L1161" s="7">
        <f>H1161</f>
        <v>1</v>
      </c>
      <c r="M1161" s="7">
        <f t="shared" ref="M1161:N1161" si="972">F1161</f>
        <v>2.0613734524088798</v>
      </c>
      <c r="N1161" s="7">
        <f t="shared" si="972"/>
        <v>1.4376356077157479</v>
      </c>
      <c r="O1161" s="7">
        <f t="shared" ref="O1161:P1161" si="973">C1161</f>
        <v>4.9512603427730699</v>
      </c>
      <c r="P1161" s="7">
        <f t="shared" si="973"/>
        <v>3.7454616663065234</v>
      </c>
      <c r="R1161" s="7">
        <f t="shared" ref="R1161:W1161" si="974">K1161/$I1161</f>
        <v>0.1475566719950431</v>
      </c>
      <c r="S1161" s="7">
        <f t="shared" si="974"/>
        <v>6.4599931866932483E-2</v>
      </c>
      <c r="T1161" s="7">
        <f t="shared" si="974"/>
        <v>0.13316458457791702</v>
      </c>
      <c r="U1161" s="7">
        <f t="shared" si="974"/>
        <v>9.2871162307913396E-2</v>
      </c>
      <c r="V1161" s="7">
        <f t="shared" si="974"/>
        <v>0.3198510807985851</v>
      </c>
      <c r="W1161" s="7">
        <f t="shared" si="974"/>
        <v>0.24195656845360883</v>
      </c>
      <c r="X1161" s="7">
        <f>SUM(R1161:W1161)</f>
        <v>0.99999999999999989</v>
      </c>
    </row>
    <row r="1162" spans="1:24" ht="15.75" customHeight="1" x14ac:dyDescent="0.3">
      <c r="C1162" t="s">
        <v>72</v>
      </c>
      <c r="D1162" t="s">
        <v>73</v>
      </c>
      <c r="E1162" t="s">
        <v>68</v>
      </c>
      <c r="F1162" t="s">
        <v>71</v>
      </c>
      <c r="G1162" t="s">
        <v>69</v>
      </c>
      <c r="H1162" t="s">
        <v>70</v>
      </c>
      <c r="K1162" t="s">
        <v>68</v>
      </c>
      <c r="L1162" t="s">
        <v>69</v>
      </c>
      <c r="M1162" t="s">
        <v>70</v>
      </c>
      <c r="N1162" t="s">
        <v>71</v>
      </c>
      <c r="O1162" t="s">
        <v>72</v>
      </c>
      <c r="P1162" t="s">
        <v>73</v>
      </c>
    </row>
    <row r="1163" spans="1:24" ht="15.75" customHeight="1" x14ac:dyDescent="0.3">
      <c r="A1163">
        <v>581</v>
      </c>
      <c r="B1163" s="16" t="s">
        <v>662</v>
      </c>
      <c r="C1163" s="7">
        <f>Rankings!L590</f>
        <v>5.3146278839184724</v>
      </c>
      <c r="D1163" s="7">
        <f>Rankings!M590</f>
        <v>4.0203369711623198</v>
      </c>
      <c r="E1163" s="7">
        <f>Rankings!N590</f>
        <v>2.4517935080447506</v>
      </c>
      <c r="F1163" s="7">
        <f>Rankings!O590</f>
        <v>1.9553629987092347</v>
      </c>
      <c r="G1163" s="7">
        <f>Rankings!P590</f>
        <v>1.3601242124324544</v>
      </c>
      <c r="H1163" s="7">
        <f>Rankings!Q590</f>
        <v>1</v>
      </c>
      <c r="I1163" s="7">
        <f>Rankings!R590</f>
        <v>16.102245574267233</v>
      </c>
      <c r="K1163" s="7">
        <f>E1163</f>
        <v>2.4517935080447506</v>
      </c>
      <c r="L1163" s="7">
        <f t="shared" ref="L1163:M1163" si="975">G1163</f>
        <v>1.3601242124324544</v>
      </c>
      <c r="M1163" s="7">
        <f t="shared" si="975"/>
        <v>1</v>
      </c>
      <c r="N1163" s="7">
        <f>F1163</f>
        <v>1.9553629987092347</v>
      </c>
      <c r="O1163" s="7">
        <f t="shared" ref="O1163:P1163" si="976">C1163</f>
        <v>5.3146278839184724</v>
      </c>
      <c r="P1163" s="7">
        <f t="shared" si="976"/>
        <v>4.0203369711623198</v>
      </c>
      <c r="R1163" s="7">
        <f t="shared" ref="R1163:W1163" si="977">K1163/$I1163</f>
        <v>0.15226407377384224</v>
      </c>
      <c r="S1163" s="7">
        <f t="shared" si="977"/>
        <v>8.4467983434934654E-2</v>
      </c>
      <c r="T1163" s="7">
        <f t="shared" si="977"/>
        <v>6.2103139303631393E-2</v>
      </c>
      <c r="U1163" s="7">
        <f t="shared" si="977"/>
        <v>0.121434180698006</v>
      </c>
      <c r="V1163" s="7">
        <f t="shared" si="977"/>
        <v>0.33005507582195259</v>
      </c>
      <c r="W1163" s="7">
        <f t="shared" si="977"/>
        <v>0.24967554696763306</v>
      </c>
      <c r="X1163" s="7">
        <f>SUM(R1163:W1163)</f>
        <v>0.99999999999999989</v>
      </c>
    </row>
    <row r="1164" spans="1:24" ht="15.75" customHeight="1" x14ac:dyDescent="0.3">
      <c r="C1164" t="s">
        <v>72</v>
      </c>
      <c r="D1164" t="s">
        <v>73</v>
      </c>
      <c r="E1164" t="s">
        <v>68</v>
      </c>
      <c r="F1164" t="s">
        <v>71</v>
      </c>
      <c r="G1164" t="s">
        <v>70</v>
      </c>
      <c r="H1164" t="s">
        <v>69</v>
      </c>
      <c r="K1164" t="s">
        <v>68</v>
      </c>
      <c r="L1164" t="s">
        <v>69</v>
      </c>
      <c r="M1164" t="s">
        <v>70</v>
      </c>
      <c r="N1164" t="s">
        <v>71</v>
      </c>
      <c r="O1164" t="s">
        <v>72</v>
      </c>
      <c r="P1164" t="s">
        <v>73</v>
      </c>
    </row>
    <row r="1165" spans="1:24" ht="15.75" customHeight="1" x14ac:dyDescent="0.3">
      <c r="A1165">
        <v>582</v>
      </c>
      <c r="B1165" s="16" t="s">
        <v>663</v>
      </c>
      <c r="C1165" s="7">
        <f>Rankings!L591</f>
        <v>9.1641540379333595</v>
      </c>
      <c r="D1165" s="7">
        <f>Rankings!M591</f>
        <v>6.9323738355441806</v>
      </c>
      <c r="E1165" s="7">
        <f>Rankings!N591</f>
        <v>4.2276926753263115</v>
      </c>
      <c r="F1165" s="7">
        <f>Rankings!O591</f>
        <v>3.3716843609067255</v>
      </c>
      <c r="G1165" s="7">
        <f>Rankings!P591</f>
        <v>1.5059827029565431</v>
      </c>
      <c r="H1165" s="7">
        <f>Rankings!Q591</f>
        <v>1</v>
      </c>
      <c r="I1165" s="7">
        <f>Rankings!R591</f>
        <v>26.201887612667122</v>
      </c>
      <c r="K1165" s="7">
        <f>E1165</f>
        <v>4.2276926753263115</v>
      </c>
      <c r="L1165" s="7">
        <f>H1165</f>
        <v>1</v>
      </c>
      <c r="M1165" s="7">
        <f>G1165</f>
        <v>1.5059827029565431</v>
      </c>
      <c r="N1165" s="7">
        <f>F1165</f>
        <v>3.3716843609067255</v>
      </c>
      <c r="O1165" s="7">
        <f t="shared" ref="O1165:P1165" si="978">C1165</f>
        <v>9.1641540379333595</v>
      </c>
      <c r="P1165" s="7">
        <f t="shared" si="978"/>
        <v>6.9323738355441806</v>
      </c>
      <c r="R1165" s="7">
        <f t="shared" ref="R1165:W1165" si="979">K1165/$I1165</f>
        <v>0.16135069113427014</v>
      </c>
      <c r="S1165" s="7">
        <f t="shared" si="979"/>
        <v>3.8165189271194222E-2</v>
      </c>
      <c r="T1165" s="7">
        <f t="shared" si="979"/>
        <v>5.7476114897481133E-2</v>
      </c>
      <c r="U1165" s="7">
        <f t="shared" si="979"/>
        <v>0.12868097179673071</v>
      </c>
      <c r="V1165" s="7">
        <f t="shared" si="979"/>
        <v>0.34975167336810548</v>
      </c>
      <c r="W1165" s="7">
        <f t="shared" si="979"/>
        <v>0.26457535953221828</v>
      </c>
      <c r="X1165" s="7">
        <f>SUM(R1165:W1165)</f>
        <v>1</v>
      </c>
    </row>
    <row r="1166" spans="1:24" ht="15.75" customHeight="1" x14ac:dyDescent="0.3">
      <c r="C1166" t="s">
        <v>72</v>
      </c>
      <c r="D1166" t="s">
        <v>73</v>
      </c>
      <c r="E1166" t="s">
        <v>69</v>
      </c>
      <c r="F1166" t="s">
        <v>68</v>
      </c>
      <c r="G1166" t="s">
        <v>70</v>
      </c>
      <c r="H1166" t="s">
        <v>71</v>
      </c>
      <c r="K1166" t="s">
        <v>68</v>
      </c>
      <c r="L1166" t="s">
        <v>69</v>
      </c>
      <c r="M1166" t="s">
        <v>70</v>
      </c>
      <c r="N1166" t="s">
        <v>71</v>
      </c>
      <c r="O1166" t="s">
        <v>72</v>
      </c>
      <c r="P1166" t="s">
        <v>73</v>
      </c>
    </row>
    <row r="1167" spans="1:24" ht="15.75" customHeight="1" x14ac:dyDescent="0.3">
      <c r="A1167">
        <v>583</v>
      </c>
      <c r="B1167" s="16" t="s">
        <v>664</v>
      </c>
      <c r="C1167" s="7">
        <f>Rankings!L592</f>
        <v>4.5492081624261473</v>
      </c>
      <c r="D1167" s="7">
        <f>Rankings!M592</f>
        <v>3.4413227349852589</v>
      </c>
      <c r="E1167" s="7">
        <f>Rankings!N592</f>
        <v>2.7709383812574635</v>
      </c>
      <c r="F1167" s="7">
        <f>Rankings!O592</f>
        <v>1.5888319724676261</v>
      </c>
      <c r="G1167" s="7">
        <f>Rankings!P592</f>
        <v>1.4338636587362954</v>
      </c>
      <c r="H1167" s="7">
        <f>Rankings!Q592</f>
        <v>1</v>
      </c>
      <c r="I1167" s="7">
        <f>Rankings!R592</f>
        <v>14.784164909872789</v>
      </c>
      <c r="K1167" s="7">
        <f>F1167</f>
        <v>1.5888319724676261</v>
      </c>
      <c r="L1167" s="7">
        <f>E1167</f>
        <v>2.7709383812574635</v>
      </c>
      <c r="M1167" s="7">
        <f t="shared" ref="M1167:N1167" si="980">G1167</f>
        <v>1.4338636587362954</v>
      </c>
      <c r="N1167" s="7">
        <f t="shared" si="980"/>
        <v>1</v>
      </c>
      <c r="O1167" s="7">
        <f t="shared" ref="O1167:P1167" si="981">C1167</f>
        <v>4.5492081624261473</v>
      </c>
      <c r="P1167" s="7">
        <f t="shared" si="981"/>
        <v>3.4413227349852589</v>
      </c>
      <c r="R1167" s="7">
        <f t="shared" ref="R1167:W1167" si="982">K1167/$I1167</f>
        <v>0.10746849633736244</v>
      </c>
      <c r="S1167" s="7">
        <f t="shared" si="982"/>
        <v>0.18742610070637436</v>
      </c>
      <c r="T1167" s="7">
        <f t="shared" si="982"/>
        <v>9.6986449182447129E-2</v>
      </c>
      <c r="U1167" s="7">
        <f t="shared" si="982"/>
        <v>6.7639938143019843E-2</v>
      </c>
      <c r="V1167" s="7">
        <f t="shared" si="982"/>
        <v>0.30770815870622559</v>
      </c>
      <c r="W1167" s="7">
        <f t="shared" si="982"/>
        <v>0.23277085692457078</v>
      </c>
      <c r="X1167" s="7">
        <f>SUM(R1167:W1167)</f>
        <v>1</v>
      </c>
    </row>
    <row r="1168" spans="1:24" ht="15.75" customHeight="1" x14ac:dyDescent="0.3">
      <c r="C1168" t="s">
        <v>72</v>
      </c>
      <c r="D1168" t="s">
        <v>73</v>
      </c>
      <c r="E1168" t="s">
        <v>69</v>
      </c>
      <c r="F1168" t="s">
        <v>68</v>
      </c>
      <c r="G1168" t="s">
        <v>71</v>
      </c>
      <c r="H1168" t="s">
        <v>70</v>
      </c>
      <c r="K1168" t="s">
        <v>68</v>
      </c>
      <c r="L1168" t="s">
        <v>69</v>
      </c>
      <c r="M1168" t="s">
        <v>70</v>
      </c>
      <c r="N1168" t="s">
        <v>71</v>
      </c>
      <c r="O1168" t="s">
        <v>72</v>
      </c>
      <c r="P1168" t="s">
        <v>73</v>
      </c>
    </row>
    <row r="1169" spans="1:24" ht="15.75" customHeight="1" x14ac:dyDescent="0.3">
      <c r="A1169">
        <v>584</v>
      </c>
      <c r="B1169" s="16" t="s">
        <v>665</v>
      </c>
      <c r="C1169" s="7">
        <f>Rankings!L593</f>
        <v>8.0378753099700599</v>
      </c>
      <c r="D1169" s="7">
        <f>Rankings!M593</f>
        <v>6.08038191649264</v>
      </c>
      <c r="E1169" s="7">
        <f>Rankings!N593</f>
        <v>4.8958975727062803</v>
      </c>
      <c r="F1169" s="7">
        <f>Rankings!O593</f>
        <v>2.8072650947627165</v>
      </c>
      <c r="G1169" s="7">
        <f>Rankings!P593</f>
        <v>2.2388599512381115</v>
      </c>
      <c r="H1169" s="7">
        <f>Rankings!Q593</f>
        <v>1</v>
      </c>
      <c r="I1169" s="7">
        <f>Rankings!R593</f>
        <v>25.060279845169806</v>
      </c>
      <c r="K1169" s="7">
        <f>F1169</f>
        <v>2.8072650947627165</v>
      </c>
      <c r="L1169" s="7">
        <f>E1169</f>
        <v>4.8958975727062803</v>
      </c>
      <c r="M1169" s="7">
        <f>H1169</f>
        <v>1</v>
      </c>
      <c r="N1169" s="7">
        <f>G1169</f>
        <v>2.2388599512381115</v>
      </c>
      <c r="O1169" s="7">
        <f t="shared" ref="O1169:P1169" si="983">C1169</f>
        <v>8.0378753099700599</v>
      </c>
      <c r="P1169" s="7">
        <f t="shared" si="983"/>
        <v>6.08038191649264</v>
      </c>
      <c r="R1169" s="7">
        <f t="shared" ref="R1169:W1169" si="984">K1169/$I1169</f>
        <v>0.11202050065310014</v>
      </c>
      <c r="S1169" s="7">
        <f t="shared" si="984"/>
        <v>0.19536484041497768</v>
      </c>
      <c r="T1169" s="7">
        <f t="shared" si="984"/>
        <v>3.9903784242566749E-2</v>
      </c>
      <c r="U1169" s="7">
        <f t="shared" si="984"/>
        <v>8.9338984443529113E-2</v>
      </c>
      <c r="V1169" s="7">
        <f t="shared" si="984"/>
        <v>0.32074164213769962</v>
      </c>
      <c r="W1169" s="7">
        <f t="shared" si="984"/>
        <v>0.24263024810812683</v>
      </c>
      <c r="X1169" s="7">
        <f>SUM(R1169:W1169)</f>
        <v>1</v>
      </c>
    </row>
    <row r="1170" spans="1:24" ht="15.75" customHeight="1" x14ac:dyDescent="0.3">
      <c r="C1170" t="s">
        <v>72</v>
      </c>
      <c r="D1170" t="s">
        <v>73</v>
      </c>
      <c r="E1170" t="s">
        <v>69</v>
      </c>
      <c r="F1170" t="s">
        <v>70</v>
      </c>
      <c r="G1170" t="s">
        <v>68</v>
      </c>
      <c r="H1170" t="s">
        <v>71</v>
      </c>
      <c r="K1170" t="s">
        <v>68</v>
      </c>
      <c r="L1170" t="s">
        <v>69</v>
      </c>
      <c r="M1170" t="s">
        <v>70</v>
      </c>
      <c r="N1170" t="s">
        <v>71</v>
      </c>
      <c r="O1170" t="s">
        <v>72</v>
      </c>
      <c r="P1170" t="s">
        <v>73</v>
      </c>
    </row>
    <row r="1171" spans="1:24" ht="15.75" customHeight="1" x14ac:dyDescent="0.3">
      <c r="A1171">
        <v>585</v>
      </c>
      <c r="B1171" s="16" t="s">
        <v>666</v>
      </c>
      <c r="C1171" s="7">
        <f>Rankings!L594</f>
        <v>4.7659625256378062</v>
      </c>
      <c r="D1171" s="7">
        <f>Rankings!M594</f>
        <v>3.6052901093930561</v>
      </c>
      <c r="E1171" s="7">
        <f>Rankings!N594</f>
        <v>2.9029642114423573</v>
      </c>
      <c r="F1171" s="7">
        <f>Rankings!O594</f>
        <v>2.1343375736622456</v>
      </c>
      <c r="G1171" s="7">
        <f>Rankings!P594</f>
        <v>1.2538815092968505</v>
      </c>
      <c r="H1171" s="7">
        <f>Rankings!Q594</f>
        <v>1</v>
      </c>
      <c r="I1171" s="7">
        <f>Rankings!R594</f>
        <v>15.662435929432315</v>
      </c>
      <c r="K1171" s="7">
        <f>G1171</f>
        <v>1.2538815092968505</v>
      </c>
      <c r="L1171" s="7">
        <f t="shared" ref="L1171:M1171" si="985">E1171</f>
        <v>2.9029642114423573</v>
      </c>
      <c r="M1171" s="7">
        <f t="shared" si="985"/>
        <v>2.1343375736622456</v>
      </c>
      <c r="N1171" s="7">
        <f>H1171</f>
        <v>1</v>
      </c>
      <c r="O1171" s="7">
        <f t="shared" ref="O1171:P1171" si="986">C1171</f>
        <v>4.7659625256378062</v>
      </c>
      <c r="P1171" s="7">
        <f t="shared" si="986"/>
        <v>3.6052901093930561</v>
      </c>
      <c r="R1171" s="7">
        <f t="shared" ref="R1171:W1171" si="987">K1171/$I1171</f>
        <v>8.0056609006814786E-2</v>
      </c>
      <c r="S1171" s="7">
        <f t="shared" si="987"/>
        <v>0.18534564000911288</v>
      </c>
      <c r="T1171" s="7">
        <f t="shared" si="987"/>
        <v>0.13627111282552615</v>
      </c>
      <c r="U1171" s="7">
        <f t="shared" si="987"/>
        <v>6.3847028936337688E-2</v>
      </c>
      <c r="V1171" s="7">
        <f t="shared" si="987"/>
        <v>0.30429254728389804</v>
      </c>
      <c r="W1171" s="7">
        <f t="shared" si="987"/>
        <v>0.23018706193831051</v>
      </c>
      <c r="X1171" s="7">
        <f>SUM(R1171:W1171)</f>
        <v>1</v>
      </c>
    </row>
    <row r="1172" spans="1:24" ht="15.75" customHeight="1" x14ac:dyDescent="0.3">
      <c r="C1172" t="s">
        <v>72</v>
      </c>
      <c r="D1172" t="s">
        <v>73</v>
      </c>
      <c r="E1172" t="s">
        <v>69</v>
      </c>
      <c r="F1172" t="s">
        <v>70</v>
      </c>
      <c r="G1172" t="s">
        <v>71</v>
      </c>
      <c r="H1172" t="s">
        <v>68</v>
      </c>
      <c r="K1172" t="s">
        <v>68</v>
      </c>
      <c r="L1172" t="s">
        <v>69</v>
      </c>
      <c r="M1172" t="s">
        <v>70</v>
      </c>
      <c r="N1172" t="s">
        <v>71</v>
      </c>
      <c r="O1172" t="s">
        <v>72</v>
      </c>
      <c r="P1172" t="s">
        <v>73</v>
      </c>
    </row>
    <row r="1173" spans="1:24" ht="15.75" customHeight="1" x14ac:dyDescent="0.3">
      <c r="A1173">
        <v>586</v>
      </c>
      <c r="B1173" s="16" t="s">
        <v>667</v>
      </c>
      <c r="C1173" s="7">
        <f>Rankings!L595</f>
        <v>9.3272392289014441</v>
      </c>
      <c r="D1173" s="7">
        <f>Rankings!M595</f>
        <v>7.0557422889935753</v>
      </c>
      <c r="E1173" s="7">
        <f>Rankings!N595</f>
        <v>5.6812535825464892</v>
      </c>
      <c r="F1173" s="7">
        <f>Rankings!O595</f>
        <v>4.1770108425509909</v>
      </c>
      <c r="G1173" s="7">
        <f>Rankings!P595</f>
        <v>2.9131157743633094</v>
      </c>
      <c r="H1173" s="7">
        <f>Rankings!Q595</f>
        <v>1</v>
      </c>
      <c r="I1173" s="7">
        <f>Rankings!R595</f>
        <v>30.154361717355808</v>
      </c>
      <c r="K1173" s="7">
        <f>H1173</f>
        <v>1</v>
      </c>
      <c r="L1173" s="7">
        <f t="shared" ref="L1173:N1173" si="988">E1173</f>
        <v>5.6812535825464892</v>
      </c>
      <c r="M1173" s="7">
        <f t="shared" si="988"/>
        <v>4.1770108425509909</v>
      </c>
      <c r="N1173" s="7">
        <f t="shared" si="988"/>
        <v>2.9131157743633094</v>
      </c>
      <c r="O1173" s="7">
        <f t="shared" ref="O1173:P1173" si="989">C1173</f>
        <v>9.3272392289014441</v>
      </c>
      <c r="P1173" s="7">
        <f t="shared" si="989"/>
        <v>7.0557422889935753</v>
      </c>
      <c r="R1173" s="7">
        <f t="shared" ref="R1173:W1173" si="990">K1173/$I1173</f>
        <v>3.3162698297952514E-2</v>
      </c>
      <c r="S1173" s="7">
        <f t="shared" si="990"/>
        <v>0.18840569851215108</v>
      </c>
      <c r="T1173" s="7">
        <f t="shared" si="990"/>
        <v>0.13852095035879494</v>
      </c>
      <c r="U1173" s="7">
        <f t="shared" si="990"/>
        <v>9.6606779532216747E-2</v>
      </c>
      <c r="V1173" s="7">
        <f t="shared" si="990"/>
        <v>0.30931642050088587</v>
      </c>
      <c r="W1173" s="7">
        <f t="shared" si="990"/>
        <v>0.23398745279799885</v>
      </c>
      <c r="X1173" s="7">
        <f>SUM(R1173:W1173)</f>
        <v>1</v>
      </c>
    </row>
    <row r="1174" spans="1:24" ht="15.75" customHeight="1" x14ac:dyDescent="0.3">
      <c r="C1174" t="s">
        <v>72</v>
      </c>
      <c r="D1174" t="s">
        <v>73</v>
      </c>
      <c r="E1174" t="s">
        <v>69</v>
      </c>
      <c r="F1174" t="s">
        <v>71</v>
      </c>
      <c r="G1174" t="s">
        <v>68</v>
      </c>
      <c r="H1174" t="s">
        <v>70</v>
      </c>
      <c r="K1174" t="s">
        <v>68</v>
      </c>
      <c r="L1174" t="s">
        <v>69</v>
      </c>
      <c r="M1174" t="s">
        <v>70</v>
      </c>
      <c r="N1174" t="s">
        <v>71</v>
      </c>
      <c r="O1174" t="s">
        <v>72</v>
      </c>
      <c r="P1174" t="s">
        <v>73</v>
      </c>
    </row>
    <row r="1175" spans="1:24" ht="15.75" customHeight="1" x14ac:dyDescent="0.3">
      <c r="A1175">
        <v>587</v>
      </c>
      <c r="B1175" s="16" t="s">
        <v>668</v>
      </c>
      <c r="C1175" s="7">
        <f>Rankings!L596</f>
        <v>4.8269332005701511</v>
      </c>
      <c r="D1175" s="7">
        <f>Rankings!M596</f>
        <v>3.6514123711846942</v>
      </c>
      <c r="E1175" s="7">
        <f>Rankings!N596</f>
        <v>2.9401016598221883</v>
      </c>
      <c r="F1175" s="7">
        <f>Rankings!O596</f>
        <v>3.2279578700581602</v>
      </c>
      <c r="G1175" s="7">
        <f>Rankings!P596</f>
        <v>1.1080774401297739</v>
      </c>
      <c r="H1175" s="7">
        <f>Rankings!Q596</f>
        <v>1</v>
      </c>
      <c r="I1175" s="7">
        <f>Rankings!R596</f>
        <v>16.754482541764968</v>
      </c>
      <c r="K1175" s="7">
        <f>G1175</f>
        <v>1.1080774401297739</v>
      </c>
      <c r="L1175" s="7">
        <f>E1175</f>
        <v>2.9401016598221883</v>
      </c>
      <c r="M1175" s="7">
        <f>H1175</f>
        <v>1</v>
      </c>
      <c r="N1175" s="7">
        <f>F1175</f>
        <v>3.2279578700581602</v>
      </c>
      <c r="O1175" s="7">
        <f t="shared" ref="O1175:P1175" si="991">C1175</f>
        <v>4.8269332005701511</v>
      </c>
      <c r="P1175" s="7">
        <f t="shared" si="991"/>
        <v>3.6514123711846942</v>
      </c>
      <c r="R1175" s="7">
        <f t="shared" ref="R1175:W1175" si="992">K1175/$I1175</f>
        <v>6.6136178026841394E-2</v>
      </c>
      <c r="S1175" s="7">
        <f t="shared" si="992"/>
        <v>0.17548149592165613</v>
      </c>
      <c r="T1175" s="7">
        <f t="shared" si="992"/>
        <v>5.9685519830722088E-2</v>
      </c>
      <c r="U1175" s="7">
        <f t="shared" si="992"/>
        <v>0.19266234346609173</v>
      </c>
      <c r="V1175" s="7">
        <f t="shared" si="992"/>
        <v>0.28809801726420059</v>
      </c>
      <c r="W1175" s="7">
        <f t="shared" si="992"/>
        <v>0.21793644549048802</v>
      </c>
      <c r="X1175" s="7">
        <f>SUM(R1175:W1175)</f>
        <v>1</v>
      </c>
    </row>
    <row r="1176" spans="1:24" ht="15.75" customHeight="1" x14ac:dyDescent="0.3">
      <c r="C1176" t="s">
        <v>72</v>
      </c>
      <c r="D1176" t="s">
        <v>73</v>
      </c>
      <c r="E1176" t="s">
        <v>69</v>
      </c>
      <c r="F1176" t="s">
        <v>71</v>
      </c>
      <c r="G1176" t="s">
        <v>70</v>
      </c>
      <c r="H1176" t="s">
        <v>68</v>
      </c>
      <c r="K1176" t="s">
        <v>68</v>
      </c>
      <c r="L1176" t="s">
        <v>69</v>
      </c>
      <c r="M1176" t="s">
        <v>70</v>
      </c>
      <c r="N1176" t="s">
        <v>71</v>
      </c>
      <c r="O1176" t="s">
        <v>72</v>
      </c>
      <c r="P1176" t="s">
        <v>73</v>
      </c>
    </row>
    <row r="1177" spans="1:24" ht="15.75" customHeight="1" x14ac:dyDescent="0.3">
      <c r="A1177">
        <v>588</v>
      </c>
      <c r="B1177" s="16" t="s">
        <v>669</v>
      </c>
      <c r="C1177" s="7">
        <f>Rankings!L597</f>
        <v>5.6987154281887351</v>
      </c>
      <c r="D1177" s="7">
        <f>Rankings!M597</f>
        <v>4.3108862604296192</v>
      </c>
      <c r="E1177" s="7">
        <f>Rankings!N597</f>
        <v>3.4711072213083374</v>
      </c>
      <c r="F1177" s="7">
        <f>Rankings!O597</f>
        <v>3.8109525347213977</v>
      </c>
      <c r="G1177" s="7">
        <f>Rankings!P597</f>
        <v>1.7021844231989158</v>
      </c>
      <c r="H1177" s="7">
        <f>Rankings!Q597</f>
        <v>1</v>
      </c>
      <c r="I1177" s="7">
        <f>Rankings!R597</f>
        <v>19.993845867847003</v>
      </c>
      <c r="K1177" s="7">
        <f>H1177</f>
        <v>1</v>
      </c>
      <c r="L1177" s="7">
        <f>E1177</f>
        <v>3.4711072213083374</v>
      </c>
      <c r="M1177" s="7">
        <f>G1177</f>
        <v>1.7021844231989158</v>
      </c>
      <c r="N1177" s="7">
        <f>F1177</f>
        <v>3.8109525347213977</v>
      </c>
      <c r="O1177" s="7">
        <f t="shared" ref="O1177:P1177" si="993">C1177</f>
        <v>5.6987154281887351</v>
      </c>
      <c r="P1177" s="7">
        <f t="shared" si="993"/>
        <v>4.3108862604296192</v>
      </c>
      <c r="R1177" s="7">
        <f t="shared" ref="R1177:W1177" si="994">K1177/$I1177</f>
        <v>5.0015390066007491E-2</v>
      </c>
      <c r="S1177" s="7">
        <f t="shared" si="994"/>
        <v>0.17360878163467189</v>
      </c>
      <c r="T1177" s="7">
        <f t="shared" si="994"/>
        <v>8.5135417890575757E-2</v>
      </c>
      <c r="U1177" s="7">
        <f t="shared" si="994"/>
        <v>0.19060627754713066</v>
      </c>
      <c r="V1177" s="7">
        <f t="shared" si="994"/>
        <v>0.28502347501603448</v>
      </c>
      <c r="W1177" s="7">
        <f t="shared" si="994"/>
        <v>0.21561065784557978</v>
      </c>
      <c r="X1177" s="7">
        <f>SUM(R1177:W1177)</f>
        <v>1.0000000000000002</v>
      </c>
    </row>
    <row r="1178" spans="1:24" ht="15.75" customHeight="1" x14ac:dyDescent="0.3">
      <c r="C1178" t="s">
        <v>72</v>
      </c>
      <c r="D1178" t="s">
        <v>73</v>
      </c>
      <c r="E1178" t="s">
        <v>70</v>
      </c>
      <c r="F1178" t="s">
        <v>68</v>
      </c>
      <c r="G1178" t="s">
        <v>69</v>
      </c>
      <c r="H1178" t="s">
        <v>71</v>
      </c>
      <c r="K1178" t="s">
        <v>68</v>
      </c>
      <c r="L1178" t="s">
        <v>69</v>
      </c>
      <c r="M1178" t="s">
        <v>70</v>
      </c>
      <c r="N1178" t="s">
        <v>71</v>
      </c>
      <c r="O1178" t="s">
        <v>72</v>
      </c>
      <c r="P1178" t="s">
        <v>73</v>
      </c>
    </row>
    <row r="1179" spans="1:24" ht="15.75" customHeight="1" x14ac:dyDescent="0.3">
      <c r="A1179">
        <v>589</v>
      </c>
      <c r="B1179" s="16" t="s">
        <v>670</v>
      </c>
      <c r="C1179" s="7">
        <f>Rankings!L598</f>
        <v>4.7089278257059703</v>
      </c>
      <c r="D1179" s="7">
        <f>Rankings!M598</f>
        <v>3.5621452801061477</v>
      </c>
      <c r="E1179" s="7">
        <f>Rankings!N598</f>
        <v>2.5385075782798747</v>
      </c>
      <c r="F1179" s="7">
        <f>Rankings!O598</f>
        <v>1.4913234686458101</v>
      </c>
      <c r="G1179" s="7">
        <f>Rankings!P598</f>
        <v>0.9108240498099236</v>
      </c>
      <c r="H1179" s="7">
        <f>Rankings!Q598</f>
        <v>1</v>
      </c>
      <c r="I1179" s="7">
        <f>Rankings!R598</f>
        <v>14.211728202547725</v>
      </c>
      <c r="K1179" s="7">
        <f t="shared" ref="K1179:L1179" si="995">F1179</f>
        <v>1.4913234686458101</v>
      </c>
      <c r="L1179" s="7">
        <f t="shared" si="995"/>
        <v>0.9108240498099236</v>
      </c>
      <c r="M1179" s="7">
        <f>E1179</f>
        <v>2.5385075782798747</v>
      </c>
      <c r="N1179" s="7">
        <f>H1179</f>
        <v>1</v>
      </c>
      <c r="O1179" s="7">
        <f t="shared" ref="O1179:P1179" si="996">C1179</f>
        <v>4.7089278257059703</v>
      </c>
      <c r="P1179" s="7">
        <f t="shared" si="996"/>
        <v>3.5621452801061477</v>
      </c>
      <c r="R1179" s="7">
        <f t="shared" ref="R1179:W1179" si="997">K1179/$I1179</f>
        <v>0.10493610962658727</v>
      </c>
      <c r="S1179" s="7">
        <f t="shared" si="997"/>
        <v>6.4089605206961456E-2</v>
      </c>
      <c r="T1179" s="7">
        <f t="shared" si="997"/>
        <v>0.17862061123747064</v>
      </c>
      <c r="U1179" s="7">
        <f t="shared" si="997"/>
        <v>7.0364419143671128E-2</v>
      </c>
      <c r="V1179" s="7">
        <f t="shared" si="997"/>
        <v>0.33134097124527084</v>
      </c>
      <c r="W1179" s="7">
        <f t="shared" si="997"/>
        <v>0.25064828354003876</v>
      </c>
      <c r="X1179" s="7">
        <f>SUM(R1179:W1179)</f>
        <v>1</v>
      </c>
    </row>
    <row r="1180" spans="1:24" ht="15.75" customHeight="1" x14ac:dyDescent="0.3">
      <c r="C1180" t="s">
        <v>72</v>
      </c>
      <c r="D1180" t="s">
        <v>73</v>
      </c>
      <c r="E1180" t="s">
        <v>70</v>
      </c>
      <c r="F1180" t="s">
        <v>68</v>
      </c>
      <c r="G1180" t="s">
        <v>71</v>
      </c>
      <c r="H1180" t="s">
        <v>69</v>
      </c>
      <c r="K1180" t="s">
        <v>68</v>
      </c>
      <c r="L1180" t="s">
        <v>69</v>
      </c>
      <c r="M1180" t="s">
        <v>70</v>
      </c>
      <c r="N1180" t="s">
        <v>71</v>
      </c>
      <c r="O1180" t="s">
        <v>72</v>
      </c>
      <c r="P1180" t="s">
        <v>73</v>
      </c>
    </row>
    <row r="1181" spans="1:24" ht="15.75" customHeight="1" x14ac:dyDescent="0.3">
      <c r="A1181">
        <v>590</v>
      </c>
      <c r="B1181" s="16" t="s">
        <v>671</v>
      </c>
      <c r="C1181" s="7">
        <f>Rankings!L599</f>
        <v>5.6918769227940054</v>
      </c>
      <c r="D1181" s="7">
        <f>Rankings!M599</f>
        <v>4.3057131614532791</v>
      </c>
      <c r="E1181" s="7">
        <f>Rankings!N599</f>
        <v>3.0683996947824776</v>
      </c>
      <c r="F1181" s="7">
        <f>Rankings!O599</f>
        <v>1.802624705621517</v>
      </c>
      <c r="G1181" s="7">
        <f>Rankings!P599</f>
        <v>1.4376356077157479</v>
      </c>
      <c r="H1181" s="7">
        <f>Rankings!Q599</f>
        <v>1</v>
      </c>
      <c r="I1181" s="7">
        <f>Rankings!R599</f>
        <v>17.306250092367026</v>
      </c>
      <c r="K1181" s="7">
        <f>F1181</f>
        <v>1.802624705621517</v>
      </c>
      <c r="L1181" s="7">
        <f>H1181</f>
        <v>1</v>
      </c>
      <c r="M1181" s="7">
        <f>E1181</f>
        <v>3.0683996947824776</v>
      </c>
      <c r="N1181" s="7">
        <f>G1181</f>
        <v>1.4376356077157479</v>
      </c>
      <c r="O1181" s="7">
        <f t="shared" ref="O1181:P1181" si="998">C1181</f>
        <v>5.6918769227940054</v>
      </c>
      <c r="P1181" s="7">
        <f t="shared" si="998"/>
        <v>4.3057131614532791</v>
      </c>
      <c r="R1181" s="7">
        <f t="shared" ref="R1181:W1181" si="999">K1181/$I1181</f>
        <v>0.10416032912968073</v>
      </c>
      <c r="S1181" s="7">
        <f t="shared" si="999"/>
        <v>5.7782592685462986E-2</v>
      </c>
      <c r="T1181" s="7">
        <f t="shared" si="999"/>
        <v>0.17730008975981484</v>
      </c>
      <c r="U1181" s="7">
        <f t="shared" si="999"/>
        <v>8.3070312750757103E-2</v>
      </c>
      <c r="V1181" s="7">
        <f t="shared" si="999"/>
        <v>0.32889140584559245</v>
      </c>
      <c r="W1181" s="7">
        <f t="shared" si="999"/>
        <v>0.24879526982869193</v>
      </c>
      <c r="X1181" s="7">
        <f>SUM(R1181:W1181)</f>
        <v>1</v>
      </c>
    </row>
    <row r="1182" spans="1:24" ht="15.75" customHeight="1" x14ac:dyDescent="0.3">
      <c r="C1182" t="s">
        <v>72</v>
      </c>
      <c r="D1182" t="s">
        <v>73</v>
      </c>
      <c r="E1182" t="s">
        <v>70</v>
      </c>
      <c r="F1182" t="s">
        <v>69</v>
      </c>
      <c r="G1182" t="s">
        <v>68</v>
      </c>
      <c r="H1182" t="s">
        <v>71</v>
      </c>
      <c r="K1182" t="s">
        <v>68</v>
      </c>
      <c r="L1182" t="s">
        <v>69</v>
      </c>
      <c r="M1182" t="s">
        <v>70</v>
      </c>
      <c r="N1182" t="s">
        <v>71</v>
      </c>
      <c r="O1182" t="s">
        <v>72</v>
      </c>
      <c r="P1182" t="s">
        <v>73</v>
      </c>
    </row>
    <row r="1183" spans="1:24" ht="15.75" customHeight="1" x14ac:dyDescent="0.3">
      <c r="A1183">
        <v>591</v>
      </c>
      <c r="B1183" s="16" t="s">
        <v>672</v>
      </c>
      <c r="C1183" s="7">
        <f>Rankings!L600</f>
        <v>6.1089834578376152</v>
      </c>
      <c r="D1183" s="7">
        <f>Rankings!M600</f>
        <v>4.6212402049972683</v>
      </c>
      <c r="E1183" s="7">
        <f>Rankings!N600</f>
        <v>3.2932551479449019</v>
      </c>
      <c r="F1183" s="7">
        <f>Rankings!O600</f>
        <v>2.1867815224435101</v>
      </c>
      <c r="G1183" s="7">
        <f>Rankings!P600</f>
        <v>1.2538815092968505</v>
      </c>
      <c r="H1183" s="7">
        <f>Rankings!Q600</f>
        <v>1</v>
      </c>
      <c r="I1183" s="7">
        <f>Rankings!R600</f>
        <v>18.464141842520146</v>
      </c>
      <c r="K1183" s="7">
        <f>G1183</f>
        <v>1.2538815092968505</v>
      </c>
      <c r="L1183" s="7">
        <f>F1183</f>
        <v>2.1867815224435101</v>
      </c>
      <c r="M1183" s="7">
        <f>E1183</f>
        <v>3.2932551479449019</v>
      </c>
      <c r="N1183" s="7">
        <f>H1183</f>
        <v>1</v>
      </c>
      <c r="O1183" s="7">
        <f t="shared" ref="O1183:P1183" si="1000">C1183</f>
        <v>6.1089834578376152</v>
      </c>
      <c r="P1183" s="7">
        <f t="shared" si="1000"/>
        <v>4.6212402049972683</v>
      </c>
      <c r="R1183" s="7">
        <f t="shared" ref="R1183:W1183" si="1001">K1183/$I1183</f>
        <v>6.7909005465358246E-2</v>
      </c>
      <c r="S1183" s="7">
        <f t="shared" si="1001"/>
        <v>0.1184339646594179</v>
      </c>
      <c r="T1183" s="7">
        <f t="shared" si="1001"/>
        <v>0.17835950221964986</v>
      </c>
      <c r="U1183" s="7">
        <f t="shared" si="1001"/>
        <v>5.4159029351537484E-2</v>
      </c>
      <c r="V1183" s="7">
        <f t="shared" si="1001"/>
        <v>0.33085661440108438</v>
      </c>
      <c r="W1183" s="7">
        <f t="shared" si="1001"/>
        <v>0.25028188390295214</v>
      </c>
      <c r="X1183" s="7">
        <f>SUM(R1183:W1183)</f>
        <v>1</v>
      </c>
    </row>
    <row r="1184" spans="1:24" ht="15.75" customHeight="1" x14ac:dyDescent="0.3">
      <c r="C1184" t="s">
        <v>72</v>
      </c>
      <c r="D1184" t="s">
        <v>73</v>
      </c>
      <c r="E1184" t="s">
        <v>70</v>
      </c>
      <c r="F1184" t="s">
        <v>69</v>
      </c>
      <c r="G1184" t="s">
        <v>71</v>
      </c>
      <c r="H1184" t="s">
        <v>68</v>
      </c>
      <c r="K1184" t="s">
        <v>68</v>
      </c>
      <c r="L1184" t="s">
        <v>69</v>
      </c>
      <c r="M1184" t="s">
        <v>70</v>
      </c>
      <c r="N1184" t="s">
        <v>71</v>
      </c>
      <c r="O1184" t="s">
        <v>72</v>
      </c>
      <c r="P1184" t="s">
        <v>73</v>
      </c>
    </row>
    <row r="1185" spans="1:24" ht="15.75" customHeight="1" x14ac:dyDescent="0.3">
      <c r="A1185">
        <v>592</v>
      </c>
      <c r="B1185" s="16" t="s">
        <v>673</v>
      </c>
      <c r="C1185" s="7">
        <f>Rankings!L601</f>
        <v>7.4123477808064679</v>
      </c>
      <c r="D1185" s="7">
        <f>Rankings!M601</f>
        <v>5.6071914115495138</v>
      </c>
      <c r="E1185" s="7">
        <f>Rankings!N601</f>
        <v>3.9958779813326739</v>
      </c>
      <c r="F1185" s="7">
        <f>Rankings!O601</f>
        <v>2.653335907170761</v>
      </c>
      <c r="G1185" s="7">
        <f>Rankings!P601</f>
        <v>2.9131157743633094</v>
      </c>
      <c r="H1185" s="7">
        <f>Rankings!Q601</f>
        <v>1</v>
      </c>
      <c r="I1185" s="7">
        <f>Rankings!R601</f>
        <v>23.581868855222723</v>
      </c>
      <c r="K1185" s="7">
        <f>H1185</f>
        <v>1</v>
      </c>
      <c r="L1185" s="7">
        <f>F1185</f>
        <v>2.653335907170761</v>
      </c>
      <c r="M1185" s="7">
        <f>E1185</f>
        <v>3.9958779813326739</v>
      </c>
      <c r="N1185" s="7">
        <f>G1185</f>
        <v>2.9131157743633094</v>
      </c>
      <c r="O1185" s="7">
        <f t="shared" ref="O1185:P1185" si="1002">C1185</f>
        <v>7.4123477808064679</v>
      </c>
      <c r="P1185" s="7">
        <f t="shared" si="1002"/>
        <v>5.6071914115495138</v>
      </c>
      <c r="R1185" s="7">
        <f t="shared" ref="R1185:W1185" si="1003">K1185/$I1185</f>
        <v>4.2405460149886637E-2</v>
      </c>
      <c r="S1185" s="7">
        <f t="shared" si="1003"/>
        <v>0.11251593007579301</v>
      </c>
      <c r="T1185" s="7">
        <f t="shared" si="1003"/>
        <v>0.16944704450121217</v>
      </c>
      <c r="U1185" s="7">
        <f t="shared" si="1003"/>
        <v>0.12353201488176947</v>
      </c>
      <c r="V1185" s="7">
        <f t="shared" si="1003"/>
        <v>0.31432401843608931</v>
      </c>
      <c r="W1185" s="7">
        <f t="shared" si="1003"/>
        <v>0.2377755319552495</v>
      </c>
      <c r="X1185" s="7">
        <f>SUM(R1185:W1185)</f>
        <v>1</v>
      </c>
    </row>
    <row r="1186" spans="1:24" ht="15.75" customHeight="1" x14ac:dyDescent="0.3">
      <c r="C1186" t="s">
        <v>72</v>
      </c>
      <c r="D1186" t="s">
        <v>73</v>
      </c>
      <c r="E1186" t="s">
        <v>70</v>
      </c>
      <c r="F1186" t="s">
        <v>71</v>
      </c>
      <c r="G1186" t="s">
        <v>68</v>
      </c>
      <c r="H1186" t="s">
        <v>69</v>
      </c>
      <c r="K1186" t="s">
        <v>68</v>
      </c>
      <c r="L1186" t="s">
        <v>69</v>
      </c>
      <c r="M1186" t="s">
        <v>70</v>
      </c>
      <c r="N1186" t="s">
        <v>71</v>
      </c>
      <c r="O1186" t="s">
        <v>72</v>
      </c>
      <c r="P1186" t="s">
        <v>73</v>
      </c>
    </row>
    <row r="1187" spans="1:24" ht="15.75" customHeight="1" x14ac:dyDescent="0.3">
      <c r="A1187">
        <v>593</v>
      </c>
      <c r="B1187" s="16" t="s">
        <v>674</v>
      </c>
      <c r="C1187" s="7">
        <f>Rankings!L602</f>
        <v>12.686637630749043</v>
      </c>
      <c r="D1187" s="7">
        <f>Rankings!M602</f>
        <v>9.597014018794086</v>
      </c>
      <c r="E1187" s="7">
        <f>Rankings!N602</f>
        <v>6.8391631727162503</v>
      </c>
      <c r="F1187" s="7">
        <f>Rankings!O602</f>
        <v>4.7697444112251226</v>
      </c>
      <c r="G1187" s="7">
        <f>Rankings!P602</f>
        <v>1.6373343116675814</v>
      </c>
      <c r="H1187" s="7">
        <f>Rankings!Q602</f>
        <v>1</v>
      </c>
      <c r="I1187" s="7">
        <f>Rankings!R602</f>
        <v>36.529893545152085</v>
      </c>
      <c r="K1187" s="7">
        <f t="shared" ref="K1187:L1187" si="1004">G1187</f>
        <v>1.6373343116675814</v>
      </c>
      <c r="L1187" s="7">
        <f t="shared" si="1004"/>
        <v>1</v>
      </c>
      <c r="M1187" s="7">
        <f t="shared" ref="M1187:N1187" si="1005">E1187</f>
        <v>6.8391631727162503</v>
      </c>
      <c r="N1187" s="7">
        <f t="shared" si="1005"/>
        <v>4.7697444112251226</v>
      </c>
      <c r="O1187" s="7">
        <f t="shared" ref="O1187:P1187" si="1006">C1187</f>
        <v>12.686637630749043</v>
      </c>
      <c r="P1187" s="7">
        <f t="shared" si="1006"/>
        <v>9.597014018794086</v>
      </c>
      <c r="R1187" s="7">
        <f t="shared" ref="R1187:W1187" si="1007">K1187/$I1187</f>
        <v>4.4821765211108137E-2</v>
      </c>
      <c r="S1187" s="7">
        <f t="shared" si="1007"/>
        <v>2.7374840245947305E-2</v>
      </c>
      <c r="T1187" s="7">
        <f t="shared" si="1007"/>
        <v>0.18722099926907348</v>
      </c>
      <c r="U1187" s="7">
        <f t="shared" si="1007"/>
        <v>0.13057099127128771</v>
      </c>
      <c r="V1187" s="7">
        <f t="shared" si="1007"/>
        <v>0.34729467839997846</v>
      </c>
      <c r="W1187" s="7">
        <f t="shared" si="1007"/>
        <v>0.26271672560260484</v>
      </c>
      <c r="X1187" s="7">
        <f>SUM(R1187:W1187)</f>
        <v>1</v>
      </c>
    </row>
    <row r="1188" spans="1:24" ht="15.75" customHeight="1" x14ac:dyDescent="0.3">
      <c r="C1188" t="s">
        <v>72</v>
      </c>
      <c r="D1188" t="s">
        <v>73</v>
      </c>
      <c r="E1188" t="s">
        <v>70</v>
      </c>
      <c r="F1188" t="s">
        <v>71</v>
      </c>
      <c r="G1188" t="s">
        <v>69</v>
      </c>
      <c r="H1188" t="s">
        <v>68</v>
      </c>
      <c r="K1188" t="s">
        <v>68</v>
      </c>
      <c r="L1188" t="s">
        <v>69</v>
      </c>
      <c r="M1188" t="s">
        <v>70</v>
      </c>
      <c r="N1188" t="s">
        <v>71</v>
      </c>
      <c r="O1188" t="s">
        <v>72</v>
      </c>
      <c r="P1188" t="s">
        <v>73</v>
      </c>
    </row>
    <row r="1189" spans="1:24" ht="15.75" customHeight="1" x14ac:dyDescent="0.3">
      <c r="A1189">
        <v>594</v>
      </c>
      <c r="B1189" s="16" t="s">
        <v>675</v>
      </c>
      <c r="C1189" s="7">
        <f>Rankings!L603</f>
        <v>6.6688223125000912</v>
      </c>
      <c r="D1189" s="7">
        <f>Rankings!M603</f>
        <v>5.0447394404006038</v>
      </c>
      <c r="E1189" s="7">
        <f>Rankings!N603</f>
        <v>3.5950553087836714</v>
      </c>
      <c r="F1189" s="7">
        <f>Rankings!O603</f>
        <v>2.5072504536115345</v>
      </c>
      <c r="G1189" s="7">
        <f>Rankings!P603</f>
        <v>1.7440097060445605</v>
      </c>
      <c r="H1189" s="7">
        <f>Rankings!Q603</f>
        <v>1</v>
      </c>
      <c r="I1189" s="7">
        <f>Rankings!R603</f>
        <v>20.559877221340461</v>
      </c>
      <c r="K1189" s="7">
        <f>H1189</f>
        <v>1</v>
      </c>
      <c r="L1189" s="7">
        <f>G1189</f>
        <v>1.7440097060445605</v>
      </c>
      <c r="M1189" s="7">
        <f t="shared" ref="M1189:N1189" si="1008">E1189</f>
        <v>3.5950553087836714</v>
      </c>
      <c r="N1189" s="7">
        <f t="shared" si="1008"/>
        <v>2.5072504536115345</v>
      </c>
      <c r="O1189" s="7">
        <f t="shared" ref="O1189:P1189" si="1009">C1189</f>
        <v>6.6688223125000912</v>
      </c>
      <c r="P1189" s="7">
        <f t="shared" si="1009"/>
        <v>5.0447394404006038</v>
      </c>
      <c r="R1189" s="7">
        <f t="shared" ref="R1189:W1189" si="1010">K1189/$I1189</f>
        <v>4.863842275098966E-2</v>
      </c>
      <c r="S1189" s="7">
        <f t="shared" si="1010"/>
        <v>8.4825881364424552E-2</v>
      </c>
      <c r="T1189" s="7">
        <f t="shared" si="1010"/>
        <v>0.1748578199218099</v>
      </c>
      <c r="U1189" s="7">
        <f t="shared" si="1010"/>
        <v>0.12194870750536842</v>
      </c>
      <c r="V1189" s="7">
        <f t="shared" si="1010"/>
        <v>0.32436099888661191</v>
      </c>
      <c r="W1189" s="7">
        <f t="shared" si="1010"/>
        <v>0.2453681695707956</v>
      </c>
      <c r="X1189" s="7">
        <f>SUM(R1189:W1189)</f>
        <v>1</v>
      </c>
    </row>
    <row r="1190" spans="1:24" ht="15.75" customHeight="1" x14ac:dyDescent="0.3">
      <c r="C1190" t="s">
        <v>72</v>
      </c>
      <c r="D1190" t="s">
        <v>73</v>
      </c>
      <c r="E1190" t="s">
        <v>71</v>
      </c>
      <c r="F1190" t="s">
        <v>68</v>
      </c>
      <c r="G1190" t="s">
        <v>69</v>
      </c>
      <c r="H1190" t="s">
        <v>70</v>
      </c>
      <c r="K1190" t="s">
        <v>68</v>
      </c>
      <c r="L1190" t="s">
        <v>69</v>
      </c>
      <c r="M1190" t="s">
        <v>70</v>
      </c>
      <c r="N1190" t="s">
        <v>71</v>
      </c>
      <c r="O1190" t="s">
        <v>72</v>
      </c>
      <c r="P1190" t="s">
        <v>73</v>
      </c>
    </row>
    <row r="1191" spans="1:24" ht="15.75" customHeight="1" x14ac:dyDescent="0.3">
      <c r="A1191">
        <v>595</v>
      </c>
      <c r="B1191" s="16" t="s">
        <v>676</v>
      </c>
      <c r="C1191" s="7">
        <f>Rankings!L604</f>
        <v>7.6058842311299575</v>
      </c>
      <c r="D1191" s="7">
        <f>Rankings!M604</f>
        <v>5.7535952169518509</v>
      </c>
      <c r="E1191" s="7">
        <f>Rankings!N604</f>
        <v>6.4874448608216708</v>
      </c>
      <c r="F1191" s="7">
        <f>Rankings!O604</f>
        <v>2.2269780411455038</v>
      </c>
      <c r="G1191" s="7">
        <f>Rankings!P604</f>
        <v>1.3601242124324544</v>
      </c>
      <c r="H1191" s="7">
        <f>Rankings!Q604</f>
        <v>1</v>
      </c>
      <c r="I1191" s="7">
        <f>Rankings!R604</f>
        <v>24.434026562481435</v>
      </c>
      <c r="K1191" s="7">
        <f t="shared" ref="K1191:M1191" si="1011">F1191</f>
        <v>2.2269780411455038</v>
      </c>
      <c r="L1191" s="7">
        <f t="shared" si="1011"/>
        <v>1.3601242124324544</v>
      </c>
      <c r="M1191" s="7">
        <f t="shared" si="1011"/>
        <v>1</v>
      </c>
      <c r="N1191" s="7">
        <f>E1191</f>
        <v>6.4874448608216708</v>
      </c>
      <c r="O1191" s="7">
        <f t="shared" ref="O1191:P1191" si="1012">C1191</f>
        <v>7.6058842311299575</v>
      </c>
      <c r="P1191" s="7">
        <f t="shared" si="1012"/>
        <v>5.7535952169518509</v>
      </c>
      <c r="R1191" s="7">
        <f t="shared" ref="R1191:W1191" si="1013">K1191/$I1191</f>
        <v>9.1142490798673328E-2</v>
      </c>
      <c r="S1191" s="7">
        <f t="shared" si="1013"/>
        <v>5.5665168774144319E-2</v>
      </c>
      <c r="T1191" s="7">
        <f t="shared" si="1013"/>
        <v>4.092653322786776E-2</v>
      </c>
      <c r="U1191" s="7">
        <f t="shared" si="1013"/>
        <v>0.26550862766037808</v>
      </c>
      <c r="V1191" s="7">
        <f t="shared" si="1013"/>
        <v>0.31128247371265566</v>
      </c>
      <c r="W1191" s="7">
        <f t="shared" si="1013"/>
        <v>0.23547470582628097</v>
      </c>
      <c r="X1191" s="7">
        <f>SUM(R1191:W1191)</f>
        <v>1.0000000000000002</v>
      </c>
    </row>
    <row r="1192" spans="1:24" ht="15.75" customHeight="1" x14ac:dyDescent="0.3">
      <c r="C1192" t="s">
        <v>72</v>
      </c>
      <c r="D1192" t="s">
        <v>73</v>
      </c>
      <c r="E1192" t="s">
        <v>71</v>
      </c>
      <c r="F1192" t="s">
        <v>68</v>
      </c>
      <c r="G1192" t="s">
        <v>70</v>
      </c>
      <c r="H1192" t="s">
        <v>69</v>
      </c>
      <c r="K1192" t="s">
        <v>68</v>
      </c>
      <c r="L1192" t="s">
        <v>69</v>
      </c>
      <c r="M1192" t="s">
        <v>70</v>
      </c>
      <c r="N1192" t="s">
        <v>71</v>
      </c>
      <c r="O1192" t="s">
        <v>72</v>
      </c>
      <c r="P1192" t="s">
        <v>73</v>
      </c>
    </row>
    <row r="1193" spans="1:24" ht="15.75" customHeight="1" x14ac:dyDescent="0.3">
      <c r="A1193">
        <v>596</v>
      </c>
      <c r="B1193" s="16" t="s">
        <v>677</v>
      </c>
      <c r="C1193" s="7">
        <f>Rankings!L605</f>
        <v>5.6993309018310887</v>
      </c>
      <c r="D1193" s="7">
        <f>Rankings!M605</f>
        <v>4.311351845507855</v>
      </c>
      <c r="E1193" s="7">
        <f>Rankings!N605</f>
        <v>4.8612487181800335</v>
      </c>
      <c r="F1193" s="7">
        <f>Rankings!O605</f>
        <v>1.668745458371804</v>
      </c>
      <c r="G1193" s="7">
        <f>Rankings!P605</f>
        <v>1.5059827029565431</v>
      </c>
      <c r="H1193" s="7">
        <f>Rankings!Q605</f>
        <v>1</v>
      </c>
      <c r="I1193" s="7">
        <f>Rankings!R605</f>
        <v>19.046659626847322</v>
      </c>
      <c r="K1193" s="7">
        <f>F1193</f>
        <v>1.668745458371804</v>
      </c>
      <c r="L1193" s="7">
        <f>H1193</f>
        <v>1</v>
      </c>
      <c r="M1193" s="7">
        <f>G1193</f>
        <v>1.5059827029565431</v>
      </c>
      <c r="N1193" s="7">
        <f>E1193</f>
        <v>4.8612487181800335</v>
      </c>
      <c r="O1193" s="7">
        <f t="shared" ref="O1193:P1193" si="1014">C1193</f>
        <v>5.6993309018310887</v>
      </c>
      <c r="P1193" s="7">
        <f t="shared" si="1014"/>
        <v>4.311351845507855</v>
      </c>
      <c r="R1193" s="7">
        <f t="shared" ref="R1193:W1193" si="1015">K1193/$I1193</f>
        <v>8.7613549623137846E-2</v>
      </c>
      <c r="S1193" s="7">
        <f t="shared" si="1015"/>
        <v>5.2502644536706299E-2</v>
      </c>
      <c r="T1193" s="7">
        <f t="shared" si="1015"/>
        <v>7.9068074531755531E-2</v>
      </c>
      <c r="U1193" s="7">
        <f t="shared" si="1015"/>
        <v>0.25522841345512542</v>
      </c>
      <c r="V1193" s="7">
        <f t="shared" si="1015"/>
        <v>0.29922994443590339</v>
      </c>
      <c r="W1193" s="7">
        <f t="shared" si="1015"/>
        <v>0.22635737341737161</v>
      </c>
      <c r="X1193" s="7">
        <f>SUM(R1193:W1193)</f>
        <v>1</v>
      </c>
    </row>
    <row r="1194" spans="1:24" ht="15.75" customHeight="1" x14ac:dyDescent="0.3">
      <c r="C1194" t="s">
        <v>72</v>
      </c>
      <c r="D1194" t="s">
        <v>73</v>
      </c>
      <c r="E1194" t="s">
        <v>71</v>
      </c>
      <c r="F1194" t="s">
        <v>69</v>
      </c>
      <c r="G1194" t="s">
        <v>68</v>
      </c>
      <c r="H1194" t="s">
        <v>70</v>
      </c>
      <c r="K1194" t="s">
        <v>68</v>
      </c>
      <c r="L1194" t="s">
        <v>69</v>
      </c>
      <c r="M1194" t="s">
        <v>70</v>
      </c>
      <c r="N1194" t="s">
        <v>71</v>
      </c>
      <c r="O1194" t="s">
        <v>72</v>
      </c>
      <c r="P1194" t="s">
        <v>73</v>
      </c>
    </row>
    <row r="1195" spans="1:24" ht="15.75" customHeight="1" x14ac:dyDescent="0.3">
      <c r="A1195">
        <v>597</v>
      </c>
      <c r="B1195" s="16" t="s">
        <v>678</v>
      </c>
      <c r="C1195" s="7">
        <f>Rankings!L606</f>
        <v>3.2571957737592978</v>
      </c>
      <c r="D1195" s="7">
        <f>Rankings!M606</f>
        <v>2.4639588843430387</v>
      </c>
      <c r="E1195" s="7">
        <f>Rankings!N606</f>
        <v>2.7782276644020838</v>
      </c>
      <c r="F1195" s="7">
        <f>Rankings!O606</f>
        <v>1.9324978106353361</v>
      </c>
      <c r="G1195" s="7">
        <f>Rankings!P606</f>
        <v>1.1080774401297739</v>
      </c>
      <c r="H1195" s="7">
        <f>Rankings!Q606</f>
        <v>1</v>
      </c>
      <c r="I1195" s="7">
        <f>Rankings!R606</f>
        <v>12.539957573269531</v>
      </c>
      <c r="K1195" s="7">
        <f>G1195</f>
        <v>1.1080774401297739</v>
      </c>
      <c r="L1195" s="7">
        <f>F1195</f>
        <v>1.9324978106353361</v>
      </c>
      <c r="M1195" s="7">
        <f>H1195</f>
        <v>1</v>
      </c>
      <c r="N1195" s="7">
        <f>E1195</f>
        <v>2.7782276644020838</v>
      </c>
      <c r="O1195" s="7">
        <f t="shared" ref="O1195:P1195" si="1016">C1195</f>
        <v>3.2571957737592978</v>
      </c>
      <c r="P1195" s="7">
        <f t="shared" si="1016"/>
        <v>2.4639588843430387</v>
      </c>
      <c r="R1195" s="7">
        <f t="shared" ref="R1195:W1195" si="1017">K1195/$I1195</f>
        <v>8.8363731189312622E-2</v>
      </c>
      <c r="S1195" s="7">
        <f t="shared" si="1017"/>
        <v>0.15410720485647367</v>
      </c>
      <c r="T1195" s="7">
        <f t="shared" si="1017"/>
        <v>7.9745086389416783E-2</v>
      </c>
      <c r="U1195" s="7">
        <f t="shared" si="1017"/>
        <v>0.22155000510721179</v>
      </c>
      <c r="V1195" s="7">
        <f t="shared" si="1017"/>
        <v>0.25974535836567847</v>
      </c>
      <c r="W1195" s="7">
        <f t="shared" si="1017"/>
        <v>0.19648861409190663</v>
      </c>
      <c r="X1195" s="7">
        <f>SUM(R1195:W1195)</f>
        <v>1</v>
      </c>
    </row>
    <row r="1196" spans="1:24" ht="15.75" customHeight="1" x14ac:dyDescent="0.3">
      <c r="C1196" t="s">
        <v>72</v>
      </c>
      <c r="D1196" t="s">
        <v>73</v>
      </c>
      <c r="E1196" t="s">
        <v>71</v>
      </c>
      <c r="F1196" t="s">
        <v>69</v>
      </c>
      <c r="G1196" t="s">
        <v>70</v>
      </c>
      <c r="H1196" t="s">
        <v>68</v>
      </c>
      <c r="K1196" t="s">
        <v>68</v>
      </c>
      <c r="L1196" t="s">
        <v>69</v>
      </c>
      <c r="M1196" t="s">
        <v>70</v>
      </c>
      <c r="N1196" t="s">
        <v>71</v>
      </c>
      <c r="O1196" t="s">
        <v>72</v>
      </c>
      <c r="P1196" t="s">
        <v>73</v>
      </c>
    </row>
    <row r="1197" spans="1:24" ht="15.75" customHeight="1" x14ac:dyDescent="0.3">
      <c r="A1197">
        <v>598</v>
      </c>
      <c r="B1197" s="16" t="s">
        <v>679</v>
      </c>
      <c r="C1197" s="7">
        <f>Rankings!L607</f>
        <v>3.9022045935711955</v>
      </c>
      <c r="D1197" s="7">
        <f>Rankings!M607</f>
        <v>2.9518863294351334</v>
      </c>
      <c r="E1197" s="7">
        <f>Rankings!N607</f>
        <v>3.3283884381023809</v>
      </c>
      <c r="F1197" s="7">
        <f>Rankings!O607</f>
        <v>2.3151822480182171</v>
      </c>
      <c r="G1197" s="7">
        <f>Rankings!P607</f>
        <v>1.7021844231989158</v>
      </c>
      <c r="H1197" s="7">
        <f>Rankings!Q607</f>
        <v>1</v>
      </c>
      <c r="I1197" s="7">
        <f>Rankings!R607</f>
        <v>15.199846032325844</v>
      </c>
      <c r="K1197" s="7">
        <f>H1197</f>
        <v>1</v>
      </c>
      <c r="L1197" s="7">
        <f t="shared" ref="L1197:M1197" si="1018">F1197</f>
        <v>2.3151822480182171</v>
      </c>
      <c r="M1197" s="7">
        <f t="shared" si="1018"/>
        <v>1.7021844231989158</v>
      </c>
      <c r="N1197" s="7">
        <f>E1197</f>
        <v>3.3283884381023809</v>
      </c>
      <c r="O1197" s="7">
        <f t="shared" ref="O1197:P1197" si="1019">C1197</f>
        <v>3.9022045935711955</v>
      </c>
      <c r="P1197" s="7">
        <f t="shared" si="1019"/>
        <v>2.9518863294351334</v>
      </c>
      <c r="R1197" s="7">
        <f t="shared" ref="R1197:W1197" si="1020">K1197/$I1197</f>
        <v>6.5790140102293018E-2</v>
      </c>
      <c r="S1197" s="7">
        <f t="shared" si="1020"/>
        <v>0.15231616445946022</v>
      </c>
      <c r="T1197" s="7">
        <f t="shared" si="1020"/>
        <v>0.11198695168219751</v>
      </c>
      <c r="U1197" s="7">
        <f t="shared" si="1020"/>
        <v>0.2189751416576079</v>
      </c>
      <c r="V1197" s="7">
        <f t="shared" si="1020"/>
        <v>0.25672658691886036</v>
      </c>
      <c r="W1197" s="7">
        <f t="shared" si="1020"/>
        <v>0.19420501517958091</v>
      </c>
      <c r="X1197" s="7">
        <f>SUM(R1197:W1197)</f>
        <v>1</v>
      </c>
    </row>
    <row r="1198" spans="1:24" ht="15.75" customHeight="1" x14ac:dyDescent="0.3">
      <c r="C1198" t="s">
        <v>72</v>
      </c>
      <c r="D1198" t="s">
        <v>73</v>
      </c>
      <c r="E1198" t="s">
        <v>71</v>
      </c>
      <c r="F1198" t="s">
        <v>70</v>
      </c>
      <c r="G1198" t="s">
        <v>68</v>
      </c>
      <c r="H1198" t="s">
        <v>69</v>
      </c>
      <c r="K1198" t="s">
        <v>68</v>
      </c>
      <c r="L1198" t="s">
        <v>69</v>
      </c>
      <c r="M1198" t="s">
        <v>70</v>
      </c>
      <c r="N1198" t="s">
        <v>71</v>
      </c>
      <c r="O1198" t="s">
        <v>72</v>
      </c>
      <c r="P1198" t="s">
        <v>73</v>
      </c>
    </row>
    <row r="1199" spans="1:24" ht="15.75" customHeight="1" x14ac:dyDescent="0.3">
      <c r="A1199">
        <v>599</v>
      </c>
      <c r="B1199" s="16" t="s">
        <v>680</v>
      </c>
      <c r="C1199" s="7">
        <f>Rankings!L608</f>
        <v>7.3155491702893016</v>
      </c>
      <c r="D1199" s="7">
        <f>Rankings!M608</f>
        <v>5.5339665233504958</v>
      </c>
      <c r="E1199" s="7">
        <f>Rankings!N608</f>
        <v>6.2398033452358845</v>
      </c>
      <c r="F1199" s="7">
        <f>Rankings!O608</f>
        <v>2.7870449608896757</v>
      </c>
      <c r="G1199" s="7">
        <f>Rankings!P608</f>
        <v>1.6373343116675814</v>
      </c>
      <c r="H1199" s="7">
        <f>Rankings!Q608</f>
        <v>1</v>
      </c>
      <c r="I1199" s="7">
        <f>Rankings!R608</f>
        <v>24.51369831143294</v>
      </c>
      <c r="K1199" s="7">
        <f t="shared" ref="K1199:L1199" si="1021">G1199</f>
        <v>1.6373343116675814</v>
      </c>
      <c r="L1199" s="7">
        <f t="shared" si="1021"/>
        <v>1</v>
      </c>
      <c r="M1199" s="7">
        <f>F1199</f>
        <v>2.7870449608896757</v>
      </c>
      <c r="N1199" s="7">
        <f>E1199</f>
        <v>6.2398033452358845</v>
      </c>
      <c r="O1199" s="7">
        <f t="shared" ref="O1199:P1199" si="1022">C1199</f>
        <v>7.3155491702893016</v>
      </c>
      <c r="P1199" s="7">
        <f t="shared" si="1022"/>
        <v>5.5339665233504958</v>
      </c>
      <c r="R1199" s="7">
        <f t="shared" ref="R1199:W1199" si="1023">K1199/$I1199</f>
        <v>6.6792627161603974E-2</v>
      </c>
      <c r="S1199" s="7">
        <f t="shared" si="1023"/>
        <v>4.0793518272745084E-2</v>
      </c>
      <c r="T1199" s="7">
        <f t="shared" si="1023"/>
        <v>0.1136933695390151</v>
      </c>
      <c r="U1199" s="7">
        <f t="shared" si="1023"/>
        <v>0.25454353178221595</v>
      </c>
      <c r="V1199" s="7">
        <f t="shared" si="1023"/>
        <v>0.29842698875336177</v>
      </c>
      <c r="W1199" s="7">
        <f t="shared" si="1023"/>
        <v>0.22574996449105805</v>
      </c>
      <c r="X1199" s="7">
        <f>SUM(R1199:W1199)</f>
        <v>1</v>
      </c>
    </row>
    <row r="1200" spans="1:24" ht="15.75" customHeight="1" x14ac:dyDescent="0.3">
      <c r="C1200" t="s">
        <v>72</v>
      </c>
      <c r="D1200" t="s">
        <v>73</v>
      </c>
      <c r="E1200" t="s">
        <v>71</v>
      </c>
      <c r="F1200" t="s">
        <v>70</v>
      </c>
      <c r="G1200" t="s">
        <v>69</v>
      </c>
      <c r="H1200" t="s">
        <v>68</v>
      </c>
      <c r="K1200" t="s">
        <v>68</v>
      </c>
      <c r="L1200" t="s">
        <v>69</v>
      </c>
      <c r="M1200" t="s">
        <v>70</v>
      </c>
      <c r="N1200" t="s">
        <v>71</v>
      </c>
      <c r="O1200" t="s">
        <v>72</v>
      </c>
      <c r="P1200" t="s">
        <v>73</v>
      </c>
    </row>
    <row r="1201" spans="1:24" ht="15.75" customHeight="1" x14ac:dyDescent="0.3">
      <c r="A1201">
        <v>600</v>
      </c>
      <c r="B1201" s="16" t="s">
        <v>681</v>
      </c>
      <c r="C1201" s="7">
        <f>Rankings!L609</f>
        <v>6.8940089079352793</v>
      </c>
      <c r="D1201" s="7">
        <f>Rankings!M609</f>
        <v>5.2150855144461037</v>
      </c>
      <c r="E1201" s="7">
        <f>Rankings!N609</f>
        <v>5.8802502511399801</v>
      </c>
      <c r="F1201" s="7">
        <f>Rankings!O609</f>
        <v>2.6264484510914334</v>
      </c>
      <c r="G1201" s="7">
        <f>Rankings!P609</f>
        <v>1.7440097060445605</v>
      </c>
      <c r="H1201" s="7">
        <f>Rankings!Q609</f>
        <v>1</v>
      </c>
      <c r="I1201" s="7">
        <f>Rankings!R609</f>
        <v>23.359802830657358</v>
      </c>
      <c r="K1201" s="7">
        <f>H1201</f>
        <v>1</v>
      </c>
      <c r="L1201" s="7">
        <f>G1201</f>
        <v>1.7440097060445605</v>
      </c>
      <c r="M1201" s="7">
        <f>F1201</f>
        <v>2.6264484510914334</v>
      </c>
      <c r="N1201" s="7">
        <f>E1201</f>
        <v>5.8802502511399801</v>
      </c>
      <c r="O1201" s="7">
        <f t="shared" ref="O1201:P1201" si="1024">C1201</f>
        <v>6.8940089079352793</v>
      </c>
      <c r="P1201" s="7">
        <f t="shared" si="1024"/>
        <v>5.2150855144461037</v>
      </c>
      <c r="R1201" s="7">
        <f t="shared" ref="R1201:W1201" si="1025">K1201/$I1201</f>
        <v>4.280858050255467E-2</v>
      </c>
      <c r="S1201" s="7">
        <f t="shared" si="1025"/>
        <v>7.4658579898445279E-2</v>
      </c>
      <c r="T1201" s="7">
        <f t="shared" si="1025"/>
        <v>0.11243452995435765</v>
      </c>
      <c r="U1201" s="7">
        <f t="shared" si="1025"/>
        <v>0.25172516625109315</v>
      </c>
      <c r="V1201" s="7">
        <f t="shared" si="1025"/>
        <v>0.2951227353206764</v>
      </c>
      <c r="W1201" s="7">
        <f t="shared" si="1025"/>
        <v>0.22325040807287277</v>
      </c>
      <c r="X1201" s="7">
        <f>SUM(R1201:W1201)</f>
        <v>1</v>
      </c>
    </row>
    <row r="1202" spans="1:24" ht="15.75" customHeight="1" x14ac:dyDescent="0.3">
      <c r="C1202" t="s">
        <v>73</v>
      </c>
      <c r="D1202" t="s">
        <v>68</v>
      </c>
      <c r="E1202" t="s">
        <v>69</v>
      </c>
      <c r="F1202" t="s">
        <v>70</v>
      </c>
      <c r="G1202" t="s">
        <v>71</v>
      </c>
      <c r="H1202" t="s">
        <v>72</v>
      </c>
      <c r="K1202" t="s">
        <v>68</v>
      </c>
      <c r="L1202" t="s">
        <v>69</v>
      </c>
      <c r="M1202" t="s">
        <v>70</v>
      </c>
      <c r="N1202" t="s">
        <v>71</v>
      </c>
      <c r="O1202" t="s">
        <v>72</v>
      </c>
      <c r="P1202" t="s">
        <v>73</v>
      </c>
    </row>
    <row r="1203" spans="1:24" ht="15.75" customHeight="1" x14ac:dyDescent="0.3">
      <c r="A1203">
        <v>601</v>
      </c>
      <c r="B1203" s="16" t="s">
        <v>682</v>
      </c>
      <c r="C1203" s="7">
        <f>Rankings!L610</f>
        <v>9.9203236096525007</v>
      </c>
      <c r="D1203" s="7">
        <f>Rankings!M610</f>
        <v>6.0498871607812426</v>
      </c>
      <c r="E1203" s="7">
        <f>Rankings!N610</f>
        <v>3.6949614490272262</v>
      </c>
      <c r="F1203" s="7">
        <f>Rankings!O610</f>
        <v>2.7166353008444242</v>
      </c>
      <c r="G1203" s="7">
        <f>Rankings!P610</f>
        <v>1.89462595295753</v>
      </c>
      <c r="H1203" s="7">
        <f>Rankings!Q610</f>
        <v>1</v>
      </c>
      <c r="I1203" s="7">
        <f>Rankings!R610</f>
        <v>25.276433473262923</v>
      </c>
      <c r="K1203" s="7">
        <f t="shared" ref="K1203:O1203" si="1026">D1203</f>
        <v>6.0498871607812426</v>
      </c>
      <c r="L1203" s="7">
        <f t="shared" si="1026"/>
        <v>3.6949614490272262</v>
      </c>
      <c r="M1203" s="7">
        <f t="shared" si="1026"/>
        <v>2.7166353008444242</v>
      </c>
      <c r="N1203" s="7">
        <f t="shared" si="1026"/>
        <v>1.89462595295753</v>
      </c>
      <c r="O1203" s="7">
        <f t="shared" si="1026"/>
        <v>1</v>
      </c>
      <c r="P1203" s="7">
        <f>C1203</f>
        <v>9.9203236096525007</v>
      </c>
      <c r="R1203" s="7">
        <f t="shared" ref="R1203:W1203" si="1027">K1203/$I1203</f>
        <v>0.23934892425312823</v>
      </c>
      <c r="S1203" s="7">
        <f t="shared" si="1027"/>
        <v>0.14618207323179941</v>
      </c>
      <c r="T1203" s="7">
        <f t="shared" si="1027"/>
        <v>0.10747700239110257</v>
      </c>
      <c r="U1203" s="7">
        <f t="shared" si="1027"/>
        <v>7.4956221769247641E-2</v>
      </c>
      <c r="V1203" s="7">
        <f t="shared" si="1027"/>
        <v>3.9562543547046969E-2</v>
      </c>
      <c r="W1203" s="7">
        <f t="shared" si="1027"/>
        <v>0.39247323480767521</v>
      </c>
      <c r="X1203" s="7">
        <f>SUM(R1203:W1203)</f>
        <v>1</v>
      </c>
    </row>
    <row r="1204" spans="1:24" ht="15.75" customHeight="1" x14ac:dyDescent="0.3">
      <c r="C1204" t="s">
        <v>73</v>
      </c>
      <c r="D1204" t="s">
        <v>68</v>
      </c>
      <c r="E1204" t="s">
        <v>69</v>
      </c>
      <c r="F1204" t="s">
        <v>70</v>
      </c>
      <c r="G1204" t="s">
        <v>72</v>
      </c>
      <c r="H1204" t="s">
        <v>71</v>
      </c>
      <c r="K1204" t="s">
        <v>68</v>
      </c>
      <c r="L1204" t="s">
        <v>69</v>
      </c>
      <c r="M1204" t="s">
        <v>70</v>
      </c>
      <c r="N1204" t="s">
        <v>71</v>
      </c>
      <c r="O1204" t="s">
        <v>72</v>
      </c>
      <c r="P1204" t="s">
        <v>73</v>
      </c>
    </row>
    <row r="1205" spans="1:24" ht="15.75" customHeight="1" x14ac:dyDescent="0.3">
      <c r="A1205">
        <v>602</v>
      </c>
      <c r="B1205" s="16" t="s">
        <v>683</v>
      </c>
      <c r="C1205" s="7">
        <f>Rankings!L611</f>
        <v>10.264258876493347</v>
      </c>
      <c r="D1205" s="7">
        <f>Rankings!M611</f>
        <v>6.2596353138531553</v>
      </c>
      <c r="E1205" s="7">
        <f>Rankings!N611</f>
        <v>3.8230648861672507</v>
      </c>
      <c r="F1205" s="7">
        <f>Rankings!O611</f>
        <v>2.8108204024469634</v>
      </c>
      <c r="G1205" s="7">
        <f>Rankings!P611</f>
        <v>1.25400669441983</v>
      </c>
      <c r="H1205" s="7">
        <f>Rankings!Q611</f>
        <v>1</v>
      </c>
      <c r="I1205" s="7">
        <f>Rankings!R611</f>
        <v>25.411786173380548</v>
      </c>
      <c r="K1205" s="7">
        <f t="shared" ref="K1205:M1205" si="1028">D1205</f>
        <v>6.2596353138531553</v>
      </c>
      <c r="L1205" s="7">
        <f t="shared" si="1028"/>
        <v>3.8230648861672507</v>
      </c>
      <c r="M1205" s="7">
        <f t="shared" si="1028"/>
        <v>2.8108204024469634</v>
      </c>
      <c r="N1205" s="7">
        <f>H1205</f>
        <v>1</v>
      </c>
      <c r="O1205" s="7">
        <f>G1205</f>
        <v>1.25400669441983</v>
      </c>
      <c r="P1205" s="7">
        <f>C1205</f>
        <v>10.264258876493347</v>
      </c>
      <c r="R1205" s="7">
        <f t="shared" ref="R1205:W1205" si="1029">K1205/$I1205</f>
        <v>0.24632803342294263</v>
      </c>
      <c r="S1205" s="7">
        <f t="shared" si="1029"/>
        <v>0.15044455592704467</v>
      </c>
      <c r="T1205" s="7">
        <f t="shared" si="1029"/>
        <v>0.11061089461674145</v>
      </c>
      <c r="U1205" s="7">
        <f t="shared" si="1029"/>
        <v>3.9351818607993951E-2</v>
      </c>
      <c r="V1205" s="7">
        <f t="shared" si="1029"/>
        <v>4.9347443972019248E-2</v>
      </c>
      <c r="W1205" s="7">
        <f t="shared" si="1029"/>
        <v>0.40391725345325796</v>
      </c>
      <c r="X1205" s="7">
        <f>SUM(R1205:W1205)</f>
        <v>1</v>
      </c>
    </row>
    <row r="1206" spans="1:24" ht="15.75" customHeight="1" x14ac:dyDescent="0.3">
      <c r="C1206" t="s">
        <v>73</v>
      </c>
      <c r="D1206" t="s">
        <v>68</v>
      </c>
      <c r="E1206" t="s">
        <v>69</v>
      </c>
      <c r="F1206" t="s">
        <v>71</v>
      </c>
      <c r="G1206" t="s">
        <v>70</v>
      </c>
      <c r="H1206" t="s">
        <v>72</v>
      </c>
      <c r="K1206" t="s">
        <v>68</v>
      </c>
      <c r="L1206" t="s">
        <v>69</v>
      </c>
      <c r="M1206" t="s">
        <v>70</v>
      </c>
      <c r="N1206" t="s">
        <v>71</v>
      </c>
      <c r="O1206" t="s">
        <v>72</v>
      </c>
      <c r="P1206" t="s">
        <v>73</v>
      </c>
    </row>
    <row r="1207" spans="1:24" ht="15.75" customHeight="1" x14ac:dyDescent="0.3">
      <c r="A1207">
        <v>603</v>
      </c>
      <c r="B1207" s="16" t="s">
        <v>684</v>
      </c>
      <c r="C1207" s="7">
        <f>Rankings!L612</f>
        <v>12.271865514864228</v>
      </c>
      <c r="D1207" s="7">
        <f>Rankings!M612</f>
        <v>7.4839697310854003</v>
      </c>
      <c r="E1207" s="7">
        <f>Rankings!N612</f>
        <v>4.5708256876771713</v>
      </c>
      <c r="F1207" s="7">
        <f>Rankings!O612</f>
        <v>5.0183410161721573</v>
      </c>
      <c r="G1207" s="7">
        <f>Rankings!P612</f>
        <v>2.2414716085286912</v>
      </c>
      <c r="H1207" s="7">
        <f>Rankings!Q612</f>
        <v>1</v>
      </c>
      <c r="I1207" s="7">
        <f>Rankings!R612</f>
        <v>32.586473558327647</v>
      </c>
      <c r="K1207" s="7">
        <f t="shared" ref="K1207:L1207" si="1030">D1207</f>
        <v>7.4839697310854003</v>
      </c>
      <c r="L1207" s="7">
        <f t="shared" si="1030"/>
        <v>4.5708256876771713</v>
      </c>
      <c r="M1207" s="7">
        <f>G1207</f>
        <v>2.2414716085286912</v>
      </c>
      <c r="N1207" s="7">
        <f>F1207</f>
        <v>5.0183410161721573</v>
      </c>
      <c r="O1207" s="7">
        <f>H1207</f>
        <v>1</v>
      </c>
      <c r="P1207" s="7">
        <f>C1207</f>
        <v>12.271865514864228</v>
      </c>
      <c r="R1207" s="7">
        <f t="shared" ref="R1207:W1207" si="1031">K1207/$I1207</f>
        <v>0.2296649165700482</v>
      </c>
      <c r="S1207" s="7">
        <f t="shared" si="1031"/>
        <v>0.14026757695936914</v>
      </c>
      <c r="T1207" s="7">
        <f t="shared" si="1031"/>
        <v>6.8785338325014031E-2</v>
      </c>
      <c r="U1207" s="7">
        <f t="shared" si="1031"/>
        <v>0.15400073920823795</v>
      </c>
      <c r="V1207" s="7">
        <f t="shared" si="1031"/>
        <v>3.0687579563037581E-2</v>
      </c>
      <c r="W1207" s="7">
        <f t="shared" si="1031"/>
        <v>0.37659384937429313</v>
      </c>
      <c r="X1207" s="7">
        <f>SUM(R1207:W1207)</f>
        <v>1</v>
      </c>
    </row>
    <row r="1208" spans="1:24" ht="15.75" customHeight="1" x14ac:dyDescent="0.3">
      <c r="C1208" t="s">
        <v>73</v>
      </c>
      <c r="D1208" t="s">
        <v>68</v>
      </c>
      <c r="E1208" t="s">
        <v>69</v>
      </c>
      <c r="F1208" t="s">
        <v>71</v>
      </c>
      <c r="G1208" t="s">
        <v>72</v>
      </c>
      <c r="H1208" t="s">
        <v>70</v>
      </c>
      <c r="K1208" t="s">
        <v>68</v>
      </c>
      <c r="L1208" t="s">
        <v>69</v>
      </c>
      <c r="M1208" t="s">
        <v>70</v>
      </c>
      <c r="N1208" t="s">
        <v>71</v>
      </c>
      <c r="O1208" t="s">
        <v>72</v>
      </c>
      <c r="P1208" t="s">
        <v>73</v>
      </c>
    </row>
    <row r="1209" spans="1:24" ht="15.75" customHeight="1" x14ac:dyDescent="0.3">
      <c r="A1209">
        <v>604</v>
      </c>
      <c r="B1209" s="16" t="s">
        <v>685</v>
      </c>
      <c r="C1209" s="7">
        <f>Rankings!L613</f>
        <v>9.1487363781793434</v>
      </c>
      <c r="D1209" s="7">
        <f>Rankings!M613</f>
        <v>5.5793364137703074</v>
      </c>
      <c r="E1209" s="7">
        <f>Rankings!N613</f>
        <v>3.4075731351943035</v>
      </c>
      <c r="F1209" s="7">
        <f>Rankings!O613</f>
        <v>3.741198023817462</v>
      </c>
      <c r="G1209" s="7">
        <f>Rankings!P613</f>
        <v>1.9746367445127702</v>
      </c>
      <c r="H1209" s="7">
        <f>Rankings!Q613</f>
        <v>1</v>
      </c>
      <c r="I1209" s="7">
        <f>Rankings!R613</f>
        <v>24.851480695474187</v>
      </c>
      <c r="K1209" s="7">
        <f t="shared" ref="K1209:L1209" si="1032">D1209</f>
        <v>5.5793364137703074</v>
      </c>
      <c r="L1209" s="7">
        <f t="shared" si="1032"/>
        <v>3.4075731351943035</v>
      </c>
      <c r="M1209" s="7">
        <f>H1209</f>
        <v>1</v>
      </c>
      <c r="N1209" s="7">
        <f t="shared" ref="N1209:O1209" si="1033">F1209</f>
        <v>3.741198023817462</v>
      </c>
      <c r="O1209" s="7">
        <f t="shared" si="1033"/>
        <v>1.9746367445127702</v>
      </c>
      <c r="P1209" s="7">
        <f>C1209</f>
        <v>9.1487363781793434</v>
      </c>
      <c r="R1209" s="7">
        <f t="shared" ref="R1209:W1209" si="1034">K1209/$I1209</f>
        <v>0.22450720269502433</v>
      </c>
      <c r="S1209" s="7">
        <f t="shared" si="1034"/>
        <v>0.13711750929250954</v>
      </c>
      <c r="T1209" s="7">
        <f t="shared" si="1034"/>
        <v>4.0239051034979753E-2</v>
      </c>
      <c r="U1209" s="7">
        <f t="shared" si="1034"/>
        <v>0.15054225821235626</v>
      </c>
      <c r="V1209" s="7">
        <f t="shared" si="1034"/>
        <v>7.9457508737995633E-2</v>
      </c>
      <c r="W1209" s="7">
        <f t="shared" si="1034"/>
        <v>0.36813647002713445</v>
      </c>
      <c r="X1209" s="7">
        <f>SUM(R1209:W1209)</f>
        <v>1</v>
      </c>
    </row>
    <row r="1210" spans="1:24" ht="15.75" customHeight="1" x14ac:dyDescent="0.3">
      <c r="C1210" t="s">
        <v>73</v>
      </c>
      <c r="D1210" t="s">
        <v>68</v>
      </c>
      <c r="E1210" t="s">
        <v>69</v>
      </c>
      <c r="F1210" t="s">
        <v>72</v>
      </c>
      <c r="G1210" t="s">
        <v>70</v>
      </c>
      <c r="H1210" t="s">
        <v>71</v>
      </c>
      <c r="K1210" t="s">
        <v>68</v>
      </c>
      <c r="L1210" t="s">
        <v>69</v>
      </c>
      <c r="M1210" t="s">
        <v>70</v>
      </c>
      <c r="N1210" t="s">
        <v>71</v>
      </c>
      <c r="O1210" t="s">
        <v>72</v>
      </c>
      <c r="P1210" t="s">
        <v>73</v>
      </c>
    </row>
    <row r="1211" spans="1:24" ht="15.75" customHeight="1" x14ac:dyDescent="0.3">
      <c r="A1211">
        <v>605</v>
      </c>
      <c r="B1211" s="16" t="s">
        <v>686</v>
      </c>
      <c r="C1211" s="7">
        <f>Rankings!L614</f>
        <v>13.676790543480397</v>
      </c>
      <c r="D1211" s="7">
        <f>Rankings!M614</f>
        <v>8.3407601168561847</v>
      </c>
      <c r="E1211" s="7">
        <f>Rankings!N614</f>
        <v>5.0941094054038007</v>
      </c>
      <c r="F1211" s="7">
        <f>Rankings!O614</f>
        <v>2.8313598671622078</v>
      </c>
      <c r="G1211" s="7">
        <f>Rankings!P614</f>
        <v>1.4338636587362954</v>
      </c>
      <c r="H1211" s="7">
        <f>Rankings!Q614</f>
        <v>1</v>
      </c>
      <c r="I1211" s="7">
        <f>Rankings!R614</f>
        <v>32.376883591638887</v>
      </c>
      <c r="K1211" s="7">
        <f t="shared" ref="K1211:L1211" si="1035">D1211</f>
        <v>8.3407601168561847</v>
      </c>
      <c r="L1211" s="7">
        <f t="shared" si="1035"/>
        <v>5.0941094054038007</v>
      </c>
      <c r="M1211" s="7">
        <f t="shared" ref="M1211:N1211" si="1036">G1211</f>
        <v>1.4338636587362954</v>
      </c>
      <c r="N1211" s="7">
        <f t="shared" si="1036"/>
        <v>1</v>
      </c>
      <c r="O1211" s="7">
        <f>F1211</f>
        <v>2.8313598671622078</v>
      </c>
      <c r="P1211" s="7">
        <f>C1211</f>
        <v>13.676790543480397</v>
      </c>
      <c r="R1211" s="7">
        <f t="shared" ref="R1211:W1211" si="1037">K1211/$I1211</f>
        <v>0.25761466798522048</v>
      </c>
      <c r="S1211" s="7">
        <f t="shared" si="1037"/>
        <v>0.15733785467602324</v>
      </c>
      <c r="T1211" s="7">
        <f t="shared" si="1037"/>
        <v>4.4286648363728899E-2</v>
      </c>
      <c r="U1211" s="7">
        <f t="shared" si="1037"/>
        <v>3.0886233913453093E-2</v>
      </c>
      <c r="V1211" s="7">
        <f t="shared" si="1037"/>
        <v>8.745004315033543E-2</v>
      </c>
      <c r="W1211" s="7">
        <f t="shared" si="1037"/>
        <v>0.42242455191123884</v>
      </c>
      <c r="X1211" s="7">
        <f>SUM(R1211:W1211)</f>
        <v>1</v>
      </c>
    </row>
    <row r="1212" spans="1:24" ht="15.75" customHeight="1" x14ac:dyDescent="0.3">
      <c r="C1212" t="s">
        <v>73</v>
      </c>
      <c r="D1212" t="s">
        <v>68</v>
      </c>
      <c r="E1212" t="s">
        <v>69</v>
      </c>
      <c r="F1212" t="s">
        <v>72</v>
      </c>
      <c r="G1212" t="s">
        <v>71</v>
      </c>
      <c r="H1212" t="s">
        <v>70</v>
      </c>
      <c r="K1212" t="s">
        <v>68</v>
      </c>
      <c r="L1212" t="s">
        <v>69</v>
      </c>
      <c r="M1212" t="s">
        <v>70</v>
      </c>
      <c r="N1212" t="s">
        <v>71</v>
      </c>
      <c r="O1212" t="s">
        <v>72</v>
      </c>
      <c r="P1212" t="s">
        <v>73</v>
      </c>
    </row>
    <row r="1213" spans="1:24" ht="15.75" customHeight="1" x14ac:dyDescent="0.3">
      <c r="A1213">
        <v>606</v>
      </c>
      <c r="B1213" s="16" t="s">
        <v>687</v>
      </c>
      <c r="C1213" s="7">
        <f>Rankings!L615</f>
        <v>13.561755383800099</v>
      </c>
      <c r="D1213" s="7">
        <f>Rankings!M615</f>
        <v>8.2706061820681001</v>
      </c>
      <c r="E1213" s="7">
        <f>Rankings!N615</f>
        <v>5.0512629724620552</v>
      </c>
      <c r="F1213" s="7">
        <f>Rankings!O615</f>
        <v>2.8075453667210462</v>
      </c>
      <c r="G1213" s="7">
        <f>Rankings!P615</f>
        <v>2.2388599512381115</v>
      </c>
      <c r="H1213" s="7">
        <f>Rankings!Q615</f>
        <v>1</v>
      </c>
      <c r="I1213" s="7">
        <f>Rankings!R615</f>
        <v>32.930029856289408</v>
      </c>
      <c r="K1213" s="7">
        <f t="shared" ref="K1213:L1213" si="1038">D1213</f>
        <v>8.2706061820681001</v>
      </c>
      <c r="L1213" s="7">
        <f t="shared" si="1038"/>
        <v>5.0512629724620552</v>
      </c>
      <c r="M1213" s="7">
        <f>H1213</f>
        <v>1</v>
      </c>
      <c r="N1213" s="7">
        <f>G1213</f>
        <v>2.2388599512381115</v>
      </c>
      <c r="O1213" s="7">
        <f>F1213</f>
        <v>2.8075453667210462</v>
      </c>
      <c r="P1213" s="7">
        <f>C1213</f>
        <v>13.561755383800099</v>
      </c>
      <c r="R1213" s="7">
        <f t="shared" ref="R1213:W1213" si="1039">K1213/$I1213</f>
        <v>0.25115695971616225</v>
      </c>
      <c r="S1213" s="7">
        <f t="shared" si="1039"/>
        <v>0.15339381696604501</v>
      </c>
      <c r="T1213" s="7">
        <f t="shared" si="1039"/>
        <v>3.0367418564881954E-2</v>
      </c>
      <c r="U1213" s="7">
        <f t="shared" si="1039"/>
        <v>6.7988397247398941E-2</v>
      </c>
      <c r="V1213" s="7">
        <f t="shared" si="1039"/>
        <v>8.5257905291113004E-2</v>
      </c>
      <c r="W1213" s="7">
        <f t="shared" si="1039"/>
        <v>0.41183550221439891</v>
      </c>
      <c r="X1213" s="7">
        <f>SUM(R1213:W1213)</f>
        <v>1</v>
      </c>
    </row>
    <row r="1214" spans="1:24" ht="15.75" customHeight="1" x14ac:dyDescent="0.3">
      <c r="C1214" t="s">
        <v>73</v>
      </c>
      <c r="D1214" t="s">
        <v>68</v>
      </c>
      <c r="E1214" t="s">
        <v>70</v>
      </c>
      <c r="F1214" t="s">
        <v>69</v>
      </c>
      <c r="G1214" t="s">
        <v>71</v>
      </c>
      <c r="H1214" t="s">
        <v>72</v>
      </c>
      <c r="K1214" t="s">
        <v>68</v>
      </c>
      <c r="L1214" t="s">
        <v>69</v>
      </c>
      <c r="M1214" t="s">
        <v>70</v>
      </c>
      <c r="N1214" t="s">
        <v>71</v>
      </c>
      <c r="O1214" t="s">
        <v>72</v>
      </c>
      <c r="P1214" t="s">
        <v>73</v>
      </c>
    </row>
    <row r="1215" spans="1:24" ht="15.75" customHeight="1" x14ac:dyDescent="0.3">
      <c r="A1215">
        <v>607</v>
      </c>
      <c r="B1215" s="16" t="s">
        <v>688</v>
      </c>
      <c r="C1215" s="7">
        <f>Rankings!L616</f>
        <v>4.7220070718083615</v>
      </c>
      <c r="D1215" s="7">
        <f>Rankings!M616</f>
        <v>2.879705449231039</v>
      </c>
      <c r="E1215" s="7">
        <f>Rankings!N616</f>
        <v>2.5988305013174697</v>
      </c>
      <c r="F1215" s="7">
        <f>Rankings!O616</f>
        <v>1.7256708833477632</v>
      </c>
      <c r="G1215" s="7">
        <f>Rankings!P616</f>
        <v>1.89462595295753</v>
      </c>
      <c r="H1215" s="7">
        <f>Rankings!Q616</f>
        <v>1</v>
      </c>
      <c r="I1215" s="7">
        <f>Rankings!R616</f>
        <v>14.820839858662165</v>
      </c>
      <c r="K1215" s="7">
        <f>D1215</f>
        <v>2.879705449231039</v>
      </c>
      <c r="L1215" s="7">
        <f>F1215</f>
        <v>1.7256708833477632</v>
      </c>
      <c r="M1215" s="7">
        <f>E1215</f>
        <v>2.5988305013174697</v>
      </c>
      <c r="N1215" s="7">
        <f t="shared" ref="N1215:O1215" si="1040">G1215</f>
        <v>1.89462595295753</v>
      </c>
      <c r="O1215" s="7">
        <f t="shared" si="1040"/>
        <v>1</v>
      </c>
      <c r="P1215" s="7">
        <f>C1215</f>
        <v>4.7220070718083615</v>
      </c>
      <c r="R1215" s="7">
        <f t="shared" ref="R1215:W1215" si="1041">K1215/$I1215</f>
        <v>0.19430109742046575</v>
      </c>
      <c r="S1215" s="7">
        <f t="shared" si="1041"/>
        <v>0.11643543144683399</v>
      </c>
      <c r="T1215" s="7">
        <f t="shared" si="1041"/>
        <v>0.17534974577021431</v>
      </c>
      <c r="U1215" s="7">
        <f t="shared" si="1041"/>
        <v>0.12783526244298496</v>
      </c>
      <c r="V1215" s="7">
        <f t="shared" si="1041"/>
        <v>6.7472559553738209E-2</v>
      </c>
      <c r="W1215" s="7">
        <f t="shared" si="1041"/>
        <v>0.31860590336576267</v>
      </c>
      <c r="X1215" s="7">
        <f>SUM(R1215:W1215)</f>
        <v>0.99999999999999989</v>
      </c>
    </row>
    <row r="1216" spans="1:24" ht="15.75" customHeight="1" x14ac:dyDescent="0.3">
      <c r="C1216" t="s">
        <v>73</v>
      </c>
      <c r="D1216" t="s">
        <v>68</v>
      </c>
      <c r="E1216" t="s">
        <v>70</v>
      </c>
      <c r="F1216" t="s">
        <v>69</v>
      </c>
      <c r="G1216" t="s">
        <v>72</v>
      </c>
      <c r="H1216" t="s">
        <v>71</v>
      </c>
      <c r="K1216" t="s">
        <v>68</v>
      </c>
      <c r="L1216" t="s">
        <v>69</v>
      </c>
      <c r="M1216" t="s">
        <v>70</v>
      </c>
      <c r="N1216" t="s">
        <v>71</v>
      </c>
      <c r="O1216" t="s">
        <v>72</v>
      </c>
      <c r="P1216" t="s">
        <v>73</v>
      </c>
    </row>
    <row r="1217" spans="1:24" ht="15.75" customHeight="1" x14ac:dyDescent="0.3">
      <c r="A1217">
        <v>608</v>
      </c>
      <c r="B1217" s="16" t="s">
        <v>689</v>
      </c>
      <c r="C1217" s="7">
        <f>Rankings!L617</f>
        <v>6.1736458513863859</v>
      </c>
      <c r="D1217" s="7">
        <f>Rankings!M617</f>
        <v>3.7649841115234759</v>
      </c>
      <c r="E1217" s="7">
        <f>Rankings!N617</f>
        <v>3.397762624859987</v>
      </c>
      <c r="F1217" s="7">
        <f>Rankings!O617</f>
        <v>2.2561763944496205</v>
      </c>
      <c r="G1217" s="7">
        <f>Rankings!P617</f>
        <v>1.25400669441983</v>
      </c>
      <c r="H1217" s="7">
        <f>Rankings!Q617</f>
        <v>1</v>
      </c>
      <c r="I1217" s="7">
        <f>Rankings!R617</f>
        <v>17.846575676639297</v>
      </c>
      <c r="K1217" s="7">
        <f>D1217</f>
        <v>3.7649841115234759</v>
      </c>
      <c r="L1217" s="7">
        <f>F1217</f>
        <v>2.2561763944496205</v>
      </c>
      <c r="M1217" s="7">
        <f>E1217</f>
        <v>3.397762624859987</v>
      </c>
      <c r="N1217" s="7">
        <f>H1217</f>
        <v>1</v>
      </c>
      <c r="O1217" s="7">
        <f>G1217</f>
        <v>1.25400669441983</v>
      </c>
      <c r="P1217" s="7">
        <f>C1217</f>
        <v>6.1736458513863859</v>
      </c>
      <c r="R1217" s="7">
        <f t="shared" ref="R1217:W1217" si="1042">K1217/$I1217</f>
        <v>0.21096395071754534</v>
      </c>
      <c r="S1217" s="7">
        <f t="shared" si="1042"/>
        <v>0.12642068906265849</v>
      </c>
      <c r="T1217" s="7">
        <f t="shared" si="1042"/>
        <v>0.19038737102421111</v>
      </c>
      <c r="U1217" s="7">
        <f t="shared" si="1042"/>
        <v>5.603315829988461E-2</v>
      </c>
      <c r="V1217" s="7">
        <f t="shared" si="1042"/>
        <v>7.0265955617541356E-2</v>
      </c>
      <c r="W1217" s="7">
        <f t="shared" si="1042"/>
        <v>0.34592887527815924</v>
      </c>
      <c r="X1217" s="7">
        <f>SUM(R1217:W1217)</f>
        <v>1.0000000000000002</v>
      </c>
    </row>
    <row r="1218" spans="1:24" ht="15.75" customHeight="1" x14ac:dyDescent="0.3">
      <c r="C1218" t="s">
        <v>73</v>
      </c>
      <c r="D1218" t="s">
        <v>68</v>
      </c>
      <c r="E1218" t="s">
        <v>70</v>
      </c>
      <c r="F1218" t="s">
        <v>71</v>
      </c>
      <c r="G1218" t="s">
        <v>69</v>
      </c>
      <c r="H1218" t="s">
        <v>72</v>
      </c>
      <c r="K1218" t="s">
        <v>68</v>
      </c>
      <c r="L1218" t="s">
        <v>69</v>
      </c>
      <c r="M1218" t="s">
        <v>70</v>
      </c>
      <c r="N1218" t="s">
        <v>71</v>
      </c>
      <c r="O1218" t="s">
        <v>72</v>
      </c>
      <c r="P1218" t="s">
        <v>73</v>
      </c>
    </row>
    <row r="1219" spans="1:24" ht="15.75" customHeight="1" x14ac:dyDescent="0.3">
      <c r="A1219">
        <v>609</v>
      </c>
      <c r="B1219" s="16" t="s">
        <v>690</v>
      </c>
      <c r="C1219" s="7">
        <f>Rankings!L618</f>
        <v>6.7387377080521347</v>
      </c>
      <c r="D1219" s="7">
        <f>Rankings!M618</f>
        <v>4.1096041161549479</v>
      </c>
      <c r="E1219" s="7">
        <f>Rankings!N618</f>
        <v>3.708769773052726</v>
      </c>
      <c r="F1219" s="7">
        <f>Rankings!O618</f>
        <v>2.5865567834541325</v>
      </c>
      <c r="G1219" s="7">
        <f>Rankings!P618</f>
        <v>1.7991741228251155</v>
      </c>
      <c r="H1219" s="7">
        <f>Rankings!Q618</f>
        <v>1</v>
      </c>
      <c r="I1219" s="7">
        <f>Rankings!R618</f>
        <v>19.942842503539055</v>
      </c>
      <c r="K1219" s="7">
        <f>D1219</f>
        <v>4.1096041161549479</v>
      </c>
      <c r="L1219" s="7">
        <f>G1219</f>
        <v>1.7991741228251155</v>
      </c>
      <c r="M1219" s="7">
        <f t="shared" ref="M1219:N1219" si="1043">E1219</f>
        <v>3.708769773052726</v>
      </c>
      <c r="N1219" s="7">
        <f t="shared" si="1043"/>
        <v>2.5865567834541325</v>
      </c>
      <c r="O1219" s="7">
        <f>H1219</f>
        <v>1</v>
      </c>
      <c r="P1219" s="7">
        <f>C1219</f>
        <v>6.7387377080521347</v>
      </c>
      <c r="R1219" s="7">
        <f t="shared" ref="R1219:W1219" si="1044">K1219/$I1219</f>
        <v>0.20606912557353135</v>
      </c>
      <c r="S1219" s="7">
        <f t="shared" si="1044"/>
        <v>9.0216533701544005E-2</v>
      </c>
      <c r="T1219" s="7">
        <f t="shared" si="1044"/>
        <v>0.18596996754071382</v>
      </c>
      <c r="U1219" s="7">
        <f t="shared" si="1044"/>
        <v>0.12969850125402749</v>
      </c>
      <c r="V1219" s="7">
        <f t="shared" si="1044"/>
        <v>5.0143303283999768E-2</v>
      </c>
      <c r="W1219" s="7">
        <f t="shared" si="1044"/>
        <v>0.33790256864618368</v>
      </c>
      <c r="X1219" s="7">
        <f>SUM(R1219:W1219)</f>
        <v>1</v>
      </c>
    </row>
    <row r="1220" spans="1:24" ht="15.75" customHeight="1" x14ac:dyDescent="0.3">
      <c r="C1220" t="s">
        <v>73</v>
      </c>
      <c r="D1220" t="s">
        <v>68</v>
      </c>
      <c r="E1220" t="s">
        <v>70</v>
      </c>
      <c r="F1220" t="s">
        <v>71</v>
      </c>
      <c r="G1220" t="s">
        <v>72</v>
      </c>
      <c r="H1220" t="s">
        <v>69</v>
      </c>
      <c r="K1220" t="s">
        <v>68</v>
      </c>
      <c r="L1220" t="s">
        <v>69</v>
      </c>
      <c r="M1220" t="s">
        <v>70</v>
      </c>
      <c r="N1220" t="s">
        <v>71</v>
      </c>
      <c r="O1220" t="s">
        <v>72</v>
      </c>
      <c r="P1220" t="s">
        <v>73</v>
      </c>
    </row>
    <row r="1221" spans="1:24" ht="15.75" customHeight="1" x14ac:dyDescent="0.3">
      <c r="A1221">
        <v>610</v>
      </c>
      <c r="B1221" s="16" t="s">
        <v>691</v>
      </c>
      <c r="C1221" s="7">
        <f>Rankings!L619</f>
        <v>9.0049485262574382</v>
      </c>
      <c r="D1221" s="7">
        <f>Rankings!M619</f>
        <v>5.4916477139407744</v>
      </c>
      <c r="E1221" s="7">
        <f>Rankings!N619</f>
        <v>4.9560143678203694</v>
      </c>
      <c r="F1221" s="7">
        <f>Rankings!O619</f>
        <v>3.4564055917200975</v>
      </c>
      <c r="G1221" s="7">
        <f>Rankings!P619</f>
        <v>1.8243208303594776</v>
      </c>
      <c r="H1221" s="7">
        <f>Rankings!Q619</f>
        <v>1</v>
      </c>
      <c r="I1221" s="7">
        <f>Rankings!R619</f>
        <v>25.733337030098159</v>
      </c>
      <c r="K1221" s="7">
        <f>D1221</f>
        <v>5.4916477139407744</v>
      </c>
      <c r="L1221" s="7">
        <f>H1221</f>
        <v>1</v>
      </c>
      <c r="M1221" s="7">
        <f t="shared" ref="M1221:O1221" si="1045">E1221</f>
        <v>4.9560143678203694</v>
      </c>
      <c r="N1221" s="7">
        <f t="shared" si="1045"/>
        <v>3.4564055917200975</v>
      </c>
      <c r="O1221" s="7">
        <f t="shared" si="1045"/>
        <v>1.8243208303594776</v>
      </c>
      <c r="P1221" s="7">
        <f>C1221</f>
        <v>9.0049485262574382</v>
      </c>
      <c r="R1221" s="7">
        <f t="shared" ref="R1221:W1221" si="1046">K1221/$I1221</f>
        <v>0.21340596858921357</v>
      </c>
      <c r="S1221" s="7">
        <f t="shared" si="1046"/>
        <v>3.8860098044430948E-2</v>
      </c>
      <c r="T1221" s="7">
        <f t="shared" si="1046"/>
        <v>0.19259120424310802</v>
      </c>
      <c r="U1221" s="7">
        <f t="shared" si="1046"/>
        <v>0.13431626017556236</v>
      </c>
      <c r="V1221" s="7">
        <f t="shared" si="1046"/>
        <v>7.0893286332266978E-2</v>
      </c>
      <c r="W1221" s="7">
        <f t="shared" si="1046"/>
        <v>0.34993318261541806</v>
      </c>
      <c r="X1221" s="7">
        <f>SUM(R1221:W1221)</f>
        <v>1</v>
      </c>
    </row>
    <row r="1222" spans="1:24" ht="15.75" customHeight="1" x14ac:dyDescent="0.3">
      <c r="C1222" t="s">
        <v>73</v>
      </c>
      <c r="D1222" t="s">
        <v>68</v>
      </c>
      <c r="E1222" t="s">
        <v>70</v>
      </c>
      <c r="F1222" t="s">
        <v>72</v>
      </c>
      <c r="G1222" t="s">
        <v>69</v>
      </c>
      <c r="H1222" t="s">
        <v>71</v>
      </c>
      <c r="K1222" t="s">
        <v>68</v>
      </c>
      <c r="L1222" t="s">
        <v>69</v>
      </c>
      <c r="M1222" t="s">
        <v>70</v>
      </c>
      <c r="N1222" t="s">
        <v>71</v>
      </c>
      <c r="O1222" t="s">
        <v>72</v>
      </c>
      <c r="P1222" t="s">
        <v>73</v>
      </c>
    </row>
    <row r="1223" spans="1:24" ht="15.75" customHeight="1" x14ac:dyDescent="0.3">
      <c r="A1223">
        <v>611</v>
      </c>
      <c r="B1223" s="16" t="s">
        <v>692</v>
      </c>
      <c r="C1223" s="7">
        <f>Rankings!L620</f>
        <v>6.767334234951309</v>
      </c>
      <c r="D1223" s="7">
        <f>Rankings!M620</f>
        <v>4.1270436441116676</v>
      </c>
      <c r="E1223" s="7">
        <f>Rankings!N620</f>
        <v>3.7245083192275117</v>
      </c>
      <c r="F1223" s="7">
        <f>Rankings!O620</f>
        <v>1.6616352868606219</v>
      </c>
      <c r="G1223" s="7">
        <f>Rankings!P620</f>
        <v>0.9108240498099236</v>
      </c>
      <c r="H1223" s="7">
        <f>Rankings!Q620</f>
        <v>1</v>
      </c>
      <c r="I1223" s="7">
        <f>Rankings!R620</f>
        <v>18.191345534961034</v>
      </c>
      <c r="K1223" s="7">
        <f>D1223</f>
        <v>4.1270436441116676</v>
      </c>
      <c r="L1223" s="7">
        <f>G1223</f>
        <v>0.9108240498099236</v>
      </c>
      <c r="M1223" s="7">
        <f>E1223</f>
        <v>3.7245083192275117</v>
      </c>
      <c r="N1223" s="7">
        <f>H1223</f>
        <v>1</v>
      </c>
      <c r="O1223" s="7">
        <f>F1223</f>
        <v>1.6616352868606219</v>
      </c>
      <c r="P1223" s="7">
        <f>C1223</f>
        <v>6.767334234951309</v>
      </c>
      <c r="R1223" s="7">
        <f t="shared" ref="R1223:W1223" si="1047">K1223/$I1223</f>
        <v>0.22686852031808805</v>
      </c>
      <c r="S1223" s="7">
        <f t="shared" si="1047"/>
        <v>5.0069086316867358E-2</v>
      </c>
      <c r="T1223" s="7">
        <f t="shared" si="1047"/>
        <v>0.20474067253956371</v>
      </c>
      <c r="U1223" s="7">
        <f t="shared" si="1047"/>
        <v>5.4971194850768471E-2</v>
      </c>
      <c r="V1223" s="7">
        <f t="shared" si="1047"/>
        <v>9.1342077124927812E-2</v>
      </c>
      <c r="W1223" s="7">
        <f t="shared" si="1047"/>
        <v>0.37200844884978457</v>
      </c>
      <c r="X1223" s="7">
        <f>SUM(R1223:W1223)</f>
        <v>1</v>
      </c>
    </row>
    <row r="1224" spans="1:24" ht="15.75" customHeight="1" x14ac:dyDescent="0.3">
      <c r="C1224" t="s">
        <v>73</v>
      </c>
      <c r="D1224" t="s">
        <v>68</v>
      </c>
      <c r="E1224" t="s">
        <v>70</v>
      </c>
      <c r="F1224" t="s">
        <v>72</v>
      </c>
      <c r="G1224" t="s">
        <v>71</v>
      </c>
      <c r="H1224" t="s">
        <v>69</v>
      </c>
      <c r="K1224" t="s">
        <v>68</v>
      </c>
      <c r="L1224" t="s">
        <v>69</v>
      </c>
      <c r="M1224" t="s">
        <v>70</v>
      </c>
      <c r="N1224" t="s">
        <v>71</v>
      </c>
      <c r="O1224" t="s">
        <v>72</v>
      </c>
      <c r="P1224" t="s">
        <v>73</v>
      </c>
    </row>
    <row r="1225" spans="1:24" ht="15.75" customHeight="1" x14ac:dyDescent="0.3">
      <c r="A1225">
        <v>612</v>
      </c>
      <c r="B1225" s="16" t="s">
        <v>693</v>
      </c>
      <c r="C1225" s="7">
        <f>Rankings!L621</f>
        <v>7.3422741444718964</v>
      </c>
      <c r="D1225" s="7">
        <f>Rankings!M621</f>
        <v>4.4776694617457737</v>
      </c>
      <c r="E1225" s="7">
        <f>Rankings!N621</f>
        <v>4.0409354974516631</v>
      </c>
      <c r="F1225" s="7">
        <f>Rankings!O621</f>
        <v>1.8028046762118686</v>
      </c>
      <c r="G1225" s="7">
        <f>Rankings!P621</f>
        <v>1.4376356077157479</v>
      </c>
      <c r="H1225" s="7">
        <f>Rankings!Q621</f>
        <v>1</v>
      </c>
      <c r="I1225" s="7">
        <f>Rankings!R621</f>
        <v>20.101319387596948</v>
      </c>
      <c r="K1225" s="7">
        <f>D1225</f>
        <v>4.4776694617457737</v>
      </c>
      <c r="L1225" s="7">
        <f>H1225</f>
        <v>1</v>
      </c>
      <c r="M1225" s="7">
        <f>E1225</f>
        <v>4.0409354974516631</v>
      </c>
      <c r="N1225" s="7">
        <f>G1225</f>
        <v>1.4376356077157479</v>
      </c>
      <c r="O1225" s="7">
        <f>F1225</f>
        <v>1.8028046762118686</v>
      </c>
      <c r="P1225" s="7">
        <f>C1225</f>
        <v>7.3422741444718964</v>
      </c>
      <c r="R1225" s="7">
        <f t="shared" ref="R1225:W1225" si="1048">K1225/$I1225</f>
        <v>0.2227550030625659</v>
      </c>
      <c r="S1225" s="7">
        <f t="shared" si="1048"/>
        <v>4.9747978265398181E-2</v>
      </c>
      <c r="T1225" s="7">
        <f t="shared" si="1048"/>
        <v>0.20102837129910131</v>
      </c>
      <c r="U1225" s="7">
        <f t="shared" si="1048"/>
        <v>7.1519464966205523E-2</v>
      </c>
      <c r="V1225" s="7">
        <f t="shared" si="1048"/>
        <v>8.9685887848946239E-2</v>
      </c>
      <c r="W1225" s="7">
        <f t="shared" si="1048"/>
        <v>0.36526329455778289</v>
      </c>
      <c r="X1225" s="7">
        <f>SUM(R1225:W1225)</f>
        <v>1</v>
      </c>
    </row>
    <row r="1226" spans="1:24" ht="15.75" customHeight="1" x14ac:dyDescent="0.3">
      <c r="C1226" t="s">
        <v>73</v>
      </c>
      <c r="D1226" t="s">
        <v>68</v>
      </c>
      <c r="E1226" t="s">
        <v>71</v>
      </c>
      <c r="F1226" t="s">
        <v>69</v>
      </c>
      <c r="G1226" t="s">
        <v>70</v>
      </c>
      <c r="H1226" t="s">
        <v>72</v>
      </c>
      <c r="K1226" t="s">
        <v>68</v>
      </c>
      <c r="L1226" t="s">
        <v>69</v>
      </c>
      <c r="M1226" t="s">
        <v>70</v>
      </c>
      <c r="N1226" t="s">
        <v>71</v>
      </c>
      <c r="O1226" t="s">
        <v>72</v>
      </c>
      <c r="P1226" t="s">
        <v>73</v>
      </c>
    </row>
    <row r="1227" spans="1:24" ht="15.75" customHeight="1" x14ac:dyDescent="0.3">
      <c r="A1227">
        <v>613</v>
      </c>
      <c r="B1227" s="16" t="s">
        <v>694</v>
      </c>
      <c r="C1227" s="7">
        <f>Rankings!L622</f>
        <v>9.0114711775785707</v>
      </c>
      <c r="D1227" s="7">
        <f>Rankings!M622</f>
        <v>5.4956255382572694</v>
      </c>
      <c r="E1227" s="7">
        <f>Rankings!N622</f>
        <v>4.3828906459742738</v>
      </c>
      <c r="F1227" s="7">
        <f>Rankings!O622</f>
        <v>3.0486798062397931</v>
      </c>
      <c r="G1227" s="7">
        <f>Rankings!P622</f>
        <v>2.2414716085286912</v>
      </c>
      <c r="H1227" s="7">
        <f>Rankings!Q622</f>
        <v>1</v>
      </c>
      <c r="I1227" s="7">
        <f>Rankings!R622</f>
        <v>25.180138776578598</v>
      </c>
      <c r="K1227" s="7">
        <f>D1227</f>
        <v>5.4956255382572694</v>
      </c>
      <c r="L1227" s="7">
        <f t="shared" ref="L1227:M1227" si="1049">F1227</f>
        <v>3.0486798062397931</v>
      </c>
      <c r="M1227" s="7">
        <f t="shared" si="1049"/>
        <v>2.2414716085286912</v>
      </c>
      <c r="N1227" s="7">
        <f>E1227</f>
        <v>4.3828906459742738</v>
      </c>
      <c r="O1227" s="7">
        <f>H1227</f>
        <v>1</v>
      </c>
      <c r="P1227" s="7">
        <f>C1227</f>
        <v>9.0114711775785707</v>
      </c>
      <c r="R1227" s="7">
        <f t="shared" ref="R1227:W1227" si="1050">K1227/$I1227</f>
        <v>0.21825239276953654</v>
      </c>
      <c r="S1227" s="7">
        <f t="shared" si="1050"/>
        <v>0.12107478172739597</v>
      </c>
      <c r="T1227" s="7">
        <f t="shared" si="1050"/>
        <v>8.9017444598581977E-2</v>
      </c>
      <c r="U1227" s="7">
        <f t="shared" si="1050"/>
        <v>0.17406141740771644</v>
      </c>
      <c r="V1227" s="7">
        <f t="shared" si="1050"/>
        <v>3.9713839898696424E-2</v>
      </c>
      <c r="W1227" s="7">
        <f t="shared" si="1050"/>
        <v>0.35788012359807264</v>
      </c>
      <c r="X1227" s="7">
        <f>SUM(R1227:W1227)</f>
        <v>1</v>
      </c>
    </row>
    <row r="1228" spans="1:24" ht="15.75" customHeight="1" x14ac:dyDescent="0.3">
      <c r="C1228" t="s">
        <v>73</v>
      </c>
      <c r="D1228" t="s">
        <v>68</v>
      </c>
      <c r="E1228" t="s">
        <v>71</v>
      </c>
      <c r="F1228" t="s">
        <v>69</v>
      </c>
      <c r="G1228" t="s">
        <v>72</v>
      </c>
      <c r="H1228" t="s">
        <v>70</v>
      </c>
      <c r="K1228" t="s">
        <v>68</v>
      </c>
      <c r="L1228" t="s">
        <v>69</v>
      </c>
      <c r="M1228" t="s">
        <v>70</v>
      </c>
      <c r="N1228" t="s">
        <v>71</v>
      </c>
      <c r="O1228" t="s">
        <v>72</v>
      </c>
      <c r="P1228" t="s">
        <v>73</v>
      </c>
    </row>
    <row r="1229" spans="1:24" ht="15.75" customHeight="1" x14ac:dyDescent="0.3">
      <c r="A1229">
        <v>614</v>
      </c>
      <c r="B1229" s="16" t="s">
        <v>695</v>
      </c>
      <c r="C1229" s="7">
        <f>Rankings!L623</f>
        <v>10.501329709110323</v>
      </c>
      <c r="D1229" s="7">
        <f>Rankings!M623</f>
        <v>6.4042124307780144</v>
      </c>
      <c r="E1229" s="7">
        <f>Rankings!N623</f>
        <v>5.1075100663772908</v>
      </c>
      <c r="F1229" s="7">
        <f>Rankings!O623</f>
        <v>3.5527153327070047</v>
      </c>
      <c r="G1229" s="7">
        <f>Rankings!P623</f>
        <v>1.9746367445127702</v>
      </c>
      <c r="H1229" s="7">
        <f>Rankings!Q623</f>
        <v>1</v>
      </c>
      <c r="I1229" s="7">
        <f>Rankings!R623</f>
        <v>28.540404283485405</v>
      </c>
      <c r="K1229" s="7">
        <f>D1229</f>
        <v>6.4042124307780144</v>
      </c>
      <c r="L1229" s="7">
        <f>F1229</f>
        <v>3.5527153327070047</v>
      </c>
      <c r="M1229" s="7">
        <f>H1229</f>
        <v>1</v>
      </c>
      <c r="N1229" s="7">
        <f>E1229</f>
        <v>5.1075100663772908</v>
      </c>
      <c r="O1229" s="7">
        <f>G1229</f>
        <v>1.9746367445127702</v>
      </c>
      <c r="P1229" s="7">
        <f>C1229</f>
        <v>10.501329709110323</v>
      </c>
      <c r="R1229" s="7">
        <f t="shared" ref="R1229:W1229" si="1051">K1229/$I1229</f>
        <v>0.22439109015998565</v>
      </c>
      <c r="S1229" s="7">
        <f t="shared" si="1051"/>
        <v>0.12448020348340842</v>
      </c>
      <c r="T1229" s="7">
        <f t="shared" si="1051"/>
        <v>3.5038046065053084E-2</v>
      </c>
      <c r="U1229" s="7">
        <f t="shared" si="1051"/>
        <v>0.17895717298344985</v>
      </c>
      <c r="V1229" s="7">
        <f t="shared" si="1051"/>
        <v>6.91874132159849E-2</v>
      </c>
      <c r="W1229" s="7">
        <f t="shared" si="1051"/>
        <v>0.36794607409211799</v>
      </c>
      <c r="X1229" s="7">
        <f>SUM(R1229:W1229)</f>
        <v>0.99999999999999989</v>
      </c>
    </row>
    <row r="1230" spans="1:24" ht="15.75" customHeight="1" x14ac:dyDescent="0.3">
      <c r="C1230" t="s">
        <v>73</v>
      </c>
      <c r="D1230" t="s">
        <v>68</v>
      </c>
      <c r="E1230" t="s">
        <v>71</v>
      </c>
      <c r="F1230" t="s">
        <v>70</v>
      </c>
      <c r="G1230" t="s">
        <v>69</v>
      </c>
      <c r="H1230" t="s">
        <v>72</v>
      </c>
      <c r="K1230" t="s">
        <v>68</v>
      </c>
      <c r="L1230" t="s">
        <v>69</v>
      </c>
      <c r="M1230" t="s">
        <v>70</v>
      </c>
      <c r="N1230" t="s">
        <v>71</v>
      </c>
      <c r="O1230" t="s">
        <v>72</v>
      </c>
      <c r="P1230" t="s">
        <v>73</v>
      </c>
    </row>
    <row r="1231" spans="1:24" ht="15.75" customHeight="1" x14ac:dyDescent="0.3">
      <c r="A1231">
        <v>615</v>
      </c>
      <c r="B1231" s="16" t="s">
        <v>696</v>
      </c>
      <c r="C1231" s="7">
        <f>Rankings!L624</f>
        <v>12.472547614660982</v>
      </c>
      <c r="D1231" s="7">
        <f>Rankings!M624</f>
        <v>7.6063552607043823</v>
      </c>
      <c r="E1231" s="7">
        <f>Rankings!N624</f>
        <v>6.0662472524775177</v>
      </c>
      <c r="F1231" s="7">
        <f>Rankings!O624</f>
        <v>2.709525108581635</v>
      </c>
      <c r="G1231" s="7">
        <f>Rankings!P624</f>
        <v>1.7991741228251155</v>
      </c>
      <c r="H1231" s="7">
        <f>Rankings!Q624</f>
        <v>1</v>
      </c>
      <c r="I1231" s="7">
        <f>Rankings!R624</f>
        <v>31.65384935924963</v>
      </c>
      <c r="K1231" s="7">
        <f>D1231</f>
        <v>7.6063552607043823</v>
      </c>
      <c r="L1231" s="7">
        <f>G1231</f>
        <v>1.7991741228251155</v>
      </c>
      <c r="M1231" s="7">
        <f>F1231</f>
        <v>2.709525108581635</v>
      </c>
      <c r="N1231" s="7">
        <f>E1231</f>
        <v>6.0662472524775177</v>
      </c>
      <c r="O1231" s="7">
        <f>H1231</f>
        <v>1</v>
      </c>
      <c r="P1231" s="7">
        <f>C1231</f>
        <v>12.472547614660982</v>
      </c>
      <c r="R1231" s="7">
        <f t="shared" ref="R1231:W1231" si="1052">K1231/$I1231</f>
        <v>0.24029795474090468</v>
      </c>
      <c r="S1231" s="7">
        <f t="shared" si="1052"/>
        <v>5.6839030931300473E-2</v>
      </c>
      <c r="T1231" s="7">
        <f t="shared" si="1052"/>
        <v>8.5598597435350449E-2</v>
      </c>
      <c r="U1231" s="7">
        <f t="shared" si="1052"/>
        <v>0.19164327168015943</v>
      </c>
      <c r="V1231" s="7">
        <f t="shared" si="1052"/>
        <v>3.1591734346451239E-2</v>
      </c>
      <c r="W1231" s="7">
        <f t="shared" si="1052"/>
        <v>0.39402941086583376</v>
      </c>
      <c r="X1231" s="7">
        <f>SUM(R1231:W1231)</f>
        <v>1</v>
      </c>
    </row>
    <row r="1232" spans="1:24" ht="15.75" customHeight="1" x14ac:dyDescent="0.3">
      <c r="C1232" t="s">
        <v>73</v>
      </c>
      <c r="D1232" t="s">
        <v>68</v>
      </c>
      <c r="E1232" t="s">
        <v>71</v>
      </c>
      <c r="F1232" t="s">
        <v>70</v>
      </c>
      <c r="G1232" t="s">
        <v>72</v>
      </c>
      <c r="H1232" t="s">
        <v>69</v>
      </c>
      <c r="K1232" t="s">
        <v>68</v>
      </c>
      <c r="L1232" t="s">
        <v>69</v>
      </c>
      <c r="M1232" t="s">
        <v>70</v>
      </c>
      <c r="N1232" t="s">
        <v>71</v>
      </c>
      <c r="O1232" t="s">
        <v>72</v>
      </c>
      <c r="P1232" t="s">
        <v>73</v>
      </c>
    </row>
    <row r="1233" spans="1:24" ht="15.75" customHeight="1" x14ac:dyDescent="0.3">
      <c r="A1233">
        <v>616</v>
      </c>
      <c r="B1233" s="16" t="s">
        <v>697</v>
      </c>
      <c r="C1233" s="7">
        <f>Rankings!L625</f>
        <v>18.823329732875322</v>
      </c>
      <c r="D1233" s="7">
        <f>Rankings!M625</f>
        <v>11.479365528284747</v>
      </c>
      <c r="E1233" s="7">
        <f>Rankings!N625</f>
        <v>9.155064049650214</v>
      </c>
      <c r="F1233" s="7">
        <f>Rankings!O625</f>
        <v>4.0891633460982559</v>
      </c>
      <c r="G1233" s="7">
        <f>Rankings!P625</f>
        <v>1.8243208303594776</v>
      </c>
      <c r="H1233" s="7">
        <f>Rankings!Q625</f>
        <v>1</v>
      </c>
      <c r="I1233" s="7">
        <f>Rankings!R625</f>
        <v>46.371243487268011</v>
      </c>
      <c r="K1233" s="7">
        <f>D1233</f>
        <v>11.479365528284747</v>
      </c>
      <c r="L1233" s="7">
        <f>H1233</f>
        <v>1</v>
      </c>
      <c r="M1233" s="7">
        <f>F1233</f>
        <v>4.0891633460982559</v>
      </c>
      <c r="N1233" s="7">
        <f>E1233</f>
        <v>9.155064049650214</v>
      </c>
      <c r="O1233" s="7">
        <f>G1233</f>
        <v>1.8243208303594776</v>
      </c>
      <c r="P1233" s="7">
        <f>C1233</f>
        <v>18.823329732875322</v>
      </c>
      <c r="R1233" s="7">
        <f t="shared" ref="R1233:W1233" si="1053">K1233/$I1233</f>
        <v>0.24755354105258351</v>
      </c>
      <c r="S1233" s="7">
        <f t="shared" si="1053"/>
        <v>2.1565089154328296E-2</v>
      </c>
      <c r="T1233" s="7">
        <f t="shared" si="1053"/>
        <v>8.8183172125220297E-2</v>
      </c>
      <c r="U1233" s="7">
        <f t="shared" si="1053"/>
        <v>0.19742977244429272</v>
      </c>
      <c r="V1233" s="7">
        <f t="shared" si="1053"/>
        <v>3.9341641352800362E-2</v>
      </c>
      <c r="W1233" s="7">
        <f t="shared" si="1053"/>
        <v>0.40592678387077497</v>
      </c>
      <c r="X1233" s="7">
        <f>SUM(R1233:W1233)</f>
        <v>1</v>
      </c>
    </row>
    <row r="1234" spans="1:24" ht="15.75" customHeight="1" x14ac:dyDescent="0.3">
      <c r="C1234" t="s">
        <v>73</v>
      </c>
      <c r="D1234" t="s">
        <v>68</v>
      </c>
      <c r="E1234" t="s">
        <v>71</v>
      </c>
      <c r="F1234" t="s">
        <v>72</v>
      </c>
      <c r="G1234" t="s">
        <v>69</v>
      </c>
      <c r="H1234" t="s">
        <v>70</v>
      </c>
      <c r="K1234" t="s">
        <v>68</v>
      </c>
      <c r="L1234" t="s">
        <v>69</v>
      </c>
      <c r="M1234" t="s">
        <v>70</v>
      </c>
      <c r="N1234" t="s">
        <v>71</v>
      </c>
      <c r="O1234" t="s">
        <v>72</v>
      </c>
      <c r="P1234" t="s">
        <v>73</v>
      </c>
    </row>
    <row r="1235" spans="1:24" ht="15.75" customHeight="1" x14ac:dyDescent="0.3">
      <c r="A1235">
        <v>617</v>
      </c>
      <c r="B1235" s="16" t="s">
        <v>698</v>
      </c>
      <c r="C1235" s="7">
        <f>Rankings!L626</f>
        <v>9.665811776743368</v>
      </c>
      <c r="D1235" s="7">
        <f>Rankings!M626</f>
        <v>5.8946736888451392</v>
      </c>
      <c r="E1235" s="7">
        <f>Rankings!N626</f>
        <v>4.701140933285429</v>
      </c>
      <c r="F1235" s="7">
        <f>Rankings!O626</f>
        <v>2.4813029326168055</v>
      </c>
      <c r="G1235" s="7">
        <f>Rankings!P626</f>
        <v>1.3601242124324544</v>
      </c>
      <c r="H1235" s="7">
        <f>Rankings!Q626</f>
        <v>1</v>
      </c>
      <c r="I1235" s="7">
        <f>Rankings!R626</f>
        <v>25.103053543923195</v>
      </c>
      <c r="K1235" s="7">
        <f>D1235</f>
        <v>5.8946736888451392</v>
      </c>
      <c r="L1235" s="7">
        <f t="shared" ref="L1235:M1235" si="1054">G1235</f>
        <v>1.3601242124324544</v>
      </c>
      <c r="M1235" s="7">
        <f t="shared" si="1054"/>
        <v>1</v>
      </c>
      <c r="N1235" s="7">
        <f t="shared" ref="N1235:O1235" si="1055">E1235</f>
        <v>4.701140933285429</v>
      </c>
      <c r="O1235" s="7">
        <f t="shared" si="1055"/>
        <v>2.4813029326168055</v>
      </c>
      <c r="P1235" s="7">
        <f>C1235</f>
        <v>9.665811776743368</v>
      </c>
      <c r="R1235" s="7">
        <f t="shared" ref="R1235:W1235" si="1056">K1235/$I1235</f>
        <v>0.23481899038820672</v>
      </c>
      <c r="S1235" s="7">
        <f t="shared" si="1056"/>
        <v>5.4181624161882311E-2</v>
      </c>
      <c r="T1235" s="7">
        <f t="shared" si="1056"/>
        <v>3.9835791221585246E-2</v>
      </c>
      <c r="U1235" s="7">
        <f t="shared" si="1056"/>
        <v>0.18727366872160675</v>
      </c>
      <c r="V1235" s="7">
        <f t="shared" si="1056"/>
        <v>9.8844665581230257E-2</v>
      </c>
      <c r="W1235" s="7">
        <f t="shared" si="1056"/>
        <v>0.38504525992548871</v>
      </c>
      <c r="X1235" s="7">
        <f>SUM(R1235:W1235)</f>
        <v>1</v>
      </c>
    </row>
    <row r="1236" spans="1:24" ht="15.75" customHeight="1" x14ac:dyDescent="0.3">
      <c r="C1236" t="s">
        <v>73</v>
      </c>
      <c r="D1236" t="s">
        <v>68</v>
      </c>
      <c r="E1236" t="s">
        <v>71</v>
      </c>
      <c r="F1236" t="s">
        <v>72</v>
      </c>
      <c r="G1236" t="s">
        <v>70</v>
      </c>
      <c r="H1236" t="s">
        <v>69</v>
      </c>
      <c r="K1236" t="s">
        <v>68</v>
      </c>
      <c r="L1236" t="s">
        <v>69</v>
      </c>
      <c r="M1236" t="s">
        <v>70</v>
      </c>
      <c r="N1236" t="s">
        <v>71</v>
      </c>
      <c r="O1236" t="s">
        <v>72</v>
      </c>
      <c r="P1236" t="s">
        <v>73</v>
      </c>
    </row>
    <row r="1237" spans="1:24" ht="15.75" customHeight="1" x14ac:dyDescent="0.3">
      <c r="A1237">
        <v>618</v>
      </c>
      <c r="B1237" s="16" t="s">
        <v>699</v>
      </c>
      <c r="C1237" s="7">
        <f>Rankings!L627</f>
        <v>11.584191891752427</v>
      </c>
      <c r="D1237" s="7">
        <f>Rankings!M627</f>
        <v>7.0645935104121191</v>
      </c>
      <c r="E1237" s="7">
        <f>Rankings!N627</f>
        <v>5.634179512204299</v>
      </c>
      <c r="F1237" s="7">
        <f>Rankings!O627</f>
        <v>2.9737687818586505</v>
      </c>
      <c r="G1237" s="7">
        <f>Rankings!P627</f>
        <v>1.5059827029565431</v>
      </c>
      <c r="H1237" s="7">
        <f>Rankings!Q627</f>
        <v>1</v>
      </c>
      <c r="I1237" s="7">
        <f>Rankings!R627</f>
        <v>29.762716399184036</v>
      </c>
      <c r="K1237" s="7">
        <f>D1237</f>
        <v>7.0645935104121191</v>
      </c>
      <c r="L1237" s="7">
        <f>H1237</f>
        <v>1</v>
      </c>
      <c r="M1237" s="7">
        <f>G1237</f>
        <v>1.5059827029565431</v>
      </c>
      <c r="N1237" s="7">
        <f t="shared" ref="N1237:O1237" si="1057">E1237</f>
        <v>5.634179512204299</v>
      </c>
      <c r="O1237" s="7">
        <f t="shared" si="1057"/>
        <v>2.9737687818586505</v>
      </c>
      <c r="P1237" s="7">
        <f>C1237</f>
        <v>11.584191891752427</v>
      </c>
      <c r="R1237" s="7">
        <f t="shared" ref="R1237:W1237" si="1058">K1237/$I1237</f>
        <v>0.23736386879679436</v>
      </c>
      <c r="S1237" s="7">
        <f t="shared" si="1058"/>
        <v>3.3599083718965105E-2</v>
      </c>
      <c r="T1237" s="7">
        <f t="shared" si="1058"/>
        <v>5.0599638915950249E-2</v>
      </c>
      <c r="U1237" s="7">
        <f t="shared" si="1058"/>
        <v>0.1893032691182302</v>
      </c>
      <c r="V1237" s="7">
        <f t="shared" si="1058"/>
        <v>9.9915906262513662E-2</v>
      </c>
      <c r="W1237" s="7">
        <f t="shared" si="1058"/>
        <v>0.3892182331875465</v>
      </c>
      <c r="X1237" s="7">
        <f>SUM(R1237:W1237)</f>
        <v>1</v>
      </c>
    </row>
    <row r="1238" spans="1:24" ht="15.75" customHeight="1" x14ac:dyDescent="0.3">
      <c r="C1238" t="s">
        <v>73</v>
      </c>
      <c r="D1238" t="s">
        <v>68</v>
      </c>
      <c r="E1238" t="s">
        <v>72</v>
      </c>
      <c r="F1238" t="s">
        <v>69</v>
      </c>
      <c r="G1238" t="s">
        <v>70</v>
      </c>
      <c r="H1238" t="s">
        <v>71</v>
      </c>
      <c r="K1238" t="s">
        <v>68</v>
      </c>
      <c r="L1238" t="s">
        <v>69</v>
      </c>
      <c r="M1238" t="s">
        <v>70</v>
      </c>
      <c r="N1238" t="s">
        <v>71</v>
      </c>
      <c r="O1238" t="s">
        <v>72</v>
      </c>
      <c r="P1238" t="s">
        <v>73</v>
      </c>
    </row>
    <row r="1239" spans="1:24" ht="15.75" customHeight="1" x14ac:dyDescent="0.3">
      <c r="A1239">
        <v>619</v>
      </c>
      <c r="B1239" s="16" t="s">
        <v>700</v>
      </c>
      <c r="C1239" s="7">
        <f>Rankings!L628</f>
        <v>6.3282001318118288</v>
      </c>
      <c r="D1239" s="7">
        <f>Rankings!M628</f>
        <v>3.8592386936905214</v>
      </c>
      <c r="E1239" s="7">
        <f>Rankings!N628</f>
        <v>3.5578501013950321</v>
      </c>
      <c r="F1239" s="7">
        <f>Rankings!O628</f>
        <v>1.9502326795742213</v>
      </c>
      <c r="G1239" s="7">
        <f>Rankings!P628</f>
        <v>1.4338636587362954</v>
      </c>
      <c r="H1239" s="7">
        <f>Rankings!Q628</f>
        <v>1</v>
      </c>
      <c r="I1239" s="7">
        <f>Rankings!R628</f>
        <v>18.129385265207901</v>
      </c>
      <c r="K1239" s="7">
        <f>D1239</f>
        <v>3.8592386936905214</v>
      </c>
      <c r="L1239" s="7">
        <f t="shared" ref="L1239:N1239" si="1059">F1239</f>
        <v>1.9502326795742213</v>
      </c>
      <c r="M1239" s="7">
        <f t="shared" si="1059"/>
        <v>1.4338636587362954</v>
      </c>
      <c r="N1239" s="7">
        <f t="shared" si="1059"/>
        <v>1</v>
      </c>
      <c r="O1239" s="7">
        <f>E1239</f>
        <v>3.5578501013950321</v>
      </c>
      <c r="P1239" s="7">
        <f>C1239</f>
        <v>6.3282001318118288</v>
      </c>
      <c r="R1239" s="7">
        <f t="shared" ref="R1239:W1239" si="1060">K1239/$I1239</f>
        <v>0.21287201067411732</v>
      </c>
      <c r="S1239" s="7">
        <f t="shared" si="1060"/>
        <v>0.10757301756485435</v>
      </c>
      <c r="T1239" s="7">
        <f t="shared" si="1060"/>
        <v>7.9090583478747228E-2</v>
      </c>
      <c r="U1239" s="7">
        <f t="shared" si="1060"/>
        <v>5.5159068295553282E-2</v>
      </c>
      <c r="V1239" s="7">
        <f t="shared" si="1060"/>
        <v>0.19624769672818976</v>
      </c>
      <c r="W1239" s="7">
        <f t="shared" si="1060"/>
        <v>0.34905762325853795</v>
      </c>
      <c r="X1239" s="7">
        <f>SUM(R1239:W1239)</f>
        <v>0.99999999999999989</v>
      </c>
    </row>
    <row r="1240" spans="1:24" ht="15.75" customHeight="1" x14ac:dyDescent="0.3">
      <c r="C1240" t="s">
        <v>73</v>
      </c>
      <c r="D1240" t="s">
        <v>68</v>
      </c>
      <c r="E1240" t="s">
        <v>72</v>
      </c>
      <c r="F1240" t="s">
        <v>69</v>
      </c>
      <c r="G1240" t="s">
        <v>71</v>
      </c>
      <c r="H1240" t="s">
        <v>70</v>
      </c>
      <c r="K1240" t="s">
        <v>68</v>
      </c>
      <c r="L1240" t="s">
        <v>69</v>
      </c>
      <c r="M1240" t="s">
        <v>70</v>
      </c>
      <c r="N1240" t="s">
        <v>71</v>
      </c>
      <c r="O1240" t="s">
        <v>72</v>
      </c>
      <c r="P1240" t="s">
        <v>73</v>
      </c>
    </row>
    <row r="1241" spans="1:24" ht="15.75" customHeight="1" x14ac:dyDescent="0.3">
      <c r="A1241">
        <v>620</v>
      </c>
      <c r="B1241" s="16" t="s">
        <v>701</v>
      </c>
      <c r="C1241" s="7">
        <f>Rankings!L629</f>
        <v>6.6169094733610132</v>
      </c>
      <c r="D1241" s="7">
        <f>Rankings!M629</f>
        <v>4.0353074397681707</v>
      </c>
      <c r="E1241" s="7">
        <f>Rankings!N629</f>
        <v>3.7201686973162973</v>
      </c>
      <c r="F1241" s="7">
        <f>Rankings!O629</f>
        <v>2.039207487743945</v>
      </c>
      <c r="G1241" s="7">
        <f>Rankings!P629</f>
        <v>2.2388599512381115</v>
      </c>
      <c r="H1241" s="7">
        <f>Rankings!Q629</f>
        <v>1</v>
      </c>
      <c r="I1241" s="7">
        <f>Rankings!R629</f>
        <v>19.650453049427536</v>
      </c>
      <c r="K1241" s="7">
        <f>D1241</f>
        <v>4.0353074397681707</v>
      </c>
      <c r="L1241" s="7">
        <f>F1241</f>
        <v>2.039207487743945</v>
      </c>
      <c r="M1241" s="7">
        <f>H1241</f>
        <v>1</v>
      </c>
      <c r="N1241" s="7">
        <f>G1241</f>
        <v>2.2388599512381115</v>
      </c>
      <c r="O1241" s="7">
        <f>E1241</f>
        <v>3.7201686973162973</v>
      </c>
      <c r="P1241" s="7">
        <f>C1241</f>
        <v>6.6169094733610132</v>
      </c>
      <c r="R1241" s="7">
        <f t="shared" ref="R1241:W1241" si="1061">K1241/$I1241</f>
        <v>0.20535442259870587</v>
      </c>
      <c r="S1241" s="7">
        <f t="shared" si="1061"/>
        <v>0.10377406987078865</v>
      </c>
      <c r="T1241" s="7">
        <f t="shared" si="1061"/>
        <v>5.0889411937967116E-2</v>
      </c>
      <c r="U1241" s="7">
        <f t="shared" si="1061"/>
        <v>0.11393426632997324</v>
      </c>
      <c r="V1241" s="7">
        <f t="shared" si="1061"/>
        <v>0.18931719731645955</v>
      </c>
      <c r="W1241" s="7">
        <f t="shared" si="1061"/>
        <v>0.33673063194610564</v>
      </c>
      <c r="X1241" s="7">
        <f>SUM(R1241:W1241)</f>
        <v>1</v>
      </c>
    </row>
    <row r="1242" spans="1:24" ht="15.75" customHeight="1" x14ac:dyDescent="0.3">
      <c r="C1242" t="s">
        <v>73</v>
      </c>
      <c r="D1242" t="s">
        <v>68</v>
      </c>
      <c r="E1242" t="s">
        <v>72</v>
      </c>
      <c r="F1242" t="s">
        <v>70</v>
      </c>
      <c r="G1242" t="s">
        <v>69</v>
      </c>
      <c r="H1242" t="s">
        <v>71</v>
      </c>
      <c r="K1242" t="s">
        <v>68</v>
      </c>
      <c r="L1242" t="s">
        <v>69</v>
      </c>
      <c r="M1242" t="s">
        <v>70</v>
      </c>
      <c r="N1242" t="s">
        <v>71</v>
      </c>
      <c r="O1242" t="s">
        <v>72</v>
      </c>
      <c r="P1242" t="s">
        <v>73</v>
      </c>
    </row>
    <row r="1243" spans="1:24" ht="15.75" customHeight="1" x14ac:dyDescent="0.3">
      <c r="A1243">
        <v>621</v>
      </c>
      <c r="B1243" s="16" t="s">
        <v>702</v>
      </c>
      <c r="C1243" s="7">
        <f>Rankings!L630</f>
        <v>4.8176389156760324</v>
      </c>
      <c r="D1243" s="7">
        <f>Rankings!M630</f>
        <v>2.9380263152775772</v>
      </c>
      <c r="E1243" s="7">
        <f>Rankings!N630</f>
        <v>2.7085801250908195</v>
      </c>
      <c r="F1243" s="7">
        <f>Rankings!O630</f>
        <v>1.3716852644505737</v>
      </c>
      <c r="G1243" s="7">
        <f>Rankings!P630</f>
        <v>0.9108240498099236</v>
      </c>
      <c r="H1243" s="7">
        <f>Rankings!Q630</f>
        <v>1</v>
      </c>
      <c r="I1243" s="7">
        <f>Rankings!R630</f>
        <v>13.746754670304925</v>
      </c>
      <c r="K1243" s="7">
        <f>D1243</f>
        <v>2.9380263152775772</v>
      </c>
      <c r="L1243" s="7">
        <f>G1243</f>
        <v>0.9108240498099236</v>
      </c>
      <c r="M1243" s="7">
        <f>F1243</f>
        <v>1.3716852644505737</v>
      </c>
      <c r="N1243" s="7">
        <f>H1243</f>
        <v>1</v>
      </c>
      <c r="O1243" s="7">
        <f>E1243</f>
        <v>2.7085801250908195</v>
      </c>
      <c r="P1243" s="7">
        <f>C1243</f>
        <v>4.8176389156760324</v>
      </c>
      <c r="R1243" s="7">
        <f t="shared" ref="R1243:W1243" si="1062">K1243/$I1243</f>
        <v>0.2137250853559029</v>
      </c>
      <c r="S1243" s="7">
        <f t="shared" si="1062"/>
        <v>6.625738740922188E-2</v>
      </c>
      <c r="T1243" s="7">
        <f t="shared" si="1062"/>
        <v>9.9782479381378783E-2</v>
      </c>
      <c r="U1243" s="7">
        <f t="shared" si="1062"/>
        <v>7.2744442159875855E-2</v>
      </c>
      <c r="V1243" s="7">
        <f t="shared" si="1062"/>
        <v>0.19703415024505844</v>
      </c>
      <c r="W1243" s="7">
        <f t="shared" si="1062"/>
        <v>0.35045645544856219</v>
      </c>
      <c r="X1243" s="7">
        <f>SUM(R1243:W1243)</f>
        <v>1</v>
      </c>
    </row>
    <row r="1244" spans="1:24" ht="15.75" customHeight="1" x14ac:dyDescent="0.3">
      <c r="C1244" t="s">
        <v>73</v>
      </c>
      <c r="D1244" t="s">
        <v>68</v>
      </c>
      <c r="E1244" t="s">
        <v>72</v>
      </c>
      <c r="F1244" t="s">
        <v>70</v>
      </c>
      <c r="G1244" t="s">
        <v>71</v>
      </c>
      <c r="H1244" t="s">
        <v>69</v>
      </c>
      <c r="K1244" t="s">
        <v>68</v>
      </c>
      <c r="L1244" t="s">
        <v>69</v>
      </c>
      <c r="M1244" t="s">
        <v>70</v>
      </c>
      <c r="N1244" t="s">
        <v>71</v>
      </c>
      <c r="O1244" t="s">
        <v>72</v>
      </c>
      <c r="P1244" t="s">
        <v>73</v>
      </c>
    </row>
    <row r="1245" spans="1:24" ht="15.75" customHeight="1" x14ac:dyDescent="0.3">
      <c r="A1245">
        <v>622</v>
      </c>
      <c r="B1245" s="16" t="s">
        <v>703</v>
      </c>
      <c r="C1245" s="7">
        <f>Rankings!L631</f>
        <v>7.2399647509841119</v>
      </c>
      <c r="D1245" s="7">
        <f>Rankings!M631</f>
        <v>4.4152763070016272</v>
      </c>
      <c r="E1245" s="7">
        <f>Rankings!N631</f>
        <v>4.0704637632897196</v>
      </c>
      <c r="F1245" s="7">
        <f>Rankings!O631</f>
        <v>2.0613734524088798</v>
      </c>
      <c r="G1245" s="7">
        <f>Rankings!P631</f>
        <v>1.4376356077157479</v>
      </c>
      <c r="H1245" s="7">
        <f>Rankings!Q631</f>
        <v>1</v>
      </c>
      <c r="I1245" s="7">
        <f>Rankings!R631</f>
        <v>20.224713881400085</v>
      </c>
      <c r="K1245" s="7">
        <f>D1245</f>
        <v>4.4152763070016272</v>
      </c>
      <c r="L1245" s="7">
        <f>H1245</f>
        <v>1</v>
      </c>
      <c r="M1245" s="7">
        <f t="shared" ref="M1245:N1245" si="1063">F1245</f>
        <v>2.0613734524088798</v>
      </c>
      <c r="N1245" s="7">
        <f t="shared" si="1063"/>
        <v>1.4376356077157479</v>
      </c>
      <c r="O1245" s="7">
        <f>E1245</f>
        <v>4.0704637632897196</v>
      </c>
      <c r="P1245" s="7">
        <f>C1245</f>
        <v>7.2399647509841119</v>
      </c>
      <c r="R1245" s="7">
        <f t="shared" ref="R1245:W1245" si="1064">K1245/$I1245</f>
        <v>0.21831094041148302</v>
      </c>
      <c r="S1245" s="7">
        <f t="shared" si="1064"/>
        <v>4.9444457205382902E-2</v>
      </c>
      <c r="T1245" s="7">
        <f t="shared" si="1064"/>
        <v>0.10192349145194327</v>
      </c>
      <c r="U1245" s="7">
        <f t="shared" si="1064"/>
        <v>7.1083112282635932E-2</v>
      </c>
      <c r="V1245" s="7">
        <f t="shared" si="1064"/>
        <v>0.20126187135004037</v>
      </c>
      <c r="W1245" s="7">
        <f t="shared" si="1064"/>
        <v>0.35797612729851458</v>
      </c>
      <c r="X1245" s="7">
        <f>SUM(R1245:W1245)</f>
        <v>1</v>
      </c>
    </row>
    <row r="1246" spans="1:24" ht="15.75" customHeight="1" x14ac:dyDescent="0.3">
      <c r="C1246" t="s">
        <v>73</v>
      </c>
      <c r="D1246" t="s">
        <v>68</v>
      </c>
      <c r="E1246" t="s">
        <v>72</v>
      </c>
      <c r="F1246" t="s">
        <v>71</v>
      </c>
      <c r="G1246" t="s">
        <v>69</v>
      </c>
      <c r="H1246" t="s">
        <v>70</v>
      </c>
      <c r="K1246" t="s">
        <v>68</v>
      </c>
      <c r="L1246" t="s">
        <v>69</v>
      </c>
      <c r="M1246" t="s">
        <v>70</v>
      </c>
      <c r="N1246" t="s">
        <v>71</v>
      </c>
      <c r="O1246" t="s">
        <v>72</v>
      </c>
      <c r="P1246" t="s">
        <v>73</v>
      </c>
    </row>
    <row r="1247" spans="1:24" ht="15.75" customHeight="1" x14ac:dyDescent="0.3">
      <c r="A1247">
        <v>623</v>
      </c>
      <c r="B1247" s="16" t="s">
        <v>704</v>
      </c>
      <c r="C1247" s="7">
        <f>Rankings!L632</f>
        <v>4.3613386147006956</v>
      </c>
      <c r="D1247" s="7">
        <f>Rankings!M632</f>
        <v>2.6597525975084046</v>
      </c>
      <c r="E1247" s="7">
        <f>Rankings!N632</f>
        <v>2.4520382904022138</v>
      </c>
      <c r="F1247" s="7">
        <f>Rankings!O632</f>
        <v>1.9553629987092347</v>
      </c>
      <c r="G1247" s="7">
        <f>Rankings!P632</f>
        <v>1.3601242124324544</v>
      </c>
      <c r="H1247" s="7">
        <f>Rankings!Q632</f>
        <v>1</v>
      </c>
      <c r="I1247" s="7">
        <f>Rankings!R632</f>
        <v>13.788616713753004</v>
      </c>
      <c r="K1247" s="7">
        <f>D1247</f>
        <v>2.6597525975084046</v>
      </c>
      <c r="L1247" s="7">
        <f t="shared" ref="L1247:M1247" si="1065">G1247</f>
        <v>1.3601242124324544</v>
      </c>
      <c r="M1247" s="7">
        <f t="shared" si="1065"/>
        <v>1</v>
      </c>
      <c r="N1247" s="7">
        <f>F1247</f>
        <v>1.9553629987092347</v>
      </c>
      <c r="O1247" s="7">
        <f>E1247</f>
        <v>2.4520382904022138</v>
      </c>
      <c r="P1247" s="7">
        <f>C1247</f>
        <v>4.3613386147006956</v>
      </c>
      <c r="R1247" s="7">
        <f t="shared" ref="R1247:W1247" si="1066">K1247/$I1247</f>
        <v>0.19289480973501291</v>
      </c>
      <c r="S1247" s="7">
        <f t="shared" si="1066"/>
        <v>9.8641092189896251E-2</v>
      </c>
      <c r="T1247" s="7">
        <f t="shared" si="1066"/>
        <v>7.2523591072234439E-2</v>
      </c>
      <c r="U1247" s="7">
        <f t="shared" si="1066"/>
        <v>0.14180994651616663</v>
      </c>
      <c r="V1247" s="7">
        <f t="shared" si="1066"/>
        <v>0.17783062226659099</v>
      </c>
      <c r="W1247" s="7">
        <f t="shared" si="1066"/>
        <v>0.31629993822009872</v>
      </c>
      <c r="X1247" s="7">
        <f>SUM(R1247:W1247)</f>
        <v>1</v>
      </c>
    </row>
    <row r="1248" spans="1:24" ht="15.75" customHeight="1" x14ac:dyDescent="0.3">
      <c r="C1248" t="s">
        <v>73</v>
      </c>
      <c r="D1248" t="s">
        <v>68</v>
      </c>
      <c r="E1248" t="s">
        <v>72</v>
      </c>
      <c r="F1248" t="s">
        <v>71</v>
      </c>
      <c r="G1248" t="s">
        <v>70</v>
      </c>
      <c r="H1248" t="s">
        <v>69</v>
      </c>
      <c r="K1248" t="s">
        <v>68</v>
      </c>
      <c r="L1248" t="s">
        <v>69</v>
      </c>
      <c r="M1248" t="s">
        <v>70</v>
      </c>
      <c r="N1248" t="s">
        <v>71</v>
      </c>
      <c r="O1248" t="s">
        <v>72</v>
      </c>
      <c r="P1248" t="s">
        <v>73</v>
      </c>
    </row>
    <row r="1249" spans="1:24" ht="15.75" customHeight="1" x14ac:dyDescent="0.3">
      <c r="A1249">
        <v>624</v>
      </c>
      <c r="B1249" s="16" t="s">
        <v>705</v>
      </c>
      <c r="C1249" s="7">
        <f>Rankings!L633</f>
        <v>7.5203720278597768</v>
      </c>
      <c r="D1249" s="7">
        <f>Rankings!M633</f>
        <v>4.5862820575105196</v>
      </c>
      <c r="E1249" s="7">
        <f>Rankings!N633</f>
        <v>4.2281147600476805</v>
      </c>
      <c r="F1249" s="7">
        <f>Rankings!O633</f>
        <v>3.3716843609067255</v>
      </c>
      <c r="G1249" s="7">
        <f>Rankings!P633</f>
        <v>1.5059827029565431</v>
      </c>
      <c r="H1249" s="7">
        <f>Rankings!Q633</f>
        <v>1</v>
      </c>
      <c r="I1249" s="7">
        <f>Rankings!R633</f>
        <v>22.212435909281247</v>
      </c>
      <c r="K1249" s="7">
        <f>D1249</f>
        <v>4.5862820575105196</v>
      </c>
      <c r="L1249" s="7">
        <f>H1249</f>
        <v>1</v>
      </c>
      <c r="M1249" s="7">
        <f>G1249</f>
        <v>1.5059827029565431</v>
      </c>
      <c r="N1249" s="7">
        <f>F1249</f>
        <v>3.3716843609067255</v>
      </c>
      <c r="O1249" s="7">
        <f>E1249</f>
        <v>4.2281147600476805</v>
      </c>
      <c r="P1249" s="7">
        <f>C1249</f>
        <v>7.5203720278597768</v>
      </c>
      <c r="R1249" s="7">
        <f t="shared" ref="R1249:W1249" si="1067">K1249/$I1249</f>
        <v>0.20647362028377028</v>
      </c>
      <c r="S1249" s="7">
        <f t="shared" si="1067"/>
        <v>4.5019826014766798E-2</v>
      </c>
      <c r="T1249" s="7">
        <f t="shared" si="1067"/>
        <v>6.7799079268351797E-2</v>
      </c>
      <c r="U1249" s="7">
        <f t="shared" si="1067"/>
        <v>0.15179264330473097</v>
      </c>
      <c r="V1249" s="7">
        <f t="shared" si="1067"/>
        <v>0.19034899086781404</v>
      </c>
      <c r="W1249" s="7">
        <f t="shared" si="1067"/>
        <v>0.33856584026056608</v>
      </c>
      <c r="X1249" s="7">
        <f>SUM(R1249:W1249)</f>
        <v>1</v>
      </c>
    </row>
    <row r="1250" spans="1:24" ht="15.75" customHeight="1" x14ac:dyDescent="0.3">
      <c r="C1250" t="s">
        <v>73</v>
      </c>
      <c r="D1250" t="s">
        <v>69</v>
      </c>
      <c r="E1250" t="s">
        <v>68</v>
      </c>
      <c r="F1250" t="s">
        <v>70</v>
      </c>
      <c r="G1250" t="s">
        <v>71</v>
      </c>
      <c r="H1250" t="s">
        <v>72</v>
      </c>
      <c r="K1250" t="s">
        <v>68</v>
      </c>
      <c r="L1250" t="s">
        <v>69</v>
      </c>
      <c r="M1250" t="s">
        <v>70</v>
      </c>
      <c r="N1250" t="s">
        <v>71</v>
      </c>
      <c r="O1250" t="s">
        <v>72</v>
      </c>
      <c r="P1250" t="s">
        <v>73</v>
      </c>
    </row>
    <row r="1251" spans="1:24" ht="15.75" customHeight="1" x14ac:dyDescent="0.3">
      <c r="A1251">
        <v>625</v>
      </c>
      <c r="B1251" s="16" t="s">
        <v>706</v>
      </c>
      <c r="C1251" s="7">
        <f>Rankings!L634</f>
        <v>6.5200193662058599</v>
      </c>
      <c r="D1251" s="7">
        <f>Rankings!M634</f>
        <v>5.2498917711765172</v>
      </c>
      <c r="E1251" s="7">
        <f>Rankings!N634</f>
        <v>3.0102422899258681</v>
      </c>
      <c r="F1251" s="7">
        <f>Rankings!O634</f>
        <v>2.7166353008444242</v>
      </c>
      <c r="G1251" s="7">
        <f>Rankings!P634</f>
        <v>1.89462595295753</v>
      </c>
      <c r="H1251" s="7">
        <f>Rankings!Q634</f>
        <v>1</v>
      </c>
      <c r="I1251" s="7">
        <f>Rankings!R634</f>
        <v>20.391414681110199</v>
      </c>
      <c r="K1251" s="7">
        <f>E1251</f>
        <v>3.0102422899258681</v>
      </c>
      <c r="L1251" s="7">
        <f>D1251</f>
        <v>5.2498917711765172</v>
      </c>
      <c r="M1251" s="7">
        <f t="shared" ref="M1251:O1251" si="1068">F1251</f>
        <v>2.7166353008444242</v>
      </c>
      <c r="N1251" s="7">
        <f t="shared" si="1068"/>
        <v>1.89462595295753</v>
      </c>
      <c r="O1251" s="7">
        <f t="shared" si="1068"/>
        <v>1</v>
      </c>
      <c r="P1251" s="7">
        <f>C1251</f>
        <v>6.5200193662058599</v>
      </c>
      <c r="R1251" s="7">
        <f t="shared" ref="R1251:W1251" si="1069">K1251/$I1251</f>
        <v>0.14762302356169715</v>
      </c>
      <c r="S1251" s="7">
        <f t="shared" si="1069"/>
        <v>0.25745598592724467</v>
      </c>
      <c r="T1251" s="7">
        <f t="shared" si="1069"/>
        <v>0.13322446447823003</v>
      </c>
      <c r="U1251" s="7">
        <f t="shared" si="1069"/>
        <v>9.2912923531128844E-2</v>
      </c>
      <c r="V1251" s="7">
        <f t="shared" si="1069"/>
        <v>4.9040246380078797E-2</v>
      </c>
      <c r="W1251" s="7">
        <f t="shared" si="1069"/>
        <v>0.31974335612162058</v>
      </c>
      <c r="X1251" s="7">
        <f>SUM(R1251:W1251)</f>
        <v>1</v>
      </c>
    </row>
    <row r="1252" spans="1:24" ht="15.75" customHeight="1" x14ac:dyDescent="0.3">
      <c r="C1252" t="s">
        <v>73</v>
      </c>
      <c r="D1252" t="s">
        <v>69</v>
      </c>
      <c r="E1252" t="s">
        <v>68</v>
      </c>
      <c r="F1252" t="s">
        <v>70</v>
      </c>
      <c r="G1252" t="s">
        <v>72</v>
      </c>
      <c r="H1252" t="s">
        <v>71</v>
      </c>
      <c r="K1252" t="s">
        <v>68</v>
      </c>
      <c r="L1252" t="s">
        <v>69</v>
      </c>
      <c r="M1252" t="s">
        <v>70</v>
      </c>
      <c r="N1252" t="s">
        <v>71</v>
      </c>
      <c r="O1252" t="s">
        <v>72</v>
      </c>
      <c r="P1252" t="s">
        <v>73</v>
      </c>
    </row>
    <row r="1253" spans="1:24" ht="15.75" customHeight="1" x14ac:dyDescent="0.3">
      <c r="A1253">
        <v>626</v>
      </c>
      <c r="B1253" s="16" t="s">
        <v>707</v>
      </c>
      <c r="C1253" s="7">
        <f>Rankings!L635</f>
        <v>6.7460668913432027</v>
      </c>
      <c r="D1253" s="7">
        <f>Rankings!M635</f>
        <v>5.4319042738178913</v>
      </c>
      <c r="E1253" s="7">
        <f>Rankings!N635</f>
        <v>3.114606676207972</v>
      </c>
      <c r="F1253" s="7">
        <f>Rankings!O635</f>
        <v>2.8108204024469634</v>
      </c>
      <c r="G1253" s="7">
        <f>Rankings!P635</f>
        <v>1.25400669441983</v>
      </c>
      <c r="H1253" s="7">
        <f>Rankings!Q635</f>
        <v>1</v>
      </c>
      <c r="I1253" s="7">
        <f>Rankings!R635</f>
        <v>20.357404938235856</v>
      </c>
      <c r="K1253" s="7">
        <f>E1253</f>
        <v>3.114606676207972</v>
      </c>
      <c r="L1253" s="7">
        <f>D1253</f>
        <v>5.4319042738178913</v>
      </c>
      <c r="M1253" s="7">
        <f>F1253</f>
        <v>2.8108204024469634</v>
      </c>
      <c r="N1253" s="7">
        <f>H1253</f>
        <v>1</v>
      </c>
      <c r="O1253" s="7">
        <f>G1253</f>
        <v>1.25400669441983</v>
      </c>
      <c r="P1253" s="7">
        <f>C1253</f>
        <v>6.7460668913432027</v>
      </c>
      <c r="R1253" s="7">
        <f t="shared" ref="R1253:W1253" si="1070">K1253/$I1253</f>
        <v>0.15299625299283748</v>
      </c>
      <c r="S1253" s="7">
        <f t="shared" si="1070"/>
        <v>0.26682695020795771</v>
      </c>
      <c r="T1253" s="7">
        <f t="shared" si="1070"/>
        <v>0.13807361060876677</v>
      </c>
      <c r="U1253" s="7">
        <f t="shared" si="1070"/>
        <v>4.9122174610859735E-2</v>
      </c>
      <c r="V1253" s="7">
        <f t="shared" si="1070"/>
        <v>6.1599535806477923E-2</v>
      </c>
      <c r="W1253" s="7">
        <f t="shared" si="1070"/>
        <v>0.33138147577310056</v>
      </c>
      <c r="X1253" s="7">
        <f>SUM(R1253:W1253)</f>
        <v>1.0000000000000002</v>
      </c>
    </row>
    <row r="1254" spans="1:24" ht="15.75" customHeight="1" x14ac:dyDescent="0.3">
      <c r="C1254" t="s">
        <v>73</v>
      </c>
      <c r="D1254" t="s">
        <v>69</v>
      </c>
      <c r="E1254" t="s">
        <v>68</v>
      </c>
      <c r="F1254" t="s">
        <v>71</v>
      </c>
      <c r="G1254" t="s">
        <v>70</v>
      </c>
      <c r="H1254" t="s">
        <v>72</v>
      </c>
      <c r="K1254" t="s">
        <v>68</v>
      </c>
      <c r="L1254" t="s">
        <v>69</v>
      </c>
      <c r="M1254" t="s">
        <v>70</v>
      </c>
      <c r="N1254" t="s">
        <v>71</v>
      </c>
      <c r="O1254" t="s">
        <v>72</v>
      </c>
      <c r="P1254" t="s">
        <v>73</v>
      </c>
    </row>
    <row r="1255" spans="1:24" ht="15.75" customHeight="1" x14ac:dyDescent="0.3">
      <c r="A1255">
        <v>627</v>
      </c>
      <c r="B1255" s="16" t="s">
        <v>708</v>
      </c>
      <c r="C1255" s="7">
        <f>Rankings!L636</f>
        <v>13.629003434829524</v>
      </c>
      <c r="D1255" s="7">
        <f>Rankings!M636</f>
        <v>10.974015407485661</v>
      </c>
      <c r="E1255" s="7">
        <f>Rankings!N636</f>
        <v>6.292405007524235</v>
      </c>
      <c r="F1255" s="7">
        <f>Rankings!O636</f>
        <v>5.0183410161721573</v>
      </c>
      <c r="G1255" s="7">
        <f>Rankings!P636</f>
        <v>2.2414716085286912</v>
      </c>
      <c r="H1255" s="7">
        <f>Rankings!Q636</f>
        <v>1</v>
      </c>
      <c r="I1255" s="7">
        <f>Rankings!R636</f>
        <v>39.155236474540267</v>
      </c>
      <c r="K1255" s="7">
        <f>E1255</f>
        <v>6.292405007524235</v>
      </c>
      <c r="L1255" s="7">
        <f>D1255</f>
        <v>10.974015407485661</v>
      </c>
      <c r="M1255" s="7">
        <f>G1255</f>
        <v>2.2414716085286912</v>
      </c>
      <c r="N1255" s="7">
        <f>F1255</f>
        <v>5.0183410161721573</v>
      </c>
      <c r="O1255" s="7">
        <f>H1255</f>
        <v>1</v>
      </c>
      <c r="P1255" s="7">
        <f>C1255</f>
        <v>13.629003434829524</v>
      </c>
      <c r="R1255" s="7">
        <f t="shared" ref="R1255:W1255" si="1071">K1255/$I1255</f>
        <v>0.16070404814476646</v>
      </c>
      <c r="S1255" s="7">
        <f t="shared" si="1071"/>
        <v>0.28026941976512504</v>
      </c>
      <c r="T1255" s="7">
        <f t="shared" si="1071"/>
        <v>5.7245768646708418E-2</v>
      </c>
      <c r="U1255" s="7">
        <f t="shared" si="1071"/>
        <v>0.12816525880095783</v>
      </c>
      <c r="V1255" s="7">
        <f t="shared" si="1071"/>
        <v>2.5539368167275034E-2</v>
      </c>
      <c r="W1255" s="7">
        <f t="shared" si="1071"/>
        <v>0.34807613647516722</v>
      </c>
      <c r="X1255" s="7">
        <f>SUM(R1255:W1255)</f>
        <v>1</v>
      </c>
    </row>
    <row r="1256" spans="1:24" ht="15.75" customHeight="1" x14ac:dyDescent="0.3">
      <c r="C1256" t="s">
        <v>73</v>
      </c>
      <c r="D1256" t="s">
        <v>69</v>
      </c>
      <c r="E1256" t="s">
        <v>68</v>
      </c>
      <c r="F1256" t="s">
        <v>71</v>
      </c>
      <c r="G1256" t="s">
        <v>72</v>
      </c>
      <c r="H1256" t="s">
        <v>70</v>
      </c>
      <c r="K1256" t="s">
        <v>68</v>
      </c>
      <c r="L1256" t="s">
        <v>69</v>
      </c>
      <c r="M1256" t="s">
        <v>70</v>
      </c>
      <c r="N1256" t="s">
        <v>71</v>
      </c>
      <c r="O1256" t="s">
        <v>72</v>
      </c>
      <c r="P1256" t="s">
        <v>73</v>
      </c>
    </row>
    <row r="1257" spans="1:24" ht="15.75" customHeight="1" x14ac:dyDescent="0.3">
      <c r="A1257">
        <v>628</v>
      </c>
      <c r="B1257" s="16" t="s">
        <v>709</v>
      </c>
      <c r="C1257" s="7">
        <f>Rankings!L637</f>
        <v>10.160489403304515</v>
      </c>
      <c r="D1257" s="7">
        <f>Rankings!M637</f>
        <v>8.1811827102862011</v>
      </c>
      <c r="E1257" s="7">
        <f>Rankings!N637</f>
        <v>4.6910190246826335</v>
      </c>
      <c r="F1257" s="7">
        <f>Rankings!O637</f>
        <v>3.741198023817462</v>
      </c>
      <c r="G1257" s="7">
        <f>Rankings!P637</f>
        <v>1.9746367445127702</v>
      </c>
      <c r="H1257" s="7">
        <f>Rankings!Q637</f>
        <v>1</v>
      </c>
      <c r="I1257" s="7">
        <f>Rankings!R637</f>
        <v>29.748525906603582</v>
      </c>
      <c r="K1257" s="7">
        <f>E1257</f>
        <v>4.6910190246826335</v>
      </c>
      <c r="L1257" s="7">
        <f>D1257</f>
        <v>8.1811827102862011</v>
      </c>
      <c r="M1257" s="7">
        <f>H1257</f>
        <v>1</v>
      </c>
      <c r="N1257" s="7">
        <f t="shared" ref="N1257:O1257" si="1072">F1257</f>
        <v>3.741198023817462</v>
      </c>
      <c r="O1257" s="7">
        <f t="shared" si="1072"/>
        <v>1.9746367445127702</v>
      </c>
      <c r="P1257" s="7">
        <f>C1257</f>
        <v>10.160489403304515</v>
      </c>
      <c r="R1257" s="7">
        <f t="shared" ref="R1257:W1257" si="1073">K1257/$I1257</f>
        <v>0.15768912514893119</v>
      </c>
      <c r="S1257" s="7">
        <f t="shared" si="1073"/>
        <v>0.2750113647974114</v>
      </c>
      <c r="T1257" s="7">
        <f t="shared" si="1073"/>
        <v>3.3615110985315069E-2</v>
      </c>
      <c r="U1257" s="7">
        <f t="shared" si="1073"/>
        <v>0.1257607867886654</v>
      </c>
      <c r="V1257" s="7">
        <f t="shared" si="1073"/>
        <v>6.6377633322478008E-2</v>
      </c>
      <c r="W1257" s="7">
        <f t="shared" si="1073"/>
        <v>0.34154597895719896</v>
      </c>
      <c r="X1257" s="7">
        <f>SUM(R1257:W1257)</f>
        <v>1</v>
      </c>
    </row>
    <row r="1258" spans="1:24" ht="15.75" customHeight="1" x14ac:dyDescent="0.3">
      <c r="C1258" t="s">
        <v>73</v>
      </c>
      <c r="D1258" t="s">
        <v>69</v>
      </c>
      <c r="E1258" t="s">
        <v>68</v>
      </c>
      <c r="F1258" t="s">
        <v>72</v>
      </c>
      <c r="G1258" t="s">
        <v>70</v>
      </c>
      <c r="H1258" t="s">
        <v>71</v>
      </c>
      <c r="K1258" t="s">
        <v>68</v>
      </c>
      <c r="L1258" t="s">
        <v>69</v>
      </c>
      <c r="M1258" t="s">
        <v>70</v>
      </c>
      <c r="N1258" t="s">
        <v>71</v>
      </c>
      <c r="O1258" t="s">
        <v>72</v>
      </c>
      <c r="P1258" t="s">
        <v>73</v>
      </c>
    </row>
    <row r="1259" spans="1:24" ht="15.75" customHeight="1" x14ac:dyDescent="0.3">
      <c r="A1259">
        <v>629</v>
      </c>
      <c r="B1259" s="16" t="s">
        <v>710</v>
      </c>
      <c r="C1259" s="7">
        <f>Rankings!L638</f>
        <v>6.6520652239441445</v>
      </c>
      <c r="D1259" s="7">
        <f>Rankings!M638</f>
        <v>5.356214532355918</v>
      </c>
      <c r="E1259" s="7">
        <f>Rankings!N638</f>
        <v>3.0712068366315979</v>
      </c>
      <c r="F1259" s="7">
        <f>Rankings!O638</f>
        <v>2.8313598671622078</v>
      </c>
      <c r="G1259" s="7">
        <f>Rankings!P638</f>
        <v>1.4338636587362954</v>
      </c>
      <c r="H1259" s="7">
        <f>Rankings!Q638</f>
        <v>1</v>
      </c>
      <c r="I1259" s="7">
        <f>Rankings!R638</f>
        <v>20.344710118830164</v>
      </c>
      <c r="K1259" s="7">
        <f>E1259</f>
        <v>3.0712068366315979</v>
      </c>
      <c r="L1259" s="7">
        <f>D1259</f>
        <v>5.356214532355918</v>
      </c>
      <c r="M1259" s="7">
        <f t="shared" ref="M1259:N1259" si="1074">G1259</f>
        <v>1.4338636587362954</v>
      </c>
      <c r="N1259" s="7">
        <f t="shared" si="1074"/>
        <v>1</v>
      </c>
      <c r="O1259" s="7">
        <f>F1259</f>
        <v>2.8313598671622078</v>
      </c>
      <c r="P1259" s="7">
        <f>C1259</f>
        <v>6.6520652239441445</v>
      </c>
      <c r="R1259" s="7">
        <f t="shared" ref="R1259:W1259" si="1075">K1259/$I1259</f>
        <v>0.15095849578063167</v>
      </c>
      <c r="S1259" s="7">
        <f t="shared" si="1075"/>
        <v>0.26327308185130849</v>
      </c>
      <c r="T1259" s="7">
        <f t="shared" si="1075"/>
        <v>7.0478451172876364E-2</v>
      </c>
      <c r="U1259" s="7">
        <f t="shared" si="1075"/>
        <v>4.9152826172462603E-2</v>
      </c>
      <c r="V1259" s="7">
        <f t="shared" si="1075"/>
        <v>0.1391693393823108</v>
      </c>
      <c r="W1259" s="7">
        <f t="shared" si="1075"/>
        <v>0.32696780564041</v>
      </c>
      <c r="X1259" s="7">
        <f>SUM(R1259:W1259)</f>
        <v>1</v>
      </c>
    </row>
    <row r="1260" spans="1:24" ht="15.75" customHeight="1" x14ac:dyDescent="0.3">
      <c r="C1260" t="s">
        <v>73</v>
      </c>
      <c r="D1260" t="s">
        <v>69</v>
      </c>
      <c r="E1260" t="s">
        <v>68</v>
      </c>
      <c r="F1260" t="s">
        <v>72</v>
      </c>
      <c r="G1260" t="s">
        <v>71</v>
      </c>
      <c r="H1260" t="s">
        <v>70</v>
      </c>
      <c r="K1260" t="s">
        <v>68</v>
      </c>
      <c r="L1260" t="s">
        <v>69</v>
      </c>
      <c r="M1260" t="s">
        <v>70</v>
      </c>
      <c r="N1260" t="s">
        <v>71</v>
      </c>
      <c r="O1260" t="s">
        <v>72</v>
      </c>
      <c r="P1260" t="s">
        <v>73</v>
      </c>
    </row>
    <row r="1261" spans="1:24" ht="15.75" customHeight="1" x14ac:dyDescent="0.3">
      <c r="A1261">
        <v>630</v>
      </c>
      <c r="B1261" s="16" t="s">
        <v>711</v>
      </c>
      <c r="C1261" s="7">
        <f>Rankings!L639</f>
        <v>6.5961148617003547</v>
      </c>
      <c r="D1261" s="7">
        <f>Rankings!M639</f>
        <v>5.3111635394308845</v>
      </c>
      <c r="E1261" s="7">
        <f>Rankings!N639</f>
        <v>3.045374989039872</v>
      </c>
      <c r="F1261" s="7">
        <f>Rankings!O639</f>
        <v>2.8075453667210462</v>
      </c>
      <c r="G1261" s="7">
        <f>Rankings!P639</f>
        <v>2.2388599512381115</v>
      </c>
      <c r="H1261" s="7">
        <f>Rankings!Q639</f>
        <v>1</v>
      </c>
      <c r="I1261" s="7">
        <f>Rankings!R639</f>
        <v>20.999058708130271</v>
      </c>
      <c r="K1261" s="7">
        <f>E1261</f>
        <v>3.045374989039872</v>
      </c>
      <c r="L1261" s="7">
        <f>D1261</f>
        <v>5.3111635394308845</v>
      </c>
      <c r="M1261" s="7">
        <f>H1261</f>
        <v>1</v>
      </c>
      <c r="N1261" s="7">
        <f>G1261</f>
        <v>2.2388599512381115</v>
      </c>
      <c r="O1261" s="7">
        <f>F1261</f>
        <v>2.8075453667210462</v>
      </c>
      <c r="P1261" s="7">
        <f>C1261</f>
        <v>6.5961148617003547</v>
      </c>
      <c r="R1261" s="7">
        <f t="shared" ref="R1261:W1261" si="1076">K1261/$I1261</f>
        <v>0.14502435710895864</v>
      </c>
      <c r="S1261" s="7">
        <f t="shared" si="1076"/>
        <v>0.25292388641089636</v>
      </c>
      <c r="T1261" s="7">
        <f t="shared" si="1076"/>
        <v>4.7621182163409395E-2</v>
      </c>
      <c r="U1261" s="7">
        <f t="shared" si="1076"/>
        <v>0.10661715757627199</v>
      </c>
      <c r="V1261" s="7">
        <f t="shared" si="1076"/>
        <v>0.13369862934065899</v>
      </c>
      <c r="W1261" s="7">
        <f t="shared" si="1076"/>
        <v>0.31411478739980458</v>
      </c>
      <c r="X1261" s="7">
        <f>SUM(R1261:W1261)</f>
        <v>1</v>
      </c>
    </row>
    <row r="1262" spans="1:24" ht="15.75" customHeight="1" x14ac:dyDescent="0.3">
      <c r="C1262" t="s">
        <v>73</v>
      </c>
      <c r="D1262" t="s">
        <v>69</v>
      </c>
      <c r="E1262" t="s">
        <v>70</v>
      </c>
      <c r="F1262" t="s">
        <v>68</v>
      </c>
      <c r="G1262" t="s">
        <v>71</v>
      </c>
      <c r="H1262" t="s">
        <v>72</v>
      </c>
      <c r="K1262" t="s">
        <v>68</v>
      </c>
      <c r="L1262" t="s">
        <v>69</v>
      </c>
      <c r="M1262" t="s">
        <v>70</v>
      </c>
      <c r="N1262" t="s">
        <v>71</v>
      </c>
      <c r="O1262" t="s">
        <v>72</v>
      </c>
      <c r="P1262" t="s">
        <v>73</v>
      </c>
    </row>
    <row r="1263" spans="1:24" ht="15.75" customHeight="1" x14ac:dyDescent="0.3">
      <c r="A1263">
        <v>631</v>
      </c>
      <c r="B1263" s="16" t="s">
        <v>712</v>
      </c>
      <c r="C1263" s="7">
        <f>Rankings!L640</f>
        <v>6.8306762091971764</v>
      </c>
      <c r="D1263" s="7">
        <f>Rankings!M640</f>
        <v>5.5000313355055805</v>
      </c>
      <c r="E1263" s="7">
        <f>Rankings!N640</f>
        <v>4.0437713594328946</v>
      </c>
      <c r="F1263" s="7">
        <f>Rankings!O640</f>
        <v>2.3756364494473714</v>
      </c>
      <c r="G1263" s="7">
        <f>Rankings!P640</f>
        <v>1.89462595295753</v>
      </c>
      <c r="H1263" s="7">
        <f>Rankings!Q640</f>
        <v>1</v>
      </c>
      <c r="I1263" s="7">
        <f>Rankings!R640</f>
        <v>21.644741306540553</v>
      </c>
      <c r="K1263" s="7">
        <f>F1263</f>
        <v>2.3756364494473714</v>
      </c>
      <c r="L1263" s="7">
        <f t="shared" ref="L1263:M1263" si="1077">D1263</f>
        <v>5.5000313355055805</v>
      </c>
      <c r="M1263" s="7">
        <f t="shared" si="1077"/>
        <v>4.0437713594328946</v>
      </c>
      <c r="N1263" s="7">
        <f t="shared" ref="N1263:O1263" si="1078">G1263</f>
        <v>1.89462595295753</v>
      </c>
      <c r="O1263" s="7">
        <f t="shared" si="1078"/>
        <v>1</v>
      </c>
      <c r="P1263" s="7">
        <f>C1263</f>
        <v>6.8306762091971764</v>
      </c>
      <c r="R1263" s="7">
        <f t="shared" ref="R1263:W1263" si="1079">K1263/$I1263</f>
        <v>0.10975582548216954</v>
      </c>
      <c r="S1263" s="7">
        <f t="shared" si="1079"/>
        <v>0.2541047387729044</v>
      </c>
      <c r="T1263" s="7">
        <f t="shared" si="1079"/>
        <v>0.18682465649108765</v>
      </c>
      <c r="U1263" s="7">
        <f t="shared" si="1079"/>
        <v>8.753285272044424E-2</v>
      </c>
      <c r="V1263" s="7">
        <f t="shared" si="1079"/>
        <v>4.6200598373417501E-2</v>
      </c>
      <c r="W1263" s="7">
        <f t="shared" si="1079"/>
        <v>0.31558132815997669</v>
      </c>
      <c r="X1263" s="7">
        <f>SUM(R1263:W1263)</f>
        <v>1</v>
      </c>
    </row>
    <row r="1264" spans="1:24" ht="15.75" customHeight="1" x14ac:dyDescent="0.3">
      <c r="C1264" t="s">
        <v>73</v>
      </c>
      <c r="D1264" t="s">
        <v>69</v>
      </c>
      <c r="E1264" t="s">
        <v>70</v>
      </c>
      <c r="F1264" t="s">
        <v>68</v>
      </c>
      <c r="G1264" t="s">
        <v>72</v>
      </c>
      <c r="H1264" t="s">
        <v>71</v>
      </c>
      <c r="K1264" t="s">
        <v>68</v>
      </c>
      <c r="L1264" t="s">
        <v>69</v>
      </c>
      <c r="M1264" t="s">
        <v>70</v>
      </c>
      <c r="N1264" t="s">
        <v>71</v>
      </c>
      <c r="O1264" t="s">
        <v>72</v>
      </c>
      <c r="P1264" t="s">
        <v>73</v>
      </c>
    </row>
    <row r="1265" spans="1:24" ht="15.75" customHeight="1" x14ac:dyDescent="0.3">
      <c r="A1265">
        <v>632</v>
      </c>
      <c r="B1265" s="16" t="s">
        <v>713</v>
      </c>
      <c r="C1265" s="7">
        <f>Rankings!L641</f>
        <v>3.9110878227574282</v>
      </c>
      <c r="D1265" s="7">
        <f>Rankings!M641</f>
        <v>3.1491912253308811</v>
      </c>
      <c r="E1265" s="7">
        <f>Rankings!N641</f>
        <v>2.3153703143765436</v>
      </c>
      <c r="F1265" s="7">
        <f>Rankings!O641</f>
        <v>1.3602346977334379</v>
      </c>
      <c r="G1265" s="7">
        <f>Rankings!P641</f>
        <v>1.25400669441983</v>
      </c>
      <c r="H1265" s="7">
        <f>Rankings!Q641</f>
        <v>1</v>
      </c>
      <c r="I1265" s="7">
        <f>Rankings!R641</f>
        <v>12.989890754618122</v>
      </c>
      <c r="K1265" s="7">
        <f>F1265</f>
        <v>1.3602346977334379</v>
      </c>
      <c r="L1265" s="7">
        <f t="shared" ref="L1265:M1265" si="1080">D1265</f>
        <v>3.1491912253308811</v>
      </c>
      <c r="M1265" s="7">
        <f t="shared" si="1080"/>
        <v>2.3153703143765436</v>
      </c>
      <c r="N1265" s="7">
        <f>H1265</f>
        <v>1</v>
      </c>
      <c r="O1265" s="7">
        <f>G1265</f>
        <v>1.25400669441983</v>
      </c>
      <c r="P1265" s="7">
        <f>C1265</f>
        <v>3.9110878227574282</v>
      </c>
      <c r="R1265" s="7">
        <f t="shared" ref="R1265:W1265" si="1081">K1265/$I1265</f>
        <v>0.10471486815621231</v>
      </c>
      <c r="S1265" s="7">
        <f t="shared" si="1081"/>
        <v>0.24243400385883088</v>
      </c>
      <c r="T1265" s="7">
        <f t="shared" si="1081"/>
        <v>0.17824401745283278</v>
      </c>
      <c r="U1265" s="7">
        <f t="shared" si="1081"/>
        <v>7.6982941495830778E-2</v>
      </c>
      <c r="V1265" s="7">
        <f t="shared" si="1081"/>
        <v>9.6537123991901924E-2</v>
      </c>
      <c r="W1265" s="7">
        <f t="shared" si="1081"/>
        <v>0.30108704504439127</v>
      </c>
      <c r="X1265" s="7">
        <f>SUM(R1265:W1265)</f>
        <v>1</v>
      </c>
    </row>
    <row r="1266" spans="1:24" ht="15.75" customHeight="1" x14ac:dyDescent="0.3">
      <c r="C1266" t="s">
        <v>73</v>
      </c>
      <c r="D1266" t="s">
        <v>69</v>
      </c>
      <c r="E1266" t="s">
        <v>70</v>
      </c>
      <c r="F1266" t="s">
        <v>71</v>
      </c>
      <c r="G1266" t="s">
        <v>68</v>
      </c>
      <c r="H1266" t="s">
        <v>72</v>
      </c>
      <c r="K1266" t="s">
        <v>68</v>
      </c>
      <c r="L1266" t="s">
        <v>69</v>
      </c>
      <c r="M1266" t="s">
        <v>70</v>
      </c>
      <c r="N1266" t="s">
        <v>71</v>
      </c>
      <c r="O1266" t="s">
        <v>72</v>
      </c>
      <c r="P1266" t="s">
        <v>73</v>
      </c>
    </row>
    <row r="1267" spans="1:24" ht="15.75" customHeight="1" x14ac:dyDescent="0.3">
      <c r="A1267">
        <v>633</v>
      </c>
      <c r="B1267" s="16" t="s">
        <v>714</v>
      </c>
      <c r="C1267" s="7">
        <f>Rankings!L642</f>
        <v>7.6534403862927602</v>
      </c>
      <c r="D1267" s="7">
        <f>Rankings!M642</f>
        <v>6.1625175399701053</v>
      </c>
      <c r="E1267" s="7">
        <f>Rankings!N642</f>
        <v>4.5308490824885927</v>
      </c>
      <c r="F1267" s="7">
        <f>Rankings!O642</f>
        <v>3.1598883582011963</v>
      </c>
      <c r="G1267" s="7">
        <f>Rankings!P642</f>
        <v>1.0847108741813811</v>
      </c>
      <c r="H1267" s="7">
        <f>Rankings!Q642</f>
        <v>1</v>
      </c>
      <c r="I1267" s="7">
        <f>Rankings!R642</f>
        <v>23.591406241134038</v>
      </c>
      <c r="K1267" s="7">
        <f>G1267</f>
        <v>1.0847108741813811</v>
      </c>
      <c r="L1267" s="7">
        <f t="shared" ref="L1267:N1267" si="1082">D1267</f>
        <v>6.1625175399701053</v>
      </c>
      <c r="M1267" s="7">
        <f t="shared" si="1082"/>
        <v>4.5308490824885927</v>
      </c>
      <c r="N1267" s="7">
        <f t="shared" si="1082"/>
        <v>3.1598883582011963</v>
      </c>
      <c r="O1267" s="7">
        <f>H1267</f>
        <v>1</v>
      </c>
      <c r="P1267" s="7">
        <f>C1267</f>
        <v>7.6534403862927602</v>
      </c>
      <c r="R1267" s="7">
        <f t="shared" ref="R1267:W1267" si="1083">K1267/$I1267</f>
        <v>4.5979068101929269E-2</v>
      </c>
      <c r="S1267" s="7">
        <f t="shared" si="1083"/>
        <v>0.26121874537623463</v>
      </c>
      <c r="T1267" s="7">
        <f t="shared" si="1083"/>
        <v>0.19205506599214897</v>
      </c>
      <c r="U1267" s="7">
        <f t="shared" si="1083"/>
        <v>0.13394234857825502</v>
      </c>
      <c r="V1267" s="7">
        <f t="shared" si="1083"/>
        <v>4.238831673613408E-2</v>
      </c>
      <c r="W1267" s="7">
        <f t="shared" si="1083"/>
        <v>0.32441645521529788</v>
      </c>
      <c r="X1267" s="7">
        <f>SUM(R1267:W1267)</f>
        <v>0.99999999999999978</v>
      </c>
    </row>
    <row r="1268" spans="1:24" ht="15.75" customHeight="1" x14ac:dyDescent="0.3">
      <c r="C1268" t="s">
        <v>73</v>
      </c>
      <c r="D1268" t="s">
        <v>69</v>
      </c>
      <c r="E1268" t="s">
        <v>70</v>
      </c>
      <c r="F1268" t="s">
        <v>71</v>
      </c>
      <c r="G1268" t="s">
        <v>72</v>
      </c>
      <c r="H1268" t="s">
        <v>68</v>
      </c>
      <c r="K1268" t="s">
        <v>68</v>
      </c>
      <c r="L1268" t="s">
        <v>69</v>
      </c>
      <c r="M1268" t="s">
        <v>70</v>
      </c>
      <c r="N1268" t="s">
        <v>71</v>
      </c>
      <c r="O1268" t="s">
        <v>72</v>
      </c>
      <c r="P1268" t="s">
        <v>73</v>
      </c>
    </row>
    <row r="1269" spans="1:24" ht="15.75" customHeight="1" x14ac:dyDescent="0.3">
      <c r="A1269">
        <v>634</v>
      </c>
      <c r="B1269" s="16" t="s">
        <v>715</v>
      </c>
      <c r="C1269" s="7">
        <f>Rankings!L643</f>
        <v>7.0235037022543851</v>
      </c>
      <c r="D1269" s="7">
        <f>Rankings!M643</f>
        <v>5.6552952100739056</v>
      </c>
      <c r="E1269" s="7">
        <f>Rankings!N643</f>
        <v>4.1579255470792189</v>
      </c>
      <c r="F1269" s="7">
        <f>Rankings!O643</f>
        <v>2.899805376714629</v>
      </c>
      <c r="G1269" s="7">
        <f>Rankings!P643</f>
        <v>1.530542412441888</v>
      </c>
      <c r="H1269" s="7">
        <f>Rankings!Q643</f>
        <v>1</v>
      </c>
      <c r="I1269" s="7">
        <f>Rankings!R643</f>
        <v>22.267072248564027</v>
      </c>
      <c r="K1269" s="7">
        <f>H1269</f>
        <v>1</v>
      </c>
      <c r="L1269" s="7">
        <f t="shared" ref="L1269:O1269" si="1084">D1269</f>
        <v>5.6552952100739056</v>
      </c>
      <c r="M1269" s="7">
        <f t="shared" si="1084"/>
        <v>4.1579255470792189</v>
      </c>
      <c r="N1269" s="7">
        <f t="shared" si="1084"/>
        <v>2.899805376714629</v>
      </c>
      <c r="O1269" s="7">
        <f t="shared" si="1084"/>
        <v>1.530542412441888</v>
      </c>
      <c r="P1269" s="7">
        <f>C1269</f>
        <v>7.0235037022543851</v>
      </c>
      <c r="R1269" s="7">
        <f t="shared" ref="R1269:W1269" si="1085">K1269/$I1269</f>
        <v>4.4909361627660259E-2</v>
      </c>
      <c r="S1269" s="7">
        <f t="shared" si="1085"/>
        <v>0.25397569770038392</v>
      </c>
      <c r="T1269" s="7">
        <f t="shared" si="1085"/>
        <v>0.18672978201466778</v>
      </c>
      <c r="U1269" s="7">
        <f t="shared" si="1085"/>
        <v>0.13022840831271087</v>
      </c>
      <c r="V1269" s="7">
        <f t="shared" si="1085"/>
        <v>6.8735682686824298E-2</v>
      </c>
      <c r="W1269" s="7">
        <f t="shared" si="1085"/>
        <v>0.31542106765775285</v>
      </c>
      <c r="X1269" s="7">
        <f>SUM(R1269:W1269)</f>
        <v>1</v>
      </c>
    </row>
    <row r="1270" spans="1:24" ht="15.75" customHeight="1" x14ac:dyDescent="0.3">
      <c r="C1270" t="s">
        <v>73</v>
      </c>
      <c r="D1270" t="s">
        <v>69</v>
      </c>
      <c r="E1270" t="s">
        <v>70</v>
      </c>
      <c r="F1270" t="s">
        <v>72</v>
      </c>
      <c r="G1270" t="s">
        <v>68</v>
      </c>
      <c r="H1270" t="s">
        <v>71</v>
      </c>
      <c r="K1270" t="s">
        <v>68</v>
      </c>
      <c r="L1270" t="s">
        <v>69</v>
      </c>
      <c r="M1270" t="s">
        <v>70</v>
      </c>
      <c r="N1270" t="s">
        <v>71</v>
      </c>
      <c r="O1270" t="s">
        <v>72</v>
      </c>
      <c r="P1270" t="s">
        <v>73</v>
      </c>
    </row>
    <row r="1271" spans="1:24" ht="15.75" customHeight="1" x14ac:dyDescent="0.3">
      <c r="A1271">
        <v>635</v>
      </c>
      <c r="B1271" s="16" t="s">
        <v>716</v>
      </c>
      <c r="C1271" s="7">
        <f>Rankings!L644</f>
        <v>7.2662814583233999</v>
      </c>
      <c r="D1271" s="7">
        <f>Rankings!M644</f>
        <v>5.8507788232695388</v>
      </c>
      <c r="E1271" s="7">
        <f>Rankings!N644</f>
        <v>4.3016503711862981</v>
      </c>
      <c r="F1271" s="7">
        <f>Rankings!O644</f>
        <v>1.9191188301554771</v>
      </c>
      <c r="G1271" s="7">
        <f>Rankings!P644</f>
        <v>1.2538815092968505</v>
      </c>
      <c r="H1271" s="7">
        <f>Rankings!Q644</f>
        <v>1</v>
      </c>
      <c r="I1271" s="7">
        <f>Rankings!R644</f>
        <v>21.591710992231562</v>
      </c>
      <c r="K1271" s="7">
        <f>G1271</f>
        <v>1.2538815092968505</v>
      </c>
      <c r="L1271" s="7">
        <f t="shared" ref="L1271:M1271" si="1086">D1271</f>
        <v>5.8507788232695388</v>
      </c>
      <c r="M1271" s="7">
        <f t="shared" si="1086"/>
        <v>4.3016503711862981</v>
      </c>
      <c r="N1271" s="7">
        <f>H1271</f>
        <v>1</v>
      </c>
      <c r="O1271" s="7">
        <f>F1271</f>
        <v>1.9191188301554771</v>
      </c>
      <c r="P1271" s="7">
        <f>C1271</f>
        <v>7.2662814583233999</v>
      </c>
      <c r="R1271" s="7">
        <f t="shared" ref="R1271:W1271" si="1087">K1271/$I1271</f>
        <v>5.8072355162033337E-2</v>
      </c>
      <c r="S1271" s="7">
        <f t="shared" si="1087"/>
        <v>0.27097337609671501</v>
      </c>
      <c r="T1271" s="7">
        <f t="shared" si="1087"/>
        <v>0.19922693355491744</v>
      </c>
      <c r="U1271" s="7">
        <f t="shared" si="1087"/>
        <v>4.6314069337061246E-2</v>
      </c>
      <c r="V1271" s="7">
        <f t="shared" si="1087"/>
        <v>8.8882202565880628E-2</v>
      </c>
      <c r="W1271" s="7">
        <f t="shared" si="1087"/>
        <v>0.33653106328339244</v>
      </c>
      <c r="X1271" s="7">
        <f>SUM(R1271:W1271)</f>
        <v>1</v>
      </c>
    </row>
    <row r="1272" spans="1:24" ht="15.75" customHeight="1" x14ac:dyDescent="0.3">
      <c r="C1272" t="s">
        <v>73</v>
      </c>
      <c r="D1272" t="s">
        <v>69</v>
      </c>
      <c r="E1272" t="s">
        <v>70</v>
      </c>
      <c r="F1272" t="s">
        <v>72</v>
      </c>
      <c r="G1272" t="s">
        <v>71</v>
      </c>
      <c r="H1272" t="s">
        <v>68</v>
      </c>
      <c r="K1272" t="s">
        <v>68</v>
      </c>
      <c r="L1272" t="s">
        <v>69</v>
      </c>
      <c r="M1272" t="s">
        <v>70</v>
      </c>
      <c r="N1272" t="s">
        <v>71</v>
      </c>
      <c r="O1272" t="s">
        <v>72</v>
      </c>
      <c r="P1272" t="s">
        <v>73</v>
      </c>
    </row>
    <row r="1273" spans="1:24" ht="15.75" customHeight="1" x14ac:dyDescent="0.3">
      <c r="A1273">
        <v>636</v>
      </c>
      <c r="B1273" s="16" t="s">
        <v>717</v>
      </c>
      <c r="C1273" s="7">
        <f>Rankings!L645</f>
        <v>13.831457586274176</v>
      </c>
      <c r="D1273" s="7">
        <f>Rankings!M645</f>
        <v>11.137030626308288</v>
      </c>
      <c r="E1273" s="7">
        <f>Rankings!N645</f>
        <v>8.188245253270475</v>
      </c>
      <c r="F1273" s="7">
        <f>Rankings!O645</f>
        <v>3.653066682671597</v>
      </c>
      <c r="G1273" s="7">
        <f>Rankings!P645</f>
        <v>2.9131157743633094</v>
      </c>
      <c r="H1273" s="7">
        <f>Rankings!Q645</f>
        <v>1</v>
      </c>
      <c r="I1273" s="7">
        <f>Rankings!R645</f>
        <v>40.72291592288785</v>
      </c>
      <c r="K1273" s="7">
        <f>H1273</f>
        <v>1</v>
      </c>
      <c r="L1273" s="7">
        <f t="shared" ref="L1273:M1273" si="1088">D1273</f>
        <v>11.137030626308288</v>
      </c>
      <c r="M1273" s="7">
        <f t="shared" si="1088"/>
        <v>8.188245253270475</v>
      </c>
      <c r="N1273" s="7">
        <f>G1273</f>
        <v>2.9131157743633094</v>
      </c>
      <c r="O1273" s="7">
        <f>F1273</f>
        <v>3.653066682671597</v>
      </c>
      <c r="P1273" s="7">
        <f>C1273</f>
        <v>13.831457586274176</v>
      </c>
      <c r="R1273" s="7">
        <f t="shared" ref="R1273:W1273" si="1089">K1273/$I1273</f>
        <v>2.4556198330531666E-2</v>
      </c>
      <c r="S1273" s="7">
        <f t="shared" si="1089"/>
        <v>0.2734831328728316</v>
      </c>
      <c r="T1273" s="7">
        <f t="shared" si="1089"/>
        <v>0.20107217441834427</v>
      </c>
      <c r="U1273" s="7">
        <f t="shared" si="1089"/>
        <v>7.153504871506576E-2</v>
      </c>
      <c r="V1273" s="7">
        <f t="shared" si="1089"/>
        <v>8.9705429974341125E-2</v>
      </c>
      <c r="W1273" s="7">
        <f t="shared" si="1089"/>
        <v>0.33964801568888547</v>
      </c>
      <c r="X1273" s="7">
        <f>SUM(R1273:W1273)</f>
        <v>1</v>
      </c>
    </row>
    <row r="1274" spans="1:24" ht="15.75" customHeight="1" x14ac:dyDescent="0.3">
      <c r="C1274" t="s">
        <v>73</v>
      </c>
      <c r="D1274" t="s">
        <v>69</v>
      </c>
      <c r="E1274" t="s">
        <v>71</v>
      </c>
      <c r="F1274" t="s">
        <v>68</v>
      </c>
      <c r="G1274" t="s">
        <v>70</v>
      </c>
      <c r="H1274" t="s">
        <v>72</v>
      </c>
      <c r="K1274" t="s">
        <v>68</v>
      </c>
      <c r="L1274" t="s">
        <v>69</v>
      </c>
      <c r="M1274" t="s">
        <v>70</v>
      </c>
      <c r="N1274" t="s">
        <v>71</v>
      </c>
      <c r="O1274" t="s">
        <v>72</v>
      </c>
      <c r="P1274" t="s">
        <v>73</v>
      </c>
    </row>
    <row r="1275" spans="1:24" ht="15.75" customHeight="1" x14ac:dyDescent="0.3">
      <c r="A1275">
        <v>637</v>
      </c>
      <c r="B1275" s="16" t="s">
        <v>718</v>
      </c>
      <c r="C1275" s="7">
        <f>Rankings!L646</f>
        <v>8.1845371610409181</v>
      </c>
      <c r="D1275" s="7">
        <f>Rankings!M646</f>
        <v>6.5901543966795151</v>
      </c>
      <c r="E1275" s="7">
        <f>Rankings!N646</f>
        <v>7.2353759192621121</v>
      </c>
      <c r="F1275" s="7">
        <f>Rankings!O646</f>
        <v>2.4837241221020387</v>
      </c>
      <c r="G1275" s="7">
        <f>Rankings!P646</f>
        <v>2.2414716085286912</v>
      </c>
      <c r="H1275" s="7">
        <f>Rankings!Q646</f>
        <v>1</v>
      </c>
      <c r="I1275" s="7">
        <f>Rankings!R646</f>
        <v>27.735263207613276</v>
      </c>
      <c r="K1275" s="7">
        <f>F1275</f>
        <v>2.4837241221020387</v>
      </c>
      <c r="L1275" s="7">
        <f>D1275</f>
        <v>6.5901543966795151</v>
      </c>
      <c r="M1275" s="7">
        <f>G1275</f>
        <v>2.2414716085286912</v>
      </c>
      <c r="N1275" s="7">
        <f>E1275</f>
        <v>7.2353759192621121</v>
      </c>
      <c r="O1275" s="7">
        <f>H1275</f>
        <v>1</v>
      </c>
      <c r="P1275" s="7">
        <f>C1275</f>
        <v>8.1845371610409181</v>
      </c>
      <c r="R1275" s="7">
        <f t="shared" ref="R1275:W1275" si="1090">K1275/$I1275</f>
        <v>8.9551128594310983E-2</v>
      </c>
      <c r="S1275" s="7">
        <f t="shared" si="1090"/>
        <v>0.23760922502695164</v>
      </c>
      <c r="T1275" s="7">
        <f t="shared" si="1090"/>
        <v>8.0816669802268606E-2</v>
      </c>
      <c r="U1275" s="7">
        <f t="shared" si="1090"/>
        <v>0.26087280532012458</v>
      </c>
      <c r="V1275" s="7">
        <f t="shared" si="1090"/>
        <v>3.6055183342392147E-2</v>
      </c>
      <c r="W1275" s="7">
        <f t="shared" si="1090"/>
        <v>0.29509498791395206</v>
      </c>
      <c r="X1275" s="7">
        <f>SUM(R1275:W1275)</f>
        <v>0.99999999999999989</v>
      </c>
    </row>
    <row r="1276" spans="1:24" ht="15.75" customHeight="1" x14ac:dyDescent="0.3">
      <c r="C1276" t="s">
        <v>73</v>
      </c>
      <c r="D1276" t="s">
        <v>69</v>
      </c>
      <c r="E1276" t="s">
        <v>71</v>
      </c>
      <c r="F1276" t="s">
        <v>68</v>
      </c>
      <c r="G1276" t="s">
        <v>72</v>
      </c>
      <c r="H1276" t="s">
        <v>70</v>
      </c>
      <c r="K1276" t="s">
        <v>68</v>
      </c>
      <c r="L1276" t="s">
        <v>69</v>
      </c>
      <c r="M1276" t="s">
        <v>70</v>
      </c>
      <c r="N1276" t="s">
        <v>71</v>
      </c>
      <c r="O1276" t="s">
        <v>72</v>
      </c>
      <c r="P1276" t="s">
        <v>73</v>
      </c>
    </row>
    <row r="1277" spans="1:24" ht="15.75" customHeight="1" x14ac:dyDescent="0.3">
      <c r="A1277">
        <v>638</v>
      </c>
      <c r="B1277" s="16" t="s">
        <v>719</v>
      </c>
      <c r="C1277" s="7">
        <f>Rankings!L647</f>
        <v>7.0581677811573167</v>
      </c>
      <c r="D1277" s="7">
        <f>Rankings!M647</f>
        <v>5.6832065784865753</v>
      </c>
      <c r="E1277" s="7">
        <f>Rankings!N647</f>
        <v>6.2396316606622122</v>
      </c>
      <c r="F1277" s="7">
        <f>Rankings!O647</f>
        <v>2.1419099493311236</v>
      </c>
      <c r="G1277" s="7">
        <f>Rankings!P647</f>
        <v>1.9746367445127702</v>
      </c>
      <c r="H1277" s="7">
        <f>Rankings!Q647</f>
        <v>1</v>
      </c>
      <c r="I1277" s="7">
        <f>Rankings!R647</f>
        <v>24.097552714149998</v>
      </c>
      <c r="K1277" s="7">
        <f>F1277</f>
        <v>2.1419099493311236</v>
      </c>
      <c r="L1277" s="7">
        <f>D1277</f>
        <v>5.6832065784865753</v>
      </c>
      <c r="M1277" s="7">
        <f>H1277</f>
        <v>1</v>
      </c>
      <c r="N1277" s="7">
        <f>E1277</f>
        <v>6.2396316606622122</v>
      </c>
      <c r="O1277" s="7">
        <f>G1277</f>
        <v>1.9746367445127702</v>
      </c>
      <c r="P1277" s="7">
        <f>C1277</f>
        <v>7.0581677811573167</v>
      </c>
      <c r="R1277" s="7">
        <f t="shared" ref="R1277:W1277" si="1091">K1277/$I1277</f>
        <v>8.8884957519914529E-2</v>
      </c>
      <c r="S1277" s="7">
        <f t="shared" si="1091"/>
        <v>0.23584164939493696</v>
      </c>
      <c r="T1277" s="7">
        <f t="shared" si="1091"/>
        <v>4.1497989935417944E-2</v>
      </c>
      <c r="U1277" s="7">
        <f t="shared" si="1091"/>
        <v>0.25893217185487566</v>
      </c>
      <c r="V1277" s="7">
        <f t="shared" si="1091"/>
        <v>8.1943455749897393E-2</v>
      </c>
      <c r="W1277" s="7">
        <f t="shared" si="1091"/>
        <v>0.29289977554495755</v>
      </c>
      <c r="X1277" s="7">
        <f>SUM(R1277:W1277)</f>
        <v>1</v>
      </c>
    </row>
    <row r="1278" spans="1:24" ht="15.75" customHeight="1" x14ac:dyDescent="0.3">
      <c r="C1278" t="s">
        <v>73</v>
      </c>
      <c r="D1278" t="s">
        <v>69</v>
      </c>
      <c r="E1278" t="s">
        <v>71</v>
      </c>
      <c r="F1278" t="s">
        <v>70</v>
      </c>
      <c r="G1278" t="s">
        <v>68</v>
      </c>
      <c r="H1278" t="s">
        <v>72</v>
      </c>
      <c r="K1278" t="s">
        <v>68</v>
      </c>
      <c r="L1278" t="s">
        <v>69</v>
      </c>
      <c r="M1278" t="s">
        <v>70</v>
      </c>
      <c r="N1278" t="s">
        <v>71</v>
      </c>
      <c r="O1278" t="s">
        <v>72</v>
      </c>
      <c r="P1278" t="s">
        <v>73</v>
      </c>
    </row>
    <row r="1279" spans="1:24" ht="15.75" customHeight="1" x14ac:dyDescent="0.3">
      <c r="A1279">
        <v>639</v>
      </c>
      <c r="B1279" s="16" t="s">
        <v>720</v>
      </c>
      <c r="C1279" s="7">
        <f>Rankings!L648</f>
        <v>4.6760652040471173</v>
      </c>
      <c r="D1279" s="7">
        <f>Rankings!M648</f>
        <v>3.7651477484026712</v>
      </c>
      <c r="E1279" s="7">
        <f>Rankings!N648</f>
        <v>4.1337816554013971</v>
      </c>
      <c r="F1279" s="7">
        <f>Rankings!O648</f>
        <v>1.8463779537060261</v>
      </c>
      <c r="G1279" s="7">
        <f>Rankings!P648</f>
        <v>1.0847108741813811</v>
      </c>
      <c r="H1279" s="7">
        <f>Rankings!Q648</f>
        <v>1</v>
      </c>
      <c r="I1279" s="7">
        <f>Rankings!R648</f>
        <v>16.506083435738592</v>
      </c>
      <c r="K1279" s="7">
        <f>G1279</f>
        <v>1.0847108741813811</v>
      </c>
      <c r="L1279" s="7">
        <f>D1279</f>
        <v>3.7651477484026712</v>
      </c>
      <c r="M1279" s="7">
        <f>F1279</f>
        <v>1.8463779537060261</v>
      </c>
      <c r="N1279" s="7">
        <f>E1279</f>
        <v>4.1337816554013971</v>
      </c>
      <c r="O1279" s="7">
        <f>H1279</f>
        <v>1</v>
      </c>
      <c r="P1279" s="7">
        <f>C1279</f>
        <v>4.6760652040471173</v>
      </c>
      <c r="R1279" s="7">
        <f t="shared" ref="R1279:W1279" si="1092">K1279/$I1279</f>
        <v>6.5715824011454468E-2</v>
      </c>
      <c r="S1279" s="7">
        <f t="shared" si="1092"/>
        <v>0.22810667128038745</v>
      </c>
      <c r="T1279" s="7">
        <f t="shared" si="1092"/>
        <v>0.1118604519899791</v>
      </c>
      <c r="U1279" s="7">
        <f t="shared" si="1092"/>
        <v>0.25043988608775769</v>
      </c>
      <c r="V1279" s="7">
        <f t="shared" si="1092"/>
        <v>6.0583723806631379E-2</v>
      </c>
      <c r="W1279" s="7">
        <f t="shared" si="1092"/>
        <v>0.28329344282378993</v>
      </c>
      <c r="X1279" s="7">
        <f>SUM(R1279:W1279)</f>
        <v>1</v>
      </c>
    </row>
    <row r="1280" spans="1:24" ht="15.75" customHeight="1" x14ac:dyDescent="0.3">
      <c r="C1280" t="s">
        <v>73</v>
      </c>
      <c r="D1280" t="s">
        <v>69</v>
      </c>
      <c r="E1280" t="s">
        <v>71</v>
      </c>
      <c r="F1280" t="s">
        <v>70</v>
      </c>
      <c r="G1280" t="s">
        <v>72</v>
      </c>
      <c r="H1280" t="s">
        <v>68</v>
      </c>
      <c r="K1280" t="s">
        <v>68</v>
      </c>
      <c r="L1280" t="s">
        <v>69</v>
      </c>
      <c r="M1280" t="s">
        <v>70</v>
      </c>
      <c r="N1280" t="s">
        <v>71</v>
      </c>
      <c r="O1280" t="s">
        <v>72</v>
      </c>
      <c r="P1280" t="s">
        <v>73</v>
      </c>
    </row>
    <row r="1281" spans="1:24" ht="15.75" customHeight="1" x14ac:dyDescent="0.3">
      <c r="A1281">
        <v>640</v>
      </c>
      <c r="B1281" s="16" t="s">
        <v>721</v>
      </c>
      <c r="C1281" s="7">
        <f>Rankings!L649</f>
        <v>8.6883751245122944</v>
      </c>
      <c r="D1281" s="7">
        <f>Rankings!M649</f>
        <v>6.99584257486877</v>
      </c>
      <c r="E1281" s="7">
        <f>Rankings!N649</f>
        <v>7.6807837653482096</v>
      </c>
      <c r="F1281" s="7">
        <f>Rankings!O649</f>
        <v>3.4306673631375024</v>
      </c>
      <c r="G1281" s="7">
        <f>Rankings!P649</f>
        <v>1.530542412441888</v>
      </c>
      <c r="H1281" s="7">
        <f>Rankings!Q649</f>
        <v>1</v>
      </c>
      <c r="I1281" s="7">
        <f>Rankings!R649</f>
        <v>29.326211240308666</v>
      </c>
      <c r="K1281" s="7">
        <f>H1281</f>
        <v>1</v>
      </c>
      <c r="L1281" s="7">
        <f>D1281</f>
        <v>6.99584257486877</v>
      </c>
      <c r="M1281" s="7">
        <f>F1281</f>
        <v>3.4306673631375024</v>
      </c>
      <c r="N1281" s="7">
        <f>E1281</f>
        <v>7.6807837653482096</v>
      </c>
      <c r="O1281" s="7">
        <f>G1281</f>
        <v>1.530542412441888</v>
      </c>
      <c r="P1281" s="7">
        <f>C1281</f>
        <v>8.6883751245122944</v>
      </c>
      <c r="R1281" s="7">
        <f t="shared" ref="R1281:W1281" si="1093">K1281/$I1281</f>
        <v>3.409918832697717E-2</v>
      </c>
      <c r="S1281" s="7">
        <f t="shared" si="1093"/>
        <v>0.23855255346633508</v>
      </c>
      <c r="T1281" s="7">
        <f t="shared" si="1093"/>
        <v>0.11698297250283987</v>
      </c>
      <c r="U1281" s="7">
        <f t="shared" si="1093"/>
        <v>0.26190849211339745</v>
      </c>
      <c r="V1281" s="7">
        <f t="shared" si="1093"/>
        <v>5.219025396428191E-2</v>
      </c>
      <c r="W1281" s="7">
        <f t="shared" si="1093"/>
        <v>0.29626653962616845</v>
      </c>
      <c r="X1281" s="7">
        <f>SUM(R1281:W1281)</f>
        <v>1</v>
      </c>
    </row>
    <row r="1282" spans="1:24" ht="15.75" customHeight="1" x14ac:dyDescent="0.3">
      <c r="C1282" t="s">
        <v>73</v>
      </c>
      <c r="D1282" t="s">
        <v>69</v>
      </c>
      <c r="E1282" t="s">
        <v>71</v>
      </c>
      <c r="F1282" t="s">
        <v>72</v>
      </c>
      <c r="G1282" t="s">
        <v>68</v>
      </c>
      <c r="H1282" t="s">
        <v>70</v>
      </c>
      <c r="K1282" t="s">
        <v>68</v>
      </c>
      <c r="L1282" t="s">
        <v>69</v>
      </c>
      <c r="M1282" t="s">
        <v>70</v>
      </c>
      <c r="N1282" t="s">
        <v>71</v>
      </c>
      <c r="O1282" t="s">
        <v>72</v>
      </c>
      <c r="P1282" t="s">
        <v>73</v>
      </c>
    </row>
    <row r="1283" spans="1:24" ht="15.75" customHeight="1" x14ac:dyDescent="0.3">
      <c r="A1283">
        <v>641</v>
      </c>
      <c r="B1283" s="16" t="s">
        <v>722</v>
      </c>
      <c r="C1283" s="7">
        <f>Rankings!L650</f>
        <v>3.6347286021881113</v>
      </c>
      <c r="D1283" s="7">
        <f>Rankings!M650</f>
        <v>2.9266679602197989</v>
      </c>
      <c r="E1283" s="7">
        <f>Rankings!N650</f>
        <v>3.2132089187045008</v>
      </c>
      <c r="F1283" s="7">
        <f>Rankings!O650</f>
        <v>1.695959518388656</v>
      </c>
      <c r="G1283" s="7">
        <f>Rankings!P650</f>
        <v>1.1080774401297739</v>
      </c>
      <c r="H1283" s="7">
        <f>Rankings!Q650</f>
        <v>1</v>
      </c>
      <c r="I1283" s="7">
        <f>Rankings!R650</f>
        <v>13.578642439630842</v>
      </c>
      <c r="K1283" s="7">
        <f>G1283</f>
        <v>1.1080774401297739</v>
      </c>
      <c r="L1283" s="7">
        <f>D1283</f>
        <v>2.9266679602197989</v>
      </c>
      <c r="M1283" s="7">
        <f>H1283</f>
        <v>1</v>
      </c>
      <c r="N1283" s="7">
        <f t="shared" ref="N1283:O1283" si="1094">E1283</f>
        <v>3.2132089187045008</v>
      </c>
      <c r="O1283" s="7">
        <f t="shared" si="1094"/>
        <v>1.695959518388656</v>
      </c>
      <c r="P1283" s="7">
        <f>C1283</f>
        <v>3.6347286021881113</v>
      </c>
      <c r="R1283" s="7">
        <f t="shared" ref="R1283:W1283" si="1095">K1283/$I1283</f>
        <v>8.1604434688973132E-2</v>
      </c>
      <c r="S1283" s="7">
        <f t="shared" si="1095"/>
        <v>0.21553465106923939</v>
      </c>
      <c r="T1283" s="7">
        <f t="shared" si="1095"/>
        <v>7.3645064626002968E-2</v>
      </c>
      <c r="U1283" s="7">
        <f t="shared" si="1095"/>
        <v>0.23663697847484208</v>
      </c>
      <c r="V1283" s="7">
        <f t="shared" si="1095"/>
        <v>0.12489904833481744</v>
      </c>
      <c r="W1283" s="7">
        <f t="shared" si="1095"/>
        <v>0.2676798228061249</v>
      </c>
      <c r="X1283" s="7">
        <f>SUM(R1283:W1283)</f>
        <v>0.99999999999999989</v>
      </c>
    </row>
    <row r="1284" spans="1:24" ht="15.75" customHeight="1" x14ac:dyDescent="0.3">
      <c r="C1284" t="s">
        <v>73</v>
      </c>
      <c r="D1284" t="s">
        <v>69</v>
      </c>
      <c r="E1284" t="s">
        <v>71</v>
      </c>
      <c r="F1284" t="s">
        <v>72</v>
      </c>
      <c r="G1284" t="s">
        <v>70</v>
      </c>
      <c r="H1284" t="s">
        <v>68</v>
      </c>
      <c r="K1284" t="s">
        <v>68</v>
      </c>
      <c r="L1284" t="s">
        <v>69</v>
      </c>
      <c r="M1284" t="s">
        <v>70</v>
      </c>
      <c r="N1284" t="s">
        <v>71</v>
      </c>
      <c r="O1284" t="s">
        <v>72</v>
      </c>
      <c r="P1284" t="s">
        <v>73</v>
      </c>
    </row>
    <row r="1285" spans="1:24" ht="15.75" customHeight="1" x14ac:dyDescent="0.3">
      <c r="A1285">
        <v>642</v>
      </c>
      <c r="B1285" s="16" t="s">
        <v>723</v>
      </c>
      <c r="C1285" s="7">
        <f>Rankings!L651</f>
        <v>7.2036123338140303</v>
      </c>
      <c r="D1285" s="7">
        <f>Rankings!M651</f>
        <v>5.800317911638837</v>
      </c>
      <c r="E1285" s="7">
        <f>Rankings!N651</f>
        <v>6.3682090002446508</v>
      </c>
      <c r="F1285" s="7">
        <f>Rankings!O651</f>
        <v>3.3611959079858544</v>
      </c>
      <c r="G1285" s="7">
        <f>Rankings!P651</f>
        <v>1.7021844231989158</v>
      </c>
      <c r="H1285" s="7">
        <f>Rankings!Q651</f>
        <v>1</v>
      </c>
      <c r="I1285" s="7">
        <f>Rankings!R651</f>
        <v>25.435519576882289</v>
      </c>
      <c r="K1285" s="7">
        <f>H1285</f>
        <v>1</v>
      </c>
      <c r="L1285" s="7">
        <f>D1285</f>
        <v>5.800317911638837</v>
      </c>
      <c r="M1285" s="7">
        <f>G1285</f>
        <v>1.7021844231989158</v>
      </c>
      <c r="N1285" s="7">
        <f t="shared" ref="N1285:O1285" si="1096">E1285</f>
        <v>6.3682090002446508</v>
      </c>
      <c r="O1285" s="7">
        <f t="shared" si="1096"/>
        <v>3.3611959079858544</v>
      </c>
      <c r="P1285" s="7">
        <f>C1285</f>
        <v>7.2036123338140303</v>
      </c>
      <c r="R1285" s="7">
        <f t="shared" ref="R1285:W1285" si="1097">K1285/$I1285</f>
        <v>3.9315100168383237E-2</v>
      </c>
      <c r="S1285" s="7">
        <f t="shared" si="1097"/>
        <v>0.22804007970454834</v>
      </c>
      <c r="T1285" s="7">
        <f t="shared" si="1097"/>
        <v>6.6921551103127017E-2</v>
      </c>
      <c r="U1285" s="7">
        <f t="shared" si="1097"/>
        <v>0.2503667747378181</v>
      </c>
      <c r="V1285" s="7">
        <f t="shared" si="1097"/>
        <v>0.13214575380802371</v>
      </c>
      <c r="W1285" s="7">
        <f t="shared" si="1097"/>
        <v>0.28321074047809952</v>
      </c>
      <c r="X1285" s="7">
        <f>SUM(R1285:W1285)</f>
        <v>1</v>
      </c>
    </row>
    <row r="1286" spans="1:24" ht="15.75" customHeight="1" x14ac:dyDescent="0.3">
      <c r="C1286" t="s">
        <v>73</v>
      </c>
      <c r="D1286" t="s">
        <v>69</v>
      </c>
      <c r="E1286" t="s">
        <v>72</v>
      </c>
      <c r="F1286" t="s">
        <v>68</v>
      </c>
      <c r="G1286" t="s">
        <v>70</v>
      </c>
      <c r="H1286" t="s">
        <v>71</v>
      </c>
      <c r="K1286" t="s">
        <v>68</v>
      </c>
      <c r="L1286" t="s">
        <v>69</v>
      </c>
      <c r="M1286" t="s">
        <v>70</v>
      </c>
      <c r="N1286" t="s">
        <v>71</v>
      </c>
      <c r="O1286" t="s">
        <v>72</v>
      </c>
      <c r="P1286" t="s">
        <v>73</v>
      </c>
    </row>
    <row r="1287" spans="1:24" ht="15.75" customHeight="1" x14ac:dyDescent="0.3">
      <c r="A1287">
        <v>643</v>
      </c>
      <c r="B1287" s="16" t="s">
        <v>724</v>
      </c>
      <c r="C1287" s="7">
        <f>Rankings!L652</f>
        <v>5.4336926674475867</v>
      </c>
      <c r="D1287" s="7">
        <f>Rankings!M652</f>
        <v>4.3751861489539303</v>
      </c>
      <c r="E1287" s="7">
        <f>Rankings!N652</f>
        <v>2.4317747201054036</v>
      </c>
      <c r="F1287" s="7">
        <f>Rankings!O652</f>
        <v>1.5888319724676261</v>
      </c>
      <c r="G1287" s="7">
        <f>Rankings!P652</f>
        <v>1.4338636587362954</v>
      </c>
      <c r="H1287" s="7">
        <f>Rankings!Q652</f>
        <v>1</v>
      </c>
      <c r="I1287" s="7">
        <f>Rankings!R652</f>
        <v>16.263349167710842</v>
      </c>
      <c r="K1287" s="7">
        <f>F1287</f>
        <v>1.5888319724676261</v>
      </c>
      <c r="L1287" s="7">
        <f>D1287</f>
        <v>4.3751861489539303</v>
      </c>
      <c r="M1287" s="7">
        <f t="shared" ref="M1287:N1287" si="1098">G1287</f>
        <v>1.4338636587362954</v>
      </c>
      <c r="N1287" s="7">
        <f t="shared" si="1098"/>
        <v>1</v>
      </c>
      <c r="O1287" s="7">
        <f>E1287</f>
        <v>2.4317747201054036</v>
      </c>
      <c r="P1287" s="7">
        <f>C1287</f>
        <v>5.4336926674475867</v>
      </c>
      <c r="R1287" s="7">
        <f t="shared" ref="R1287:W1287" si="1099">K1287/$I1287</f>
        <v>9.7694020836869427E-2</v>
      </c>
      <c r="S1287" s="7">
        <f t="shared" si="1099"/>
        <v>0.2690212270446975</v>
      </c>
      <c r="T1287" s="7">
        <f t="shared" si="1099"/>
        <v>8.8165336914925244E-2</v>
      </c>
      <c r="U1287" s="7">
        <f t="shared" si="1099"/>
        <v>6.1487949971915631E-2</v>
      </c>
      <c r="V1287" s="7">
        <f t="shared" si="1099"/>
        <v>0.14952484233281019</v>
      </c>
      <c r="W1287" s="7">
        <f t="shared" si="1099"/>
        <v>0.33410662289878201</v>
      </c>
      <c r="X1287" s="7">
        <f>SUM(R1287:W1287)</f>
        <v>1</v>
      </c>
    </row>
    <row r="1288" spans="1:24" ht="15.75" customHeight="1" x14ac:dyDescent="0.3">
      <c r="C1288" t="s">
        <v>73</v>
      </c>
      <c r="D1288" t="s">
        <v>69</v>
      </c>
      <c r="E1288" t="s">
        <v>72</v>
      </c>
      <c r="F1288" t="s">
        <v>68</v>
      </c>
      <c r="G1288" t="s">
        <v>71</v>
      </c>
      <c r="H1288" t="s">
        <v>70</v>
      </c>
      <c r="K1288" t="s">
        <v>68</v>
      </c>
      <c r="L1288" t="s">
        <v>69</v>
      </c>
      <c r="M1288" t="s">
        <v>70</v>
      </c>
      <c r="N1288" t="s">
        <v>71</v>
      </c>
      <c r="O1288" t="s">
        <v>72</v>
      </c>
      <c r="P1288" t="s">
        <v>73</v>
      </c>
    </row>
    <row r="1289" spans="1:24" ht="15.75" customHeight="1" x14ac:dyDescent="0.3">
      <c r="A1289">
        <v>644</v>
      </c>
      <c r="B1289" s="16" t="s">
        <v>725</v>
      </c>
      <c r="C1289" s="7">
        <f>Rankings!L653</f>
        <v>9.6006475356251304</v>
      </c>
      <c r="D1289" s="7">
        <f>Rankings!M653</f>
        <v>7.7304004274107996</v>
      </c>
      <c r="E1289" s="7">
        <f>Rankings!N653</f>
        <v>4.2966382905020328</v>
      </c>
      <c r="F1289" s="7">
        <f>Rankings!O653</f>
        <v>2.8072650947627165</v>
      </c>
      <c r="G1289" s="7">
        <f>Rankings!P653</f>
        <v>2.2388599512381115</v>
      </c>
      <c r="H1289" s="7">
        <f>Rankings!Q653</f>
        <v>1</v>
      </c>
      <c r="I1289" s="7">
        <f>Rankings!R653</f>
        <v>27.673811299538787</v>
      </c>
      <c r="K1289" s="7">
        <f>F1289</f>
        <v>2.8072650947627165</v>
      </c>
      <c r="L1289" s="7">
        <f>D1289</f>
        <v>7.7304004274107996</v>
      </c>
      <c r="M1289" s="7">
        <f>H1289</f>
        <v>1</v>
      </c>
      <c r="N1289" s="7">
        <f>G1289</f>
        <v>2.2388599512381115</v>
      </c>
      <c r="O1289" s="7">
        <f>E1289</f>
        <v>4.2966382905020328</v>
      </c>
      <c r="P1289" s="7">
        <f>C1289</f>
        <v>9.6006475356251304</v>
      </c>
      <c r="R1289" s="7">
        <f t="shared" ref="R1289:W1289" si="1100">K1289/$I1289</f>
        <v>0.10144121690999253</v>
      </c>
      <c r="S1289" s="7">
        <f t="shared" si="1100"/>
        <v>0.27933992697058085</v>
      </c>
      <c r="T1289" s="7">
        <f t="shared" si="1100"/>
        <v>3.6135246756440302E-2</v>
      </c>
      <c r="U1289" s="7">
        <f t="shared" si="1100"/>
        <v>8.0901756791101065E-2</v>
      </c>
      <c r="V1289" s="7">
        <f t="shared" si="1100"/>
        <v>0.15526008485046081</v>
      </c>
      <c r="W1289" s="7">
        <f t="shared" si="1100"/>
        <v>0.34692176772142458</v>
      </c>
      <c r="X1289" s="7">
        <f>SUM(R1289:W1289)</f>
        <v>1</v>
      </c>
    </row>
    <row r="1290" spans="1:24" ht="15.75" customHeight="1" x14ac:dyDescent="0.3">
      <c r="C1290" t="s">
        <v>73</v>
      </c>
      <c r="D1290" t="s">
        <v>69</v>
      </c>
      <c r="E1290" t="s">
        <v>72</v>
      </c>
      <c r="F1290" t="s">
        <v>70</v>
      </c>
      <c r="G1290" t="s">
        <v>68</v>
      </c>
      <c r="H1290" t="s">
        <v>71</v>
      </c>
      <c r="K1290" t="s">
        <v>68</v>
      </c>
      <c r="L1290" t="s">
        <v>69</v>
      </c>
      <c r="M1290" t="s">
        <v>70</v>
      </c>
      <c r="N1290" t="s">
        <v>71</v>
      </c>
      <c r="O1290" t="s">
        <v>72</v>
      </c>
      <c r="P1290" t="s">
        <v>73</v>
      </c>
    </row>
    <row r="1291" spans="1:24" ht="15.75" customHeight="1" x14ac:dyDescent="0.3">
      <c r="A1291">
        <v>645</v>
      </c>
      <c r="B1291" s="16" t="s">
        <v>726</v>
      </c>
      <c r="C1291" s="7">
        <f>Rankings!L654</f>
        <v>9.4172056738779055</v>
      </c>
      <c r="D1291" s="7">
        <f>Rankings!M654</f>
        <v>7.5826938231225256</v>
      </c>
      <c r="E1291" s="7">
        <f>Rankings!N654</f>
        <v>4.2145413981477011</v>
      </c>
      <c r="F1291" s="7">
        <f>Rankings!O654</f>
        <v>2.1343375736622456</v>
      </c>
      <c r="G1291" s="7">
        <f>Rankings!P654</f>
        <v>1.2538815092968505</v>
      </c>
      <c r="H1291" s="7">
        <f>Rankings!Q654</f>
        <v>1</v>
      </c>
      <c r="I1291" s="7">
        <f>Rankings!R654</f>
        <v>25.60265997810723</v>
      </c>
      <c r="K1291" s="7">
        <f>G1291</f>
        <v>1.2538815092968505</v>
      </c>
      <c r="L1291" s="7">
        <f>D1291</f>
        <v>7.5826938231225256</v>
      </c>
      <c r="M1291" s="7">
        <f>F1291</f>
        <v>2.1343375736622456</v>
      </c>
      <c r="N1291" s="7">
        <f>H1291</f>
        <v>1</v>
      </c>
      <c r="O1291" s="7">
        <f>E1291</f>
        <v>4.2145413981477011</v>
      </c>
      <c r="P1291" s="7">
        <f>C1291</f>
        <v>9.4172056738779055</v>
      </c>
      <c r="R1291" s="7">
        <f t="shared" ref="R1291:W1291" si="1101">K1291/$I1291</f>
        <v>4.8974657725761366E-2</v>
      </c>
      <c r="S1291" s="7">
        <f t="shared" si="1101"/>
        <v>0.29616820399155663</v>
      </c>
      <c r="T1291" s="7">
        <f t="shared" si="1101"/>
        <v>8.3363899512289438E-2</v>
      </c>
      <c r="U1291" s="7">
        <f t="shared" si="1101"/>
        <v>3.9058441617202955E-2</v>
      </c>
      <c r="V1291" s="7">
        <f t="shared" si="1101"/>
        <v>0.16461341914283692</v>
      </c>
      <c r="W1291" s="7">
        <f t="shared" si="1101"/>
        <v>0.36782137801035258</v>
      </c>
      <c r="X1291" s="7">
        <f>SUM(R1291:W1291)</f>
        <v>1</v>
      </c>
    </row>
    <row r="1292" spans="1:24" ht="15.75" customHeight="1" x14ac:dyDescent="0.3">
      <c r="C1292" t="s">
        <v>73</v>
      </c>
      <c r="D1292" t="s">
        <v>69</v>
      </c>
      <c r="E1292" t="s">
        <v>72</v>
      </c>
      <c r="F1292" t="s">
        <v>70</v>
      </c>
      <c r="G1292" t="s">
        <v>71</v>
      </c>
      <c r="H1292" t="s">
        <v>68</v>
      </c>
      <c r="K1292" t="s">
        <v>68</v>
      </c>
      <c r="L1292" t="s">
        <v>69</v>
      </c>
      <c r="M1292" t="s">
        <v>70</v>
      </c>
      <c r="N1292" t="s">
        <v>71</v>
      </c>
      <c r="O1292" t="s">
        <v>72</v>
      </c>
      <c r="P1292" t="s">
        <v>73</v>
      </c>
    </row>
    <row r="1293" spans="1:24" ht="15.75" customHeight="1" x14ac:dyDescent="0.3">
      <c r="A1293">
        <v>646</v>
      </c>
      <c r="B1293" s="16" t="s">
        <v>727</v>
      </c>
      <c r="C1293" s="7">
        <f>Rankings!L655</f>
        <v>18.429966604966644</v>
      </c>
      <c r="D1293" s="7">
        <f>Rankings!M655</f>
        <v>14.839730465214311</v>
      </c>
      <c r="E1293" s="7">
        <f>Rankings!N655</f>
        <v>8.2480790919294318</v>
      </c>
      <c r="F1293" s="7">
        <f>Rankings!O655</f>
        <v>4.1770108425509909</v>
      </c>
      <c r="G1293" s="7">
        <f>Rankings!P655</f>
        <v>2.9131157743633094</v>
      </c>
      <c r="H1293" s="7">
        <f>Rankings!Q655</f>
        <v>1</v>
      </c>
      <c r="I1293" s="7">
        <f>Rankings!R655</f>
        <v>49.607902779024691</v>
      </c>
      <c r="K1293" s="7">
        <f>H1293</f>
        <v>1</v>
      </c>
      <c r="L1293" s="7">
        <f>D1293</f>
        <v>14.839730465214311</v>
      </c>
      <c r="M1293" s="7">
        <f t="shared" ref="M1293:N1293" si="1102">F1293</f>
        <v>4.1770108425509909</v>
      </c>
      <c r="N1293" s="7">
        <f t="shared" si="1102"/>
        <v>2.9131157743633094</v>
      </c>
      <c r="O1293" s="7">
        <f>E1293</f>
        <v>8.2480790919294318</v>
      </c>
      <c r="P1293" s="7">
        <f>C1293</f>
        <v>18.429966604966644</v>
      </c>
      <c r="R1293" s="7">
        <f t="shared" ref="R1293:W1293" si="1103">K1293/$I1293</f>
        <v>2.0158078531447653E-2</v>
      </c>
      <c r="S1293" s="7">
        <f t="shared" si="1103"/>
        <v>0.29914045210330631</v>
      </c>
      <c r="T1293" s="7">
        <f t="shared" si="1103"/>
        <v>8.4200512590851206E-2</v>
      </c>
      <c r="U1293" s="7">
        <f t="shared" si="1103"/>
        <v>5.872281655081453E-2</v>
      </c>
      <c r="V1293" s="7">
        <f t="shared" si="1103"/>
        <v>0.16626542606870492</v>
      </c>
      <c r="W1293" s="7">
        <f t="shared" si="1103"/>
        <v>0.3715127141548753</v>
      </c>
      <c r="X1293" s="7">
        <f>SUM(R1293:W1293)</f>
        <v>0.99999999999999989</v>
      </c>
    </row>
    <row r="1294" spans="1:24" ht="15.75" customHeight="1" x14ac:dyDescent="0.3">
      <c r="C1294" t="s">
        <v>73</v>
      </c>
      <c r="D1294" t="s">
        <v>69</v>
      </c>
      <c r="E1294" t="s">
        <v>72</v>
      </c>
      <c r="F1294" t="s">
        <v>71</v>
      </c>
      <c r="G1294" t="s">
        <v>68</v>
      </c>
      <c r="H1294" t="s">
        <v>70</v>
      </c>
      <c r="K1294" t="s">
        <v>68</v>
      </c>
      <c r="L1294" t="s">
        <v>69</v>
      </c>
      <c r="M1294" t="s">
        <v>70</v>
      </c>
      <c r="N1294" t="s">
        <v>71</v>
      </c>
      <c r="O1294" t="s">
        <v>72</v>
      </c>
      <c r="P1294" t="s">
        <v>73</v>
      </c>
    </row>
    <row r="1295" spans="1:24" ht="15.75" customHeight="1" x14ac:dyDescent="0.3">
      <c r="A1295">
        <v>647</v>
      </c>
      <c r="B1295" s="16" t="s">
        <v>728</v>
      </c>
      <c r="C1295" s="7">
        <f>Rankings!L656</f>
        <v>9.044809916896055</v>
      </c>
      <c r="D1295" s="7">
        <f>Rankings!M656</f>
        <v>7.2828423487030953</v>
      </c>
      <c r="E1295" s="7">
        <f>Rankings!N656</f>
        <v>4.0478807783581088</v>
      </c>
      <c r="F1295" s="7">
        <f>Rankings!O656</f>
        <v>3.2279578700581602</v>
      </c>
      <c r="G1295" s="7">
        <f>Rankings!P656</f>
        <v>1.1080774401297739</v>
      </c>
      <c r="H1295" s="7">
        <f>Rankings!Q656</f>
        <v>1</v>
      </c>
      <c r="I1295" s="7">
        <f>Rankings!R656</f>
        <v>25.711568354145189</v>
      </c>
      <c r="K1295" s="7">
        <f>G1295</f>
        <v>1.1080774401297739</v>
      </c>
      <c r="L1295" s="7">
        <f>D1295</f>
        <v>7.2828423487030953</v>
      </c>
      <c r="M1295" s="7">
        <f>H1295</f>
        <v>1</v>
      </c>
      <c r="N1295" s="7">
        <f>F1295</f>
        <v>3.2279578700581602</v>
      </c>
      <c r="O1295" s="7">
        <f>E1295</f>
        <v>4.0478807783581088</v>
      </c>
      <c r="P1295" s="7">
        <f>C1295</f>
        <v>9.044809916896055</v>
      </c>
      <c r="R1295" s="7">
        <f t="shared" ref="R1295:W1295" si="1104">K1295/$I1295</f>
        <v>4.309645467236272E-2</v>
      </c>
      <c r="S1295" s="7">
        <f t="shared" si="1104"/>
        <v>0.28325157953769725</v>
      </c>
      <c r="T1295" s="7">
        <f t="shared" si="1104"/>
        <v>3.8892998911082804E-2</v>
      </c>
      <c r="U1295" s="7">
        <f t="shared" si="1104"/>
        <v>0.12554496192519321</v>
      </c>
      <c r="V1295" s="7">
        <f t="shared" si="1104"/>
        <v>0.15743422270487495</v>
      </c>
      <c r="W1295" s="7">
        <f t="shared" si="1104"/>
        <v>0.35177978224878925</v>
      </c>
      <c r="X1295" s="7">
        <f>SUM(R1295:W1295)</f>
        <v>1</v>
      </c>
    </row>
    <row r="1296" spans="1:24" ht="15.75" customHeight="1" x14ac:dyDescent="0.3">
      <c r="C1296" t="s">
        <v>73</v>
      </c>
      <c r="D1296" t="s">
        <v>69</v>
      </c>
      <c r="E1296" t="s">
        <v>72</v>
      </c>
      <c r="F1296" t="s">
        <v>71</v>
      </c>
      <c r="G1296" t="s">
        <v>70</v>
      </c>
      <c r="H1296" t="s">
        <v>68</v>
      </c>
      <c r="K1296" t="s">
        <v>68</v>
      </c>
      <c r="L1296" t="s">
        <v>69</v>
      </c>
      <c r="M1296" t="s">
        <v>70</v>
      </c>
      <c r="N1296" t="s">
        <v>71</v>
      </c>
      <c r="O1296" t="s">
        <v>72</v>
      </c>
      <c r="P1296" t="s">
        <v>73</v>
      </c>
    </row>
    <row r="1297" spans="1:24" ht="15.75" customHeight="1" x14ac:dyDescent="0.3">
      <c r="A1297">
        <v>648</v>
      </c>
      <c r="B1297" s="16" t="s">
        <v>729</v>
      </c>
      <c r="C1297" s="7">
        <f>Rankings!L657</f>
        <v>10.67837396472811</v>
      </c>
      <c r="D1297" s="7">
        <f>Rankings!M657</f>
        <v>8.5981811492063649</v>
      </c>
      <c r="E1297" s="7">
        <f>Rankings!N657</f>
        <v>4.778959990656853</v>
      </c>
      <c r="F1297" s="7">
        <f>Rankings!O657</f>
        <v>3.8109525347213977</v>
      </c>
      <c r="G1297" s="7">
        <f>Rankings!P657</f>
        <v>1.7021844231989158</v>
      </c>
      <c r="H1297" s="7">
        <f>Rankings!Q657</f>
        <v>1</v>
      </c>
      <c r="I1297" s="7">
        <f>Rankings!R657</f>
        <v>30.568652062511642</v>
      </c>
      <c r="K1297" s="7">
        <f>H1297</f>
        <v>1</v>
      </c>
      <c r="L1297" s="7">
        <f>D1297</f>
        <v>8.5981811492063649</v>
      </c>
      <c r="M1297" s="7">
        <f>G1297</f>
        <v>1.7021844231989158</v>
      </c>
      <c r="N1297" s="7">
        <f>F1297</f>
        <v>3.8109525347213977</v>
      </c>
      <c r="O1297" s="7">
        <f>E1297</f>
        <v>4.778959990656853</v>
      </c>
      <c r="P1297" s="7">
        <f>C1297</f>
        <v>10.67837396472811</v>
      </c>
      <c r="R1297" s="7">
        <f t="shared" ref="R1297:W1297" si="1105">K1297/$I1297</f>
        <v>3.2713251403923241E-2</v>
      </c>
      <c r="S1297" s="7">
        <f t="shared" si="1105"/>
        <v>0.28127446155046143</v>
      </c>
      <c r="T1297" s="7">
        <f t="shared" si="1105"/>
        <v>5.56839869719482E-2</v>
      </c>
      <c r="U1297" s="7">
        <f t="shared" si="1105"/>
        <v>0.12466864835675959</v>
      </c>
      <c r="V1297" s="7">
        <f t="shared" si="1105"/>
        <v>0.15633531962364827</v>
      </c>
      <c r="W1297" s="7">
        <f t="shared" si="1105"/>
        <v>0.34932433209325919</v>
      </c>
      <c r="X1297" s="7">
        <f>SUM(R1297:W1297)</f>
        <v>0.99999999999999989</v>
      </c>
    </row>
    <row r="1298" spans="1:24" ht="15.75" customHeight="1" x14ac:dyDescent="0.3">
      <c r="C1298" t="s">
        <v>73</v>
      </c>
      <c r="D1298" t="s">
        <v>70</v>
      </c>
      <c r="E1298" t="s">
        <v>68</v>
      </c>
      <c r="F1298" t="s">
        <v>69</v>
      </c>
      <c r="G1298" t="s">
        <v>71</v>
      </c>
      <c r="H1298" t="s">
        <v>72</v>
      </c>
      <c r="K1298" t="s">
        <v>68</v>
      </c>
      <c r="L1298" t="s">
        <v>69</v>
      </c>
      <c r="M1298" t="s">
        <v>70</v>
      </c>
      <c r="N1298" t="s">
        <v>71</v>
      </c>
      <c r="O1298" t="s">
        <v>72</v>
      </c>
      <c r="P1298" t="s">
        <v>73</v>
      </c>
    </row>
    <row r="1299" spans="1:24" ht="15.75" customHeight="1" x14ac:dyDescent="0.3">
      <c r="A1299">
        <v>649</v>
      </c>
      <c r="B1299" s="16" t="s">
        <v>730</v>
      </c>
      <c r="C1299" s="7">
        <f>Rankings!L658</f>
        <v>6.7489328958942778</v>
      </c>
      <c r="D1299" s="7">
        <f>Rankings!M658</f>
        <v>4.809522339588419</v>
      </c>
      <c r="E1299" s="7">
        <f>Rankings!N658</f>
        <v>2.8255001479509971</v>
      </c>
      <c r="F1299" s="7">
        <f>Rankings!O658</f>
        <v>1.7256708833477632</v>
      </c>
      <c r="G1299" s="7">
        <f>Rankings!P658</f>
        <v>1.89462595295753</v>
      </c>
      <c r="H1299" s="7">
        <f>Rankings!Q658</f>
        <v>1</v>
      </c>
      <c r="I1299" s="7">
        <f>Rankings!R658</f>
        <v>19.004252219738987</v>
      </c>
      <c r="K1299" s="7">
        <f t="shared" ref="K1299:L1299" si="1106">E1299</f>
        <v>2.8255001479509971</v>
      </c>
      <c r="L1299" s="7">
        <f t="shared" si="1106"/>
        <v>1.7256708833477632</v>
      </c>
      <c r="M1299" s="7">
        <f>D1299</f>
        <v>4.809522339588419</v>
      </c>
      <c r="N1299" s="7">
        <f t="shared" ref="N1299:O1299" si="1107">G1299</f>
        <v>1.89462595295753</v>
      </c>
      <c r="O1299" s="7">
        <f t="shared" si="1107"/>
        <v>1</v>
      </c>
      <c r="P1299" s="7">
        <f>C1299</f>
        <v>6.7489328958942778</v>
      </c>
      <c r="R1299" s="7">
        <f t="shared" ref="R1299:W1299" si="1108">K1299/$I1299</f>
        <v>0.14867725997744119</v>
      </c>
      <c r="S1299" s="7">
        <f t="shared" si="1108"/>
        <v>9.0804461201339726E-2</v>
      </c>
      <c r="T1299" s="7">
        <f t="shared" si="1108"/>
        <v>0.25307611601749597</v>
      </c>
      <c r="U1299" s="7">
        <f t="shared" si="1108"/>
        <v>9.9694843609245243E-2</v>
      </c>
      <c r="V1299" s="7">
        <f t="shared" si="1108"/>
        <v>5.2619802580884417E-2</v>
      </c>
      <c r="W1299" s="7">
        <f t="shared" si="1108"/>
        <v>0.35512751661359349</v>
      </c>
      <c r="X1299" s="7">
        <f>SUM(R1299:W1299)</f>
        <v>1</v>
      </c>
    </row>
    <row r="1300" spans="1:24" ht="15.75" customHeight="1" x14ac:dyDescent="0.3">
      <c r="C1300" t="s">
        <v>73</v>
      </c>
      <c r="D1300" t="s">
        <v>70</v>
      </c>
      <c r="E1300" t="s">
        <v>68</v>
      </c>
      <c r="F1300" t="s">
        <v>69</v>
      </c>
      <c r="G1300" t="s">
        <v>72</v>
      </c>
      <c r="H1300" t="s">
        <v>71</v>
      </c>
      <c r="K1300" t="s">
        <v>68</v>
      </c>
      <c r="L1300" t="s">
        <v>69</v>
      </c>
      <c r="M1300" t="s">
        <v>70</v>
      </c>
      <c r="N1300" t="s">
        <v>71</v>
      </c>
      <c r="O1300" t="s">
        <v>72</v>
      </c>
      <c r="P1300" t="s">
        <v>73</v>
      </c>
    </row>
    <row r="1301" spans="1:24" ht="15.75" customHeight="1" x14ac:dyDescent="0.3">
      <c r="A1301">
        <v>650</v>
      </c>
      <c r="B1301" s="16" t="s">
        <v>731</v>
      </c>
      <c r="C1301" s="7">
        <f>Rankings!L659</f>
        <v>8.8236889399800074</v>
      </c>
      <c r="D1301" s="7">
        <f>Rankings!M659</f>
        <v>6.2880650510290517</v>
      </c>
      <c r="E1301" s="7">
        <f>Rankings!N659</f>
        <v>3.6941150238068143</v>
      </c>
      <c r="F1301" s="7">
        <f>Rankings!O659</f>
        <v>2.2561763944496205</v>
      </c>
      <c r="G1301" s="7">
        <f>Rankings!P659</f>
        <v>1.25400669441983</v>
      </c>
      <c r="H1301" s="7">
        <f>Rankings!Q659</f>
        <v>1</v>
      </c>
      <c r="I1301" s="7">
        <f>Rankings!R659</f>
        <v>23.316052103685326</v>
      </c>
      <c r="K1301" s="7">
        <f t="shared" ref="K1301:L1301" si="1109">E1301</f>
        <v>3.6941150238068143</v>
      </c>
      <c r="L1301" s="7">
        <f t="shared" si="1109"/>
        <v>2.2561763944496205</v>
      </c>
      <c r="M1301" s="7">
        <f>D1301</f>
        <v>6.2880650510290517</v>
      </c>
      <c r="N1301" s="7">
        <f>H1301</f>
        <v>1</v>
      </c>
      <c r="O1301" s="7">
        <f>G1301</f>
        <v>1.25400669441983</v>
      </c>
      <c r="P1301" s="7">
        <f>C1301</f>
        <v>8.8236889399800074</v>
      </c>
      <c r="R1301" s="7">
        <f t="shared" ref="R1301:W1301" si="1110">K1301/$I1301</f>
        <v>0.15843655724302161</v>
      </c>
      <c r="S1301" s="7">
        <f t="shared" si="1110"/>
        <v>9.6764940497495719E-2</v>
      </c>
      <c r="T1301" s="7">
        <f t="shared" si="1110"/>
        <v>0.26968823980433476</v>
      </c>
      <c r="U1301" s="7">
        <f t="shared" si="1110"/>
        <v>4.2888907416789503E-2</v>
      </c>
      <c r="V1301" s="7">
        <f t="shared" si="1110"/>
        <v>5.378297701700633E-2</v>
      </c>
      <c r="W1301" s="7">
        <f t="shared" si="1110"/>
        <v>0.378438378021352</v>
      </c>
      <c r="X1301" s="7">
        <f>SUM(R1301:W1301)</f>
        <v>0.99999999999999978</v>
      </c>
    </row>
    <row r="1302" spans="1:24" ht="15.75" customHeight="1" x14ac:dyDescent="0.3">
      <c r="C1302" t="s">
        <v>73</v>
      </c>
      <c r="D1302" t="s">
        <v>70</v>
      </c>
      <c r="E1302" t="s">
        <v>68</v>
      </c>
      <c r="F1302" t="s">
        <v>71</v>
      </c>
      <c r="G1302" t="s">
        <v>69</v>
      </c>
      <c r="H1302" t="s">
        <v>72</v>
      </c>
      <c r="K1302" t="s">
        <v>68</v>
      </c>
      <c r="L1302" t="s">
        <v>69</v>
      </c>
      <c r="M1302" t="s">
        <v>70</v>
      </c>
      <c r="N1302" t="s">
        <v>71</v>
      </c>
      <c r="O1302" t="s">
        <v>72</v>
      </c>
      <c r="P1302" t="s">
        <v>73</v>
      </c>
    </row>
    <row r="1303" spans="1:24" ht="15.75" customHeight="1" x14ac:dyDescent="0.3">
      <c r="A1303">
        <v>651</v>
      </c>
      <c r="B1303" s="16" t="s">
        <v>732</v>
      </c>
      <c r="C1303" s="7">
        <f>Rankings!L660</f>
        <v>7.7467277003942581</v>
      </c>
      <c r="D1303" s="7">
        <f>Rankings!M660</f>
        <v>5.5205853293371163</v>
      </c>
      <c r="E1303" s="7">
        <f>Rankings!N660</f>
        <v>3.2432357235194749</v>
      </c>
      <c r="F1303" s="7">
        <f>Rankings!O660</f>
        <v>2.5865567834541325</v>
      </c>
      <c r="G1303" s="7">
        <f>Rankings!P660</f>
        <v>1.7991741228251155</v>
      </c>
      <c r="H1303" s="7">
        <f>Rankings!Q660</f>
        <v>1</v>
      </c>
      <c r="I1303" s="7">
        <f>Rankings!R660</f>
        <v>21.896279659530094</v>
      </c>
      <c r="K1303" s="7">
        <f>E1303</f>
        <v>3.2432357235194749</v>
      </c>
      <c r="L1303" s="7">
        <f>G1303</f>
        <v>1.7991741228251155</v>
      </c>
      <c r="M1303" s="7">
        <f>D1303</f>
        <v>5.5205853293371163</v>
      </c>
      <c r="N1303" s="7">
        <f>F1303</f>
        <v>2.5865567834541325</v>
      </c>
      <c r="O1303" s="7">
        <f>H1303</f>
        <v>1</v>
      </c>
      <c r="P1303" s="7">
        <f>C1303</f>
        <v>7.7467277003942581</v>
      </c>
      <c r="R1303" s="7">
        <f t="shared" ref="R1303:W1303" si="1111">K1303/$I1303</f>
        <v>0.14811811750439965</v>
      </c>
      <c r="S1303" s="7">
        <f t="shared" si="1111"/>
        <v>8.2168028121710909E-2</v>
      </c>
      <c r="T1303" s="7">
        <f t="shared" si="1111"/>
        <v>0.25212435240953579</v>
      </c>
      <c r="U1303" s="7">
        <f t="shared" si="1111"/>
        <v>0.11812768304356053</v>
      </c>
      <c r="V1303" s="7">
        <f t="shared" si="1111"/>
        <v>4.5669858786479368E-2</v>
      </c>
      <c r="W1303" s="7">
        <f t="shared" si="1111"/>
        <v>0.35379196013431385</v>
      </c>
      <c r="X1303" s="7">
        <f>SUM(R1303:W1303)</f>
        <v>1</v>
      </c>
    </row>
    <row r="1304" spans="1:24" ht="15.75" customHeight="1" x14ac:dyDescent="0.3">
      <c r="C1304" t="s">
        <v>73</v>
      </c>
      <c r="D1304" t="s">
        <v>70</v>
      </c>
      <c r="E1304" t="s">
        <v>68</v>
      </c>
      <c r="F1304" t="s">
        <v>71</v>
      </c>
      <c r="G1304" t="s">
        <v>72</v>
      </c>
      <c r="H1304" t="s">
        <v>69</v>
      </c>
      <c r="K1304" t="s">
        <v>68</v>
      </c>
      <c r="L1304" t="s">
        <v>69</v>
      </c>
      <c r="M1304" t="s">
        <v>70</v>
      </c>
      <c r="N1304" t="s">
        <v>71</v>
      </c>
      <c r="O1304" t="s">
        <v>72</v>
      </c>
      <c r="P1304" t="s">
        <v>73</v>
      </c>
    </row>
    <row r="1305" spans="1:24" ht="15.75" customHeight="1" x14ac:dyDescent="0.3">
      <c r="A1305">
        <v>652</v>
      </c>
      <c r="B1305" s="16" t="s">
        <v>733</v>
      </c>
      <c r="C1305" s="7">
        <f>Rankings!L661</f>
        <v>10.351921563236967</v>
      </c>
      <c r="D1305" s="7">
        <f>Rankings!M661</f>
        <v>7.3771363242244918</v>
      </c>
      <c r="E1305" s="7">
        <f>Rankings!N661</f>
        <v>4.33392306008807</v>
      </c>
      <c r="F1305" s="7">
        <f>Rankings!O661</f>
        <v>3.4564055917200975</v>
      </c>
      <c r="G1305" s="7">
        <f>Rankings!P661</f>
        <v>1.8243208303594776</v>
      </c>
      <c r="H1305" s="7">
        <f>Rankings!Q661</f>
        <v>1</v>
      </c>
      <c r="I1305" s="7">
        <f>Rankings!R661</f>
        <v>28.343707369629104</v>
      </c>
      <c r="K1305" s="7">
        <f>E1305</f>
        <v>4.33392306008807</v>
      </c>
      <c r="L1305" s="7">
        <f>H1305</f>
        <v>1</v>
      </c>
      <c r="M1305" s="7">
        <f>D1305</f>
        <v>7.3771363242244918</v>
      </c>
      <c r="N1305" s="7">
        <f t="shared" ref="N1305:O1305" si="1112">F1305</f>
        <v>3.4564055917200975</v>
      </c>
      <c r="O1305" s="7">
        <f t="shared" si="1112"/>
        <v>1.8243208303594776</v>
      </c>
      <c r="P1305" s="7">
        <f>C1305</f>
        <v>10.351921563236967</v>
      </c>
      <c r="R1305" s="7">
        <f t="shared" ref="R1305:W1305" si="1113">K1305/$I1305</f>
        <v>0.1529060049756216</v>
      </c>
      <c r="S1305" s="7">
        <f t="shared" si="1113"/>
        <v>3.5281199701896498E-2</v>
      </c>
      <c r="T1305" s="7">
        <f t="shared" si="1113"/>
        <v>0.26027421988307897</v>
      </c>
      <c r="U1305" s="7">
        <f t="shared" si="1113"/>
        <v>0.1219461359322285</v>
      </c>
      <c r="V1305" s="7">
        <f t="shared" si="1113"/>
        <v>6.436422753624238E-2</v>
      </c>
      <c r="W1305" s="7">
        <f t="shared" si="1113"/>
        <v>0.36522821197093203</v>
      </c>
      <c r="X1305" s="7">
        <f>SUM(R1305:W1305)</f>
        <v>1</v>
      </c>
    </row>
    <row r="1306" spans="1:24" ht="15.75" customHeight="1" x14ac:dyDescent="0.3">
      <c r="C1306" t="s">
        <v>73</v>
      </c>
      <c r="D1306" t="s">
        <v>70</v>
      </c>
      <c r="E1306" t="s">
        <v>68</v>
      </c>
      <c r="F1306" t="s">
        <v>72</v>
      </c>
      <c r="G1306" t="s">
        <v>69</v>
      </c>
      <c r="H1306" t="s">
        <v>71</v>
      </c>
      <c r="K1306" t="s">
        <v>68</v>
      </c>
      <c r="L1306" t="s">
        <v>69</v>
      </c>
      <c r="M1306" t="s">
        <v>70</v>
      </c>
      <c r="N1306" t="s">
        <v>71</v>
      </c>
      <c r="O1306" t="s">
        <v>72</v>
      </c>
      <c r="P1306" t="s">
        <v>73</v>
      </c>
    </row>
    <row r="1307" spans="1:24" ht="15.75" customHeight="1" x14ac:dyDescent="0.3">
      <c r="A1307">
        <v>653</v>
      </c>
      <c r="B1307" s="16" t="s">
        <v>734</v>
      </c>
      <c r="C1307" s="7">
        <f>Rankings!L662</f>
        <v>4.3051617791814554</v>
      </c>
      <c r="D1307" s="7">
        <f>Rankings!M662</f>
        <v>3.0680067607594408</v>
      </c>
      <c r="E1307" s="7">
        <f>Rankings!N662</f>
        <v>1.8023938645812152</v>
      </c>
      <c r="F1307" s="7">
        <f>Rankings!O662</f>
        <v>1.6616352868606219</v>
      </c>
      <c r="G1307" s="7">
        <f>Rankings!P662</f>
        <v>0.9108240498099236</v>
      </c>
      <c r="H1307" s="7">
        <f>Rankings!Q662</f>
        <v>1</v>
      </c>
      <c r="I1307" s="7">
        <f>Rankings!R662</f>
        <v>12.748021741192657</v>
      </c>
      <c r="K1307" s="7">
        <f>E1307</f>
        <v>1.8023938645812152</v>
      </c>
      <c r="L1307" s="7">
        <f>G1307</f>
        <v>0.9108240498099236</v>
      </c>
      <c r="M1307" s="7">
        <f>D1307</f>
        <v>3.0680067607594408</v>
      </c>
      <c r="N1307" s="7">
        <f>H1307</f>
        <v>1</v>
      </c>
      <c r="O1307" s="7">
        <f>F1307</f>
        <v>1.6616352868606219</v>
      </c>
      <c r="P1307" s="7">
        <f>C1307</f>
        <v>4.3051617791814554</v>
      </c>
      <c r="R1307" s="7">
        <f t="shared" ref="R1307:W1307" si="1114">K1307/$I1307</f>
        <v>0.14138616180400318</v>
      </c>
      <c r="S1307" s="7">
        <f t="shared" si="1114"/>
        <v>7.1448266115422418E-2</v>
      </c>
      <c r="T1307" s="7">
        <f t="shared" si="1114"/>
        <v>0.24066532227865572</v>
      </c>
      <c r="U1307" s="7">
        <f t="shared" si="1114"/>
        <v>7.8443543657342699E-2</v>
      </c>
      <c r="V1307" s="7">
        <f t="shared" si="1114"/>
        <v>0.13034456016743234</v>
      </c>
      <c r="W1307" s="7">
        <f t="shared" si="1114"/>
        <v>0.33771214597714361</v>
      </c>
      <c r="X1307" s="7">
        <f>SUM(R1307:W1307)</f>
        <v>1</v>
      </c>
    </row>
    <row r="1308" spans="1:24" ht="15.75" customHeight="1" x14ac:dyDescent="0.3">
      <c r="C1308" t="s">
        <v>73</v>
      </c>
      <c r="D1308" t="s">
        <v>70</v>
      </c>
      <c r="E1308" t="s">
        <v>68</v>
      </c>
      <c r="F1308" t="s">
        <v>72</v>
      </c>
      <c r="G1308" t="s">
        <v>71</v>
      </c>
      <c r="H1308" t="s">
        <v>69</v>
      </c>
      <c r="K1308" t="s">
        <v>68</v>
      </c>
      <c r="L1308" t="s">
        <v>69</v>
      </c>
      <c r="M1308" t="s">
        <v>70</v>
      </c>
      <c r="N1308" t="s">
        <v>71</v>
      </c>
      <c r="O1308" t="s">
        <v>72</v>
      </c>
      <c r="P1308" t="s">
        <v>73</v>
      </c>
    </row>
    <row r="1309" spans="1:24" ht="15.75" customHeight="1" x14ac:dyDescent="0.3">
      <c r="A1309">
        <v>654</v>
      </c>
      <c r="B1309" s="16" t="s">
        <v>735</v>
      </c>
      <c r="C1309" s="7">
        <f>Rankings!L663</f>
        <v>4.6709201764851294</v>
      </c>
      <c r="D1309" s="7">
        <f>Rankings!M663</f>
        <v>3.3286588089957245</v>
      </c>
      <c r="E1309" s="7">
        <f>Rankings!N663</f>
        <v>1.9555218363120577</v>
      </c>
      <c r="F1309" s="7">
        <f>Rankings!O663</f>
        <v>1.8028046762118686</v>
      </c>
      <c r="G1309" s="7">
        <f>Rankings!P663</f>
        <v>1.4376356077157479</v>
      </c>
      <c r="H1309" s="7">
        <f>Rankings!Q663</f>
        <v>1</v>
      </c>
      <c r="I1309" s="7">
        <f>Rankings!R663</f>
        <v>14.195541105720528</v>
      </c>
      <c r="K1309" s="7">
        <f>E1309</f>
        <v>1.9555218363120577</v>
      </c>
      <c r="L1309" s="7">
        <f>H1309</f>
        <v>1</v>
      </c>
      <c r="M1309" s="7">
        <f>D1309</f>
        <v>3.3286588089957245</v>
      </c>
      <c r="N1309" s="7">
        <f>G1309</f>
        <v>1.4376356077157479</v>
      </c>
      <c r="O1309" s="7">
        <f>F1309</f>
        <v>1.8028046762118686</v>
      </c>
      <c r="P1309" s="7">
        <f>C1309</f>
        <v>4.6709201764851294</v>
      </c>
      <c r="R1309" s="7">
        <f t="shared" ref="R1309:W1309" si="1115">K1309/$I1309</f>
        <v>0.13775606169207741</v>
      </c>
      <c r="S1309" s="7">
        <f t="shared" si="1115"/>
        <v>7.0444655300742245E-2</v>
      </c>
      <c r="T1309" s="7">
        <f t="shared" si="1115"/>
        <v>0.23448622241348302</v>
      </c>
      <c r="U1309" s="7">
        <f t="shared" si="1115"/>
        <v>0.10127374483360896</v>
      </c>
      <c r="V1309" s="7">
        <f t="shared" si="1115"/>
        <v>0.1269979539903113</v>
      </c>
      <c r="W1309" s="7">
        <f t="shared" si="1115"/>
        <v>0.32904136176977705</v>
      </c>
      <c r="X1309" s="7">
        <f>SUM(R1309:W1309)</f>
        <v>1</v>
      </c>
    </row>
    <row r="1310" spans="1:24" ht="15.75" customHeight="1" x14ac:dyDescent="0.3">
      <c r="C1310" t="s">
        <v>73</v>
      </c>
      <c r="D1310" t="s">
        <v>70</v>
      </c>
      <c r="E1310" t="s">
        <v>69</v>
      </c>
      <c r="F1310" t="s">
        <v>68</v>
      </c>
      <c r="G1310" t="s">
        <v>71</v>
      </c>
      <c r="H1310" t="s">
        <v>72</v>
      </c>
      <c r="K1310" t="s">
        <v>68</v>
      </c>
      <c r="L1310" t="s">
        <v>69</v>
      </c>
      <c r="M1310" t="s">
        <v>70</v>
      </c>
      <c r="N1310" t="s">
        <v>71</v>
      </c>
      <c r="O1310" t="s">
        <v>72</v>
      </c>
      <c r="P1310" t="s">
        <v>73</v>
      </c>
    </row>
    <row r="1311" spans="1:24" ht="15.75" customHeight="1" x14ac:dyDescent="0.3">
      <c r="A1311">
        <v>655</v>
      </c>
      <c r="B1311" s="16" t="s">
        <v>736</v>
      </c>
      <c r="C1311" s="7">
        <f>Rankings!L664</f>
        <v>8.7555216272386005</v>
      </c>
      <c r="D1311" s="7">
        <f>Rankings!M664</f>
        <v>6.2394866730074012</v>
      </c>
      <c r="E1311" s="7">
        <f>Rankings!N664</f>
        <v>4.1431330258694539</v>
      </c>
      <c r="F1311" s="7">
        <f>Rankings!O664</f>
        <v>2.3756364494473714</v>
      </c>
      <c r="G1311" s="7">
        <f>Rankings!P664</f>
        <v>1.89462595295753</v>
      </c>
      <c r="H1311" s="7">
        <f>Rankings!Q664</f>
        <v>1</v>
      </c>
      <c r="I1311" s="7">
        <f>Rankings!R664</f>
        <v>24.408403728520355</v>
      </c>
      <c r="K1311" s="7">
        <f>F1311</f>
        <v>2.3756364494473714</v>
      </c>
      <c r="L1311" s="7">
        <f>E1311</f>
        <v>4.1431330258694539</v>
      </c>
      <c r="M1311" s="7">
        <f>D1311</f>
        <v>6.2394866730074012</v>
      </c>
      <c r="N1311" s="7">
        <f t="shared" ref="N1311:O1311" si="1116">G1311</f>
        <v>1.89462595295753</v>
      </c>
      <c r="O1311" s="7">
        <f t="shared" si="1116"/>
        <v>1</v>
      </c>
      <c r="P1311" s="7">
        <f>C1311</f>
        <v>8.7555216272386005</v>
      </c>
      <c r="R1311" s="7">
        <f t="shared" ref="R1311:W1311" si="1117">K1311/$I1311</f>
        <v>9.7328628118008562E-2</v>
      </c>
      <c r="S1311" s="7">
        <f t="shared" si="1117"/>
        <v>0.16974207211380848</v>
      </c>
      <c r="T1311" s="7">
        <f t="shared" si="1117"/>
        <v>0.25562862456739777</v>
      </c>
      <c r="U1311" s="7">
        <f t="shared" si="1117"/>
        <v>7.7621870484866101E-2</v>
      </c>
      <c r="V1311" s="7">
        <f t="shared" si="1117"/>
        <v>4.0969496044165124E-2</v>
      </c>
      <c r="W1311" s="7">
        <f t="shared" si="1117"/>
        <v>0.35870930867175405</v>
      </c>
      <c r="X1311" s="7">
        <f>SUM(R1311:W1311)</f>
        <v>1.0000000000000002</v>
      </c>
    </row>
    <row r="1312" spans="1:24" ht="15.75" customHeight="1" x14ac:dyDescent="0.3">
      <c r="C1312" t="s">
        <v>73</v>
      </c>
      <c r="D1312" t="s">
        <v>70</v>
      </c>
      <c r="E1312" t="s">
        <v>69</v>
      </c>
      <c r="F1312" t="s">
        <v>68</v>
      </c>
      <c r="G1312" t="s">
        <v>72</v>
      </c>
      <c r="H1312" t="s">
        <v>71</v>
      </c>
      <c r="K1312" t="s">
        <v>68</v>
      </c>
      <c r="L1312" t="s">
        <v>69</v>
      </c>
      <c r="M1312" t="s">
        <v>70</v>
      </c>
      <c r="N1312" t="s">
        <v>71</v>
      </c>
      <c r="O1312" t="s">
        <v>72</v>
      </c>
      <c r="P1312" t="s">
        <v>73</v>
      </c>
    </row>
    <row r="1313" spans="1:24" ht="15.75" customHeight="1" x14ac:dyDescent="0.3">
      <c r="A1313">
        <v>656</v>
      </c>
      <c r="B1313" s="16" t="s">
        <v>737</v>
      </c>
      <c r="C1313" s="7">
        <f>Rankings!L665</f>
        <v>5.0132099618592401</v>
      </c>
      <c r="D1313" s="7">
        <f>Rankings!M665</f>
        <v>3.5725863149828121</v>
      </c>
      <c r="E1313" s="7">
        <f>Rankings!N665</f>
        <v>2.3722625153457049</v>
      </c>
      <c r="F1313" s="7">
        <f>Rankings!O665</f>
        <v>1.3602346977334379</v>
      </c>
      <c r="G1313" s="7">
        <f>Rankings!P665</f>
        <v>1.25400669441983</v>
      </c>
      <c r="H1313" s="7">
        <f>Rankings!Q665</f>
        <v>1</v>
      </c>
      <c r="I1313" s="7">
        <f>Rankings!R665</f>
        <v>14.572300184341024</v>
      </c>
      <c r="K1313" s="7">
        <f>F1313</f>
        <v>1.3602346977334379</v>
      </c>
      <c r="L1313" s="7">
        <f>E1313</f>
        <v>2.3722625153457049</v>
      </c>
      <c r="M1313" s="7">
        <f>D1313</f>
        <v>3.5725863149828121</v>
      </c>
      <c r="N1313" s="7">
        <f>H1313</f>
        <v>1</v>
      </c>
      <c r="O1313" s="7">
        <f>G1313</f>
        <v>1.25400669441983</v>
      </c>
      <c r="P1313" s="7">
        <f>C1313</f>
        <v>5.0132099618592401</v>
      </c>
      <c r="R1313" s="7">
        <f t="shared" ref="R1313:W1313" si="1118">K1313/$I1313</f>
        <v>9.33438565309756E-2</v>
      </c>
      <c r="S1313" s="7">
        <f t="shared" si="1118"/>
        <v>0.16279259178965241</v>
      </c>
      <c r="T1313" s="7">
        <f t="shared" si="1118"/>
        <v>0.24516282740468184</v>
      </c>
      <c r="U1313" s="7">
        <f t="shared" si="1118"/>
        <v>6.8623346167036234E-2</v>
      </c>
      <c r="V1313" s="7">
        <f t="shared" si="1118"/>
        <v>8.6054135486952815E-2</v>
      </c>
      <c r="W1313" s="7">
        <f t="shared" si="1118"/>
        <v>0.34402324262070111</v>
      </c>
      <c r="X1313" s="7">
        <f>SUM(R1313:W1313)</f>
        <v>1</v>
      </c>
    </row>
    <row r="1314" spans="1:24" ht="15.75" customHeight="1" x14ac:dyDescent="0.3">
      <c r="C1314" t="s">
        <v>73</v>
      </c>
      <c r="D1314" t="s">
        <v>70</v>
      </c>
      <c r="E1314" t="s">
        <v>69</v>
      </c>
      <c r="F1314" t="s">
        <v>71</v>
      </c>
      <c r="G1314" t="s">
        <v>68</v>
      </c>
      <c r="H1314" t="s">
        <v>72</v>
      </c>
      <c r="K1314" t="s">
        <v>68</v>
      </c>
      <c r="L1314" t="s">
        <v>69</v>
      </c>
      <c r="M1314" t="s">
        <v>70</v>
      </c>
      <c r="N1314" t="s">
        <v>71</v>
      </c>
      <c r="O1314" t="s">
        <v>72</v>
      </c>
      <c r="P1314" t="s">
        <v>73</v>
      </c>
    </row>
    <row r="1315" spans="1:24" ht="15.75" customHeight="1" x14ac:dyDescent="0.3">
      <c r="A1315">
        <v>657</v>
      </c>
      <c r="B1315" s="16" t="s">
        <v>738</v>
      </c>
      <c r="C1315" s="7">
        <f>Rankings!L666</f>
        <v>6.0821814977242052</v>
      </c>
      <c r="D1315" s="7">
        <f>Rankings!M666</f>
        <v>4.3343722982534976</v>
      </c>
      <c r="E1315" s="7">
        <f>Rankings!N666</f>
        <v>2.878102311364044</v>
      </c>
      <c r="F1315" s="7">
        <f>Rankings!O666</f>
        <v>3.1598883582011963</v>
      </c>
      <c r="G1315" s="7">
        <f>Rankings!P666</f>
        <v>1.0847108741813811</v>
      </c>
      <c r="H1315" s="7">
        <f>Rankings!Q666</f>
        <v>1</v>
      </c>
      <c r="I1315" s="7">
        <f>Rankings!R666</f>
        <v>18.539255339724324</v>
      </c>
      <c r="K1315" s="7">
        <f>G1315</f>
        <v>1.0847108741813811</v>
      </c>
      <c r="L1315" s="7">
        <f>E1315</f>
        <v>2.878102311364044</v>
      </c>
      <c r="M1315" s="7">
        <f>D1315</f>
        <v>4.3343722982534976</v>
      </c>
      <c r="N1315" s="7">
        <f>F1315</f>
        <v>3.1598883582011963</v>
      </c>
      <c r="O1315" s="7">
        <f>H1315</f>
        <v>1</v>
      </c>
      <c r="P1315" s="7">
        <f>C1315</f>
        <v>6.0821814977242052</v>
      </c>
      <c r="R1315" s="7">
        <f t="shared" ref="R1315:W1315" si="1119">K1315/$I1315</f>
        <v>5.8508869655468622E-2</v>
      </c>
      <c r="S1315" s="7">
        <f t="shared" si="1119"/>
        <v>0.15524368474482864</v>
      </c>
      <c r="T1315" s="7">
        <f t="shared" si="1119"/>
        <v>0.23379430396895051</v>
      </c>
      <c r="U1315" s="7">
        <f t="shared" si="1119"/>
        <v>0.1704431111335124</v>
      </c>
      <c r="V1315" s="7">
        <f t="shared" si="1119"/>
        <v>5.3939599065626218E-2</v>
      </c>
      <c r="W1315" s="7">
        <f t="shared" si="1119"/>
        <v>0.32807043143161363</v>
      </c>
      <c r="X1315" s="7">
        <f>SUM(R1315:W1315)</f>
        <v>1</v>
      </c>
    </row>
    <row r="1316" spans="1:24" ht="15.75" customHeight="1" x14ac:dyDescent="0.3">
      <c r="C1316" t="s">
        <v>73</v>
      </c>
      <c r="D1316" t="s">
        <v>70</v>
      </c>
      <c r="E1316" t="s">
        <v>69</v>
      </c>
      <c r="F1316" t="s">
        <v>71</v>
      </c>
      <c r="G1316" t="s">
        <v>72</v>
      </c>
      <c r="H1316" t="s">
        <v>68</v>
      </c>
      <c r="K1316" t="s">
        <v>68</v>
      </c>
      <c r="L1316" t="s">
        <v>69</v>
      </c>
      <c r="M1316" t="s">
        <v>70</v>
      </c>
      <c r="N1316" t="s">
        <v>71</v>
      </c>
      <c r="O1316" t="s">
        <v>72</v>
      </c>
      <c r="P1316" t="s">
        <v>73</v>
      </c>
    </row>
    <row r="1317" spans="1:24" ht="15.75" customHeight="1" x14ac:dyDescent="0.3">
      <c r="A1317">
        <v>658</v>
      </c>
      <c r="B1317" s="16" t="s">
        <v>739</v>
      </c>
      <c r="C1317" s="7">
        <f>Rankings!L667</f>
        <v>5.5815714385855832</v>
      </c>
      <c r="D1317" s="7">
        <f>Rankings!M667</f>
        <v>3.9776203050140015</v>
      </c>
      <c r="E1317" s="7">
        <f>Rankings!N667</f>
        <v>2.6412124768798093</v>
      </c>
      <c r="F1317" s="7">
        <f>Rankings!O667</f>
        <v>2.899805376714629</v>
      </c>
      <c r="G1317" s="7">
        <f>Rankings!P667</f>
        <v>1.530542412441888</v>
      </c>
      <c r="H1317" s="7">
        <f>Rankings!Q667</f>
        <v>1</v>
      </c>
      <c r="I1317" s="7">
        <f>Rankings!R667</f>
        <v>17.630752009635913</v>
      </c>
      <c r="K1317" s="7">
        <f>H1317</f>
        <v>1</v>
      </c>
      <c r="L1317" s="7">
        <f>E1317</f>
        <v>2.6412124768798093</v>
      </c>
      <c r="M1317" s="7">
        <f>D1317</f>
        <v>3.9776203050140015</v>
      </c>
      <c r="N1317" s="7">
        <f t="shared" ref="N1317:O1317" si="1120">F1317</f>
        <v>2.899805376714629</v>
      </c>
      <c r="O1317" s="7">
        <f t="shared" si="1120"/>
        <v>1.530542412441888</v>
      </c>
      <c r="P1317" s="7">
        <f>C1317</f>
        <v>5.5815714385855832</v>
      </c>
      <c r="R1317" s="7">
        <f t="shared" ref="R1317:W1317" si="1121">K1317/$I1317</f>
        <v>5.6719078088867676E-2</v>
      </c>
      <c r="S1317" s="7">
        <f t="shared" si="1121"/>
        <v>0.14980713672543752</v>
      </c>
      <c r="T1317" s="7">
        <f t="shared" si="1121"/>
        <v>0.2256069566879548</v>
      </c>
      <c r="U1317" s="7">
        <f t="shared" si="1121"/>
        <v>0.16447428760439539</v>
      </c>
      <c r="V1317" s="7">
        <f t="shared" si="1121"/>
        <v>8.6810954609615368E-2</v>
      </c>
      <c r="W1317" s="7">
        <f t="shared" si="1121"/>
        <v>0.31658158628372918</v>
      </c>
      <c r="X1317" s="7">
        <f>SUM(R1317:W1317)</f>
        <v>1</v>
      </c>
    </row>
    <row r="1318" spans="1:24" ht="15.75" customHeight="1" x14ac:dyDescent="0.3">
      <c r="C1318" t="s">
        <v>73</v>
      </c>
      <c r="D1318" t="s">
        <v>70</v>
      </c>
      <c r="E1318" t="s">
        <v>69</v>
      </c>
      <c r="F1318" t="s">
        <v>72</v>
      </c>
      <c r="G1318" t="s">
        <v>68</v>
      </c>
      <c r="H1318" t="s">
        <v>71</v>
      </c>
      <c r="K1318" t="s">
        <v>68</v>
      </c>
      <c r="L1318" t="s">
        <v>69</v>
      </c>
      <c r="M1318" t="s">
        <v>70</v>
      </c>
      <c r="N1318" t="s">
        <v>71</v>
      </c>
      <c r="O1318" t="s">
        <v>72</v>
      </c>
      <c r="P1318" t="s">
        <v>73</v>
      </c>
    </row>
    <row r="1319" spans="1:24" ht="15.75" customHeight="1" x14ac:dyDescent="0.3">
      <c r="A1319">
        <v>659</v>
      </c>
      <c r="B1319" s="16" t="s">
        <v>740</v>
      </c>
      <c r="C1319" s="7">
        <f>Rankings!L668</f>
        <v>7.2967288889035835</v>
      </c>
      <c r="D1319" s="7">
        <f>Rankings!M668</f>
        <v>5.1999006566580794</v>
      </c>
      <c r="E1319" s="7">
        <f>Rankings!N668</f>
        <v>3.4528289378421424</v>
      </c>
      <c r="F1319" s="7">
        <f>Rankings!O668</f>
        <v>1.9191188301554771</v>
      </c>
      <c r="G1319" s="7">
        <f>Rankings!P668</f>
        <v>1.2538815092968505</v>
      </c>
      <c r="H1319" s="7">
        <f>Rankings!Q668</f>
        <v>1</v>
      </c>
      <c r="I1319" s="7">
        <f>Rankings!R668</f>
        <v>20.122458822856132</v>
      </c>
      <c r="K1319" s="7">
        <f>G1319</f>
        <v>1.2538815092968505</v>
      </c>
      <c r="L1319" s="7">
        <f>E1319</f>
        <v>3.4528289378421424</v>
      </c>
      <c r="M1319" s="7">
        <f>D1319</f>
        <v>5.1999006566580794</v>
      </c>
      <c r="N1319" s="7">
        <f>H1319</f>
        <v>1</v>
      </c>
      <c r="O1319" s="7">
        <f>F1319</f>
        <v>1.9191188301554771</v>
      </c>
      <c r="P1319" s="7">
        <f>C1319</f>
        <v>7.2967288889035835</v>
      </c>
      <c r="R1319" s="7">
        <f t="shared" ref="R1319:W1319" si="1122">K1319/$I1319</f>
        <v>6.231253945331109E-2</v>
      </c>
      <c r="S1319" s="7">
        <f t="shared" si="1122"/>
        <v>0.17159080648336278</v>
      </c>
      <c r="T1319" s="7">
        <f t="shared" si="1122"/>
        <v>0.2584127865503078</v>
      </c>
      <c r="U1319" s="7">
        <f t="shared" si="1122"/>
        <v>4.9695716055542287E-2</v>
      </c>
      <c r="V1319" s="7">
        <f t="shared" si="1122"/>
        <v>9.537198446025108E-2</v>
      </c>
      <c r="W1319" s="7">
        <f t="shared" si="1122"/>
        <v>0.36261616699722504</v>
      </c>
      <c r="X1319" s="7">
        <f>SUM(R1319:W1319)</f>
        <v>1</v>
      </c>
    </row>
    <row r="1320" spans="1:24" ht="15.75" customHeight="1" x14ac:dyDescent="0.3">
      <c r="C1320" t="s">
        <v>73</v>
      </c>
      <c r="D1320" t="s">
        <v>70</v>
      </c>
      <c r="E1320" t="s">
        <v>69</v>
      </c>
      <c r="F1320" t="s">
        <v>72</v>
      </c>
      <c r="G1320" t="s">
        <v>71</v>
      </c>
      <c r="H1320" t="s">
        <v>68</v>
      </c>
      <c r="K1320" t="s">
        <v>68</v>
      </c>
      <c r="L1320" t="s">
        <v>69</v>
      </c>
      <c r="M1320" t="s">
        <v>70</v>
      </c>
      <c r="N1320" t="s">
        <v>71</v>
      </c>
      <c r="O1320" t="s">
        <v>72</v>
      </c>
      <c r="P1320" t="s">
        <v>73</v>
      </c>
    </row>
    <row r="1321" spans="1:24" ht="15.75" customHeight="1" x14ac:dyDescent="0.3">
      <c r="A1321">
        <v>660</v>
      </c>
      <c r="B1321" s="16" t="s">
        <v>741</v>
      </c>
      <c r="C1321" s="7">
        <f>Rankings!L669</f>
        <v>13.889414650984138</v>
      </c>
      <c r="D1321" s="7">
        <f>Rankings!M669</f>
        <v>9.8980759000217127</v>
      </c>
      <c r="E1321" s="7">
        <f>Rankings!N669</f>
        <v>6.5725030444173251</v>
      </c>
      <c r="F1321" s="7">
        <f>Rankings!O669</f>
        <v>3.653066682671597</v>
      </c>
      <c r="G1321" s="7">
        <f>Rankings!P669</f>
        <v>2.9131157743633094</v>
      </c>
      <c r="H1321" s="7">
        <f>Rankings!Q669</f>
        <v>1</v>
      </c>
      <c r="I1321" s="7">
        <f>Rankings!R669</f>
        <v>37.926176052458089</v>
      </c>
      <c r="K1321" s="7">
        <f>H1321</f>
        <v>1</v>
      </c>
      <c r="L1321" s="7">
        <f>E1321</f>
        <v>6.5725030444173251</v>
      </c>
      <c r="M1321" s="7">
        <f>D1321</f>
        <v>9.8980759000217127</v>
      </c>
      <c r="N1321" s="7">
        <f>G1321</f>
        <v>2.9131157743633094</v>
      </c>
      <c r="O1321" s="7">
        <f>F1321</f>
        <v>3.653066682671597</v>
      </c>
      <c r="P1321" s="7">
        <f>C1321</f>
        <v>13.889414650984138</v>
      </c>
      <c r="R1321" s="7">
        <f t="shared" ref="R1321:W1321" si="1123">K1321/$I1321</f>
        <v>2.6367013606033912E-2</v>
      </c>
      <c r="S1321" s="7">
        <f t="shared" si="1123"/>
        <v>0.17329727719785093</v>
      </c>
      <c r="T1321" s="7">
        <f t="shared" si="1123"/>
        <v>0.26098270192942885</v>
      </c>
      <c r="U1321" s="7">
        <f t="shared" si="1123"/>
        <v>7.6810163258589401E-2</v>
      </c>
      <c r="V1321" s="7">
        <f t="shared" si="1123"/>
        <v>9.6320458925751168E-2</v>
      </c>
      <c r="W1321" s="7">
        <f t="shared" si="1123"/>
        <v>0.36622238508234556</v>
      </c>
      <c r="X1321" s="7">
        <f>SUM(R1321:W1321)</f>
        <v>0.99999999999999978</v>
      </c>
    </row>
    <row r="1322" spans="1:24" ht="15.75" customHeight="1" x14ac:dyDescent="0.3">
      <c r="C1322" t="s">
        <v>73</v>
      </c>
      <c r="D1322" t="s">
        <v>70</v>
      </c>
      <c r="E1322" t="s">
        <v>71</v>
      </c>
      <c r="F1322" t="s">
        <v>68</v>
      </c>
      <c r="G1322" t="s">
        <v>69</v>
      </c>
      <c r="H1322" t="s">
        <v>72</v>
      </c>
      <c r="K1322" t="s">
        <v>68</v>
      </c>
      <c r="L1322" t="s">
        <v>69</v>
      </c>
      <c r="M1322" t="s">
        <v>70</v>
      </c>
      <c r="N1322" t="s">
        <v>71</v>
      </c>
      <c r="O1322" t="s">
        <v>72</v>
      </c>
      <c r="P1322" t="s">
        <v>73</v>
      </c>
    </row>
    <row r="1323" spans="1:24" ht="15.75" customHeight="1" x14ac:dyDescent="0.3">
      <c r="A1323">
        <v>661</v>
      </c>
      <c r="B1323" s="16" t="s">
        <v>742</v>
      </c>
      <c r="C1323" s="7">
        <f>Rankings!L670</f>
        <v>17.266699279004186</v>
      </c>
      <c r="D1323" s="7">
        <f>Rankings!M670</f>
        <v>12.304845402129594</v>
      </c>
      <c r="E1323" s="7">
        <f>Rankings!N670</f>
        <v>8.5816007171659567</v>
      </c>
      <c r="F1323" s="7">
        <f>Rankings!O670</f>
        <v>2.9458495239659848</v>
      </c>
      <c r="G1323" s="7">
        <f>Rankings!P670</f>
        <v>1.7991741228251155</v>
      </c>
      <c r="H1323" s="7">
        <f>Rankings!Q670</f>
        <v>1</v>
      </c>
      <c r="I1323" s="7">
        <f>Rankings!R670</f>
        <v>43.898169045090832</v>
      </c>
      <c r="K1323" s="7">
        <f t="shared" ref="K1323:L1323" si="1124">F1323</f>
        <v>2.9458495239659848</v>
      </c>
      <c r="L1323" s="7">
        <f t="shared" si="1124"/>
        <v>1.7991741228251155</v>
      </c>
      <c r="M1323" s="7">
        <f t="shared" ref="M1323:N1323" si="1125">D1323</f>
        <v>12.304845402129594</v>
      </c>
      <c r="N1323" s="7">
        <f t="shared" si="1125"/>
        <v>8.5816007171659567</v>
      </c>
      <c r="O1323" s="7">
        <f>H1323</f>
        <v>1</v>
      </c>
      <c r="P1323" s="7">
        <f>C1323</f>
        <v>17.266699279004186</v>
      </c>
      <c r="R1323" s="7">
        <f t="shared" ref="R1323:W1323" si="1126">K1323/$I1323</f>
        <v>6.7106432638229171E-2</v>
      </c>
      <c r="S1323" s="7">
        <f t="shared" si="1126"/>
        <v>4.0985174597534119E-2</v>
      </c>
      <c r="T1323" s="7">
        <f t="shared" si="1126"/>
        <v>0.28030429673480095</v>
      </c>
      <c r="U1323" s="7">
        <f t="shared" si="1126"/>
        <v>0.19548880747967423</v>
      </c>
      <c r="V1323" s="7">
        <f t="shared" si="1126"/>
        <v>2.2779993374503413E-2</v>
      </c>
      <c r="W1323" s="7">
        <f t="shared" si="1126"/>
        <v>0.39333529517525823</v>
      </c>
      <c r="X1323" s="7">
        <f>SUM(R1323:W1323)</f>
        <v>1</v>
      </c>
    </row>
    <row r="1324" spans="1:24" ht="15.75" customHeight="1" x14ac:dyDescent="0.3">
      <c r="C1324" t="s">
        <v>73</v>
      </c>
      <c r="D1324" t="s">
        <v>70</v>
      </c>
      <c r="E1324" t="s">
        <v>71</v>
      </c>
      <c r="F1324" t="s">
        <v>68</v>
      </c>
      <c r="G1324" t="s">
        <v>72</v>
      </c>
      <c r="H1324" t="s">
        <v>69</v>
      </c>
      <c r="K1324" t="s">
        <v>68</v>
      </c>
      <c r="L1324" t="s">
        <v>69</v>
      </c>
      <c r="M1324" t="s">
        <v>70</v>
      </c>
      <c r="N1324" t="s">
        <v>71</v>
      </c>
      <c r="O1324" t="s">
        <v>72</v>
      </c>
      <c r="P1324" t="s">
        <v>73</v>
      </c>
    </row>
    <row r="1325" spans="1:24" ht="15.75" customHeight="1" x14ac:dyDescent="0.3">
      <c r="A1325">
        <v>662</v>
      </c>
      <c r="B1325" s="16" t="s">
        <v>743</v>
      </c>
      <c r="C1325" s="7">
        <f>Rankings!L671</f>
        <v>11.598824500147767</v>
      </c>
      <c r="D1325" s="7">
        <f>Rankings!M671</f>
        <v>8.2657223603990673</v>
      </c>
      <c r="E1325" s="7">
        <f>Rankings!N671</f>
        <v>5.7646501534768531</v>
      </c>
      <c r="F1325" s="7">
        <f>Rankings!O671</f>
        <v>1.9788606426865321</v>
      </c>
      <c r="G1325" s="7">
        <f>Rankings!P671</f>
        <v>1.8243208303594776</v>
      </c>
      <c r="H1325" s="7">
        <f>Rankings!Q671</f>
        <v>1</v>
      </c>
      <c r="I1325" s="7">
        <f>Rankings!R671</f>
        <v>30.432378487069698</v>
      </c>
      <c r="K1325" s="7">
        <f>F1325</f>
        <v>1.9788606426865321</v>
      </c>
      <c r="L1325" s="7">
        <f>H1325</f>
        <v>1</v>
      </c>
      <c r="M1325" s="7">
        <f t="shared" ref="M1325:N1325" si="1127">D1325</f>
        <v>8.2657223603990673</v>
      </c>
      <c r="N1325" s="7">
        <f t="shared" si="1127"/>
        <v>5.7646501534768531</v>
      </c>
      <c r="O1325" s="7">
        <f>G1325</f>
        <v>1.8243208303594776</v>
      </c>
      <c r="P1325" s="7">
        <f>C1325</f>
        <v>11.598824500147767</v>
      </c>
      <c r="R1325" s="7">
        <f t="shared" ref="R1325:W1325" si="1128">K1325/$I1325</f>
        <v>6.5024843310466943E-2</v>
      </c>
      <c r="S1325" s="7">
        <f t="shared" si="1128"/>
        <v>3.2859738532263795E-2</v>
      </c>
      <c r="T1325" s="7">
        <f t="shared" si="1128"/>
        <v>0.27160947554299969</v>
      </c>
      <c r="U1325" s="7">
        <f t="shared" si="1128"/>
        <v>0.18942489677322377</v>
      </c>
      <c r="V1325" s="7">
        <f t="shared" si="1128"/>
        <v>5.9946705484574814E-2</v>
      </c>
      <c r="W1325" s="7">
        <f t="shared" si="1128"/>
        <v>0.38113434035647098</v>
      </c>
      <c r="X1325" s="7">
        <f>SUM(R1325:W1325)</f>
        <v>1</v>
      </c>
    </row>
    <row r="1326" spans="1:24" ht="15.75" customHeight="1" x14ac:dyDescent="0.3">
      <c r="C1326" t="s">
        <v>73</v>
      </c>
      <c r="D1326" t="s">
        <v>70</v>
      </c>
      <c r="E1326" t="s">
        <v>71</v>
      </c>
      <c r="F1326" t="s">
        <v>69</v>
      </c>
      <c r="G1326" t="s">
        <v>68</v>
      </c>
      <c r="H1326" t="s">
        <v>72</v>
      </c>
      <c r="K1326" t="s">
        <v>68</v>
      </c>
      <c r="L1326" t="s">
        <v>69</v>
      </c>
      <c r="M1326" t="s">
        <v>70</v>
      </c>
      <c r="N1326" t="s">
        <v>71</v>
      </c>
      <c r="O1326" t="s">
        <v>72</v>
      </c>
      <c r="P1326" t="s">
        <v>73</v>
      </c>
    </row>
    <row r="1327" spans="1:24" ht="15.75" customHeight="1" x14ac:dyDescent="0.3">
      <c r="A1327">
        <v>663</v>
      </c>
      <c r="B1327" s="16" t="s">
        <v>744</v>
      </c>
      <c r="C1327" s="7">
        <f>Rankings!L672</f>
        <v>5.4720837284142307</v>
      </c>
      <c r="D1327" s="7">
        <f>Rankings!M672</f>
        <v>3.8995955867211514</v>
      </c>
      <c r="E1327" s="7">
        <f>Rankings!N672</f>
        <v>2.7196418313286319</v>
      </c>
      <c r="F1327" s="7">
        <f>Rankings!O672</f>
        <v>1.8917462928244089</v>
      </c>
      <c r="G1327" s="7">
        <f>Rankings!P672</f>
        <v>1.0847108741813811</v>
      </c>
      <c r="H1327" s="7">
        <f>Rankings!Q672</f>
        <v>1</v>
      </c>
      <c r="I1327" s="7">
        <f>Rankings!R672</f>
        <v>16.067778313469802</v>
      </c>
      <c r="K1327" s="7">
        <f>G1327</f>
        <v>1.0847108741813811</v>
      </c>
      <c r="L1327" s="7">
        <f>F1327</f>
        <v>1.8917462928244089</v>
      </c>
      <c r="M1327" s="7">
        <f t="shared" ref="M1327:N1327" si="1129">D1327</f>
        <v>3.8995955867211514</v>
      </c>
      <c r="N1327" s="7">
        <f t="shared" si="1129"/>
        <v>2.7196418313286319</v>
      </c>
      <c r="O1327" s="7">
        <f>H1327</f>
        <v>1</v>
      </c>
      <c r="P1327" s="7">
        <f>C1327</f>
        <v>5.4720837284142307</v>
      </c>
      <c r="R1327" s="7">
        <f t="shared" ref="R1327:W1327" si="1130">K1327/$I1327</f>
        <v>6.7508454063749168E-2</v>
      </c>
      <c r="S1327" s="7">
        <f t="shared" si="1130"/>
        <v>0.1177353991272419</v>
      </c>
      <c r="T1327" s="7">
        <f t="shared" si="1130"/>
        <v>0.24269662616966006</v>
      </c>
      <c r="U1327" s="7">
        <f t="shared" si="1130"/>
        <v>0.16926060207394852</v>
      </c>
      <c r="V1327" s="7">
        <f t="shared" si="1130"/>
        <v>6.2236357789532647E-2</v>
      </c>
      <c r="W1327" s="7">
        <f t="shared" si="1130"/>
        <v>0.34056256077586783</v>
      </c>
      <c r="X1327" s="7">
        <f>SUM(R1327:W1327)</f>
        <v>1.0000000000000002</v>
      </c>
    </row>
    <row r="1328" spans="1:24" ht="15.75" customHeight="1" x14ac:dyDescent="0.3">
      <c r="C1328" t="s">
        <v>73</v>
      </c>
      <c r="D1328" t="s">
        <v>70</v>
      </c>
      <c r="E1328" t="s">
        <v>71</v>
      </c>
      <c r="F1328" t="s">
        <v>69</v>
      </c>
      <c r="G1328" t="s">
        <v>72</v>
      </c>
      <c r="H1328" t="s">
        <v>68</v>
      </c>
      <c r="K1328" t="s">
        <v>68</v>
      </c>
      <c r="L1328" t="s">
        <v>69</v>
      </c>
      <c r="M1328" t="s">
        <v>70</v>
      </c>
      <c r="N1328" t="s">
        <v>71</v>
      </c>
      <c r="O1328" t="s">
        <v>72</v>
      </c>
      <c r="P1328" t="s">
        <v>73</v>
      </c>
    </row>
    <row r="1329" spans="1:24" ht="15.75" customHeight="1" x14ac:dyDescent="0.3">
      <c r="A1329">
        <v>664</v>
      </c>
      <c r="B1329" s="16" t="s">
        <v>745</v>
      </c>
      <c r="C1329" s="7">
        <f>Rankings!L673</f>
        <v>7.9654149922691895</v>
      </c>
      <c r="D1329" s="7">
        <f>Rankings!M673</f>
        <v>5.6764294356396725</v>
      </c>
      <c r="E1329" s="7">
        <f>Rankings!N673</f>
        <v>3.958834859265818</v>
      </c>
      <c r="F1329" s="7">
        <f>Rankings!O673</f>
        <v>2.75371230235177</v>
      </c>
      <c r="G1329" s="7">
        <f>Rankings!P673</f>
        <v>1.530542412441888</v>
      </c>
      <c r="H1329" s="7">
        <f>Rankings!Q673</f>
        <v>1</v>
      </c>
      <c r="I1329" s="7">
        <f>Rankings!R673</f>
        <v>22.884934001968336</v>
      </c>
      <c r="K1329" s="7">
        <f>H1329</f>
        <v>1</v>
      </c>
      <c r="L1329" s="7">
        <f>F1329</f>
        <v>2.75371230235177</v>
      </c>
      <c r="M1329" s="7">
        <f t="shared" ref="M1329:N1329" si="1131">D1329</f>
        <v>5.6764294356396725</v>
      </c>
      <c r="N1329" s="7">
        <f t="shared" si="1131"/>
        <v>3.958834859265818</v>
      </c>
      <c r="O1329" s="7">
        <f>G1329</f>
        <v>1.530542412441888</v>
      </c>
      <c r="P1329" s="7">
        <f>C1329</f>
        <v>7.9654149922691895</v>
      </c>
      <c r="R1329" s="7">
        <f t="shared" ref="R1329:W1329" si="1132">K1329/$I1329</f>
        <v>4.3696870609895133E-2</v>
      </c>
      <c r="S1329" s="7">
        <f t="shared" si="1132"/>
        <v>0.12032861017274173</v>
      </c>
      <c r="T1329" s="7">
        <f t="shared" si="1132"/>
        <v>0.24804220257534682</v>
      </c>
      <c r="U1329" s="7">
        <f t="shared" si="1132"/>
        <v>0.17298869461128086</v>
      </c>
      <c r="V1329" s="7">
        <f t="shared" si="1132"/>
        <v>6.6879913759429935E-2</v>
      </c>
      <c r="W1329" s="7">
        <f t="shared" si="1132"/>
        <v>0.34806370827130562</v>
      </c>
      <c r="X1329" s="7">
        <f>SUM(R1329:W1329)</f>
        <v>1</v>
      </c>
    </row>
    <row r="1330" spans="1:24" ht="15.75" customHeight="1" x14ac:dyDescent="0.3">
      <c r="C1330" t="s">
        <v>73</v>
      </c>
      <c r="D1330" t="s">
        <v>70</v>
      </c>
      <c r="E1330" t="s">
        <v>71</v>
      </c>
      <c r="F1330" t="s">
        <v>72</v>
      </c>
      <c r="G1330" t="s">
        <v>68</v>
      </c>
      <c r="H1330" t="s">
        <v>69</v>
      </c>
      <c r="K1330" t="s">
        <v>68</v>
      </c>
      <c r="L1330" t="s">
        <v>69</v>
      </c>
      <c r="M1330" t="s">
        <v>70</v>
      </c>
      <c r="N1330" t="s">
        <v>71</v>
      </c>
      <c r="O1330" t="s">
        <v>72</v>
      </c>
      <c r="P1330" t="s">
        <v>73</v>
      </c>
    </row>
    <row r="1331" spans="1:24" ht="15.75" customHeight="1" x14ac:dyDescent="0.3">
      <c r="A1331">
        <v>665</v>
      </c>
      <c r="B1331" s="16" t="s">
        <v>746</v>
      </c>
      <c r="C1331" s="7">
        <f>Rankings!L674</f>
        <v>9.553164037288278</v>
      </c>
      <c r="D1331" s="7">
        <f>Rankings!M674</f>
        <v>6.8079141635920042</v>
      </c>
      <c r="E1331" s="7">
        <f>Rankings!N674</f>
        <v>4.7479508404529982</v>
      </c>
      <c r="F1331" s="7">
        <f>Rankings!O674</f>
        <v>2.5060096073535783</v>
      </c>
      <c r="G1331" s="7">
        <f>Rankings!P674</f>
        <v>1.6373343116675814</v>
      </c>
      <c r="H1331" s="7">
        <f>Rankings!Q674</f>
        <v>1</v>
      </c>
      <c r="I1331" s="7">
        <f>Rankings!R674</f>
        <v>26.252372960354439</v>
      </c>
      <c r="K1331" s="7">
        <f t="shared" ref="K1331:L1331" si="1133">G1331</f>
        <v>1.6373343116675814</v>
      </c>
      <c r="L1331" s="7">
        <f t="shared" si="1133"/>
        <v>1</v>
      </c>
      <c r="M1331" s="7">
        <f t="shared" ref="M1331:O1331" si="1134">D1331</f>
        <v>6.8079141635920042</v>
      </c>
      <c r="N1331" s="7">
        <f t="shared" si="1134"/>
        <v>4.7479508404529982</v>
      </c>
      <c r="O1331" s="7">
        <f t="shared" si="1134"/>
        <v>2.5060096073535783</v>
      </c>
      <c r="P1331" s="7">
        <f>C1331</f>
        <v>9.553164037288278</v>
      </c>
      <c r="R1331" s="7">
        <f t="shared" ref="R1331:W1331" si="1135">K1331/$I1331</f>
        <v>6.2369002380860405E-2</v>
      </c>
      <c r="S1331" s="7">
        <f t="shared" si="1135"/>
        <v>3.8091794654531635E-2</v>
      </c>
      <c r="T1331" s="7">
        <f t="shared" si="1135"/>
        <v>0.25932566834522408</v>
      </c>
      <c r="U1331" s="7">
        <f t="shared" si="1135"/>
        <v>0.18085796844434648</v>
      </c>
      <c r="V1331" s="7">
        <f t="shared" si="1135"/>
        <v>9.5458403365595954E-2</v>
      </c>
      <c r="W1331" s="7">
        <f t="shared" si="1135"/>
        <v>0.36389716280944145</v>
      </c>
      <c r="X1331" s="7">
        <f>SUM(R1331:W1331)</f>
        <v>1</v>
      </c>
    </row>
    <row r="1332" spans="1:24" ht="15.75" customHeight="1" x14ac:dyDescent="0.3">
      <c r="C1332" t="s">
        <v>73</v>
      </c>
      <c r="D1332" t="s">
        <v>70</v>
      </c>
      <c r="E1332" t="s">
        <v>71</v>
      </c>
      <c r="F1332" t="s">
        <v>72</v>
      </c>
      <c r="G1332" t="s">
        <v>69</v>
      </c>
      <c r="H1332" t="s">
        <v>68</v>
      </c>
      <c r="K1332" t="s">
        <v>68</v>
      </c>
      <c r="L1332" t="s">
        <v>69</v>
      </c>
      <c r="M1332" t="s">
        <v>70</v>
      </c>
      <c r="N1332" t="s">
        <v>71</v>
      </c>
      <c r="O1332" t="s">
        <v>72</v>
      </c>
      <c r="P1332" t="s">
        <v>73</v>
      </c>
    </row>
    <row r="1333" spans="1:24" ht="15.75" customHeight="1" x14ac:dyDescent="0.3">
      <c r="A1333">
        <v>666</v>
      </c>
      <c r="B1333" s="16" t="s">
        <v>747</v>
      </c>
      <c r="C1333" s="7">
        <f>Rankings!L675</f>
        <v>12.128710166185014</v>
      </c>
      <c r="D1333" s="7">
        <f>Rankings!M675</f>
        <v>8.6433371607750207</v>
      </c>
      <c r="E1333" s="7">
        <f>Rankings!N675</f>
        <v>6.0280048999865423</v>
      </c>
      <c r="F1333" s="7">
        <f>Rankings!O675</f>
        <v>3.1816332350862009</v>
      </c>
      <c r="G1333" s="7">
        <f>Rankings!P675</f>
        <v>1.7440097060445605</v>
      </c>
      <c r="H1333" s="7">
        <f>Rankings!Q675</f>
        <v>1</v>
      </c>
      <c r="I1333" s="7">
        <f>Rankings!R675</f>
        <v>32.725695168077337</v>
      </c>
      <c r="K1333" s="7">
        <f>H1333</f>
        <v>1</v>
      </c>
      <c r="L1333" s="7">
        <f>G1333</f>
        <v>1.7440097060445605</v>
      </c>
      <c r="M1333" s="7">
        <f t="shared" ref="M1333:O1333" si="1136">D1333</f>
        <v>8.6433371607750207</v>
      </c>
      <c r="N1333" s="7">
        <f t="shared" si="1136"/>
        <v>6.0280048999865423</v>
      </c>
      <c r="O1333" s="7">
        <f t="shared" si="1136"/>
        <v>3.1816332350862009</v>
      </c>
      <c r="P1333" s="7">
        <f>C1333</f>
        <v>12.128710166185014</v>
      </c>
      <c r="R1333" s="7">
        <f t="shared" ref="R1333:W1333" si="1137">K1333/$I1333</f>
        <v>3.0557028502039636E-2</v>
      </c>
      <c r="S1333" s="7">
        <f t="shared" si="1137"/>
        <v>5.3291754295437407E-2</v>
      </c>
      <c r="T1333" s="7">
        <f t="shared" si="1137"/>
        <v>0.26411469997454068</v>
      </c>
      <c r="U1333" s="7">
        <f t="shared" si="1137"/>
        <v>0.18419791753932335</v>
      </c>
      <c r="V1333" s="7">
        <f t="shared" si="1137"/>
        <v>9.7221257447565615E-2</v>
      </c>
      <c r="W1333" s="7">
        <f t="shared" si="1137"/>
        <v>0.37061734224109338</v>
      </c>
      <c r="X1333" s="7">
        <f>SUM(R1333:W1333)</f>
        <v>1</v>
      </c>
    </row>
    <row r="1334" spans="1:24" ht="15.75" customHeight="1" x14ac:dyDescent="0.3">
      <c r="C1334" t="s">
        <v>73</v>
      </c>
      <c r="D1334" t="s">
        <v>70</v>
      </c>
      <c r="E1334" t="s">
        <v>72</v>
      </c>
      <c r="F1334" t="s">
        <v>68</v>
      </c>
      <c r="G1334" t="s">
        <v>69</v>
      </c>
      <c r="H1334" t="s">
        <v>71</v>
      </c>
      <c r="K1334" t="s">
        <v>68</v>
      </c>
      <c r="L1334" t="s">
        <v>69</v>
      </c>
      <c r="M1334" t="s">
        <v>70</v>
      </c>
      <c r="N1334" t="s">
        <v>71</v>
      </c>
      <c r="O1334" t="s">
        <v>72</v>
      </c>
      <c r="P1334" t="s">
        <v>73</v>
      </c>
    </row>
    <row r="1335" spans="1:24" ht="15.75" customHeight="1" x14ac:dyDescent="0.3">
      <c r="A1335">
        <v>667</v>
      </c>
      <c r="B1335" s="16" t="s">
        <v>748</v>
      </c>
      <c r="C1335" s="7">
        <f>Rankings!L676</f>
        <v>7.1793252180327212</v>
      </c>
      <c r="D1335" s="7">
        <f>Rankings!M676</f>
        <v>5.1162347517641953</v>
      </c>
      <c r="E1335" s="7">
        <f>Rankings!N676</f>
        <v>2.2825338194323628</v>
      </c>
      <c r="F1335" s="7">
        <f>Rankings!O676</f>
        <v>1.4913234686458101</v>
      </c>
      <c r="G1335" s="7">
        <f>Rankings!P676</f>
        <v>0.9108240498099236</v>
      </c>
      <c r="H1335" s="7">
        <f>Rankings!Q676</f>
        <v>1</v>
      </c>
      <c r="I1335" s="7">
        <f>Rankings!R676</f>
        <v>17.980241307685013</v>
      </c>
      <c r="K1335" s="7">
        <f t="shared" ref="K1335:L1335" si="1138">F1335</f>
        <v>1.4913234686458101</v>
      </c>
      <c r="L1335" s="7">
        <f t="shared" si="1138"/>
        <v>0.9108240498099236</v>
      </c>
      <c r="M1335" s="7">
        <f>D1335</f>
        <v>5.1162347517641953</v>
      </c>
      <c r="N1335" s="7">
        <f>H1335</f>
        <v>1</v>
      </c>
      <c r="O1335" s="7">
        <f>E1335</f>
        <v>2.2825338194323628</v>
      </c>
      <c r="P1335" s="7">
        <f>C1335</f>
        <v>7.1793252180327212</v>
      </c>
      <c r="R1335" s="7">
        <f t="shared" ref="R1335:W1335" si="1139">K1335/$I1335</f>
        <v>8.2942350056692343E-2</v>
      </c>
      <c r="S1335" s="7">
        <f t="shared" si="1139"/>
        <v>5.0656942486118045E-2</v>
      </c>
      <c r="T1335" s="7">
        <f t="shared" si="1139"/>
        <v>0.28454761336142043</v>
      </c>
      <c r="U1335" s="7">
        <f t="shared" si="1139"/>
        <v>5.5616606189405574E-2</v>
      </c>
      <c r="V1335" s="7">
        <f t="shared" si="1139"/>
        <v>0.12694678454936947</v>
      </c>
      <c r="W1335" s="7">
        <f t="shared" si="1139"/>
        <v>0.39928970335699415</v>
      </c>
      <c r="X1335" s="7">
        <f>SUM(R1335:W1335)</f>
        <v>1</v>
      </c>
    </row>
    <row r="1336" spans="1:24" ht="15.75" customHeight="1" x14ac:dyDescent="0.3">
      <c r="C1336" t="s">
        <v>73</v>
      </c>
      <c r="D1336" t="s">
        <v>70</v>
      </c>
      <c r="E1336" t="s">
        <v>72</v>
      </c>
      <c r="F1336" t="s">
        <v>68</v>
      </c>
      <c r="G1336" t="s">
        <v>71</v>
      </c>
      <c r="H1336" t="s">
        <v>69</v>
      </c>
      <c r="K1336" t="s">
        <v>68</v>
      </c>
      <c r="L1336" t="s">
        <v>69</v>
      </c>
      <c r="M1336" t="s">
        <v>70</v>
      </c>
      <c r="N1336" t="s">
        <v>71</v>
      </c>
      <c r="O1336" t="s">
        <v>72</v>
      </c>
      <c r="P1336" t="s">
        <v>73</v>
      </c>
    </row>
    <row r="1337" spans="1:24" ht="15.75" customHeight="1" x14ac:dyDescent="0.3">
      <c r="A1337">
        <v>668</v>
      </c>
      <c r="B1337" s="16" t="s">
        <v>749</v>
      </c>
      <c r="C1337" s="7">
        <f>Rankings!L677</f>
        <v>8.6779490028873205</v>
      </c>
      <c r="D1337" s="7">
        <f>Rankings!M677</f>
        <v>6.1842057455610862</v>
      </c>
      <c r="E1337" s="7">
        <f>Rankings!N677</f>
        <v>2.7589935656693045</v>
      </c>
      <c r="F1337" s="7">
        <f>Rankings!O677</f>
        <v>1.802624705621517</v>
      </c>
      <c r="G1337" s="7">
        <f>Rankings!P677</f>
        <v>1.4376356077157479</v>
      </c>
      <c r="H1337" s="7">
        <f>Rankings!Q677</f>
        <v>1</v>
      </c>
      <c r="I1337" s="7">
        <f>Rankings!R677</f>
        <v>21.861408627454978</v>
      </c>
      <c r="K1337" s="7">
        <f>F1337</f>
        <v>1.802624705621517</v>
      </c>
      <c r="L1337" s="7">
        <f>H1337</f>
        <v>1</v>
      </c>
      <c r="M1337" s="7">
        <f>D1337</f>
        <v>6.1842057455610862</v>
      </c>
      <c r="N1337" s="7">
        <f>G1337</f>
        <v>1.4376356077157479</v>
      </c>
      <c r="O1337" s="7">
        <f>E1337</f>
        <v>2.7589935656693045</v>
      </c>
      <c r="P1337" s="7">
        <f>C1337</f>
        <v>8.6779490028873205</v>
      </c>
      <c r="R1337" s="7">
        <f t="shared" ref="R1337:W1337" si="1140">K1337/$I1337</f>
        <v>8.2456932960745438E-2</v>
      </c>
      <c r="S1337" s="7">
        <f t="shared" si="1140"/>
        <v>4.57427065675967E-2</v>
      </c>
      <c r="T1337" s="7">
        <f t="shared" si="1140"/>
        <v>0.28288230877284637</v>
      </c>
      <c r="U1337" s="7">
        <f t="shared" si="1140"/>
        <v>6.5761343754870014E-2</v>
      </c>
      <c r="V1337" s="7">
        <f t="shared" si="1140"/>
        <v>0.12620383309629835</v>
      </c>
      <c r="W1337" s="7">
        <f t="shared" si="1140"/>
        <v>0.39695287484764308</v>
      </c>
      <c r="X1337" s="7">
        <f>SUM(R1337:W1337)</f>
        <v>0.99999999999999989</v>
      </c>
    </row>
    <row r="1338" spans="1:24" ht="15.75" customHeight="1" x14ac:dyDescent="0.3">
      <c r="C1338" t="s">
        <v>73</v>
      </c>
      <c r="D1338" t="s">
        <v>70</v>
      </c>
      <c r="E1338" t="s">
        <v>72</v>
      </c>
      <c r="F1338" t="s">
        <v>69</v>
      </c>
      <c r="G1338" t="s">
        <v>68</v>
      </c>
      <c r="H1338" t="s">
        <v>71</v>
      </c>
      <c r="K1338" t="s">
        <v>68</v>
      </c>
      <c r="L1338" t="s">
        <v>69</v>
      </c>
      <c r="M1338" t="s">
        <v>70</v>
      </c>
      <c r="N1338" t="s">
        <v>71</v>
      </c>
      <c r="O1338" t="s">
        <v>72</v>
      </c>
      <c r="P1338" t="s">
        <v>73</v>
      </c>
    </row>
    <row r="1339" spans="1:24" ht="15.75" customHeight="1" x14ac:dyDescent="0.3">
      <c r="A1339">
        <v>669</v>
      </c>
      <c r="B1339" s="16" t="s">
        <v>750</v>
      </c>
      <c r="C1339" s="7">
        <f>Rankings!L678</f>
        <v>12.547956907268485</v>
      </c>
      <c r="D1339" s="7">
        <f>Rankings!M678</f>
        <v>8.9421068475009431</v>
      </c>
      <c r="E1339" s="7">
        <f>Rankings!N678</f>
        <v>3.9893910828389068</v>
      </c>
      <c r="F1339" s="7">
        <f>Rankings!O678</f>
        <v>2.1867815224435101</v>
      </c>
      <c r="G1339" s="7">
        <f>Rankings!P678</f>
        <v>1.2538815092968505</v>
      </c>
      <c r="H1339" s="7">
        <f>Rankings!Q678</f>
        <v>1</v>
      </c>
      <c r="I1339" s="7">
        <f>Rankings!R678</f>
        <v>29.920117869348697</v>
      </c>
      <c r="K1339" s="7">
        <f>G1339</f>
        <v>1.2538815092968505</v>
      </c>
      <c r="L1339" s="7">
        <f>F1339</f>
        <v>2.1867815224435101</v>
      </c>
      <c r="M1339" s="7">
        <f>D1339</f>
        <v>8.9421068475009431</v>
      </c>
      <c r="N1339" s="7">
        <f>H1339</f>
        <v>1</v>
      </c>
      <c r="O1339" s="7">
        <f>E1339</f>
        <v>3.9893910828389068</v>
      </c>
      <c r="P1339" s="7">
        <f>C1339</f>
        <v>12.547956907268485</v>
      </c>
      <c r="R1339" s="7">
        <f t="shared" ref="R1339:W1339" si="1141">K1339/$I1339</f>
        <v>4.1907639360651526E-2</v>
      </c>
      <c r="S1339" s="7">
        <f t="shared" si="1141"/>
        <v>7.3087329802391313E-2</v>
      </c>
      <c r="T1339" s="7">
        <f t="shared" si="1141"/>
        <v>0.29886603009213331</v>
      </c>
      <c r="U1339" s="7">
        <f t="shared" si="1141"/>
        <v>3.3422328226334896E-2</v>
      </c>
      <c r="V1339" s="7">
        <f t="shared" si="1141"/>
        <v>0.13333473819385552</v>
      </c>
      <c r="W1339" s="7">
        <f t="shared" si="1141"/>
        <v>0.41938193432463339</v>
      </c>
      <c r="X1339" s="7">
        <f>SUM(R1339:W1339)</f>
        <v>1</v>
      </c>
    </row>
    <row r="1340" spans="1:24" ht="15.75" customHeight="1" x14ac:dyDescent="0.3">
      <c r="C1340" t="s">
        <v>73</v>
      </c>
      <c r="D1340" t="s">
        <v>70</v>
      </c>
      <c r="E1340" t="s">
        <v>72</v>
      </c>
      <c r="F1340" t="s">
        <v>69</v>
      </c>
      <c r="G1340" t="s">
        <v>71</v>
      </c>
      <c r="H1340" t="s">
        <v>68</v>
      </c>
      <c r="K1340" t="s">
        <v>68</v>
      </c>
      <c r="L1340" t="s">
        <v>69</v>
      </c>
      <c r="M1340" t="s">
        <v>70</v>
      </c>
      <c r="N1340" t="s">
        <v>71</v>
      </c>
      <c r="O1340" t="s">
        <v>72</v>
      </c>
      <c r="P1340" t="s">
        <v>73</v>
      </c>
    </row>
    <row r="1341" spans="1:24" ht="15.75" customHeight="1" x14ac:dyDescent="0.3">
      <c r="A1341">
        <v>670</v>
      </c>
      <c r="B1341" s="16" t="s">
        <v>751</v>
      </c>
      <c r="C1341" s="7">
        <f>Rankings!L679</f>
        <v>15.225089604051611</v>
      </c>
      <c r="D1341" s="7">
        <f>Rankings!M679</f>
        <v>10.849923936489041</v>
      </c>
      <c r="E1341" s="7">
        <f>Rankings!N679</f>
        <v>4.8405359653923803</v>
      </c>
      <c r="F1341" s="7">
        <f>Rankings!O679</f>
        <v>2.653335907170761</v>
      </c>
      <c r="G1341" s="7">
        <f>Rankings!P679</f>
        <v>2.9131157743633094</v>
      </c>
      <c r="H1341" s="7">
        <f>Rankings!Q679</f>
        <v>1</v>
      </c>
      <c r="I1341" s="7">
        <f>Rankings!R679</f>
        <v>37.482001187467105</v>
      </c>
      <c r="K1341" s="7">
        <f>H1341</f>
        <v>1</v>
      </c>
      <c r="L1341" s="7">
        <f>F1341</f>
        <v>2.653335907170761</v>
      </c>
      <c r="M1341" s="7">
        <f>D1341</f>
        <v>10.849923936489041</v>
      </c>
      <c r="N1341" s="7">
        <f>G1341</f>
        <v>2.9131157743633094</v>
      </c>
      <c r="O1341" s="7">
        <f>E1341</f>
        <v>4.8405359653923803</v>
      </c>
      <c r="P1341" s="7">
        <f>C1341</f>
        <v>15.225089604051611</v>
      </c>
      <c r="R1341" s="7">
        <f t="shared" ref="R1341:W1341" si="1142">K1341/$I1341</f>
        <v>2.6679471968384948E-2</v>
      </c>
      <c r="S1341" s="7">
        <f t="shared" si="1142"/>
        <v>7.0789600958071561E-2</v>
      </c>
      <c r="T1341" s="7">
        <f t="shared" si="1142"/>
        <v>0.28947024152266826</v>
      </c>
      <c r="U1341" s="7">
        <f t="shared" si="1142"/>
        <v>7.7720390642785922E-2</v>
      </c>
      <c r="V1341" s="7">
        <f t="shared" si="1142"/>
        <v>0.12914294360064518</v>
      </c>
      <c r="W1341" s="7">
        <f t="shared" si="1142"/>
        <v>0.40619735130744405</v>
      </c>
      <c r="X1341" s="7">
        <f>SUM(R1341:W1341)</f>
        <v>0.99999999999999989</v>
      </c>
    </row>
    <row r="1342" spans="1:24" ht="15.75" customHeight="1" x14ac:dyDescent="0.3">
      <c r="C1342" t="s">
        <v>73</v>
      </c>
      <c r="D1342" t="s">
        <v>70</v>
      </c>
      <c r="E1342" t="s">
        <v>72</v>
      </c>
      <c r="F1342" t="s">
        <v>71</v>
      </c>
      <c r="G1342" t="s">
        <v>68</v>
      </c>
      <c r="H1342" t="s">
        <v>69</v>
      </c>
      <c r="K1342" t="s">
        <v>68</v>
      </c>
      <c r="L1342" t="s">
        <v>69</v>
      </c>
      <c r="M1342" t="s">
        <v>70</v>
      </c>
      <c r="N1342" t="s">
        <v>71</v>
      </c>
      <c r="O1342" t="s">
        <v>72</v>
      </c>
      <c r="P1342" t="s">
        <v>73</v>
      </c>
    </row>
    <row r="1343" spans="1:24" ht="15.75" customHeight="1" x14ac:dyDescent="0.3">
      <c r="A1343">
        <v>671</v>
      </c>
      <c r="B1343" s="16" t="s">
        <v>752</v>
      </c>
      <c r="C1343" s="7">
        <f>Rankings!L680</f>
        <v>18.813143524657146</v>
      </c>
      <c r="D1343" s="7">
        <f>Rankings!M680</f>
        <v>13.406894905528954</v>
      </c>
      <c r="E1343" s="7">
        <f>Rankings!N680</f>
        <v>5.9812914223478737</v>
      </c>
      <c r="F1343" s="7">
        <f>Rankings!O680</f>
        <v>4.7697444112251226</v>
      </c>
      <c r="G1343" s="7">
        <f>Rankings!P680</f>
        <v>1.6373343116675814</v>
      </c>
      <c r="H1343" s="7">
        <f>Rankings!Q680</f>
        <v>1</v>
      </c>
      <c r="I1343" s="7">
        <f>Rankings!R680</f>
        <v>45.608408575426672</v>
      </c>
      <c r="K1343" s="7">
        <f t="shared" ref="K1343:L1343" si="1143">G1343</f>
        <v>1.6373343116675814</v>
      </c>
      <c r="L1343" s="7">
        <f t="shared" si="1143"/>
        <v>1</v>
      </c>
      <c r="M1343" s="7">
        <f>D1343</f>
        <v>13.406894905528954</v>
      </c>
      <c r="N1343" s="7">
        <f>F1343</f>
        <v>4.7697444112251226</v>
      </c>
      <c r="O1343" s="7">
        <f>E1343</f>
        <v>5.9812914223478737</v>
      </c>
      <c r="P1343" s="7">
        <f>C1343</f>
        <v>18.813143524657146</v>
      </c>
      <c r="R1343" s="7">
        <f t="shared" ref="R1343:W1343" si="1144">K1343/$I1343</f>
        <v>3.5899834324624076E-2</v>
      </c>
      <c r="S1343" s="7">
        <f t="shared" si="1144"/>
        <v>2.1925781478347599E-2</v>
      </c>
      <c r="T1343" s="7">
        <f t="shared" si="1144"/>
        <v>0.29395664800179955</v>
      </c>
      <c r="U1343" s="7">
        <f t="shared" si="1144"/>
        <v>0.10458037366809177</v>
      </c>
      <c r="V1343" s="7">
        <f t="shared" si="1144"/>
        <v>0.13114448868471437</v>
      </c>
      <c r="W1343" s="7">
        <f t="shared" si="1144"/>
        <v>0.41249287384242272</v>
      </c>
      <c r="X1343" s="7">
        <f>SUM(R1343:W1343)</f>
        <v>1</v>
      </c>
    </row>
    <row r="1344" spans="1:24" ht="15.75" customHeight="1" x14ac:dyDescent="0.3">
      <c r="C1344" t="s">
        <v>73</v>
      </c>
      <c r="D1344" t="s">
        <v>70</v>
      </c>
      <c r="E1344" t="s">
        <v>72</v>
      </c>
      <c r="F1344" t="s">
        <v>71</v>
      </c>
      <c r="G1344" t="s">
        <v>69</v>
      </c>
      <c r="H1344" t="s">
        <v>68</v>
      </c>
      <c r="K1344" t="s">
        <v>68</v>
      </c>
      <c r="L1344" t="s">
        <v>69</v>
      </c>
      <c r="M1344" t="s">
        <v>70</v>
      </c>
      <c r="N1344" t="s">
        <v>71</v>
      </c>
      <c r="O1344" t="s">
        <v>72</v>
      </c>
      <c r="P1344" t="s">
        <v>73</v>
      </c>
    </row>
    <row r="1345" spans="1:24" ht="15.75" customHeight="1" x14ac:dyDescent="0.3">
      <c r="A1345">
        <v>672</v>
      </c>
      <c r="B1345" s="16" t="s">
        <v>753</v>
      </c>
      <c r="C1345" s="7">
        <f>Rankings!L681</f>
        <v>9.8892641972696342</v>
      </c>
      <c r="D1345" s="7">
        <f>Rankings!M681</f>
        <v>7.047430729055705</v>
      </c>
      <c r="E1345" s="7">
        <f>Rankings!N681</f>
        <v>3.1441088534160202</v>
      </c>
      <c r="F1345" s="7">
        <f>Rankings!O681</f>
        <v>2.5072504536115345</v>
      </c>
      <c r="G1345" s="7">
        <f>Rankings!P681</f>
        <v>1.7440097060445605</v>
      </c>
      <c r="H1345" s="7">
        <f>Rankings!Q681</f>
        <v>1</v>
      </c>
      <c r="I1345" s="7">
        <f>Rankings!R681</f>
        <v>25.332063939397454</v>
      </c>
      <c r="K1345" s="7">
        <f>H1345</f>
        <v>1</v>
      </c>
      <c r="L1345" s="7">
        <f>G1345</f>
        <v>1.7440097060445605</v>
      </c>
      <c r="M1345" s="7">
        <f>D1345</f>
        <v>7.047430729055705</v>
      </c>
      <c r="N1345" s="7">
        <f>F1345</f>
        <v>2.5072504536115345</v>
      </c>
      <c r="O1345" s="7">
        <f>E1345</f>
        <v>3.1441088534160202</v>
      </c>
      <c r="P1345" s="7">
        <f>C1345</f>
        <v>9.8892641972696342</v>
      </c>
      <c r="R1345" s="7">
        <f t="shared" ref="R1345:W1345" si="1145">K1345/$I1345</f>
        <v>3.9475662243405263E-2</v>
      </c>
      <c r="S1345" s="7">
        <f t="shared" si="1145"/>
        <v>6.8845938105035559E-2</v>
      </c>
      <c r="T1345" s="7">
        <f t="shared" si="1145"/>
        <v>0.27820199514399829</v>
      </c>
      <c r="U1345" s="7">
        <f t="shared" si="1145"/>
        <v>9.8975372066393563E-2</v>
      </c>
      <c r="V1345" s="7">
        <f t="shared" si="1145"/>
        <v>0.124115779153951</v>
      </c>
      <c r="W1345" s="7">
        <f t="shared" si="1145"/>
        <v>0.39038525328721635</v>
      </c>
      <c r="X1345" s="7">
        <f>SUM(R1345:W1345)</f>
        <v>1</v>
      </c>
    </row>
    <row r="1346" spans="1:24" ht="15.75" customHeight="1" x14ac:dyDescent="0.3">
      <c r="C1346" t="s">
        <v>73</v>
      </c>
      <c r="D1346" t="s">
        <v>71</v>
      </c>
      <c r="E1346" t="s">
        <v>68</v>
      </c>
      <c r="F1346" t="s">
        <v>69</v>
      </c>
      <c r="G1346" t="s">
        <v>70</v>
      </c>
      <c r="H1346" t="s">
        <v>72</v>
      </c>
      <c r="K1346" t="s">
        <v>68</v>
      </c>
      <c r="L1346" t="s">
        <v>69</v>
      </c>
      <c r="M1346" t="s">
        <v>70</v>
      </c>
      <c r="N1346" t="s">
        <v>71</v>
      </c>
      <c r="O1346" t="s">
        <v>72</v>
      </c>
      <c r="P1346" t="s">
        <v>73</v>
      </c>
    </row>
    <row r="1347" spans="1:24" ht="15.75" customHeight="1" x14ac:dyDescent="0.3">
      <c r="A1347">
        <v>673</v>
      </c>
      <c r="B1347" s="16" t="s">
        <v>754</v>
      </c>
      <c r="C1347" s="7">
        <f>Rankings!L682</f>
        <v>12.896520325764049</v>
      </c>
      <c r="D1347" s="7">
        <f>Rankings!M682</f>
        <v>14.541423467427142</v>
      </c>
      <c r="E1347" s="7">
        <f>Rankings!N682</f>
        <v>4.9917080520444861</v>
      </c>
      <c r="F1347" s="7">
        <f>Rankings!O682</f>
        <v>3.0486798062397931</v>
      </c>
      <c r="G1347" s="7">
        <f>Rankings!P682</f>
        <v>2.2414716085286912</v>
      </c>
      <c r="H1347" s="7">
        <f>Rankings!Q682</f>
        <v>1</v>
      </c>
      <c r="I1347" s="7">
        <f>Rankings!R682</f>
        <v>38.719803260004163</v>
      </c>
      <c r="K1347" s="7">
        <f t="shared" ref="K1347:M1347" si="1146">E1347</f>
        <v>4.9917080520444861</v>
      </c>
      <c r="L1347" s="7">
        <f t="shared" si="1146"/>
        <v>3.0486798062397931</v>
      </c>
      <c r="M1347" s="7">
        <f t="shared" si="1146"/>
        <v>2.2414716085286912</v>
      </c>
      <c r="N1347" s="7">
        <f>D1347</f>
        <v>14.541423467427142</v>
      </c>
      <c r="O1347" s="7">
        <f>H1347</f>
        <v>1</v>
      </c>
      <c r="P1347" s="7">
        <f>C1347</f>
        <v>12.896520325764049</v>
      </c>
      <c r="R1347" s="7">
        <f t="shared" ref="R1347:W1347" si="1147">K1347/$I1347</f>
        <v>0.12891873490485162</v>
      </c>
      <c r="S1347" s="7">
        <f t="shared" si="1147"/>
        <v>7.8736965313791873E-2</v>
      </c>
      <c r="T1347" s="7">
        <f t="shared" si="1147"/>
        <v>5.7889540230283962E-2</v>
      </c>
      <c r="U1347" s="7">
        <f t="shared" si="1147"/>
        <v>0.37555520026228506</v>
      </c>
      <c r="V1347" s="7">
        <f t="shared" si="1147"/>
        <v>2.582657750828387E-2</v>
      </c>
      <c r="W1347" s="7">
        <f t="shared" si="1147"/>
        <v>0.3330729817805036</v>
      </c>
      <c r="X1347" s="7">
        <f>SUM(R1347:W1347)</f>
        <v>1</v>
      </c>
    </row>
    <row r="1348" spans="1:24" ht="15.75" customHeight="1" x14ac:dyDescent="0.3">
      <c r="C1348" t="s">
        <v>73</v>
      </c>
      <c r="D1348" t="s">
        <v>71</v>
      </c>
      <c r="E1348" t="s">
        <v>68</v>
      </c>
      <c r="F1348" t="s">
        <v>69</v>
      </c>
      <c r="G1348" t="s">
        <v>72</v>
      </c>
      <c r="H1348" t="s">
        <v>70</v>
      </c>
      <c r="K1348" t="s">
        <v>68</v>
      </c>
      <c r="L1348" t="s">
        <v>69</v>
      </c>
      <c r="M1348" t="s">
        <v>70</v>
      </c>
      <c r="N1348" t="s">
        <v>71</v>
      </c>
      <c r="O1348" t="s">
        <v>72</v>
      </c>
      <c r="P1348" t="s">
        <v>73</v>
      </c>
    </row>
    <row r="1349" spans="1:24" ht="15.75" customHeight="1" x14ac:dyDescent="0.3">
      <c r="A1349">
        <v>674</v>
      </c>
      <c r="B1349" s="16" t="s">
        <v>755</v>
      </c>
      <c r="C1349" s="7">
        <f>Rankings!L683</f>
        <v>15.028690584735584</v>
      </c>
      <c r="D1349" s="7">
        <f>Rankings!M683</f>
        <v>16.945544102853038</v>
      </c>
      <c r="E1349" s="7">
        <f>Rankings!N683</f>
        <v>5.8169827138286863</v>
      </c>
      <c r="F1349" s="7">
        <f>Rankings!O683</f>
        <v>3.5527153327070047</v>
      </c>
      <c r="G1349" s="7">
        <f>Rankings!P683</f>
        <v>1.9746367445127702</v>
      </c>
      <c r="H1349" s="7">
        <f>Rankings!Q683</f>
        <v>1</v>
      </c>
      <c r="I1349" s="7">
        <f>Rankings!R683</f>
        <v>44.31856947863708</v>
      </c>
      <c r="K1349" s="7">
        <f t="shared" ref="K1349:L1349" si="1148">E1349</f>
        <v>5.8169827138286863</v>
      </c>
      <c r="L1349" s="7">
        <f t="shared" si="1148"/>
        <v>3.5527153327070047</v>
      </c>
      <c r="M1349" s="7">
        <f>H1349</f>
        <v>1</v>
      </c>
      <c r="N1349" s="7">
        <f>D1349</f>
        <v>16.945544102853038</v>
      </c>
      <c r="O1349" s="7">
        <f>G1349</f>
        <v>1.9746367445127702</v>
      </c>
      <c r="P1349" s="7">
        <f>C1349</f>
        <v>15.028690584735584</v>
      </c>
      <c r="R1349" s="7">
        <f t="shared" ref="R1349:W1349" si="1149">K1349/$I1349</f>
        <v>0.13125384646344804</v>
      </c>
      <c r="S1349" s="7">
        <f t="shared" si="1149"/>
        <v>8.0163131944489388E-2</v>
      </c>
      <c r="T1349" s="7">
        <f t="shared" si="1149"/>
        <v>2.256390519287927E-2</v>
      </c>
      <c r="U1349" s="7">
        <f t="shared" si="1149"/>
        <v>0.38235765057853038</v>
      </c>
      <c r="V1349" s="7">
        <f t="shared" si="1149"/>
        <v>4.4555516293561914E-2</v>
      </c>
      <c r="W1349" s="7">
        <f t="shared" si="1149"/>
        <v>0.33910594952709106</v>
      </c>
      <c r="X1349" s="7">
        <f>SUM(R1349:W1349)</f>
        <v>1</v>
      </c>
    </row>
    <row r="1350" spans="1:24" ht="15.75" customHeight="1" x14ac:dyDescent="0.3">
      <c r="C1350" t="s">
        <v>73</v>
      </c>
      <c r="D1350" t="s">
        <v>71</v>
      </c>
      <c r="E1350" t="s">
        <v>68</v>
      </c>
      <c r="F1350" t="s">
        <v>70</v>
      </c>
      <c r="G1350" t="s">
        <v>69</v>
      </c>
      <c r="H1350" t="s">
        <v>72</v>
      </c>
      <c r="K1350" t="s">
        <v>68</v>
      </c>
      <c r="L1350" t="s">
        <v>69</v>
      </c>
      <c r="M1350" t="s">
        <v>70</v>
      </c>
      <c r="N1350" t="s">
        <v>71</v>
      </c>
      <c r="O1350" t="s">
        <v>72</v>
      </c>
      <c r="P1350" t="s">
        <v>73</v>
      </c>
    </row>
    <row r="1351" spans="1:24" ht="15.75" customHeight="1" x14ac:dyDescent="0.3">
      <c r="A1351">
        <v>675</v>
      </c>
      <c r="B1351" s="16" t="s">
        <v>756</v>
      </c>
      <c r="C1351" s="7">
        <f>Rankings!L684</f>
        <v>7.7568726748320378</v>
      </c>
      <c r="D1351" s="7">
        <f>Rankings!M684</f>
        <v>8.7462328983662783</v>
      </c>
      <c r="E1351" s="7">
        <f>Rankings!N684</f>
        <v>3.0023636462844858</v>
      </c>
      <c r="F1351" s="7">
        <f>Rankings!O684</f>
        <v>2.709525108581635</v>
      </c>
      <c r="G1351" s="7">
        <f>Rankings!P684</f>
        <v>1.7991741228251155</v>
      </c>
      <c r="H1351" s="7">
        <f>Rankings!Q684</f>
        <v>1</v>
      </c>
      <c r="I1351" s="7">
        <f>Rankings!R684</f>
        <v>25.014168450889549</v>
      </c>
      <c r="K1351" s="7">
        <f>E1351</f>
        <v>3.0023636462844858</v>
      </c>
      <c r="L1351" s="7">
        <f>G1351</f>
        <v>1.7991741228251155</v>
      </c>
      <c r="M1351" s="7">
        <f>F1351</f>
        <v>2.709525108581635</v>
      </c>
      <c r="N1351" s="7">
        <f>D1351</f>
        <v>8.7462328983662783</v>
      </c>
      <c r="O1351" s="7">
        <f>H1351</f>
        <v>1</v>
      </c>
      <c r="P1351" s="7">
        <f>C1351</f>
        <v>7.7568726748320378</v>
      </c>
      <c r="R1351" s="7">
        <f t="shared" ref="R1351:W1351" si="1150">K1351/$I1351</f>
        <v>0.12002652225593836</v>
      </c>
      <c r="S1351" s="7">
        <f t="shared" si="1150"/>
        <v>7.1926201598803641E-2</v>
      </c>
      <c r="T1351" s="7">
        <f t="shared" si="1150"/>
        <v>0.10831961549716354</v>
      </c>
      <c r="U1351" s="7">
        <f t="shared" si="1150"/>
        <v>0.34965115532574287</v>
      </c>
      <c r="V1351" s="7">
        <f t="shared" si="1150"/>
        <v>3.9977343318979612E-2</v>
      </c>
      <c r="W1351" s="7">
        <f t="shared" si="1150"/>
        <v>0.31009916200337212</v>
      </c>
      <c r="X1351" s="7">
        <f>SUM(R1351:W1351)</f>
        <v>1.0000000000000002</v>
      </c>
    </row>
    <row r="1352" spans="1:24" ht="15.75" customHeight="1" x14ac:dyDescent="0.3">
      <c r="C1352" t="s">
        <v>73</v>
      </c>
      <c r="D1352" t="s">
        <v>71</v>
      </c>
      <c r="E1352" t="s">
        <v>68</v>
      </c>
      <c r="F1352" t="s">
        <v>70</v>
      </c>
      <c r="G1352" t="s">
        <v>72</v>
      </c>
      <c r="H1352" t="s">
        <v>69</v>
      </c>
      <c r="K1352" t="s">
        <v>68</v>
      </c>
      <c r="L1352" t="s">
        <v>69</v>
      </c>
      <c r="M1352" t="s">
        <v>70</v>
      </c>
      <c r="N1352" t="s">
        <v>71</v>
      </c>
      <c r="O1352" t="s">
        <v>72</v>
      </c>
      <c r="P1352" t="s">
        <v>73</v>
      </c>
    </row>
    <row r="1353" spans="1:24" ht="15.75" customHeight="1" x14ac:dyDescent="0.3">
      <c r="A1353">
        <v>676</v>
      </c>
      <c r="B1353" s="16" t="s">
        <v>757</v>
      </c>
      <c r="C1353" s="7">
        <f>Rankings!L685</f>
        <v>11.706523523924243</v>
      </c>
      <c r="D1353" s="7">
        <f>Rankings!M685</f>
        <v>13.199647004991224</v>
      </c>
      <c r="E1353" s="7">
        <f>Rankings!N685</f>
        <v>4.5311096528170554</v>
      </c>
      <c r="F1353" s="7">
        <f>Rankings!O685</f>
        <v>4.0891633460982559</v>
      </c>
      <c r="G1353" s="7">
        <f>Rankings!P685</f>
        <v>1.8243208303594776</v>
      </c>
      <c r="H1353" s="7">
        <f>Rankings!Q685</f>
        <v>1</v>
      </c>
      <c r="I1353" s="7">
        <f>Rankings!R685</f>
        <v>36.350764358190254</v>
      </c>
      <c r="K1353" s="7">
        <f>E1353</f>
        <v>4.5311096528170554</v>
      </c>
      <c r="L1353" s="7">
        <f>H1353</f>
        <v>1</v>
      </c>
      <c r="M1353" s="7">
        <f>F1353</f>
        <v>4.0891633460982559</v>
      </c>
      <c r="N1353" s="7">
        <f>D1353</f>
        <v>13.199647004991224</v>
      </c>
      <c r="O1353" s="7">
        <f>G1353</f>
        <v>1.8243208303594776</v>
      </c>
      <c r="P1353" s="7">
        <f>C1353</f>
        <v>11.706523523924243</v>
      </c>
      <c r="R1353" s="7">
        <f t="shared" ref="R1353:W1353" si="1151">K1353/$I1353</f>
        <v>0.12464963895033319</v>
      </c>
      <c r="S1353" s="7">
        <f t="shared" si="1151"/>
        <v>2.7509737901142323E-2</v>
      </c>
      <c r="T1353" s="7">
        <f t="shared" si="1151"/>
        <v>0.11249181188612116</v>
      </c>
      <c r="U1353" s="7">
        <f t="shared" si="1151"/>
        <v>0.36311882949490687</v>
      </c>
      <c r="V1353" s="7">
        <f t="shared" si="1151"/>
        <v>5.0186587890783556E-2</v>
      </c>
      <c r="W1353" s="7">
        <f t="shared" si="1151"/>
        <v>0.32204339387671299</v>
      </c>
      <c r="X1353" s="7">
        <f>SUM(R1353:W1353)</f>
        <v>1</v>
      </c>
    </row>
    <row r="1354" spans="1:24" ht="15.75" customHeight="1" x14ac:dyDescent="0.3">
      <c r="C1354" t="s">
        <v>73</v>
      </c>
      <c r="D1354" t="s">
        <v>71</v>
      </c>
      <c r="E1354" t="s">
        <v>68</v>
      </c>
      <c r="F1354" t="s">
        <v>72</v>
      </c>
      <c r="G1354" t="s">
        <v>69</v>
      </c>
      <c r="H1354" t="s">
        <v>70</v>
      </c>
      <c r="K1354" t="s">
        <v>68</v>
      </c>
      <c r="L1354" t="s">
        <v>69</v>
      </c>
      <c r="M1354" t="s">
        <v>70</v>
      </c>
      <c r="N1354" t="s">
        <v>71</v>
      </c>
      <c r="O1354" t="s">
        <v>72</v>
      </c>
      <c r="P1354" t="s">
        <v>73</v>
      </c>
    </row>
    <row r="1355" spans="1:24" ht="15.75" customHeight="1" x14ac:dyDescent="0.3">
      <c r="A1355">
        <v>677</v>
      </c>
      <c r="B1355" s="16" t="s">
        <v>758</v>
      </c>
      <c r="C1355" s="7">
        <f>Rankings!L686</f>
        <v>6.9537192543040307</v>
      </c>
      <c r="D1355" s="7">
        <f>Rankings!M686</f>
        <v>7.8406402499463326</v>
      </c>
      <c r="E1355" s="7">
        <f>Rankings!N686</f>
        <v>2.6914962731476</v>
      </c>
      <c r="F1355" s="7">
        <f>Rankings!O686</f>
        <v>2.4813029326168055</v>
      </c>
      <c r="G1355" s="7">
        <f>Rankings!P686</f>
        <v>1.3601242124324544</v>
      </c>
      <c r="H1355" s="7">
        <f>Rankings!Q686</f>
        <v>1</v>
      </c>
      <c r="I1355" s="7">
        <f>Rankings!R686</f>
        <v>22.327282922447221</v>
      </c>
      <c r="K1355" s="7">
        <f>E1355</f>
        <v>2.6914962731476</v>
      </c>
      <c r="L1355" s="7">
        <f t="shared" ref="L1355:M1355" si="1152">G1355</f>
        <v>1.3601242124324544</v>
      </c>
      <c r="M1355" s="7">
        <f t="shared" si="1152"/>
        <v>1</v>
      </c>
      <c r="N1355" s="7">
        <f>D1355</f>
        <v>7.8406402499463326</v>
      </c>
      <c r="O1355" s="7">
        <f>F1355</f>
        <v>2.4813029326168055</v>
      </c>
      <c r="P1355" s="7">
        <f>C1355</f>
        <v>6.9537192543040307</v>
      </c>
      <c r="R1355" s="7">
        <f t="shared" ref="R1355:W1355" si="1153">K1355/$I1355</f>
        <v>0.12054741647232164</v>
      </c>
      <c r="S1355" s="7">
        <f t="shared" si="1153"/>
        <v>6.0917587561226443E-2</v>
      </c>
      <c r="T1355" s="7">
        <f t="shared" si="1153"/>
        <v>4.478825316423201E-2</v>
      </c>
      <c r="U1355" s="7">
        <f t="shared" si="1153"/>
        <v>0.35116858048426364</v>
      </c>
      <c r="V1355" s="7">
        <f t="shared" si="1153"/>
        <v>0.11113322392319279</v>
      </c>
      <c r="W1355" s="7">
        <f t="shared" si="1153"/>
        <v>0.31144493839476356</v>
      </c>
      <c r="X1355" s="7">
        <f>SUM(R1355:W1355)</f>
        <v>1</v>
      </c>
    </row>
    <row r="1356" spans="1:24" ht="15.75" customHeight="1" x14ac:dyDescent="0.3">
      <c r="C1356" t="s">
        <v>73</v>
      </c>
      <c r="D1356" t="s">
        <v>71</v>
      </c>
      <c r="E1356" t="s">
        <v>68</v>
      </c>
      <c r="F1356" t="s">
        <v>72</v>
      </c>
      <c r="G1356" t="s">
        <v>70</v>
      </c>
      <c r="H1356" t="s">
        <v>69</v>
      </c>
      <c r="K1356" t="s">
        <v>68</v>
      </c>
      <c r="L1356" t="s">
        <v>69</v>
      </c>
      <c r="M1356" t="s">
        <v>70</v>
      </c>
      <c r="N1356" t="s">
        <v>71</v>
      </c>
      <c r="O1356" t="s">
        <v>72</v>
      </c>
      <c r="P1356" t="s">
        <v>73</v>
      </c>
    </row>
    <row r="1357" spans="1:24" ht="15.75" customHeight="1" x14ac:dyDescent="0.3">
      <c r="A1357">
        <v>678</v>
      </c>
      <c r="B1357" s="16" t="s">
        <v>759</v>
      </c>
      <c r="C1357" s="7">
        <f>Rankings!L687</f>
        <v>8.3338285561330991</v>
      </c>
      <c r="D1357" s="7">
        <f>Rankings!M687</f>
        <v>9.3967773537773027</v>
      </c>
      <c r="E1357" s="7">
        <f>Rankings!N687</f>
        <v>3.2256793349831976</v>
      </c>
      <c r="F1357" s="7">
        <f>Rankings!O687</f>
        <v>2.9737687818586505</v>
      </c>
      <c r="G1357" s="7">
        <f>Rankings!P687</f>
        <v>1.5059827029565431</v>
      </c>
      <c r="H1357" s="7">
        <f>Rankings!Q687</f>
        <v>1</v>
      </c>
      <c r="I1357" s="7">
        <f>Rankings!R687</f>
        <v>26.436036729708796</v>
      </c>
      <c r="K1357" s="7">
        <f>E1357</f>
        <v>3.2256793349831976</v>
      </c>
      <c r="L1357" s="7">
        <f>H1357</f>
        <v>1</v>
      </c>
      <c r="M1357" s="7">
        <f>G1357</f>
        <v>1.5059827029565431</v>
      </c>
      <c r="N1357" s="7">
        <f>D1357</f>
        <v>9.3967773537773027</v>
      </c>
      <c r="O1357" s="7">
        <f>F1357</f>
        <v>2.9737687818586505</v>
      </c>
      <c r="P1357" s="7">
        <f>C1357</f>
        <v>8.3338285561330991</v>
      </c>
      <c r="R1357" s="7">
        <f t="shared" ref="R1357:W1357" si="1154">K1357/$I1357</f>
        <v>0.12201826499046212</v>
      </c>
      <c r="S1357" s="7">
        <f t="shared" si="1154"/>
        <v>3.7827152769696407E-2</v>
      </c>
      <c r="T1357" s="7">
        <f t="shared" si="1154"/>
        <v>5.6967037773257477E-2</v>
      </c>
      <c r="U1357" s="7">
        <f t="shared" si="1154"/>
        <v>0.35545333250415756</v>
      </c>
      <c r="V1357" s="7">
        <f t="shared" si="1154"/>
        <v>0.11248920601312115</v>
      </c>
      <c r="W1357" s="7">
        <f t="shared" si="1154"/>
        <v>0.31524500594930516</v>
      </c>
      <c r="X1357" s="7">
        <f>SUM(R1357:W1357)</f>
        <v>0.99999999999999989</v>
      </c>
    </row>
    <row r="1358" spans="1:24" ht="15.75" customHeight="1" x14ac:dyDescent="0.3">
      <c r="C1358" t="s">
        <v>73</v>
      </c>
      <c r="D1358" t="s">
        <v>71</v>
      </c>
      <c r="E1358" t="s">
        <v>69</v>
      </c>
      <c r="F1358" t="s">
        <v>68</v>
      </c>
      <c r="G1358" t="s">
        <v>70</v>
      </c>
      <c r="H1358" t="s">
        <v>72</v>
      </c>
      <c r="K1358" t="s">
        <v>68</v>
      </c>
      <c r="L1358" t="s">
        <v>69</v>
      </c>
      <c r="M1358" t="s">
        <v>70</v>
      </c>
      <c r="N1358" t="s">
        <v>71</v>
      </c>
      <c r="O1358" t="s">
        <v>72</v>
      </c>
      <c r="P1358" t="s">
        <v>73</v>
      </c>
    </row>
    <row r="1359" spans="1:24" ht="15.75" customHeight="1" x14ac:dyDescent="0.3">
      <c r="A1359">
        <v>679</v>
      </c>
      <c r="B1359" s="16" t="s">
        <v>760</v>
      </c>
      <c r="C1359" s="7">
        <f>Rankings!L688</f>
        <v>5.5228938838369501</v>
      </c>
      <c r="D1359" s="7">
        <f>Rankings!M688</f>
        <v>6.227318431786248</v>
      </c>
      <c r="E1359" s="7">
        <f>Rankings!N688</f>
        <v>4.331638976082961</v>
      </c>
      <c r="F1359" s="7">
        <f>Rankings!O688</f>
        <v>2.4837241221020387</v>
      </c>
      <c r="G1359" s="7">
        <f>Rankings!P688</f>
        <v>2.2414716085286912</v>
      </c>
      <c r="H1359" s="7">
        <f>Rankings!Q688</f>
        <v>1</v>
      </c>
      <c r="I1359" s="7">
        <f>Rankings!R688</f>
        <v>21.807047022336889</v>
      </c>
      <c r="K1359" s="7">
        <f>F1359</f>
        <v>2.4837241221020387</v>
      </c>
      <c r="L1359" s="7">
        <f>E1359</f>
        <v>4.331638976082961</v>
      </c>
      <c r="M1359" s="7">
        <f>G1359</f>
        <v>2.2414716085286912</v>
      </c>
      <c r="N1359" s="7">
        <f>D1359</f>
        <v>6.227318431786248</v>
      </c>
      <c r="O1359" s="7">
        <f>H1359</f>
        <v>1</v>
      </c>
      <c r="P1359" s="7">
        <f>C1359</f>
        <v>5.5228938838369501</v>
      </c>
      <c r="R1359" s="7">
        <f t="shared" ref="R1359:W1359" si="1155">K1359/$I1359</f>
        <v>0.11389548156419198</v>
      </c>
      <c r="S1359" s="7">
        <f t="shared" si="1155"/>
        <v>0.19863482532257012</v>
      </c>
      <c r="T1359" s="7">
        <f t="shared" si="1155"/>
        <v>0.10278657198440298</v>
      </c>
      <c r="U1359" s="7">
        <f t="shared" si="1155"/>
        <v>0.28556449781612459</v>
      </c>
      <c r="V1359" s="7">
        <f t="shared" si="1155"/>
        <v>4.5856736080575382E-2</v>
      </c>
      <c r="W1359" s="7">
        <f t="shared" si="1155"/>
        <v>0.253261887232135</v>
      </c>
      <c r="X1359" s="7">
        <f>SUM(R1359:W1359)</f>
        <v>1</v>
      </c>
    </row>
    <row r="1360" spans="1:24" ht="15.75" customHeight="1" x14ac:dyDescent="0.3">
      <c r="C1360" t="s">
        <v>73</v>
      </c>
      <c r="D1360" t="s">
        <v>71</v>
      </c>
      <c r="E1360" t="s">
        <v>69</v>
      </c>
      <c r="F1360" t="s">
        <v>68</v>
      </c>
      <c r="G1360" t="s">
        <v>72</v>
      </c>
      <c r="H1360" t="s">
        <v>70</v>
      </c>
      <c r="K1360" t="s">
        <v>68</v>
      </c>
      <c r="L1360" t="s">
        <v>69</v>
      </c>
      <c r="M1360" t="s">
        <v>70</v>
      </c>
      <c r="N1360" t="s">
        <v>71</v>
      </c>
      <c r="O1360" t="s">
        <v>72</v>
      </c>
      <c r="P1360" t="s">
        <v>73</v>
      </c>
    </row>
    <row r="1361" spans="1:24" ht="15.75" customHeight="1" x14ac:dyDescent="0.3">
      <c r="A1361">
        <v>680</v>
      </c>
      <c r="B1361" s="16" t="s">
        <v>761</v>
      </c>
      <c r="C1361" s="7">
        <f>Rankings!L689</f>
        <v>4.7628242016181455</v>
      </c>
      <c r="D1361" s="7">
        <f>Rankings!M689</f>
        <v>5.3703046920555177</v>
      </c>
      <c r="E1361" s="7">
        <f>Rankings!N689</f>
        <v>3.7355117411068925</v>
      </c>
      <c r="F1361" s="7">
        <f>Rankings!O689</f>
        <v>2.1419099493311236</v>
      </c>
      <c r="G1361" s="7">
        <f>Rankings!P689</f>
        <v>1.9746367445127702</v>
      </c>
      <c r="H1361" s="7">
        <f>Rankings!Q689</f>
        <v>1</v>
      </c>
      <c r="I1361" s="7">
        <f>Rankings!R689</f>
        <v>18.985187328624452</v>
      </c>
      <c r="K1361" s="7">
        <f>F1361</f>
        <v>2.1419099493311236</v>
      </c>
      <c r="L1361" s="7">
        <f>E1361</f>
        <v>3.7355117411068925</v>
      </c>
      <c r="M1361" s="7">
        <f>H1361</f>
        <v>1</v>
      </c>
      <c r="N1361" s="7">
        <f>D1361</f>
        <v>5.3703046920555177</v>
      </c>
      <c r="O1361" s="7">
        <f>G1361</f>
        <v>1.9746367445127702</v>
      </c>
      <c r="P1361" s="7">
        <f>C1361</f>
        <v>4.7628242016181455</v>
      </c>
      <c r="R1361" s="7">
        <f t="shared" ref="R1361:W1361" si="1156">K1361/$I1361</f>
        <v>0.11282005872555764</v>
      </c>
      <c r="S1361" s="7">
        <f t="shared" si="1156"/>
        <v>0.19675927745388985</v>
      </c>
      <c r="T1361" s="7">
        <f t="shared" si="1156"/>
        <v>5.2672643292398513E-2</v>
      </c>
      <c r="U1361" s="7">
        <f t="shared" si="1156"/>
        <v>0.28286814341613431</v>
      </c>
      <c r="V1361" s="7">
        <f t="shared" si="1156"/>
        <v>0.1040093368757842</v>
      </c>
      <c r="W1361" s="7">
        <f t="shared" si="1156"/>
        <v>0.25087054023623534</v>
      </c>
      <c r="X1361" s="7">
        <f>SUM(R1361:W1361)</f>
        <v>0.99999999999999989</v>
      </c>
    </row>
    <row r="1362" spans="1:24" ht="15.75" customHeight="1" x14ac:dyDescent="0.3">
      <c r="C1362" t="s">
        <v>73</v>
      </c>
      <c r="D1362" t="s">
        <v>71</v>
      </c>
      <c r="E1362" t="s">
        <v>69</v>
      </c>
      <c r="F1362" t="s">
        <v>70</v>
      </c>
      <c r="G1362" t="s">
        <v>68</v>
      </c>
      <c r="H1362" t="s">
        <v>72</v>
      </c>
      <c r="K1362" t="s">
        <v>68</v>
      </c>
      <c r="L1362" t="s">
        <v>69</v>
      </c>
      <c r="M1362" t="s">
        <v>70</v>
      </c>
      <c r="N1362" t="s">
        <v>71</v>
      </c>
      <c r="O1362" t="s">
        <v>72</v>
      </c>
      <c r="P1362" t="s">
        <v>73</v>
      </c>
    </row>
    <row r="1363" spans="1:24" ht="15.75" customHeight="1" x14ac:dyDescent="0.3">
      <c r="A1363">
        <v>681</v>
      </c>
      <c r="B1363" s="16" t="s">
        <v>762</v>
      </c>
      <c r="C1363" s="7">
        <f>Rankings!L690</f>
        <v>3.2019432008856521</v>
      </c>
      <c r="D1363" s="7">
        <f>Rankings!M690</f>
        <v>3.6103391323092353</v>
      </c>
      <c r="E1363" s="7">
        <f>Rankings!N690</f>
        <v>2.5113033601370556</v>
      </c>
      <c r="F1363" s="7">
        <f>Rankings!O690</f>
        <v>1.8463779537060261</v>
      </c>
      <c r="G1363" s="7">
        <f>Rankings!P690</f>
        <v>1.0847108741813811</v>
      </c>
      <c r="H1363" s="7">
        <f>Rankings!Q690</f>
        <v>1</v>
      </c>
      <c r="I1363" s="7">
        <f>Rankings!R690</f>
        <v>13.25467452121935</v>
      </c>
      <c r="K1363" s="7">
        <f>G1363</f>
        <v>1.0847108741813811</v>
      </c>
      <c r="L1363" s="7">
        <f t="shared" ref="L1363:M1363" si="1157">E1363</f>
        <v>2.5113033601370556</v>
      </c>
      <c r="M1363" s="7">
        <f t="shared" si="1157"/>
        <v>1.8463779537060261</v>
      </c>
      <c r="N1363" s="7">
        <f>D1363</f>
        <v>3.6103391323092353</v>
      </c>
      <c r="O1363" s="7">
        <f>H1363</f>
        <v>1</v>
      </c>
      <c r="P1363" s="7">
        <f>C1363</f>
        <v>3.2019432008856521</v>
      </c>
      <c r="R1363" s="7">
        <f t="shared" ref="R1363:W1363" si="1158">K1363/$I1363</f>
        <v>8.1836100346702009E-2</v>
      </c>
      <c r="S1363" s="7">
        <f t="shared" si="1158"/>
        <v>0.18946548676972197</v>
      </c>
      <c r="T1363" s="7">
        <f t="shared" si="1158"/>
        <v>0.13930013526549956</v>
      </c>
      <c r="U1363" s="7">
        <f t="shared" si="1158"/>
        <v>0.27238233021334923</v>
      </c>
      <c r="V1363" s="7">
        <f t="shared" si="1158"/>
        <v>7.5445081537015818E-2</v>
      </c>
      <c r="W1363" s="7">
        <f t="shared" si="1158"/>
        <v>0.24157086586771145</v>
      </c>
      <c r="X1363" s="7">
        <f>SUM(R1363:W1363)</f>
        <v>1</v>
      </c>
    </row>
    <row r="1364" spans="1:24" ht="15.75" customHeight="1" x14ac:dyDescent="0.3">
      <c r="C1364" t="s">
        <v>73</v>
      </c>
      <c r="D1364" t="s">
        <v>71</v>
      </c>
      <c r="E1364" t="s">
        <v>69</v>
      </c>
      <c r="F1364" t="s">
        <v>70</v>
      </c>
      <c r="G1364" t="s">
        <v>72</v>
      </c>
      <c r="H1364" t="s">
        <v>68</v>
      </c>
      <c r="K1364" t="s">
        <v>68</v>
      </c>
      <c r="L1364" t="s">
        <v>69</v>
      </c>
      <c r="M1364" t="s">
        <v>70</v>
      </c>
      <c r="N1364" t="s">
        <v>71</v>
      </c>
      <c r="O1364" t="s">
        <v>72</v>
      </c>
      <c r="P1364" t="s">
        <v>73</v>
      </c>
    </row>
    <row r="1365" spans="1:24" ht="15.75" customHeight="1" x14ac:dyDescent="0.3">
      <c r="A1365">
        <v>682</v>
      </c>
      <c r="B1365" s="16" t="s">
        <v>763</v>
      </c>
      <c r="C1365" s="7">
        <f>Rankings!L691</f>
        <v>5.9493788992930083</v>
      </c>
      <c r="D1365" s="7">
        <f>Rankings!M691</f>
        <v>6.70820002275845</v>
      </c>
      <c r="E1365" s="7">
        <f>Rankings!N691</f>
        <v>4.666133745405121</v>
      </c>
      <c r="F1365" s="7">
        <f>Rankings!O691</f>
        <v>3.4306673631375024</v>
      </c>
      <c r="G1365" s="7">
        <f>Rankings!P691</f>
        <v>1.530542412441888</v>
      </c>
      <c r="H1365" s="7">
        <f>Rankings!Q691</f>
        <v>1</v>
      </c>
      <c r="I1365" s="7">
        <f>Rankings!R691</f>
        <v>23.28492244303597</v>
      </c>
      <c r="K1365" s="7">
        <f>H1365</f>
        <v>1</v>
      </c>
      <c r="L1365" s="7">
        <f t="shared" ref="L1365:M1365" si="1159">E1365</f>
        <v>4.666133745405121</v>
      </c>
      <c r="M1365" s="7">
        <f t="shared" si="1159"/>
        <v>3.4306673631375024</v>
      </c>
      <c r="N1365" s="7">
        <f>D1365</f>
        <v>6.70820002275845</v>
      </c>
      <c r="O1365" s="7">
        <f>G1365</f>
        <v>1.530542412441888</v>
      </c>
      <c r="P1365" s="7">
        <f>C1365</f>
        <v>5.9493788992930083</v>
      </c>
      <c r="R1365" s="7">
        <f t="shared" ref="R1365:W1365" si="1160">K1365/$I1365</f>
        <v>4.2946245685223615E-2</v>
      </c>
      <c r="S1365" s="7">
        <f t="shared" si="1160"/>
        <v>0.20039292623028096</v>
      </c>
      <c r="T1365" s="7">
        <f t="shared" si="1160"/>
        <v>0.14733428344158142</v>
      </c>
      <c r="U1365" s="7">
        <f t="shared" si="1160"/>
        <v>0.28809200628300702</v>
      </c>
      <c r="V1365" s="7">
        <f t="shared" si="1160"/>
        <v>6.5731050476384167E-2</v>
      </c>
      <c r="W1365" s="7">
        <f t="shared" si="1160"/>
        <v>0.25550348788352278</v>
      </c>
      <c r="X1365" s="7">
        <f>SUM(R1365:W1365)</f>
        <v>1</v>
      </c>
    </row>
    <row r="1366" spans="1:24" ht="15.75" customHeight="1" x14ac:dyDescent="0.3">
      <c r="C1366" t="s">
        <v>73</v>
      </c>
      <c r="D1366" t="s">
        <v>71</v>
      </c>
      <c r="E1366" t="s">
        <v>69</v>
      </c>
      <c r="F1366" t="s">
        <v>72</v>
      </c>
      <c r="G1366" t="s">
        <v>68</v>
      </c>
      <c r="H1366" t="s">
        <v>70</v>
      </c>
      <c r="K1366" t="s">
        <v>68</v>
      </c>
      <c r="L1366" t="s">
        <v>69</v>
      </c>
      <c r="M1366" t="s">
        <v>70</v>
      </c>
      <c r="N1366" t="s">
        <v>71</v>
      </c>
      <c r="O1366" t="s">
        <v>72</v>
      </c>
      <c r="P1366" t="s">
        <v>73</v>
      </c>
    </row>
    <row r="1367" spans="1:24" ht="15.75" customHeight="1" x14ac:dyDescent="0.3">
      <c r="A1367">
        <v>683</v>
      </c>
      <c r="B1367" s="16" t="s">
        <v>764</v>
      </c>
      <c r="C1367" s="7">
        <f>Rankings!L692</f>
        <v>3.8904794329917589</v>
      </c>
      <c r="D1367" s="7">
        <f>Rankings!M692</f>
        <v>4.3866955967517818</v>
      </c>
      <c r="E1367" s="7">
        <f>Rankings!N692</f>
        <v>3.0513264788438152</v>
      </c>
      <c r="F1367" s="7">
        <f>Rankings!O692</f>
        <v>1.695959518388656</v>
      </c>
      <c r="G1367" s="7">
        <f>Rankings!P692</f>
        <v>1.1080774401297739</v>
      </c>
      <c r="H1367" s="7">
        <f>Rankings!Q692</f>
        <v>1</v>
      </c>
      <c r="I1367" s="7">
        <f>Rankings!R692</f>
        <v>15.132538467105787</v>
      </c>
      <c r="K1367" s="7">
        <f>G1367</f>
        <v>1.1080774401297739</v>
      </c>
      <c r="L1367" s="7">
        <f>E1367</f>
        <v>3.0513264788438152</v>
      </c>
      <c r="M1367" s="7">
        <f>H1367</f>
        <v>1</v>
      </c>
      <c r="N1367" s="7">
        <f>D1367</f>
        <v>4.3866955967517818</v>
      </c>
      <c r="O1367" s="7">
        <f>F1367</f>
        <v>1.695959518388656</v>
      </c>
      <c r="P1367" s="7">
        <f>C1367</f>
        <v>3.8904794329917589</v>
      </c>
      <c r="R1367" s="7">
        <f t="shared" ref="R1367:W1367" si="1161">K1367/$I1367</f>
        <v>7.3224822295244574E-2</v>
      </c>
      <c r="S1367" s="7">
        <f t="shared" si="1161"/>
        <v>0.20164009399193714</v>
      </c>
      <c r="T1367" s="7">
        <f t="shared" si="1161"/>
        <v>6.6082766098611981E-2</v>
      </c>
      <c r="U1367" s="7">
        <f t="shared" si="1161"/>
        <v>0.28988497906595911</v>
      </c>
      <c r="V1367" s="7">
        <f t="shared" si="1161"/>
        <v>0.11207369616639218</v>
      </c>
      <c r="W1367" s="7">
        <f t="shared" si="1161"/>
        <v>0.25709364238185495</v>
      </c>
      <c r="X1367" s="7">
        <f>SUM(R1367:W1367)</f>
        <v>0.99999999999999989</v>
      </c>
    </row>
    <row r="1368" spans="1:24" ht="15.75" customHeight="1" x14ac:dyDescent="0.3">
      <c r="C1368" t="s">
        <v>73</v>
      </c>
      <c r="D1368" t="s">
        <v>71</v>
      </c>
      <c r="E1368" t="s">
        <v>69</v>
      </c>
      <c r="F1368" t="s">
        <v>72</v>
      </c>
      <c r="G1368" t="s">
        <v>70</v>
      </c>
      <c r="H1368" t="s">
        <v>68</v>
      </c>
      <c r="K1368" t="s">
        <v>68</v>
      </c>
      <c r="L1368" t="s">
        <v>69</v>
      </c>
      <c r="M1368" t="s">
        <v>70</v>
      </c>
      <c r="N1368" t="s">
        <v>71</v>
      </c>
      <c r="O1368" t="s">
        <v>72</v>
      </c>
      <c r="P1368" t="s">
        <v>73</v>
      </c>
    </row>
    <row r="1369" spans="1:24" ht="15.75" customHeight="1" x14ac:dyDescent="0.3">
      <c r="A1369">
        <v>684</v>
      </c>
      <c r="B1369" s="16" t="s">
        <v>765</v>
      </c>
      <c r="C1369" s="7">
        <f>Rankings!L693</f>
        <v>7.7104809451461831</v>
      </c>
      <c r="D1369" s="7">
        <f>Rankings!M693</f>
        <v>8.6939240763190853</v>
      </c>
      <c r="E1369" s="7">
        <f>Rankings!N693</f>
        <v>6.0473766993938174</v>
      </c>
      <c r="F1369" s="7">
        <f>Rankings!O693</f>
        <v>3.3611959079858544</v>
      </c>
      <c r="G1369" s="7">
        <f>Rankings!P693</f>
        <v>1.7021844231989158</v>
      </c>
      <c r="H1369" s="7">
        <f>Rankings!Q693</f>
        <v>1</v>
      </c>
      <c r="I1369" s="7">
        <f>Rankings!R693</f>
        <v>28.515162052043859</v>
      </c>
      <c r="K1369" s="7">
        <f>H1369</f>
        <v>1</v>
      </c>
      <c r="L1369" s="7">
        <f>E1369</f>
        <v>6.0473766993938174</v>
      </c>
      <c r="M1369" s="7">
        <f>G1369</f>
        <v>1.7021844231989158</v>
      </c>
      <c r="N1369" s="7">
        <f>D1369</f>
        <v>8.6939240763190853</v>
      </c>
      <c r="O1369" s="7">
        <f>F1369</f>
        <v>3.3611959079858544</v>
      </c>
      <c r="P1369" s="7">
        <f>C1369</f>
        <v>7.7104809451461831</v>
      </c>
      <c r="R1369" s="7">
        <f t="shared" ref="R1369:W1369" si="1162">K1369/$I1369</f>
        <v>3.5069062492959734E-2</v>
      </c>
      <c r="S1369" s="7">
        <f t="shared" si="1162"/>
        <v>0.21207583138951036</v>
      </c>
      <c r="T1369" s="7">
        <f t="shared" si="1162"/>
        <v>5.9694011911705397E-2</v>
      </c>
      <c r="U1369" s="7">
        <f t="shared" si="1162"/>
        <v>0.30488776674148121</v>
      </c>
      <c r="V1369" s="7">
        <f t="shared" si="1162"/>
        <v>0.11787398934823647</v>
      </c>
      <c r="W1369" s="7">
        <f t="shared" si="1162"/>
        <v>0.27039933811610672</v>
      </c>
      <c r="X1369" s="7">
        <f>SUM(R1369:W1369)</f>
        <v>0.99999999999999989</v>
      </c>
    </row>
    <row r="1370" spans="1:24" ht="15.75" customHeight="1" x14ac:dyDescent="0.3">
      <c r="C1370" t="s">
        <v>73</v>
      </c>
      <c r="D1370" t="s">
        <v>71</v>
      </c>
      <c r="E1370" t="s">
        <v>70</v>
      </c>
      <c r="F1370" t="s">
        <v>68</v>
      </c>
      <c r="G1370" t="s">
        <v>69</v>
      </c>
      <c r="H1370" t="s">
        <v>72</v>
      </c>
      <c r="K1370" t="s">
        <v>68</v>
      </c>
      <c r="L1370" t="s">
        <v>69</v>
      </c>
      <c r="M1370" t="s">
        <v>70</v>
      </c>
      <c r="N1370" t="s">
        <v>71</v>
      </c>
      <c r="O1370" t="s">
        <v>72</v>
      </c>
      <c r="P1370" t="s">
        <v>73</v>
      </c>
    </row>
    <row r="1371" spans="1:24" ht="15.75" customHeight="1" x14ac:dyDescent="0.3">
      <c r="A1371">
        <v>685</v>
      </c>
      <c r="B1371" s="16" t="s">
        <v>766</v>
      </c>
      <c r="C1371" s="7">
        <f>Rankings!L694</f>
        <v>9.9565693653926814</v>
      </c>
      <c r="D1371" s="7">
        <f>Rankings!M694</f>
        <v>11.226492710265994</v>
      </c>
      <c r="E1371" s="7">
        <f>Rankings!N694</f>
        <v>5.0143791727828404</v>
      </c>
      <c r="F1371" s="7">
        <f>Rankings!O694</f>
        <v>2.9458495239659848</v>
      </c>
      <c r="G1371" s="7">
        <f>Rankings!P694</f>
        <v>1.7991741228251155</v>
      </c>
      <c r="H1371" s="7">
        <f>Rankings!Q694</f>
        <v>1</v>
      </c>
      <c r="I1371" s="7">
        <f>Rankings!R694</f>
        <v>31.942464895232614</v>
      </c>
      <c r="K1371" s="7">
        <f t="shared" ref="K1371:L1371" si="1163">F1371</f>
        <v>2.9458495239659848</v>
      </c>
      <c r="L1371" s="7">
        <f t="shared" si="1163"/>
        <v>1.7991741228251155</v>
      </c>
      <c r="M1371" s="7">
        <f>E1371</f>
        <v>5.0143791727828404</v>
      </c>
      <c r="N1371" s="7">
        <f>D1371</f>
        <v>11.226492710265994</v>
      </c>
      <c r="O1371" s="7">
        <f>H1371</f>
        <v>1</v>
      </c>
      <c r="P1371" s="7">
        <f>C1371</f>
        <v>9.9565693653926814</v>
      </c>
      <c r="R1371" s="7">
        <f t="shared" ref="R1371:W1371" si="1164">K1371/$I1371</f>
        <v>9.2223613100241686E-2</v>
      </c>
      <c r="S1371" s="7">
        <f t="shared" si="1164"/>
        <v>5.6325462944897549E-2</v>
      </c>
      <c r="T1371" s="7">
        <f t="shared" si="1164"/>
        <v>0.15698159767035488</v>
      </c>
      <c r="U1371" s="7">
        <f t="shared" si="1164"/>
        <v>0.35145981210553162</v>
      </c>
      <c r="V1371" s="7">
        <f t="shared" si="1164"/>
        <v>3.1306287829692477E-2</v>
      </c>
      <c r="W1371" s="7">
        <f t="shared" si="1164"/>
        <v>0.31170322634928188</v>
      </c>
      <c r="X1371" s="7">
        <f>SUM(R1371:W1371)</f>
        <v>1.0000000000000002</v>
      </c>
    </row>
    <row r="1372" spans="1:24" ht="15.75" customHeight="1" x14ac:dyDescent="0.3">
      <c r="C1372" t="s">
        <v>73</v>
      </c>
      <c r="D1372" t="s">
        <v>71</v>
      </c>
      <c r="E1372" t="s">
        <v>70</v>
      </c>
      <c r="F1372" t="s">
        <v>68</v>
      </c>
      <c r="G1372" t="s">
        <v>72</v>
      </c>
      <c r="H1372" t="s">
        <v>69</v>
      </c>
      <c r="K1372" t="s">
        <v>68</v>
      </c>
      <c r="L1372" t="s">
        <v>69</v>
      </c>
      <c r="M1372" t="s">
        <v>70</v>
      </c>
      <c r="N1372" t="s">
        <v>71</v>
      </c>
      <c r="O1372" t="s">
        <v>72</v>
      </c>
      <c r="P1372" t="s">
        <v>73</v>
      </c>
    </row>
    <row r="1373" spans="1:24" ht="15.75" customHeight="1" x14ac:dyDescent="0.3">
      <c r="A1373">
        <v>686</v>
      </c>
      <c r="B1373" s="16" t="s">
        <v>767</v>
      </c>
      <c r="C1373" s="7">
        <f>Rankings!L695</f>
        <v>6.6882789134552896</v>
      </c>
      <c r="D1373" s="7">
        <f>Rankings!M695</f>
        <v>7.5413439821066524</v>
      </c>
      <c r="E1373" s="7">
        <f>Rankings!N695</f>
        <v>3.3683857616624104</v>
      </c>
      <c r="F1373" s="7">
        <f>Rankings!O695</f>
        <v>1.9788606426865321</v>
      </c>
      <c r="G1373" s="7">
        <f>Rankings!P695</f>
        <v>1.8243208303594776</v>
      </c>
      <c r="H1373" s="7">
        <f>Rankings!Q695</f>
        <v>1</v>
      </c>
      <c r="I1373" s="7">
        <f>Rankings!R695</f>
        <v>22.401190130270361</v>
      </c>
      <c r="K1373" s="7">
        <f>F1373</f>
        <v>1.9788606426865321</v>
      </c>
      <c r="L1373" s="7">
        <f>H1373</f>
        <v>1</v>
      </c>
      <c r="M1373" s="7">
        <f>E1373</f>
        <v>3.3683857616624104</v>
      </c>
      <c r="N1373" s="7">
        <f>D1373</f>
        <v>7.5413439821066524</v>
      </c>
      <c r="O1373" s="7">
        <f>G1373</f>
        <v>1.8243208303594776</v>
      </c>
      <c r="P1373" s="7">
        <f>C1373</f>
        <v>6.6882789134552896</v>
      </c>
      <c r="R1373" s="7">
        <f t="shared" ref="R1373:W1373" si="1165">K1373/$I1373</f>
        <v>8.8337299544301001E-2</v>
      </c>
      <c r="S1373" s="7">
        <f t="shared" si="1165"/>
        <v>4.4640485357459486E-2</v>
      </c>
      <c r="T1373" s="7">
        <f t="shared" si="1165"/>
        <v>0.15036637527176586</v>
      </c>
      <c r="U1373" s="7">
        <f t="shared" si="1165"/>
        <v>0.33664925560879722</v>
      </c>
      <c r="V1373" s="7">
        <f t="shared" si="1165"/>
        <v>8.1438567314970581E-2</v>
      </c>
      <c r="W1373" s="7">
        <f t="shared" si="1165"/>
        <v>0.2985680169027059</v>
      </c>
      <c r="X1373" s="7">
        <f>SUM(R1373:W1373)</f>
        <v>1</v>
      </c>
    </row>
    <row r="1374" spans="1:24" ht="15.75" customHeight="1" x14ac:dyDescent="0.3">
      <c r="C1374" t="s">
        <v>73</v>
      </c>
      <c r="D1374" t="s">
        <v>71</v>
      </c>
      <c r="E1374" t="s">
        <v>70</v>
      </c>
      <c r="F1374" t="s">
        <v>69</v>
      </c>
      <c r="G1374" t="s">
        <v>68</v>
      </c>
      <c r="H1374" t="s">
        <v>72</v>
      </c>
      <c r="K1374" t="s">
        <v>68</v>
      </c>
      <c r="L1374" t="s">
        <v>69</v>
      </c>
      <c r="M1374" t="s">
        <v>70</v>
      </c>
      <c r="N1374" t="s">
        <v>71</v>
      </c>
      <c r="O1374" t="s">
        <v>72</v>
      </c>
      <c r="P1374" t="s">
        <v>73</v>
      </c>
    </row>
    <row r="1375" spans="1:24" ht="15.75" customHeight="1" x14ac:dyDescent="0.3">
      <c r="A1375">
        <v>687</v>
      </c>
      <c r="B1375" s="16" t="s">
        <v>768</v>
      </c>
      <c r="C1375" s="7">
        <f>Rankings!L696</f>
        <v>5.6568599673054907</v>
      </c>
      <c r="D1375" s="7">
        <f>Rankings!M696</f>
        <v>6.3783713903193338</v>
      </c>
      <c r="E1375" s="7">
        <f>Rankings!N696</f>
        <v>2.848937195375723</v>
      </c>
      <c r="F1375" s="7">
        <f>Rankings!O696</f>
        <v>1.8917462928244089</v>
      </c>
      <c r="G1375" s="7">
        <f>Rankings!P696</f>
        <v>1.0847108741813811</v>
      </c>
      <c r="H1375" s="7">
        <f>Rankings!Q696</f>
        <v>1</v>
      </c>
      <c r="I1375" s="7">
        <f>Rankings!R696</f>
        <v>18.860625720006336</v>
      </c>
      <c r="K1375" s="7">
        <f>G1375</f>
        <v>1.0847108741813811</v>
      </c>
      <c r="L1375" s="7">
        <f>F1375</f>
        <v>1.8917462928244089</v>
      </c>
      <c r="M1375" s="7">
        <f>E1375</f>
        <v>2.848937195375723</v>
      </c>
      <c r="N1375" s="7">
        <f>D1375</f>
        <v>6.3783713903193338</v>
      </c>
      <c r="O1375" s="7">
        <f>H1375</f>
        <v>1</v>
      </c>
      <c r="P1375" s="7">
        <f>C1375</f>
        <v>5.6568599673054907</v>
      </c>
      <c r="R1375" s="7">
        <f t="shared" ref="R1375:W1375" si="1166">K1375/$I1375</f>
        <v>5.7511924062560567E-2</v>
      </c>
      <c r="S1375" s="7">
        <f t="shared" si="1166"/>
        <v>0.10030135377840335</v>
      </c>
      <c r="T1375" s="7">
        <f t="shared" si="1166"/>
        <v>0.15105210387340032</v>
      </c>
      <c r="U1375" s="7">
        <f t="shared" si="1166"/>
        <v>0.33818450591241522</v>
      </c>
      <c r="V1375" s="7">
        <f t="shared" si="1166"/>
        <v>5.3020510286636666E-2</v>
      </c>
      <c r="W1375" s="7">
        <f t="shared" si="1166"/>
        <v>0.29992960208658392</v>
      </c>
      <c r="X1375" s="7">
        <f>SUM(R1375:W1375)</f>
        <v>1</v>
      </c>
    </row>
    <row r="1376" spans="1:24" ht="15.75" customHeight="1" x14ac:dyDescent="0.3">
      <c r="C1376" t="s">
        <v>73</v>
      </c>
      <c r="D1376" t="s">
        <v>71</v>
      </c>
      <c r="E1376" t="s">
        <v>70</v>
      </c>
      <c r="F1376" t="s">
        <v>69</v>
      </c>
      <c r="G1376" t="s">
        <v>72</v>
      </c>
      <c r="H1376" t="s">
        <v>68</v>
      </c>
      <c r="K1376" t="s">
        <v>68</v>
      </c>
      <c r="L1376" t="s">
        <v>69</v>
      </c>
      <c r="M1376" t="s">
        <v>70</v>
      </c>
      <c r="N1376" t="s">
        <v>71</v>
      </c>
      <c r="O1376" t="s">
        <v>72</v>
      </c>
      <c r="P1376" t="s">
        <v>73</v>
      </c>
    </row>
    <row r="1377" spans="1:24" ht="15.75" customHeight="1" x14ac:dyDescent="0.3">
      <c r="A1377">
        <v>688</v>
      </c>
      <c r="B1377" s="16" t="s">
        <v>769</v>
      </c>
      <c r="C1377" s="7">
        <f>Rankings!L697</f>
        <v>8.2343837245707476</v>
      </c>
      <c r="D1377" s="7">
        <f>Rankings!M697</f>
        <v>9.2846487042759147</v>
      </c>
      <c r="E1377" s="7">
        <f>Rankings!N697</f>
        <v>4.1470430962604041</v>
      </c>
      <c r="F1377" s="7">
        <f>Rankings!O697</f>
        <v>2.75371230235177</v>
      </c>
      <c r="G1377" s="7">
        <f>Rankings!P697</f>
        <v>1.530542412441888</v>
      </c>
      <c r="H1377" s="7">
        <f>Rankings!Q697</f>
        <v>1</v>
      </c>
      <c r="I1377" s="7">
        <f>Rankings!R697</f>
        <v>26.950330239900726</v>
      </c>
      <c r="K1377" s="7">
        <f>H1377</f>
        <v>1</v>
      </c>
      <c r="L1377" s="7">
        <f>F1377</f>
        <v>2.75371230235177</v>
      </c>
      <c r="M1377" s="7">
        <f>E1377</f>
        <v>4.1470430962604041</v>
      </c>
      <c r="N1377" s="7">
        <f>D1377</f>
        <v>9.2846487042759147</v>
      </c>
      <c r="O1377" s="7">
        <f>G1377</f>
        <v>1.530542412441888</v>
      </c>
      <c r="P1377" s="7">
        <f>C1377</f>
        <v>8.2343837245707476</v>
      </c>
      <c r="R1377" s="7">
        <f t="shared" ref="R1377:W1377" si="1167">K1377/$I1377</f>
        <v>3.7105296710593615E-2</v>
      </c>
      <c r="S1377" s="7">
        <f t="shared" si="1167"/>
        <v>0.1021773120343743</v>
      </c>
      <c r="T1377" s="7">
        <f t="shared" si="1167"/>
        <v>0.15387726455836112</v>
      </c>
      <c r="U1377" s="7">
        <f t="shared" si="1167"/>
        <v>0.34450964502578635</v>
      </c>
      <c r="V1377" s="7">
        <f t="shared" si="1167"/>
        <v>5.6791230341804E-2</v>
      </c>
      <c r="W1377" s="7">
        <f t="shared" si="1167"/>
        <v>0.30553925132908055</v>
      </c>
      <c r="X1377" s="7">
        <f>SUM(R1377:W1377)</f>
        <v>1</v>
      </c>
    </row>
    <row r="1378" spans="1:24" ht="15.75" customHeight="1" x14ac:dyDescent="0.3">
      <c r="C1378" t="s">
        <v>73</v>
      </c>
      <c r="D1378" t="s">
        <v>71</v>
      </c>
      <c r="E1378" t="s">
        <v>70</v>
      </c>
      <c r="F1378" t="s">
        <v>72</v>
      </c>
      <c r="G1378" t="s">
        <v>68</v>
      </c>
      <c r="H1378" t="s">
        <v>69</v>
      </c>
      <c r="K1378" t="s">
        <v>68</v>
      </c>
      <c r="L1378" t="s">
        <v>69</v>
      </c>
      <c r="M1378" t="s">
        <v>70</v>
      </c>
      <c r="N1378" t="s">
        <v>71</v>
      </c>
      <c r="O1378" t="s">
        <v>72</v>
      </c>
      <c r="P1378" t="s">
        <v>73</v>
      </c>
    </row>
    <row r="1379" spans="1:24" ht="15.75" customHeight="1" x14ac:dyDescent="0.3">
      <c r="A1379">
        <v>689</v>
      </c>
      <c r="B1379" s="16" t="s">
        <v>770</v>
      </c>
      <c r="C1379" s="7">
        <f>Rankings!L698</f>
        <v>11.15343207328567</v>
      </c>
      <c r="D1379" s="7">
        <f>Rankings!M698</f>
        <v>12.576010799503944</v>
      </c>
      <c r="E1379" s="7">
        <f>Rankings!N698</f>
        <v>5.6171493855831791</v>
      </c>
      <c r="F1379" s="7">
        <f>Rankings!O698</f>
        <v>2.5060096073535783</v>
      </c>
      <c r="G1379" s="7">
        <f>Rankings!P698</f>
        <v>1.6373343116675814</v>
      </c>
      <c r="H1379" s="7">
        <f>Rankings!Q698</f>
        <v>1</v>
      </c>
      <c r="I1379" s="7">
        <f>Rankings!R698</f>
        <v>34.48993617739395</v>
      </c>
      <c r="K1379" s="7">
        <f t="shared" ref="K1379:L1379" si="1168">G1379</f>
        <v>1.6373343116675814</v>
      </c>
      <c r="L1379" s="7">
        <f t="shared" si="1168"/>
        <v>1</v>
      </c>
      <c r="M1379" s="7">
        <f>E1379</f>
        <v>5.6171493855831791</v>
      </c>
      <c r="N1379" s="7">
        <f>D1379</f>
        <v>12.576010799503944</v>
      </c>
      <c r="O1379" s="7">
        <f>F1379</f>
        <v>2.5060096073535783</v>
      </c>
      <c r="P1379" s="7">
        <f>C1379</f>
        <v>11.15343207328567</v>
      </c>
      <c r="R1379" s="7">
        <f t="shared" ref="R1379:W1379" si="1169">K1379/$I1379</f>
        <v>4.7472813612822927E-2</v>
      </c>
      <c r="S1379" s="7">
        <f t="shared" si="1169"/>
        <v>2.8993964931006134E-2</v>
      </c>
      <c r="T1379" s="7">
        <f t="shared" si="1169"/>
        <v>0.16286343229782135</v>
      </c>
      <c r="U1379" s="7">
        <f t="shared" si="1169"/>
        <v>0.3646284160927718</v>
      </c>
      <c r="V1379" s="7">
        <f t="shared" si="1169"/>
        <v>7.2659154672374104E-2</v>
      </c>
      <c r="W1379" s="7">
        <f t="shared" si="1169"/>
        <v>0.32338221839320375</v>
      </c>
      <c r="X1379" s="7">
        <f>SUM(R1379:W1379)</f>
        <v>1</v>
      </c>
    </row>
    <row r="1380" spans="1:24" ht="15.75" customHeight="1" x14ac:dyDescent="0.3">
      <c r="C1380" t="s">
        <v>73</v>
      </c>
      <c r="D1380" t="s">
        <v>71</v>
      </c>
      <c r="E1380" t="s">
        <v>70</v>
      </c>
      <c r="F1380" t="s">
        <v>72</v>
      </c>
      <c r="G1380" t="s">
        <v>69</v>
      </c>
      <c r="H1380" t="s">
        <v>68</v>
      </c>
      <c r="K1380" t="s">
        <v>68</v>
      </c>
      <c r="L1380" t="s">
        <v>69</v>
      </c>
      <c r="M1380" t="s">
        <v>70</v>
      </c>
      <c r="N1380" t="s">
        <v>71</v>
      </c>
      <c r="O1380" t="s">
        <v>72</v>
      </c>
      <c r="P1380" t="s">
        <v>73</v>
      </c>
    </row>
    <row r="1381" spans="1:24" ht="15.75" customHeight="1" x14ac:dyDescent="0.3">
      <c r="A1381">
        <v>690</v>
      </c>
      <c r="B1381" s="16" t="s">
        <v>771</v>
      </c>
      <c r="C1381" s="7">
        <f>Rankings!L699</f>
        <v>14.160412659836728</v>
      </c>
      <c r="D1381" s="7">
        <f>Rankings!M699</f>
        <v>15.966520562049594</v>
      </c>
      <c r="E1381" s="7">
        <f>Rankings!N699</f>
        <v>7.1315405651970112</v>
      </c>
      <c r="F1381" s="7">
        <f>Rankings!O699</f>
        <v>3.1816332350862009</v>
      </c>
      <c r="G1381" s="7">
        <f>Rankings!P699</f>
        <v>1.7440097060445605</v>
      </c>
      <c r="H1381" s="7">
        <f>Rankings!Q699</f>
        <v>1</v>
      </c>
      <c r="I1381" s="7">
        <f>Rankings!R699</f>
        <v>43.184116728214093</v>
      </c>
      <c r="K1381" s="7">
        <f>H1381</f>
        <v>1</v>
      </c>
      <c r="L1381" s="7">
        <f>G1381</f>
        <v>1.7440097060445605</v>
      </c>
      <c r="M1381" s="7">
        <f>E1381</f>
        <v>7.1315405651970112</v>
      </c>
      <c r="N1381" s="7">
        <f>D1381</f>
        <v>15.966520562049594</v>
      </c>
      <c r="O1381" s="7">
        <f>F1381</f>
        <v>3.1816332350862009</v>
      </c>
      <c r="P1381" s="7">
        <f>C1381</f>
        <v>14.160412659836728</v>
      </c>
      <c r="R1381" s="7">
        <f t="shared" ref="R1381:W1381" si="1170">K1381/$I1381</f>
        <v>2.315666211940039E-2</v>
      </c>
      <c r="S1381" s="7">
        <f t="shared" si="1170"/>
        <v>4.0385443495828684E-2</v>
      </c>
      <c r="T1381" s="7">
        <f t="shared" si="1170"/>
        <v>0.16514267525906487</v>
      </c>
      <c r="U1381" s="7">
        <f t="shared" si="1170"/>
        <v>0.36973132187784125</v>
      </c>
      <c r="V1381" s="7">
        <f t="shared" si="1170"/>
        <v>7.3676005812745943E-2</v>
      </c>
      <c r="W1381" s="7">
        <f t="shared" si="1170"/>
        <v>0.32790789143511889</v>
      </c>
      <c r="X1381" s="7">
        <f>SUM(R1381:W1381)</f>
        <v>1</v>
      </c>
    </row>
    <row r="1382" spans="1:24" ht="15.75" customHeight="1" x14ac:dyDescent="0.3">
      <c r="C1382" t="s">
        <v>73</v>
      </c>
      <c r="D1382" t="s">
        <v>71</v>
      </c>
      <c r="E1382" t="s">
        <v>72</v>
      </c>
      <c r="F1382" t="s">
        <v>68</v>
      </c>
      <c r="G1382" t="s">
        <v>69</v>
      </c>
      <c r="H1382" t="s">
        <v>70</v>
      </c>
      <c r="K1382" t="s">
        <v>68</v>
      </c>
      <c r="L1382" t="s">
        <v>69</v>
      </c>
      <c r="M1382" t="s">
        <v>70</v>
      </c>
      <c r="N1382" t="s">
        <v>71</v>
      </c>
      <c r="O1382" t="s">
        <v>72</v>
      </c>
      <c r="P1382" t="s">
        <v>73</v>
      </c>
    </row>
    <row r="1383" spans="1:24" ht="15.75" customHeight="1" x14ac:dyDescent="0.3">
      <c r="A1383">
        <v>691</v>
      </c>
      <c r="B1383" s="16" t="s">
        <v>772</v>
      </c>
      <c r="C1383" s="7">
        <f>Rankings!L700</f>
        <v>5.7273063063218181</v>
      </c>
      <c r="D1383" s="7">
        <f>Rankings!M700</f>
        <v>6.4578028975391444</v>
      </c>
      <c r="E1383" s="7">
        <f>Rankings!N700</f>
        <v>3.4084843435499499</v>
      </c>
      <c r="F1383" s="7">
        <f>Rankings!O700</f>
        <v>2.2269780411455038</v>
      </c>
      <c r="G1383" s="7">
        <f>Rankings!P700</f>
        <v>1.3601242124324544</v>
      </c>
      <c r="H1383" s="7">
        <f>Rankings!Q700</f>
        <v>1</v>
      </c>
      <c r="I1383" s="7">
        <f>Rankings!R700</f>
        <v>20.180695800988868</v>
      </c>
      <c r="K1383" s="7">
        <f t="shared" ref="K1383:M1383" si="1171">F1383</f>
        <v>2.2269780411455038</v>
      </c>
      <c r="L1383" s="7">
        <f t="shared" si="1171"/>
        <v>1.3601242124324544</v>
      </c>
      <c r="M1383" s="7">
        <f t="shared" si="1171"/>
        <v>1</v>
      </c>
      <c r="N1383" s="7">
        <f t="shared" ref="N1383:O1383" si="1172">D1383</f>
        <v>6.4578028975391444</v>
      </c>
      <c r="O1383" s="7">
        <f t="shared" si="1172"/>
        <v>3.4084843435499499</v>
      </c>
      <c r="P1383" s="7">
        <f>C1383</f>
        <v>5.7273063063218181</v>
      </c>
      <c r="R1383" s="7">
        <f t="shared" ref="R1383:W1383" si="1173">K1383/$I1383</f>
        <v>0.11035189584674183</v>
      </c>
      <c r="S1383" s="7">
        <f t="shared" si="1173"/>
        <v>6.7397290254273962E-2</v>
      </c>
      <c r="T1383" s="7">
        <f t="shared" si="1173"/>
        <v>4.9552305324923399E-2</v>
      </c>
      <c r="U1383" s="7">
        <f t="shared" si="1173"/>
        <v>0.31999902090703469</v>
      </c>
      <c r="V1383" s="7">
        <f t="shared" si="1173"/>
        <v>0.16889825688680823</v>
      </c>
      <c r="W1383" s="7">
        <f t="shared" si="1173"/>
        <v>0.28380123078021802</v>
      </c>
      <c r="X1383" s="7">
        <f>SUM(R1383:W1383)</f>
        <v>1.0000000000000002</v>
      </c>
    </row>
    <row r="1384" spans="1:24" ht="15.75" customHeight="1" x14ac:dyDescent="0.3">
      <c r="C1384" t="s">
        <v>73</v>
      </c>
      <c r="D1384" t="s">
        <v>71</v>
      </c>
      <c r="E1384" t="s">
        <v>72</v>
      </c>
      <c r="F1384" t="s">
        <v>68</v>
      </c>
      <c r="G1384" t="s">
        <v>70</v>
      </c>
      <c r="H1384" t="s">
        <v>69</v>
      </c>
      <c r="K1384" t="s">
        <v>68</v>
      </c>
      <c r="L1384" t="s">
        <v>69</v>
      </c>
      <c r="M1384" t="s">
        <v>70</v>
      </c>
      <c r="N1384" t="s">
        <v>71</v>
      </c>
      <c r="O1384" t="s">
        <v>72</v>
      </c>
      <c r="P1384" t="s">
        <v>73</v>
      </c>
    </row>
    <row r="1385" spans="1:24" ht="15.75" customHeight="1" x14ac:dyDescent="0.3">
      <c r="A1385">
        <v>692</v>
      </c>
      <c r="B1385" s="16" t="s">
        <v>773</v>
      </c>
      <c r="C1385" s="7">
        <f>Rankings!L701</f>
        <v>4.2916527288534114</v>
      </c>
      <c r="D1385" s="7">
        <f>Rankings!M701</f>
        <v>4.8390370525546755</v>
      </c>
      <c r="E1385" s="7">
        <f>Rankings!N701</f>
        <v>2.5540856996078252</v>
      </c>
      <c r="F1385" s="7">
        <f>Rankings!O701</f>
        <v>1.668745458371804</v>
      </c>
      <c r="G1385" s="7">
        <f>Rankings!P701</f>
        <v>1.5059827029565431</v>
      </c>
      <c r="H1385" s="7">
        <f>Rankings!Q701</f>
        <v>1</v>
      </c>
      <c r="I1385" s="7">
        <f>Rankings!R701</f>
        <v>15.859503642344258</v>
      </c>
      <c r="K1385" s="7">
        <f>F1385</f>
        <v>1.668745458371804</v>
      </c>
      <c r="L1385" s="7">
        <f>H1385</f>
        <v>1</v>
      </c>
      <c r="M1385" s="7">
        <f>G1385</f>
        <v>1.5059827029565431</v>
      </c>
      <c r="N1385" s="7">
        <f t="shared" ref="N1385:O1385" si="1174">D1385</f>
        <v>4.8390370525546755</v>
      </c>
      <c r="O1385" s="7">
        <f t="shared" si="1174"/>
        <v>2.5540856996078252</v>
      </c>
      <c r="P1385" s="7">
        <f>C1385</f>
        <v>4.2916527288534114</v>
      </c>
      <c r="R1385" s="7">
        <f t="shared" ref="R1385:W1385" si="1175">K1385/$I1385</f>
        <v>0.10522053501827879</v>
      </c>
      <c r="S1385" s="7">
        <f t="shared" si="1175"/>
        <v>6.3053675736108095E-2</v>
      </c>
      <c r="T1385" s="7">
        <f t="shared" si="1175"/>
        <v>9.4957745016409453E-2</v>
      </c>
      <c r="U1385" s="7">
        <f t="shared" si="1175"/>
        <v>0.30511907318679476</v>
      </c>
      <c r="V1385" s="7">
        <f t="shared" si="1175"/>
        <v>0.16104449150530259</v>
      </c>
      <c r="W1385" s="7">
        <f t="shared" si="1175"/>
        <v>0.27060447953710642</v>
      </c>
      <c r="X1385" s="7">
        <f>SUM(R1385:W1385)</f>
        <v>1</v>
      </c>
    </row>
    <row r="1386" spans="1:24" ht="15.75" customHeight="1" x14ac:dyDescent="0.3">
      <c r="C1386" t="s">
        <v>73</v>
      </c>
      <c r="D1386" t="s">
        <v>71</v>
      </c>
      <c r="E1386" t="s">
        <v>72</v>
      </c>
      <c r="F1386" t="s">
        <v>69</v>
      </c>
      <c r="G1386" t="s">
        <v>68</v>
      </c>
      <c r="H1386" t="s">
        <v>70</v>
      </c>
      <c r="K1386" t="s">
        <v>68</v>
      </c>
      <c r="L1386" t="s">
        <v>69</v>
      </c>
      <c r="M1386" t="s">
        <v>70</v>
      </c>
      <c r="N1386" t="s">
        <v>71</v>
      </c>
      <c r="O1386" t="s">
        <v>72</v>
      </c>
      <c r="P1386" t="s">
        <v>73</v>
      </c>
    </row>
    <row r="1387" spans="1:24" ht="15.75" customHeight="1" x14ac:dyDescent="0.3">
      <c r="A1387">
        <v>693</v>
      </c>
      <c r="B1387" s="16" t="s">
        <v>774</v>
      </c>
      <c r="C1387" s="7">
        <f>Rankings!L702</f>
        <v>5.9239220424871233</v>
      </c>
      <c r="D1387" s="7">
        <f>Rankings!M702</f>
        <v>6.6794962386668217</v>
      </c>
      <c r="E1387" s="7">
        <f>Rankings!N702</f>
        <v>3.5254960105661288</v>
      </c>
      <c r="F1387" s="7">
        <f>Rankings!O702</f>
        <v>1.9324978106353361</v>
      </c>
      <c r="G1387" s="7">
        <f>Rankings!P702</f>
        <v>1.1080774401297739</v>
      </c>
      <c r="H1387" s="7">
        <f>Rankings!Q702</f>
        <v>1</v>
      </c>
      <c r="I1387" s="7">
        <f>Rankings!R702</f>
        <v>20.169489542485184</v>
      </c>
      <c r="K1387" s="7">
        <f>G1387</f>
        <v>1.1080774401297739</v>
      </c>
      <c r="L1387" s="7">
        <f>F1387</f>
        <v>1.9324978106353361</v>
      </c>
      <c r="M1387" s="7">
        <f>H1387</f>
        <v>1</v>
      </c>
      <c r="N1387" s="7">
        <f t="shared" ref="N1387:O1387" si="1176">D1387</f>
        <v>6.6794962386668217</v>
      </c>
      <c r="O1387" s="7">
        <f t="shared" si="1176"/>
        <v>3.5254960105661288</v>
      </c>
      <c r="P1387" s="7">
        <f>C1387</f>
        <v>5.9239220424871233</v>
      </c>
      <c r="R1387" s="7">
        <f t="shared" ref="R1387:W1387" si="1177">K1387/$I1387</f>
        <v>5.4938298651322347E-2</v>
      </c>
      <c r="S1387" s="7">
        <f t="shared" si="1177"/>
        <v>9.5812926081480954E-2</v>
      </c>
      <c r="T1387" s="7">
        <f t="shared" si="1177"/>
        <v>4.9579836807153277E-2</v>
      </c>
      <c r="U1387" s="7">
        <f t="shared" si="1177"/>
        <v>0.33116833346709512</v>
      </c>
      <c r="V1387" s="7">
        <f t="shared" si="1177"/>
        <v>0.17479351686813857</v>
      </c>
      <c r="W1387" s="7">
        <f t="shared" si="1177"/>
        <v>0.29370708812480967</v>
      </c>
      <c r="X1387" s="7">
        <f>SUM(R1387:W1387)</f>
        <v>1</v>
      </c>
    </row>
    <row r="1388" spans="1:24" ht="15.75" customHeight="1" x14ac:dyDescent="0.3">
      <c r="C1388" t="s">
        <v>73</v>
      </c>
      <c r="D1388" t="s">
        <v>71</v>
      </c>
      <c r="E1388" t="s">
        <v>72</v>
      </c>
      <c r="F1388" t="s">
        <v>69</v>
      </c>
      <c r="G1388" t="s">
        <v>70</v>
      </c>
      <c r="H1388" t="s">
        <v>68</v>
      </c>
      <c r="K1388" t="s">
        <v>68</v>
      </c>
      <c r="L1388" t="s">
        <v>69</v>
      </c>
      <c r="M1388" t="s">
        <v>70</v>
      </c>
      <c r="N1388" t="s">
        <v>71</v>
      </c>
      <c r="O1388" t="s">
        <v>72</v>
      </c>
      <c r="P1388" t="s">
        <v>73</v>
      </c>
    </row>
    <row r="1389" spans="1:24" ht="15.75" customHeight="1" x14ac:dyDescent="0.3">
      <c r="A1389">
        <v>694</v>
      </c>
      <c r="B1389" s="16" t="s">
        <v>775</v>
      </c>
      <c r="C1389" s="7">
        <f>Rankings!L703</f>
        <v>7.0970114822024151</v>
      </c>
      <c r="D1389" s="7">
        <f>Rankings!M703</f>
        <v>8.0022088679012704</v>
      </c>
      <c r="E1389" s="7">
        <f>Rankings!N703</f>
        <v>4.2236352011381157</v>
      </c>
      <c r="F1389" s="7">
        <f>Rankings!O703</f>
        <v>2.3151822480182171</v>
      </c>
      <c r="G1389" s="7">
        <f>Rankings!P703</f>
        <v>1.7021844231989158</v>
      </c>
      <c r="H1389" s="7">
        <f>Rankings!Q703</f>
        <v>1</v>
      </c>
      <c r="I1389" s="7">
        <f>Rankings!R703</f>
        <v>24.340222222458934</v>
      </c>
      <c r="K1389" s="7">
        <f>H1389</f>
        <v>1</v>
      </c>
      <c r="L1389" s="7">
        <f t="shared" ref="L1389:M1389" si="1178">F1389</f>
        <v>2.3151822480182171</v>
      </c>
      <c r="M1389" s="7">
        <f t="shared" si="1178"/>
        <v>1.7021844231989158</v>
      </c>
      <c r="N1389" s="7">
        <f t="shared" ref="N1389:O1389" si="1179">D1389</f>
        <v>8.0022088679012704</v>
      </c>
      <c r="O1389" s="7">
        <f t="shared" si="1179"/>
        <v>4.2236352011381157</v>
      </c>
      <c r="P1389" s="7">
        <f>C1389</f>
        <v>7.0970114822024151</v>
      </c>
      <c r="R1389" s="7">
        <f t="shared" ref="R1389:W1389" si="1180">K1389/$I1389</f>
        <v>4.1084259250406159E-2</v>
      </c>
      <c r="S1389" s="7">
        <f t="shared" si="1180"/>
        <v>9.5117547689518564E-2</v>
      </c>
      <c r="T1389" s="7">
        <f t="shared" si="1180"/>
        <v>6.9932986134707331E-2</v>
      </c>
      <c r="U1389" s="7">
        <f t="shared" si="1180"/>
        <v>0.32876482370475496</v>
      </c>
      <c r="V1389" s="7">
        <f t="shared" si="1180"/>
        <v>0.17352492358269972</v>
      </c>
      <c r="W1389" s="7">
        <f t="shared" si="1180"/>
        <v>0.29157545963791331</v>
      </c>
      <c r="X1389" s="7">
        <f>SUM(R1389:W1389)</f>
        <v>1</v>
      </c>
    </row>
    <row r="1390" spans="1:24" ht="15.75" customHeight="1" x14ac:dyDescent="0.3">
      <c r="C1390" t="s">
        <v>73</v>
      </c>
      <c r="D1390" t="s">
        <v>71</v>
      </c>
      <c r="E1390" t="s">
        <v>72</v>
      </c>
      <c r="F1390" t="s">
        <v>70</v>
      </c>
      <c r="G1390" t="s">
        <v>68</v>
      </c>
      <c r="H1390" t="s">
        <v>69</v>
      </c>
      <c r="K1390" t="s">
        <v>68</v>
      </c>
      <c r="L1390" t="s">
        <v>69</v>
      </c>
      <c r="M1390" t="s">
        <v>70</v>
      </c>
      <c r="N1390" t="s">
        <v>71</v>
      </c>
      <c r="O1390" t="s">
        <v>72</v>
      </c>
      <c r="P1390" t="s">
        <v>73</v>
      </c>
    </row>
    <row r="1391" spans="1:24" ht="15.75" customHeight="1" x14ac:dyDescent="0.3">
      <c r="A1391">
        <v>695</v>
      </c>
      <c r="B1391" s="16" t="s">
        <v>776</v>
      </c>
      <c r="C1391" s="7">
        <f>Rankings!L704</f>
        <v>9.2474138945500091</v>
      </c>
      <c r="D1391" s="7">
        <f>Rankings!M704</f>
        <v>10.426887099970871</v>
      </c>
      <c r="E1391" s="7">
        <f>Rankings!N704</f>
        <v>5.50340138838191</v>
      </c>
      <c r="F1391" s="7">
        <f>Rankings!O704</f>
        <v>2.7870449608896757</v>
      </c>
      <c r="G1391" s="7">
        <f>Rankings!P704</f>
        <v>1.6373343116675814</v>
      </c>
      <c r="H1391" s="7">
        <f>Rankings!Q704</f>
        <v>1</v>
      </c>
      <c r="I1391" s="7">
        <f>Rankings!R704</f>
        <v>30.602081655460047</v>
      </c>
      <c r="K1391" s="7">
        <f t="shared" ref="K1391:L1391" si="1181">G1391</f>
        <v>1.6373343116675814</v>
      </c>
      <c r="L1391" s="7">
        <f t="shared" si="1181"/>
        <v>1</v>
      </c>
      <c r="M1391" s="7">
        <f>F1391</f>
        <v>2.7870449608896757</v>
      </c>
      <c r="N1391" s="7">
        <f t="shared" ref="N1391:O1391" si="1182">D1391</f>
        <v>10.426887099970871</v>
      </c>
      <c r="O1391" s="7">
        <f t="shared" si="1182"/>
        <v>5.50340138838191</v>
      </c>
      <c r="P1391" s="7">
        <f>C1391</f>
        <v>9.2474138945500091</v>
      </c>
      <c r="R1391" s="7">
        <f t="shared" ref="R1391:W1391" si="1183">K1391/$I1391</f>
        <v>5.3504017475080719E-2</v>
      </c>
      <c r="S1391" s="7">
        <f t="shared" si="1183"/>
        <v>3.2677515577492725E-2</v>
      </c>
      <c r="T1391" s="7">
        <f t="shared" si="1183"/>
        <v>9.107370512464498E-2</v>
      </c>
      <c r="U1391" s="7">
        <f t="shared" si="1183"/>
        <v>0.34072476563405607</v>
      </c>
      <c r="V1391" s="7">
        <f t="shared" si="1183"/>
        <v>0.17983748459804494</v>
      </c>
      <c r="W1391" s="7">
        <f t="shared" si="1183"/>
        <v>0.30218251159068055</v>
      </c>
      <c r="X1391" s="7">
        <f>SUM(R1391:W1391)</f>
        <v>1</v>
      </c>
    </row>
    <row r="1392" spans="1:24" ht="15.75" customHeight="1" x14ac:dyDescent="0.3">
      <c r="C1392" t="s">
        <v>73</v>
      </c>
      <c r="D1392" t="s">
        <v>71</v>
      </c>
      <c r="E1392" t="s">
        <v>72</v>
      </c>
      <c r="F1392" t="s">
        <v>70</v>
      </c>
      <c r="G1392" t="s">
        <v>69</v>
      </c>
      <c r="H1392" t="s">
        <v>68</v>
      </c>
      <c r="K1392" t="s">
        <v>68</v>
      </c>
      <c r="L1392" t="s">
        <v>69</v>
      </c>
      <c r="M1392" t="s">
        <v>70</v>
      </c>
      <c r="N1392" t="s">
        <v>71</v>
      </c>
      <c r="O1392" t="s">
        <v>72</v>
      </c>
      <c r="P1392" t="s">
        <v>73</v>
      </c>
    </row>
    <row r="1393" spans="1:24" ht="15.75" customHeight="1" x14ac:dyDescent="0.3">
      <c r="A1393">
        <v>696</v>
      </c>
      <c r="B1393" s="16" t="s">
        <v>777</v>
      </c>
      <c r="C1393" s="7">
        <f>Rankings!L705</f>
        <v>8.7145547491236517</v>
      </c>
      <c r="D1393" s="7">
        <f>Rankings!M705</f>
        <v>9.8260637548817051</v>
      </c>
      <c r="E1393" s="7">
        <f>Rankings!N705</f>
        <v>5.1862816190937959</v>
      </c>
      <c r="F1393" s="7">
        <f>Rankings!O705</f>
        <v>2.6264484510914334</v>
      </c>
      <c r="G1393" s="7">
        <f>Rankings!P705</f>
        <v>1.7440097060445605</v>
      </c>
      <c r="H1393" s="7">
        <f>Rankings!Q705</f>
        <v>1</v>
      </c>
      <c r="I1393" s="7">
        <f>Rankings!R705</f>
        <v>29.097358280235152</v>
      </c>
      <c r="K1393" s="7">
        <f>H1393</f>
        <v>1</v>
      </c>
      <c r="L1393" s="7">
        <f>G1393</f>
        <v>1.7440097060445605</v>
      </c>
      <c r="M1393" s="7">
        <f>F1393</f>
        <v>2.6264484510914334</v>
      </c>
      <c r="N1393" s="7">
        <f t="shared" ref="N1393:O1393" si="1184">D1393</f>
        <v>9.8260637548817051</v>
      </c>
      <c r="O1393" s="7">
        <f t="shared" si="1184"/>
        <v>5.1862816190937959</v>
      </c>
      <c r="P1393" s="7">
        <f>C1393</f>
        <v>8.7145547491236517</v>
      </c>
      <c r="R1393" s="7">
        <f t="shared" ref="R1393:W1393" si="1185">K1393/$I1393</f>
        <v>3.436738106494245E-2</v>
      </c>
      <c r="S1393" s="7">
        <f t="shared" si="1185"/>
        <v>5.9937046148591681E-2</v>
      </c>
      <c r="T1393" s="7">
        <f t="shared" si="1185"/>
        <v>9.0264154766087151E-2</v>
      </c>
      <c r="U1393" s="7">
        <f t="shared" si="1185"/>
        <v>0.33769607743243885</v>
      </c>
      <c r="V1393" s="7">
        <f t="shared" si="1185"/>
        <v>0.1782389167135032</v>
      </c>
      <c r="W1393" s="7">
        <f t="shared" si="1185"/>
        <v>0.29949642387443648</v>
      </c>
      <c r="X1393" s="7">
        <f>SUM(R1393:W1393)</f>
        <v>0.99999999999999978</v>
      </c>
    </row>
    <row r="1394" spans="1:24" ht="15.75" customHeight="1" x14ac:dyDescent="0.3">
      <c r="C1394" t="s">
        <v>73</v>
      </c>
      <c r="D1394" t="s">
        <v>72</v>
      </c>
      <c r="E1394" t="s">
        <v>68</v>
      </c>
      <c r="F1394" t="s">
        <v>69</v>
      </c>
      <c r="G1394" t="s">
        <v>70</v>
      </c>
      <c r="H1394" t="s">
        <v>71</v>
      </c>
      <c r="K1394" t="s">
        <v>68</v>
      </c>
      <c r="L1394" t="s">
        <v>69</v>
      </c>
      <c r="M1394" t="s">
        <v>70</v>
      </c>
      <c r="N1394" t="s">
        <v>71</v>
      </c>
      <c r="O1394" t="s">
        <v>72</v>
      </c>
      <c r="P1394" t="s">
        <v>73</v>
      </c>
    </row>
    <row r="1395" spans="1:24" ht="15.75" customHeight="1" x14ac:dyDescent="0.3">
      <c r="A1395">
        <v>697</v>
      </c>
      <c r="B1395" s="16" t="s">
        <v>778</v>
      </c>
      <c r="C1395" s="7">
        <f>Rankings!L706</f>
        <v>5.9950172573642222</v>
      </c>
      <c r="D1395" s="7">
        <f>Rankings!M706</f>
        <v>4.8873018315879113</v>
      </c>
      <c r="E1395" s="7">
        <f>Rankings!N706</f>
        <v>3.1931828820022803</v>
      </c>
      <c r="F1395" s="7">
        <f>Rankings!O706</f>
        <v>1.9502326795742213</v>
      </c>
      <c r="G1395" s="7">
        <f>Rankings!P706</f>
        <v>1.4338636587362954</v>
      </c>
      <c r="H1395" s="7">
        <f>Rankings!Q706</f>
        <v>1</v>
      </c>
      <c r="I1395" s="7">
        <f>Rankings!R706</f>
        <v>18.45959830926493</v>
      </c>
      <c r="K1395" s="7">
        <f t="shared" ref="K1395:N1395" si="1186">E1395</f>
        <v>3.1931828820022803</v>
      </c>
      <c r="L1395" s="7">
        <f t="shared" si="1186"/>
        <v>1.9502326795742213</v>
      </c>
      <c r="M1395" s="7">
        <f t="shared" si="1186"/>
        <v>1.4338636587362954</v>
      </c>
      <c r="N1395" s="7">
        <f t="shared" si="1186"/>
        <v>1</v>
      </c>
      <c r="O1395" s="7">
        <f>D1395</f>
        <v>4.8873018315879113</v>
      </c>
      <c r="P1395" s="7">
        <f>C1395</f>
        <v>5.9950172573642222</v>
      </c>
      <c r="R1395" s="7">
        <f t="shared" ref="R1395:W1395" si="1187">K1395/$I1395</f>
        <v>0.17298225175352877</v>
      </c>
      <c r="S1395" s="7">
        <f t="shared" si="1187"/>
        <v>0.10564870626656017</v>
      </c>
      <c r="T1395" s="7">
        <f t="shared" si="1187"/>
        <v>7.7675777918560382E-2</v>
      </c>
      <c r="U1395" s="7">
        <f t="shared" si="1187"/>
        <v>5.4172359725622898E-2</v>
      </c>
      <c r="V1395" s="7">
        <f t="shared" si="1187"/>
        <v>0.26475667290847599</v>
      </c>
      <c r="W1395" s="7">
        <f t="shared" si="1187"/>
        <v>0.3247642314272518</v>
      </c>
      <c r="X1395" s="7">
        <f>SUM(R1395:W1395)</f>
        <v>1</v>
      </c>
    </row>
    <row r="1396" spans="1:24" ht="15.75" customHeight="1" x14ac:dyDescent="0.3">
      <c r="C1396" t="s">
        <v>73</v>
      </c>
      <c r="D1396" t="s">
        <v>72</v>
      </c>
      <c r="E1396" t="s">
        <v>68</v>
      </c>
      <c r="F1396" t="s">
        <v>69</v>
      </c>
      <c r="G1396" t="s">
        <v>71</v>
      </c>
      <c r="H1396" t="s">
        <v>70</v>
      </c>
      <c r="K1396" t="s">
        <v>68</v>
      </c>
      <c r="L1396" t="s">
        <v>69</v>
      </c>
      <c r="M1396" t="s">
        <v>70</v>
      </c>
      <c r="N1396" t="s">
        <v>71</v>
      </c>
      <c r="O1396" t="s">
        <v>72</v>
      </c>
      <c r="P1396" t="s">
        <v>73</v>
      </c>
    </row>
    <row r="1397" spans="1:24" ht="15.75" customHeight="1" x14ac:dyDescent="0.3">
      <c r="A1397">
        <v>698</v>
      </c>
      <c r="B1397" s="16" t="s">
        <v>779</v>
      </c>
      <c r="C1397" s="7">
        <f>Rankings!L707</f>
        <v>6.2685259089393863</v>
      </c>
      <c r="D1397" s="7">
        <f>Rankings!M707</f>
        <v>5.1102735556736798</v>
      </c>
      <c r="E1397" s="7">
        <f>Rankings!N707</f>
        <v>3.3388643882926097</v>
      </c>
      <c r="F1397" s="7">
        <f>Rankings!O707</f>
        <v>2.039207487743945</v>
      </c>
      <c r="G1397" s="7">
        <f>Rankings!P707</f>
        <v>2.2388599512381115</v>
      </c>
      <c r="H1397" s="7">
        <f>Rankings!Q707</f>
        <v>1</v>
      </c>
      <c r="I1397" s="7">
        <f>Rankings!R707</f>
        <v>19.995731291887733</v>
      </c>
      <c r="K1397" s="7">
        <f t="shared" ref="K1397:L1397" si="1188">E1397</f>
        <v>3.3388643882926097</v>
      </c>
      <c r="L1397" s="7">
        <f t="shared" si="1188"/>
        <v>2.039207487743945</v>
      </c>
      <c r="M1397" s="7">
        <f>H1397</f>
        <v>1</v>
      </c>
      <c r="N1397" s="7">
        <f>G1397</f>
        <v>2.2388599512381115</v>
      </c>
      <c r="O1397" s="7">
        <f>D1397</f>
        <v>5.1102735556736798</v>
      </c>
      <c r="P1397" s="7">
        <f>C1397</f>
        <v>6.2685259089393863</v>
      </c>
      <c r="R1397" s="7">
        <f t="shared" ref="R1397:W1397" si="1189">K1397/$I1397</f>
        <v>0.16697885861504785</v>
      </c>
      <c r="S1397" s="7">
        <f t="shared" si="1189"/>
        <v>0.10198214098682409</v>
      </c>
      <c r="T1397" s="7">
        <f t="shared" si="1189"/>
        <v>5.0010674048500542E-2</v>
      </c>
      <c r="U1397" s="7">
        <f t="shared" si="1189"/>
        <v>0.11196689526161101</v>
      </c>
      <c r="V1397" s="7">
        <f t="shared" si="1189"/>
        <v>0.25556822509146826</v>
      </c>
      <c r="W1397" s="7">
        <f t="shared" si="1189"/>
        <v>0.31349320599654823</v>
      </c>
      <c r="X1397" s="7">
        <f>SUM(R1397:W1397)</f>
        <v>1</v>
      </c>
    </row>
    <row r="1398" spans="1:24" ht="15.75" customHeight="1" x14ac:dyDescent="0.3">
      <c r="C1398" t="s">
        <v>73</v>
      </c>
      <c r="D1398" t="s">
        <v>72</v>
      </c>
      <c r="E1398" t="s">
        <v>68</v>
      </c>
      <c r="F1398" t="s">
        <v>70</v>
      </c>
      <c r="G1398" t="s">
        <v>69</v>
      </c>
      <c r="H1398" t="s">
        <v>71</v>
      </c>
      <c r="K1398" t="s">
        <v>68</v>
      </c>
      <c r="L1398" t="s">
        <v>69</v>
      </c>
      <c r="M1398" t="s">
        <v>70</v>
      </c>
      <c r="N1398" t="s">
        <v>71</v>
      </c>
      <c r="O1398" t="s">
        <v>72</v>
      </c>
      <c r="P1398" t="s">
        <v>73</v>
      </c>
    </row>
    <row r="1399" spans="1:24" ht="15.75" customHeight="1" x14ac:dyDescent="0.3">
      <c r="A1399">
        <v>699</v>
      </c>
      <c r="B1399" s="16" t="s">
        <v>780</v>
      </c>
      <c r="C1399" s="7">
        <f>Rankings!L708</f>
        <v>2.8535877455996261</v>
      </c>
      <c r="D1399" s="7">
        <f>Rankings!M708</f>
        <v>2.3263226804784112</v>
      </c>
      <c r="E1399" s="7">
        <f>Rankings!N708</f>
        <v>1.5199334964961237</v>
      </c>
      <c r="F1399" s="7">
        <f>Rankings!O708</f>
        <v>1.3716852644505737</v>
      </c>
      <c r="G1399" s="7">
        <f>Rankings!P708</f>
        <v>0.9108240498099236</v>
      </c>
      <c r="H1399" s="7">
        <f>Rankings!Q708</f>
        <v>1</v>
      </c>
      <c r="I1399" s="7">
        <f>Rankings!R708</f>
        <v>9.9823532368346566</v>
      </c>
      <c r="K1399" s="7">
        <f>E1399</f>
        <v>1.5199334964961237</v>
      </c>
      <c r="L1399" s="7">
        <f>G1399</f>
        <v>0.9108240498099236</v>
      </c>
      <c r="M1399" s="7">
        <f>F1399</f>
        <v>1.3716852644505737</v>
      </c>
      <c r="N1399" s="7">
        <f>H1399</f>
        <v>1</v>
      </c>
      <c r="O1399" s="7">
        <f>D1399</f>
        <v>2.3263226804784112</v>
      </c>
      <c r="P1399" s="7">
        <f>C1399</f>
        <v>2.8535877455996261</v>
      </c>
      <c r="R1399" s="7">
        <f t="shared" ref="R1399:W1399" si="1190">K1399/$I1399</f>
        <v>0.15226204287057321</v>
      </c>
      <c r="S1399" s="7">
        <f t="shared" si="1190"/>
        <v>9.1243420083453222E-2</v>
      </c>
      <c r="T1399" s="7">
        <f t="shared" si="1190"/>
        <v>0.13741101240427819</v>
      </c>
      <c r="U1399" s="7">
        <f t="shared" si="1190"/>
        <v>0.10017677959040988</v>
      </c>
      <c r="V1399" s="7">
        <f t="shared" si="1190"/>
        <v>0.2330435144184573</v>
      </c>
      <c r="W1399" s="7">
        <f t="shared" si="1190"/>
        <v>0.28586323063282837</v>
      </c>
      <c r="X1399" s="7">
        <f>SUM(R1399:W1399)</f>
        <v>1.0000000000000002</v>
      </c>
    </row>
    <row r="1400" spans="1:24" ht="15.75" customHeight="1" x14ac:dyDescent="0.3">
      <c r="C1400" t="s">
        <v>73</v>
      </c>
      <c r="D1400" t="s">
        <v>72</v>
      </c>
      <c r="E1400" t="s">
        <v>68</v>
      </c>
      <c r="F1400" t="s">
        <v>70</v>
      </c>
      <c r="G1400" t="s">
        <v>71</v>
      </c>
      <c r="H1400" t="s">
        <v>69</v>
      </c>
      <c r="K1400" t="s">
        <v>68</v>
      </c>
      <c r="L1400" t="s">
        <v>69</v>
      </c>
      <c r="M1400" t="s">
        <v>70</v>
      </c>
      <c r="N1400" t="s">
        <v>71</v>
      </c>
      <c r="O1400" t="s">
        <v>72</v>
      </c>
      <c r="P1400" t="s">
        <v>73</v>
      </c>
    </row>
    <row r="1401" spans="1:24" ht="15.75" customHeight="1" x14ac:dyDescent="0.3">
      <c r="A1401">
        <v>700</v>
      </c>
      <c r="B1401" s="16" t="s">
        <v>781</v>
      </c>
      <c r="C1401" s="7">
        <f>Rankings!L709</f>
        <v>4.288381726732716</v>
      </c>
      <c r="D1401" s="7">
        <f>Rankings!M709</f>
        <v>3.4960059275665247</v>
      </c>
      <c r="E1401" s="7">
        <f>Rankings!N709</f>
        <v>2.2841614182967063</v>
      </c>
      <c r="F1401" s="7">
        <f>Rankings!O709</f>
        <v>2.0613734524088798</v>
      </c>
      <c r="G1401" s="7">
        <f>Rankings!P709</f>
        <v>1.4376356077157479</v>
      </c>
      <c r="H1401" s="7">
        <f>Rankings!Q709</f>
        <v>1</v>
      </c>
      <c r="I1401" s="7">
        <f>Rankings!R709</f>
        <v>14.567558132720576</v>
      </c>
      <c r="K1401" s="7">
        <f>E1401</f>
        <v>2.2841614182967063</v>
      </c>
      <c r="L1401" s="7">
        <f>H1401</f>
        <v>1</v>
      </c>
      <c r="M1401" s="7">
        <f t="shared" ref="M1401:N1401" si="1191">F1401</f>
        <v>2.0613734524088798</v>
      </c>
      <c r="N1401" s="7">
        <f t="shared" si="1191"/>
        <v>1.4376356077157479</v>
      </c>
      <c r="O1401" s="7">
        <f>D1401</f>
        <v>3.4960059275665247</v>
      </c>
      <c r="P1401" s="7">
        <f>C1401</f>
        <v>4.288381726732716</v>
      </c>
      <c r="R1401" s="7">
        <f t="shared" ref="R1401:W1401" si="1192">K1401/$I1401</f>
        <v>0.15679782414364912</v>
      </c>
      <c r="S1401" s="7">
        <f t="shared" si="1192"/>
        <v>6.8645684533351792E-2</v>
      </c>
      <c r="T1401" s="7">
        <f t="shared" si="1192"/>
        <v>0.14150439171948623</v>
      </c>
      <c r="U1401" s="7">
        <f t="shared" si="1192"/>
        <v>9.8687480401168731E-2</v>
      </c>
      <c r="V1401" s="7">
        <f t="shared" si="1192"/>
        <v>0.23998572003045959</v>
      </c>
      <c r="W1401" s="7">
        <f t="shared" si="1192"/>
        <v>0.29437889917188448</v>
      </c>
      <c r="X1401" s="7">
        <f>SUM(R1401:W1401)</f>
        <v>1</v>
      </c>
    </row>
    <row r="1402" spans="1:24" ht="15.75" customHeight="1" x14ac:dyDescent="0.3">
      <c r="C1402" t="s">
        <v>73</v>
      </c>
      <c r="D1402" t="s">
        <v>72</v>
      </c>
      <c r="E1402" t="s">
        <v>68</v>
      </c>
      <c r="F1402" t="s">
        <v>71</v>
      </c>
      <c r="G1402" t="s">
        <v>69</v>
      </c>
      <c r="H1402" t="s">
        <v>70</v>
      </c>
      <c r="K1402" t="s">
        <v>68</v>
      </c>
      <c r="L1402" t="s">
        <v>69</v>
      </c>
      <c r="M1402" t="s">
        <v>70</v>
      </c>
      <c r="N1402" t="s">
        <v>71</v>
      </c>
      <c r="O1402" t="s">
        <v>72</v>
      </c>
      <c r="P1402" t="s">
        <v>73</v>
      </c>
    </row>
    <row r="1403" spans="1:24" ht="15.75" customHeight="1" x14ac:dyDescent="0.3">
      <c r="A1403">
        <v>701</v>
      </c>
      <c r="B1403" s="16" t="s">
        <v>782</v>
      </c>
      <c r="C1403" s="7">
        <f>Rankings!L710</f>
        <v>4.6031013366215801</v>
      </c>
      <c r="D1403" s="7">
        <f>Rankings!M710</f>
        <v>3.752573950612172</v>
      </c>
      <c r="E1403" s="7">
        <f>Rankings!N710</f>
        <v>2.4517935080447506</v>
      </c>
      <c r="F1403" s="7">
        <f>Rankings!O710</f>
        <v>1.9553629987092347</v>
      </c>
      <c r="G1403" s="7">
        <f>Rankings!P710</f>
        <v>1.3601242124324544</v>
      </c>
      <c r="H1403" s="7">
        <f>Rankings!Q710</f>
        <v>1</v>
      </c>
      <c r="I1403" s="7">
        <f>Rankings!R710</f>
        <v>15.122956006420193</v>
      </c>
      <c r="K1403" s="7">
        <f>E1403</f>
        <v>2.4517935080447506</v>
      </c>
      <c r="L1403" s="7">
        <f t="shared" ref="L1403:M1403" si="1193">G1403</f>
        <v>1.3601242124324544</v>
      </c>
      <c r="M1403" s="7">
        <f t="shared" si="1193"/>
        <v>1</v>
      </c>
      <c r="N1403" s="7">
        <f>F1403</f>
        <v>1.9553629987092347</v>
      </c>
      <c r="O1403" s="7">
        <f>D1403</f>
        <v>3.752573950612172</v>
      </c>
      <c r="P1403" s="7">
        <f>C1403</f>
        <v>4.6031013366215801</v>
      </c>
      <c r="R1403" s="7">
        <f t="shared" ref="R1403:W1403" si="1194">K1403/$I1403</f>
        <v>0.16212395956213083</v>
      </c>
      <c r="S1403" s="7">
        <f t="shared" si="1194"/>
        <v>8.9937721954294975E-2</v>
      </c>
      <c r="T1403" s="7">
        <f t="shared" si="1194"/>
        <v>6.6124638567715666E-2</v>
      </c>
      <c r="U1403" s="7">
        <f t="shared" si="1194"/>
        <v>0.12929767155833283</v>
      </c>
      <c r="V1403" s="7">
        <f t="shared" si="1194"/>
        <v>0.24813759618285477</v>
      </c>
      <c r="W1403" s="7">
        <f t="shared" si="1194"/>
        <v>0.30437841217467088</v>
      </c>
      <c r="X1403" s="7">
        <f>SUM(R1403:W1403)</f>
        <v>1</v>
      </c>
    </row>
    <row r="1404" spans="1:24" ht="15.75" customHeight="1" x14ac:dyDescent="0.3">
      <c r="C1404" t="s">
        <v>73</v>
      </c>
      <c r="D1404" t="s">
        <v>72</v>
      </c>
      <c r="E1404" t="s">
        <v>68</v>
      </c>
      <c r="F1404" t="s">
        <v>71</v>
      </c>
      <c r="G1404" t="s">
        <v>70</v>
      </c>
      <c r="H1404" t="s">
        <v>69</v>
      </c>
      <c r="K1404" t="s">
        <v>68</v>
      </c>
      <c r="L1404" t="s">
        <v>69</v>
      </c>
      <c r="M1404" t="s">
        <v>70</v>
      </c>
      <c r="N1404" t="s">
        <v>71</v>
      </c>
      <c r="O1404" t="s">
        <v>72</v>
      </c>
      <c r="P1404" t="s">
        <v>73</v>
      </c>
    </row>
    <row r="1405" spans="1:24" ht="15.75" customHeight="1" x14ac:dyDescent="0.3">
      <c r="A1405">
        <v>702</v>
      </c>
      <c r="B1405" s="16" t="s">
        <v>783</v>
      </c>
      <c r="C1405" s="7">
        <f>Rankings!L711</f>
        <v>7.9372499114491548</v>
      </c>
      <c r="D1405" s="7">
        <f>Rankings!M711</f>
        <v>6.4706629463568319</v>
      </c>
      <c r="E1405" s="7">
        <f>Rankings!N711</f>
        <v>4.2276926753263115</v>
      </c>
      <c r="F1405" s="7">
        <f>Rankings!O711</f>
        <v>3.3716843609067255</v>
      </c>
      <c r="G1405" s="7">
        <f>Rankings!P711</f>
        <v>1.5059827029565431</v>
      </c>
      <c r="H1405" s="7">
        <f>Rankings!Q711</f>
        <v>1</v>
      </c>
      <c r="I1405" s="7">
        <f>Rankings!R711</f>
        <v>24.51327259699557</v>
      </c>
      <c r="K1405" s="7">
        <f>E1405</f>
        <v>4.2276926753263115</v>
      </c>
      <c r="L1405" s="7">
        <f>H1405</f>
        <v>1</v>
      </c>
      <c r="M1405" s="7">
        <f>G1405</f>
        <v>1.5059827029565431</v>
      </c>
      <c r="N1405" s="7">
        <f>F1405</f>
        <v>3.3716843609067255</v>
      </c>
      <c r="O1405" s="7">
        <f>D1405</f>
        <v>6.4706629463568319</v>
      </c>
      <c r="P1405" s="7">
        <f>C1405</f>
        <v>7.9372499114491548</v>
      </c>
      <c r="R1405" s="7">
        <f t="shared" ref="R1405:W1405" si="1195">K1405/$I1405</f>
        <v>0.17246545350474632</v>
      </c>
      <c r="S1405" s="7">
        <f t="shared" si="1195"/>
        <v>4.0794226721183012E-2</v>
      </c>
      <c r="T1405" s="7">
        <f t="shared" si="1195"/>
        <v>6.1435399822589234E-2</v>
      </c>
      <c r="U1405" s="7">
        <f t="shared" si="1195"/>
        <v>0.13754525625109601</v>
      </c>
      <c r="V1405" s="7">
        <f t="shared" si="1195"/>
        <v>0.26396569127003866</v>
      </c>
      <c r="W1405" s="7">
        <f t="shared" si="1195"/>
        <v>0.32379397243034663</v>
      </c>
      <c r="X1405" s="7">
        <f>SUM(R1405:W1405)</f>
        <v>0.99999999999999978</v>
      </c>
    </row>
    <row r="1406" spans="1:24" ht="15.75" customHeight="1" x14ac:dyDescent="0.3">
      <c r="C1406" t="s">
        <v>73</v>
      </c>
      <c r="D1406" t="s">
        <v>72</v>
      </c>
      <c r="E1406" t="s">
        <v>69</v>
      </c>
      <c r="F1406" t="s">
        <v>68</v>
      </c>
      <c r="G1406" t="s">
        <v>70</v>
      </c>
      <c r="H1406" t="s">
        <v>71</v>
      </c>
      <c r="K1406" t="s">
        <v>68</v>
      </c>
      <c r="L1406" t="s">
        <v>69</v>
      </c>
      <c r="M1406" t="s">
        <v>70</v>
      </c>
      <c r="N1406" t="s">
        <v>71</v>
      </c>
      <c r="O1406" t="s">
        <v>72</v>
      </c>
      <c r="P1406" t="s">
        <v>73</v>
      </c>
    </row>
    <row r="1407" spans="1:24" ht="15.75" customHeight="1" x14ac:dyDescent="0.3">
      <c r="A1407">
        <v>703</v>
      </c>
      <c r="B1407" s="16" t="s">
        <v>784</v>
      </c>
      <c r="C1407" s="7">
        <f>Rankings!L712</f>
        <v>6.2008233847716756</v>
      </c>
      <c r="D1407" s="7">
        <f>Rankings!M712</f>
        <v>5.0550806085705622</v>
      </c>
      <c r="E1407" s="7">
        <f>Rankings!N712</f>
        <v>2.7709383812574635</v>
      </c>
      <c r="F1407" s="7">
        <f>Rankings!O712</f>
        <v>1.5888319724676261</v>
      </c>
      <c r="G1407" s="7">
        <f>Rankings!P712</f>
        <v>1.4338636587362954</v>
      </c>
      <c r="H1407" s="7">
        <f>Rankings!Q712</f>
        <v>1</v>
      </c>
      <c r="I1407" s="7">
        <f>Rankings!R712</f>
        <v>18.049538005803623</v>
      </c>
      <c r="K1407" s="7">
        <f>F1407</f>
        <v>1.5888319724676261</v>
      </c>
      <c r="L1407" s="7">
        <f>E1407</f>
        <v>2.7709383812574635</v>
      </c>
      <c r="M1407" s="7">
        <f t="shared" ref="M1407:N1407" si="1196">G1407</f>
        <v>1.4338636587362954</v>
      </c>
      <c r="N1407" s="7">
        <f t="shared" si="1196"/>
        <v>1</v>
      </c>
      <c r="O1407" s="7">
        <f>D1407</f>
        <v>5.0550806085705622</v>
      </c>
      <c r="P1407" s="7">
        <f>C1407</f>
        <v>6.2008233847716756</v>
      </c>
      <c r="R1407" s="7">
        <f t="shared" ref="R1407:W1407" si="1197">K1407/$I1407</f>
        <v>8.802618504455656E-2</v>
      </c>
      <c r="S1407" s="7">
        <f t="shared" si="1197"/>
        <v>0.15351852110378117</v>
      </c>
      <c r="T1407" s="7">
        <f t="shared" si="1197"/>
        <v>7.9440463145109469E-2</v>
      </c>
      <c r="U1407" s="7">
        <f t="shared" si="1197"/>
        <v>5.5403080105344601E-2</v>
      </c>
      <c r="V1407" s="7">
        <f t="shared" si="1197"/>
        <v>0.280067035895609</v>
      </c>
      <c r="W1407" s="7">
        <f t="shared" si="1197"/>
        <v>0.34354471470559922</v>
      </c>
      <c r="X1407" s="7">
        <f>SUM(R1407:W1407)</f>
        <v>1</v>
      </c>
    </row>
    <row r="1408" spans="1:24" ht="15.75" customHeight="1" x14ac:dyDescent="0.3">
      <c r="C1408" t="s">
        <v>73</v>
      </c>
      <c r="D1408" t="s">
        <v>72</v>
      </c>
      <c r="E1408" t="s">
        <v>69</v>
      </c>
      <c r="F1408" t="s">
        <v>68</v>
      </c>
      <c r="G1408" t="s">
        <v>71</v>
      </c>
      <c r="H1408" t="s">
        <v>70</v>
      </c>
      <c r="K1408" t="s">
        <v>68</v>
      </c>
      <c r="L1408" t="s">
        <v>69</v>
      </c>
      <c r="M1408" t="s">
        <v>70</v>
      </c>
      <c r="N1408" t="s">
        <v>71</v>
      </c>
      <c r="O1408" t="s">
        <v>72</v>
      </c>
      <c r="P1408" t="s">
        <v>73</v>
      </c>
    </row>
    <row r="1409" spans="1:24" ht="15.75" customHeight="1" x14ac:dyDescent="0.3">
      <c r="A1409">
        <v>704</v>
      </c>
      <c r="B1409" s="16" t="s">
        <v>785</v>
      </c>
      <c r="C1409" s="7">
        <f>Rankings!L713</f>
        <v>10.956070464658664</v>
      </c>
      <c r="D1409" s="7">
        <f>Rankings!M713</f>
        <v>8.9316879251944723</v>
      </c>
      <c r="E1409" s="7">
        <f>Rankings!N713</f>
        <v>4.8958975727062803</v>
      </c>
      <c r="F1409" s="7">
        <f>Rankings!O713</f>
        <v>2.8072650947627165</v>
      </c>
      <c r="G1409" s="7">
        <f>Rankings!P713</f>
        <v>2.2388599512381115</v>
      </c>
      <c r="H1409" s="7">
        <f>Rankings!Q713</f>
        <v>1</v>
      </c>
      <c r="I1409" s="7">
        <f>Rankings!R713</f>
        <v>30.829781008560243</v>
      </c>
      <c r="K1409" s="7">
        <f>F1409</f>
        <v>2.8072650947627165</v>
      </c>
      <c r="L1409" s="7">
        <f>E1409</f>
        <v>4.8958975727062803</v>
      </c>
      <c r="M1409" s="7">
        <f>H1409</f>
        <v>1</v>
      </c>
      <c r="N1409" s="7">
        <f>G1409</f>
        <v>2.2388599512381115</v>
      </c>
      <c r="O1409" s="7">
        <f>D1409</f>
        <v>8.9316879251944723</v>
      </c>
      <c r="P1409" s="7">
        <f>C1409</f>
        <v>10.956070464658664</v>
      </c>
      <c r="R1409" s="7">
        <f t="shared" ref="R1409:W1409" si="1198">K1409/$I1409</f>
        <v>9.1056926222837814E-2</v>
      </c>
      <c r="S1409" s="7">
        <f t="shared" si="1198"/>
        <v>0.15880416313521262</v>
      </c>
      <c r="T1409" s="7">
        <f t="shared" si="1198"/>
        <v>3.2436169420805766E-2</v>
      </c>
      <c r="U1409" s="7">
        <f t="shared" si="1198"/>
        <v>7.2620040687816315E-2</v>
      </c>
      <c r="V1409" s="7">
        <f t="shared" si="1198"/>
        <v>0.28970974275537303</v>
      </c>
      <c r="W1409" s="7">
        <f t="shared" si="1198"/>
        <v>0.35537295777795452</v>
      </c>
      <c r="X1409" s="7">
        <f>SUM(R1409:W1409)</f>
        <v>1</v>
      </c>
    </row>
    <row r="1410" spans="1:24" ht="15.75" customHeight="1" x14ac:dyDescent="0.3">
      <c r="C1410" t="s">
        <v>73</v>
      </c>
      <c r="D1410" t="s">
        <v>72</v>
      </c>
      <c r="E1410" t="s">
        <v>69</v>
      </c>
      <c r="F1410" t="s">
        <v>70</v>
      </c>
      <c r="G1410" t="s">
        <v>68</v>
      </c>
      <c r="H1410" t="s">
        <v>71</v>
      </c>
      <c r="K1410" t="s">
        <v>68</v>
      </c>
      <c r="L1410" t="s">
        <v>69</v>
      </c>
      <c r="M1410" t="s">
        <v>70</v>
      </c>
      <c r="N1410" t="s">
        <v>71</v>
      </c>
      <c r="O1410" t="s">
        <v>72</v>
      </c>
      <c r="P1410" t="s">
        <v>73</v>
      </c>
    </row>
    <row r="1411" spans="1:24" ht="15.75" customHeight="1" x14ac:dyDescent="0.3">
      <c r="A1411">
        <v>705</v>
      </c>
      <c r="B1411" s="16" t="s">
        <v>786</v>
      </c>
      <c r="C1411" s="7">
        <f>Rankings!L714</f>
        <v>6.4962716201932329</v>
      </c>
      <c r="D1411" s="7">
        <f>Rankings!M714</f>
        <v>5.295938080722367</v>
      </c>
      <c r="E1411" s="7">
        <f>Rankings!N714</f>
        <v>2.9029642114423573</v>
      </c>
      <c r="F1411" s="7">
        <f>Rankings!O714</f>
        <v>2.1343375736622456</v>
      </c>
      <c r="G1411" s="7">
        <f>Rankings!P714</f>
        <v>1.2538815092968505</v>
      </c>
      <c r="H1411" s="7">
        <f>Rankings!Q714</f>
        <v>1</v>
      </c>
      <c r="I1411" s="7">
        <f>Rankings!R714</f>
        <v>19.083392995317052</v>
      </c>
      <c r="K1411" s="7">
        <f>G1411</f>
        <v>1.2538815092968505</v>
      </c>
      <c r="L1411" s="7">
        <f t="shared" ref="L1411:M1411" si="1199">E1411</f>
        <v>2.9029642114423573</v>
      </c>
      <c r="M1411" s="7">
        <f t="shared" si="1199"/>
        <v>2.1343375736622456</v>
      </c>
      <c r="N1411" s="7">
        <f>H1411</f>
        <v>1</v>
      </c>
      <c r="O1411" s="7">
        <f>D1411</f>
        <v>5.295938080722367</v>
      </c>
      <c r="P1411" s="7">
        <f>C1411</f>
        <v>6.4962716201932329</v>
      </c>
      <c r="R1411" s="7">
        <f t="shared" ref="R1411:W1411" si="1200">K1411/$I1411</f>
        <v>6.5705375852425474E-2</v>
      </c>
      <c r="S1411" s="7">
        <f t="shared" si="1200"/>
        <v>0.15211991977290029</v>
      </c>
      <c r="T1411" s="7">
        <f t="shared" si="1200"/>
        <v>0.11184266729642885</v>
      </c>
      <c r="U1411" s="7">
        <f t="shared" si="1200"/>
        <v>5.2401582896992892E-2</v>
      </c>
      <c r="V1411" s="7">
        <f t="shared" si="1200"/>
        <v>0.27751553835431458</v>
      </c>
      <c r="W1411" s="7">
        <f t="shared" si="1200"/>
        <v>0.340414915826938</v>
      </c>
      <c r="X1411" s="7">
        <f>SUM(R1411:W1411)</f>
        <v>1</v>
      </c>
    </row>
    <row r="1412" spans="1:24" ht="15.75" customHeight="1" x14ac:dyDescent="0.3">
      <c r="C1412" t="s">
        <v>73</v>
      </c>
      <c r="D1412" t="s">
        <v>72</v>
      </c>
      <c r="E1412" t="s">
        <v>69</v>
      </c>
      <c r="F1412" t="s">
        <v>70</v>
      </c>
      <c r="G1412" t="s">
        <v>71</v>
      </c>
      <c r="H1412" t="s">
        <v>68</v>
      </c>
      <c r="K1412" t="s">
        <v>68</v>
      </c>
      <c r="L1412" t="s">
        <v>69</v>
      </c>
      <c r="M1412" t="s">
        <v>70</v>
      </c>
      <c r="N1412" t="s">
        <v>71</v>
      </c>
      <c r="O1412" t="s">
        <v>72</v>
      </c>
      <c r="P1412" t="s">
        <v>73</v>
      </c>
    </row>
    <row r="1413" spans="1:24" ht="15.75" customHeight="1" x14ac:dyDescent="0.3">
      <c r="A1413">
        <v>706</v>
      </c>
      <c r="B1413" s="16" t="s">
        <v>787</v>
      </c>
      <c r="C1413" s="7">
        <f>Rankings!L715</f>
        <v>12.713545096403518</v>
      </c>
      <c r="D1413" s="7">
        <f>Rankings!M715</f>
        <v>10.364429253193968</v>
      </c>
      <c r="E1413" s="7">
        <f>Rankings!N715</f>
        <v>5.6812535825464892</v>
      </c>
      <c r="F1413" s="7">
        <f>Rankings!O715</f>
        <v>4.1770108425509909</v>
      </c>
      <c r="G1413" s="7">
        <f>Rankings!P715</f>
        <v>2.9131157743633094</v>
      </c>
      <c r="H1413" s="7">
        <f>Rankings!Q715</f>
        <v>1</v>
      </c>
      <c r="I1413" s="7">
        <f>Rankings!R715</f>
        <v>36.849354549058276</v>
      </c>
      <c r="K1413" s="7">
        <f>H1413</f>
        <v>1</v>
      </c>
      <c r="L1413" s="7">
        <f t="shared" ref="L1413:N1413" si="1201">E1413</f>
        <v>5.6812535825464892</v>
      </c>
      <c r="M1413" s="7">
        <f t="shared" si="1201"/>
        <v>4.1770108425509909</v>
      </c>
      <c r="N1413" s="7">
        <f t="shared" si="1201"/>
        <v>2.9131157743633094</v>
      </c>
      <c r="O1413" s="7">
        <f>D1413</f>
        <v>10.364429253193968</v>
      </c>
      <c r="P1413" s="7">
        <f>C1413</f>
        <v>12.713545096403518</v>
      </c>
      <c r="R1413" s="7">
        <f t="shared" ref="R1413:W1413" si="1202">K1413/$I1413</f>
        <v>2.7137517393111463E-2</v>
      </c>
      <c r="S1413" s="7">
        <f t="shared" si="1202"/>
        <v>0.15417511791103217</v>
      </c>
      <c r="T1413" s="7">
        <f t="shared" si="1202"/>
        <v>0.11335370439094268</v>
      </c>
      <c r="U1413" s="7">
        <f t="shared" si="1202"/>
        <v>7.9054729994931683E-2</v>
      </c>
      <c r="V1413" s="7">
        <f t="shared" si="1202"/>
        <v>0.28126487912822457</v>
      </c>
      <c r="W1413" s="7">
        <f t="shared" si="1202"/>
        <v>0.34501405118175743</v>
      </c>
      <c r="X1413" s="7">
        <f>SUM(R1413:W1413)</f>
        <v>1</v>
      </c>
    </row>
    <row r="1414" spans="1:24" ht="15.75" customHeight="1" x14ac:dyDescent="0.3">
      <c r="C1414" t="s">
        <v>73</v>
      </c>
      <c r="D1414" t="s">
        <v>72</v>
      </c>
      <c r="E1414" t="s">
        <v>69</v>
      </c>
      <c r="F1414" t="s">
        <v>71</v>
      </c>
      <c r="G1414" t="s">
        <v>68</v>
      </c>
      <c r="H1414" t="s">
        <v>70</v>
      </c>
      <c r="K1414" t="s">
        <v>68</v>
      </c>
      <c r="L1414" t="s">
        <v>69</v>
      </c>
      <c r="M1414" t="s">
        <v>70</v>
      </c>
      <c r="N1414" t="s">
        <v>71</v>
      </c>
      <c r="O1414" t="s">
        <v>72</v>
      </c>
      <c r="P1414" t="s">
        <v>73</v>
      </c>
    </row>
    <row r="1415" spans="1:24" ht="15.75" customHeight="1" x14ac:dyDescent="0.3">
      <c r="A1415">
        <v>707</v>
      </c>
      <c r="B1415" s="16" t="s">
        <v>788</v>
      </c>
      <c r="C1415" s="7">
        <f>Rankings!L716</f>
        <v>6.5793780363885661</v>
      </c>
      <c r="D1415" s="7">
        <f>Rankings!M716</f>
        <v>5.3636887013880932</v>
      </c>
      <c r="E1415" s="7">
        <f>Rankings!N716</f>
        <v>2.9401016598221883</v>
      </c>
      <c r="F1415" s="7">
        <f>Rankings!O716</f>
        <v>3.2279578700581602</v>
      </c>
      <c r="G1415" s="7">
        <f>Rankings!P716</f>
        <v>1.1080774401297739</v>
      </c>
      <c r="H1415" s="7">
        <f>Rankings!Q716</f>
        <v>1</v>
      </c>
      <c r="I1415" s="7">
        <f>Rankings!R716</f>
        <v>20.219203707786779</v>
      </c>
      <c r="K1415" s="7">
        <f>G1415</f>
        <v>1.1080774401297739</v>
      </c>
      <c r="L1415" s="7">
        <f>E1415</f>
        <v>2.9401016598221883</v>
      </c>
      <c r="M1415" s="7">
        <f>H1415</f>
        <v>1</v>
      </c>
      <c r="N1415" s="7">
        <f>F1415</f>
        <v>3.2279578700581602</v>
      </c>
      <c r="O1415" s="7">
        <f>D1415</f>
        <v>5.3636887013880932</v>
      </c>
      <c r="P1415" s="7">
        <f>C1415</f>
        <v>6.5793780363885661</v>
      </c>
      <c r="R1415" s="7">
        <f t="shared" ref="R1415:W1415" si="1203">K1415/$I1415</f>
        <v>5.480321857101788E-2</v>
      </c>
      <c r="S1415" s="7">
        <f t="shared" si="1203"/>
        <v>0.14541134766300923</v>
      </c>
      <c r="T1415" s="7">
        <f t="shared" si="1203"/>
        <v>4.9457931897430855E-2</v>
      </c>
      <c r="U1415" s="7">
        <f t="shared" si="1203"/>
        <v>0.15964812050511246</v>
      </c>
      <c r="V1415" s="7">
        <f t="shared" si="1203"/>
        <v>0.26527695051227168</v>
      </c>
      <c r="W1415" s="7">
        <f t="shared" si="1203"/>
        <v>0.32540243085115805</v>
      </c>
      <c r="X1415" s="7">
        <f>SUM(R1415:W1415)</f>
        <v>1.0000000000000002</v>
      </c>
    </row>
    <row r="1416" spans="1:24" ht="15.75" customHeight="1" x14ac:dyDescent="0.3">
      <c r="C1416" t="s">
        <v>73</v>
      </c>
      <c r="D1416" t="s">
        <v>72</v>
      </c>
      <c r="E1416" t="s">
        <v>69</v>
      </c>
      <c r="F1416" t="s">
        <v>71</v>
      </c>
      <c r="G1416" t="s">
        <v>70</v>
      </c>
      <c r="H1416" t="s">
        <v>68</v>
      </c>
      <c r="K1416" t="s">
        <v>68</v>
      </c>
      <c r="L1416" t="s">
        <v>69</v>
      </c>
      <c r="M1416" t="s">
        <v>70</v>
      </c>
      <c r="N1416" t="s">
        <v>71</v>
      </c>
      <c r="O1416" t="s">
        <v>72</v>
      </c>
      <c r="P1416" t="s">
        <v>73</v>
      </c>
    </row>
    <row r="1417" spans="1:24" ht="15.75" customHeight="1" x14ac:dyDescent="0.3">
      <c r="A1417">
        <v>708</v>
      </c>
      <c r="B1417" s="16" t="s">
        <v>789</v>
      </c>
      <c r="C1417" s="7">
        <f>Rankings!L717</f>
        <v>7.7676656307207415</v>
      </c>
      <c r="D1417" s="7">
        <f>Rankings!M717</f>
        <v>6.3324132082440032</v>
      </c>
      <c r="E1417" s="7">
        <f>Rankings!N717</f>
        <v>3.4711072213083374</v>
      </c>
      <c r="F1417" s="7">
        <f>Rankings!O717</f>
        <v>3.8109525347213977</v>
      </c>
      <c r="G1417" s="7">
        <f>Rankings!P717</f>
        <v>1.7021844231989158</v>
      </c>
      <c r="H1417" s="7">
        <f>Rankings!Q717</f>
        <v>1</v>
      </c>
      <c r="I1417" s="7">
        <f>Rankings!R717</f>
        <v>24.084323018193395</v>
      </c>
      <c r="K1417" s="7">
        <f>H1417</f>
        <v>1</v>
      </c>
      <c r="L1417" s="7">
        <f>E1417</f>
        <v>3.4711072213083374</v>
      </c>
      <c r="M1417" s="7">
        <f>G1417</f>
        <v>1.7021844231989158</v>
      </c>
      <c r="N1417" s="7">
        <f>F1417</f>
        <v>3.8109525347213977</v>
      </c>
      <c r="O1417" s="7">
        <f>D1417</f>
        <v>6.3324132082440032</v>
      </c>
      <c r="P1417" s="7">
        <f>C1417</f>
        <v>7.7676656307207415</v>
      </c>
      <c r="R1417" s="7">
        <f t="shared" ref="R1417:W1417" si="1204">K1417/$I1417</f>
        <v>4.1520785086821665E-2</v>
      </c>
      <c r="S1417" s="7">
        <f t="shared" si="1204"/>
        <v>0.14412309694925821</v>
      </c>
      <c r="T1417" s="7">
        <f t="shared" si="1204"/>
        <v>7.0676033613777681E-2</v>
      </c>
      <c r="U1417" s="7">
        <f t="shared" si="1204"/>
        <v>0.15823374117024541</v>
      </c>
      <c r="V1417" s="7">
        <f t="shared" si="1204"/>
        <v>0.26292676790045011</v>
      </c>
      <c r="W1417" s="7">
        <f t="shared" si="1204"/>
        <v>0.32251957527944697</v>
      </c>
      <c r="X1417" s="7">
        <f>SUM(R1417:W1417)</f>
        <v>1</v>
      </c>
    </row>
    <row r="1418" spans="1:24" ht="15.75" customHeight="1" x14ac:dyDescent="0.3">
      <c r="C1418" t="s">
        <v>73</v>
      </c>
      <c r="D1418" t="s">
        <v>72</v>
      </c>
      <c r="E1418" t="s">
        <v>70</v>
      </c>
      <c r="F1418" t="s">
        <v>68</v>
      </c>
      <c r="G1418" t="s">
        <v>69</v>
      </c>
      <c r="H1418" t="s">
        <v>71</v>
      </c>
      <c r="K1418" t="s">
        <v>68</v>
      </c>
      <c r="L1418" t="s">
        <v>69</v>
      </c>
      <c r="M1418" t="s">
        <v>70</v>
      </c>
      <c r="N1418" t="s">
        <v>71</v>
      </c>
      <c r="O1418" t="s">
        <v>72</v>
      </c>
      <c r="P1418" t="s">
        <v>73</v>
      </c>
    </row>
    <row r="1419" spans="1:24" ht="15.75" customHeight="1" x14ac:dyDescent="0.3">
      <c r="A1419">
        <v>709</v>
      </c>
      <c r="B1419" s="16" t="s">
        <v>790</v>
      </c>
      <c r="C1419" s="7">
        <f>Rankings!L718</f>
        <v>6.1487516896609913</v>
      </c>
      <c r="D1419" s="7">
        <f>Rankings!M718</f>
        <v>5.0126303402955674</v>
      </c>
      <c r="E1419" s="7">
        <f>Rankings!N718</f>
        <v>2.5385075782798747</v>
      </c>
      <c r="F1419" s="7">
        <f>Rankings!O718</f>
        <v>1.4913234686458101</v>
      </c>
      <c r="G1419" s="7">
        <f>Rankings!P718</f>
        <v>0.9108240498099236</v>
      </c>
      <c r="H1419" s="7">
        <f>Rankings!Q718</f>
        <v>1</v>
      </c>
      <c r="I1419" s="7">
        <f>Rankings!R718</f>
        <v>17.102037126692167</v>
      </c>
      <c r="K1419" s="7">
        <f t="shared" ref="K1419:L1419" si="1205">F1419</f>
        <v>1.4913234686458101</v>
      </c>
      <c r="L1419" s="7">
        <f t="shared" si="1205"/>
        <v>0.9108240498099236</v>
      </c>
      <c r="M1419" s="7">
        <f>E1419</f>
        <v>2.5385075782798747</v>
      </c>
      <c r="N1419" s="7">
        <f>H1419</f>
        <v>1</v>
      </c>
      <c r="O1419" s="7">
        <f>D1419</f>
        <v>5.0126303402955674</v>
      </c>
      <c r="P1419" s="7">
        <f>C1419</f>
        <v>6.1487516896609913</v>
      </c>
      <c r="R1419" s="7">
        <f t="shared" ref="R1419:W1419" si="1206">K1419/$I1419</f>
        <v>8.720151041645284E-2</v>
      </c>
      <c r="S1419" s="7">
        <f t="shared" si="1206"/>
        <v>5.3258219653163207E-2</v>
      </c>
      <c r="T1419" s="7">
        <f t="shared" si="1206"/>
        <v>0.14843305271030402</v>
      </c>
      <c r="U1419" s="7">
        <f t="shared" si="1206"/>
        <v>5.8472566314292491E-2</v>
      </c>
      <c r="V1419" s="7">
        <f t="shared" si="1206"/>
        <v>0.29310135998196712</v>
      </c>
      <c r="W1419" s="7">
        <f t="shared" si="1206"/>
        <v>0.35953329092382036</v>
      </c>
      <c r="X1419" s="7">
        <f>SUM(R1419:W1419)</f>
        <v>1</v>
      </c>
    </row>
    <row r="1420" spans="1:24" ht="15.75" customHeight="1" x14ac:dyDescent="0.3">
      <c r="C1420" t="s">
        <v>73</v>
      </c>
      <c r="D1420" t="s">
        <v>72</v>
      </c>
      <c r="E1420" t="s">
        <v>70</v>
      </c>
      <c r="F1420" t="s">
        <v>68</v>
      </c>
      <c r="G1420" t="s">
        <v>71</v>
      </c>
      <c r="H1420" t="s">
        <v>69</v>
      </c>
      <c r="K1420" t="s">
        <v>68</v>
      </c>
      <c r="L1420" t="s">
        <v>69</v>
      </c>
      <c r="M1420" t="s">
        <v>70</v>
      </c>
      <c r="N1420" t="s">
        <v>71</v>
      </c>
      <c r="O1420" t="s">
        <v>72</v>
      </c>
      <c r="P1420" t="s">
        <v>73</v>
      </c>
    </row>
    <row r="1421" spans="1:24" ht="15.75" customHeight="1" x14ac:dyDescent="0.3">
      <c r="A1421">
        <v>710</v>
      </c>
      <c r="B1421" s="16" t="s">
        <v>791</v>
      </c>
      <c r="C1421" s="7">
        <f>Rankings!L719</f>
        <v>7.4322519141870869</v>
      </c>
      <c r="D1421" s="7">
        <f>Rankings!M719</f>
        <v>6.0589747841692487</v>
      </c>
      <c r="E1421" s="7">
        <f>Rankings!N719</f>
        <v>3.0683996947824776</v>
      </c>
      <c r="F1421" s="7">
        <f>Rankings!O719</f>
        <v>1.802624705621517</v>
      </c>
      <c r="G1421" s="7">
        <f>Rankings!P719</f>
        <v>1.4376356077157479</v>
      </c>
      <c r="H1421" s="7">
        <f>Rankings!Q719</f>
        <v>1</v>
      </c>
      <c r="I1421" s="7">
        <f>Rankings!R719</f>
        <v>20.79988670647608</v>
      </c>
      <c r="K1421" s="7">
        <f>F1421</f>
        <v>1.802624705621517</v>
      </c>
      <c r="L1421" s="7">
        <f>H1421</f>
        <v>1</v>
      </c>
      <c r="M1421" s="7">
        <f>E1421</f>
        <v>3.0683996947824776</v>
      </c>
      <c r="N1421" s="7">
        <f>G1421</f>
        <v>1.4376356077157479</v>
      </c>
      <c r="O1421" s="7">
        <f>D1421</f>
        <v>6.0589747841692487</v>
      </c>
      <c r="P1421" s="7">
        <f>C1421</f>
        <v>7.4322519141870869</v>
      </c>
      <c r="R1421" s="7">
        <f t="shared" ref="R1421:W1421" si="1207">K1421/$I1421</f>
        <v>8.666512135665945E-2</v>
      </c>
      <c r="S1421" s="7">
        <f t="shared" si="1207"/>
        <v>4.8077184943928E-2</v>
      </c>
      <c r="T1421" s="7">
        <f t="shared" si="1207"/>
        <v>0.14752001960794942</v>
      </c>
      <c r="U1421" s="7">
        <f t="shared" si="1207"/>
        <v>6.9117472994126336E-2</v>
      </c>
      <c r="V1421" s="7">
        <f t="shared" si="1207"/>
        <v>0.2912984512691012</v>
      </c>
      <c r="W1421" s="7">
        <f t="shared" si="1207"/>
        <v>0.3573217498282355</v>
      </c>
      <c r="X1421" s="7">
        <f>SUM(R1421:W1421)</f>
        <v>0.99999999999999989</v>
      </c>
    </row>
    <row r="1422" spans="1:24" ht="15.75" customHeight="1" x14ac:dyDescent="0.3">
      <c r="C1422" t="s">
        <v>73</v>
      </c>
      <c r="D1422" t="s">
        <v>72</v>
      </c>
      <c r="E1422" t="s">
        <v>70</v>
      </c>
      <c r="F1422" t="s">
        <v>69</v>
      </c>
      <c r="G1422" t="s">
        <v>68</v>
      </c>
      <c r="H1422" t="s">
        <v>71</v>
      </c>
      <c r="K1422" t="s">
        <v>68</v>
      </c>
      <c r="L1422" t="s">
        <v>69</v>
      </c>
      <c r="M1422" t="s">
        <v>70</v>
      </c>
      <c r="N1422" t="s">
        <v>71</v>
      </c>
      <c r="O1422" t="s">
        <v>72</v>
      </c>
      <c r="P1422" t="s">
        <v>73</v>
      </c>
    </row>
    <row r="1423" spans="1:24" ht="15.75" customHeight="1" x14ac:dyDescent="0.3">
      <c r="A1423">
        <v>711</v>
      </c>
      <c r="B1423" s="16" t="s">
        <v>792</v>
      </c>
      <c r="C1423" s="7">
        <f>Rankings!L720</f>
        <v>7.9768949002438001</v>
      </c>
      <c r="D1423" s="7">
        <f>Rankings!M720</f>
        <v>6.5029826241878421</v>
      </c>
      <c r="E1423" s="7">
        <f>Rankings!N720</f>
        <v>3.2932551479449019</v>
      </c>
      <c r="F1423" s="7">
        <f>Rankings!O720</f>
        <v>2.1867815224435101</v>
      </c>
      <c r="G1423" s="7">
        <f>Rankings!P720</f>
        <v>1.2538815092968505</v>
      </c>
      <c r="H1423" s="7">
        <f>Rankings!Q720</f>
        <v>1</v>
      </c>
      <c r="I1423" s="7">
        <f>Rankings!R720</f>
        <v>22.213795704116905</v>
      </c>
      <c r="K1423" s="7">
        <f>G1423</f>
        <v>1.2538815092968505</v>
      </c>
      <c r="L1423" s="7">
        <f>F1423</f>
        <v>2.1867815224435101</v>
      </c>
      <c r="M1423" s="7">
        <f>E1423</f>
        <v>3.2932551479449019</v>
      </c>
      <c r="N1423" s="7">
        <f>H1423</f>
        <v>1</v>
      </c>
      <c r="O1423" s="7">
        <f>D1423</f>
        <v>6.5029826241878421</v>
      </c>
      <c r="P1423" s="7">
        <f>C1423</f>
        <v>7.9768949002438001</v>
      </c>
      <c r="R1423" s="7">
        <f t="shared" ref="R1423:W1423" si="1208">K1423/$I1423</f>
        <v>5.6446071891462807E-2</v>
      </c>
      <c r="S1423" s="7">
        <f t="shared" si="1208"/>
        <v>9.8442497246800181E-2</v>
      </c>
      <c r="T1423" s="7">
        <f t="shared" si="1208"/>
        <v>0.14825269808952821</v>
      </c>
      <c r="U1423" s="7">
        <f t="shared" si="1208"/>
        <v>4.5017070172058395E-2</v>
      </c>
      <c r="V1423" s="7">
        <f t="shared" si="1208"/>
        <v>0.29274522512074053</v>
      </c>
      <c r="W1423" s="7">
        <f t="shared" si="1208"/>
        <v>0.35909643747940989</v>
      </c>
      <c r="X1423" s="7">
        <f>SUM(R1423:W1423)</f>
        <v>1</v>
      </c>
    </row>
    <row r="1424" spans="1:24" ht="15.75" customHeight="1" x14ac:dyDescent="0.3">
      <c r="C1424" t="s">
        <v>73</v>
      </c>
      <c r="D1424" t="s">
        <v>72</v>
      </c>
      <c r="E1424" t="s">
        <v>70</v>
      </c>
      <c r="F1424" t="s">
        <v>69</v>
      </c>
      <c r="G1424" t="s">
        <v>71</v>
      </c>
      <c r="H1424" t="s">
        <v>68</v>
      </c>
      <c r="K1424" t="s">
        <v>68</v>
      </c>
      <c r="L1424" t="s">
        <v>69</v>
      </c>
      <c r="M1424" t="s">
        <v>70</v>
      </c>
      <c r="N1424" t="s">
        <v>71</v>
      </c>
      <c r="O1424" t="s">
        <v>72</v>
      </c>
      <c r="P1424" t="s">
        <v>73</v>
      </c>
    </row>
    <row r="1425" spans="1:24" ht="15.75" customHeight="1" x14ac:dyDescent="0.3">
      <c r="A1425">
        <v>712</v>
      </c>
      <c r="B1425" s="16" t="s">
        <v>793</v>
      </c>
      <c r="C1425" s="7">
        <f>Rankings!L721</f>
        <v>9.6787820133462628</v>
      </c>
      <c r="D1425" s="7">
        <f>Rankings!M721</f>
        <v>7.8904074885290116</v>
      </c>
      <c r="E1425" s="7">
        <f>Rankings!N721</f>
        <v>3.9958779813326739</v>
      </c>
      <c r="F1425" s="7">
        <f>Rankings!O721</f>
        <v>2.653335907170761</v>
      </c>
      <c r="G1425" s="7">
        <f>Rankings!P721</f>
        <v>2.9131157743633094</v>
      </c>
      <c r="H1425" s="7">
        <f>Rankings!Q721</f>
        <v>1</v>
      </c>
      <c r="I1425" s="7">
        <f>Rankings!R721</f>
        <v>28.131519164742016</v>
      </c>
      <c r="K1425" s="7">
        <f>H1425</f>
        <v>1</v>
      </c>
      <c r="L1425" s="7">
        <f>F1425</f>
        <v>2.653335907170761</v>
      </c>
      <c r="M1425" s="7">
        <f>E1425</f>
        <v>3.9958779813326739</v>
      </c>
      <c r="N1425" s="7">
        <f>G1425</f>
        <v>2.9131157743633094</v>
      </c>
      <c r="O1425" s="7">
        <f>D1425</f>
        <v>7.8904074885290116</v>
      </c>
      <c r="P1425" s="7">
        <f>C1425</f>
        <v>9.6787820133462628</v>
      </c>
      <c r="R1425" s="7">
        <f t="shared" ref="R1425:W1425" si="1209">K1425/$I1425</f>
        <v>3.5547315953463568E-2</v>
      </c>
      <c r="S1425" s="7">
        <f t="shared" si="1209"/>
        <v>9.4318969822868914E-2</v>
      </c>
      <c r="T1425" s="7">
        <f t="shared" si="1209"/>
        <v>0.14204273711392076</v>
      </c>
      <c r="U1425" s="7">
        <f t="shared" si="1209"/>
        <v>0.10355344684031124</v>
      </c>
      <c r="V1425" s="7">
        <f t="shared" si="1209"/>
        <v>0.28048280799631575</v>
      </c>
      <c r="W1425" s="7">
        <f t="shared" si="1209"/>
        <v>0.34405472227311984</v>
      </c>
      <c r="X1425" s="7">
        <f>SUM(R1425:W1425)</f>
        <v>1</v>
      </c>
    </row>
    <row r="1426" spans="1:24" ht="15.75" customHeight="1" x14ac:dyDescent="0.3">
      <c r="C1426" t="s">
        <v>73</v>
      </c>
      <c r="D1426" t="s">
        <v>72</v>
      </c>
      <c r="E1426" t="s">
        <v>70</v>
      </c>
      <c r="F1426" t="s">
        <v>71</v>
      </c>
      <c r="G1426" t="s">
        <v>68</v>
      </c>
      <c r="H1426" t="s">
        <v>69</v>
      </c>
      <c r="K1426" t="s">
        <v>68</v>
      </c>
      <c r="L1426" t="s">
        <v>69</v>
      </c>
      <c r="M1426" t="s">
        <v>70</v>
      </c>
      <c r="N1426" t="s">
        <v>71</v>
      </c>
      <c r="O1426" t="s">
        <v>72</v>
      </c>
      <c r="P1426" t="s">
        <v>73</v>
      </c>
    </row>
    <row r="1427" spans="1:24" ht="15.75" customHeight="1" x14ac:dyDescent="0.3">
      <c r="A1427">
        <v>713</v>
      </c>
      <c r="B1427" s="16" t="s">
        <v>794</v>
      </c>
      <c r="C1427" s="7">
        <f>Rankings!L722</f>
        <v>16.565763472174254</v>
      </c>
      <c r="D1427" s="7">
        <f>Rankings!M722</f>
        <v>13.504862902564046</v>
      </c>
      <c r="E1427" s="7">
        <f>Rankings!N722</f>
        <v>6.8391631727162503</v>
      </c>
      <c r="F1427" s="7">
        <f>Rankings!O722</f>
        <v>4.7697444112251226</v>
      </c>
      <c r="G1427" s="7">
        <f>Rankings!P722</f>
        <v>1.6373343116675814</v>
      </c>
      <c r="H1427" s="7">
        <f>Rankings!Q722</f>
        <v>1</v>
      </c>
      <c r="I1427" s="7">
        <f>Rankings!R722</f>
        <v>44.31686827034725</v>
      </c>
      <c r="K1427" s="7">
        <f t="shared" ref="K1427:L1427" si="1210">G1427</f>
        <v>1.6373343116675814</v>
      </c>
      <c r="L1427" s="7">
        <f t="shared" si="1210"/>
        <v>1</v>
      </c>
      <c r="M1427" s="7">
        <f t="shared" ref="M1427:N1427" si="1211">E1427</f>
        <v>6.8391631727162503</v>
      </c>
      <c r="N1427" s="7">
        <f t="shared" si="1211"/>
        <v>4.7697444112251226</v>
      </c>
      <c r="O1427" s="7">
        <f>D1427</f>
        <v>13.504862902564046</v>
      </c>
      <c r="P1427" s="7">
        <f>C1427</f>
        <v>16.565763472174254</v>
      </c>
      <c r="R1427" s="7">
        <f t="shared" ref="R1427:W1427" si="1212">K1427/$I1427</f>
        <v>3.6946074385927084E-2</v>
      </c>
      <c r="S1427" s="7">
        <f t="shared" si="1212"/>
        <v>2.2564771361994175E-2</v>
      </c>
      <c r="T1427" s="7">
        <f t="shared" si="1212"/>
        <v>0.15432415329971289</v>
      </c>
      <c r="U1427" s="7">
        <f t="shared" si="1212"/>
        <v>0.10762819209444442</v>
      </c>
      <c r="V1427" s="7">
        <f t="shared" si="1212"/>
        <v>0.30473414367143475</v>
      </c>
      <c r="W1427" s="7">
        <f t="shared" si="1212"/>
        <v>0.3738026651864868</v>
      </c>
      <c r="X1427" s="7">
        <f>SUM(R1427:W1427)</f>
        <v>1</v>
      </c>
    </row>
    <row r="1428" spans="1:24" ht="15.75" customHeight="1" x14ac:dyDescent="0.3">
      <c r="C1428" t="s">
        <v>73</v>
      </c>
      <c r="D1428" t="s">
        <v>72</v>
      </c>
      <c r="E1428" t="s">
        <v>70</v>
      </c>
      <c r="F1428" t="s">
        <v>71</v>
      </c>
      <c r="G1428" t="s">
        <v>69</v>
      </c>
      <c r="H1428" t="s">
        <v>68</v>
      </c>
      <c r="K1428" t="s">
        <v>68</v>
      </c>
      <c r="L1428" t="s">
        <v>69</v>
      </c>
      <c r="M1428" t="s">
        <v>70</v>
      </c>
      <c r="N1428" t="s">
        <v>71</v>
      </c>
      <c r="O1428" t="s">
        <v>72</v>
      </c>
      <c r="P1428" t="s">
        <v>73</v>
      </c>
    </row>
    <row r="1429" spans="1:24" ht="15.75" customHeight="1" x14ac:dyDescent="0.3">
      <c r="A1429">
        <v>714</v>
      </c>
      <c r="B1429" s="16" t="s">
        <v>795</v>
      </c>
      <c r="C1429" s="7">
        <f>Rankings!L723</f>
        <v>8.7079127095956963</v>
      </c>
      <c r="D1429" s="7">
        <f>Rankings!M723</f>
        <v>7.0989283112799395</v>
      </c>
      <c r="E1429" s="7">
        <f>Rankings!N723</f>
        <v>3.5950553087836714</v>
      </c>
      <c r="F1429" s="7">
        <f>Rankings!O723</f>
        <v>2.5072504536115345</v>
      </c>
      <c r="G1429" s="7">
        <f>Rankings!P723</f>
        <v>1.7440097060445605</v>
      </c>
      <c r="H1429" s="7">
        <f>Rankings!Q723</f>
        <v>1</v>
      </c>
      <c r="I1429" s="7">
        <f>Rankings!R723</f>
        <v>24.653156489315403</v>
      </c>
      <c r="K1429" s="7">
        <f>H1429</f>
        <v>1</v>
      </c>
      <c r="L1429" s="7">
        <f>G1429</f>
        <v>1.7440097060445605</v>
      </c>
      <c r="M1429" s="7">
        <f t="shared" ref="M1429:N1429" si="1213">E1429</f>
        <v>3.5950553087836714</v>
      </c>
      <c r="N1429" s="7">
        <f t="shared" si="1213"/>
        <v>2.5072504536115345</v>
      </c>
      <c r="O1429" s="7">
        <f>D1429</f>
        <v>7.0989283112799395</v>
      </c>
      <c r="P1429" s="7">
        <f>C1429</f>
        <v>8.7079127095956963</v>
      </c>
      <c r="R1429" s="7">
        <f t="shared" ref="R1429:W1429" si="1214">K1429/$I1429</f>
        <v>4.0562757163911105E-2</v>
      </c>
      <c r="S1429" s="7">
        <f t="shared" si="1214"/>
        <v>7.0741842197789506E-2</v>
      </c>
      <c r="T1429" s="7">
        <f t="shared" si="1214"/>
        <v>0.14582535548102152</v>
      </c>
      <c r="U1429" s="7">
        <f t="shared" si="1214"/>
        <v>0.10170099129895065</v>
      </c>
      <c r="V1429" s="7">
        <f t="shared" si="1214"/>
        <v>0.28795210521446174</v>
      </c>
      <c r="W1429" s="7">
        <f t="shared" si="1214"/>
        <v>0.35321694864386544</v>
      </c>
      <c r="X1429" s="7">
        <f>SUM(R1429:W1429)</f>
        <v>1</v>
      </c>
    </row>
    <row r="1430" spans="1:24" ht="15.75" customHeight="1" x14ac:dyDescent="0.3">
      <c r="C1430" t="s">
        <v>73</v>
      </c>
      <c r="D1430" t="s">
        <v>72</v>
      </c>
      <c r="E1430" t="s">
        <v>71</v>
      </c>
      <c r="F1430" t="s">
        <v>68</v>
      </c>
      <c r="G1430" t="s">
        <v>69</v>
      </c>
      <c r="H1430" t="s">
        <v>70</v>
      </c>
      <c r="K1430" t="s">
        <v>68</v>
      </c>
      <c r="L1430" t="s">
        <v>69</v>
      </c>
      <c r="M1430" t="s">
        <v>70</v>
      </c>
      <c r="N1430" t="s">
        <v>71</v>
      </c>
      <c r="O1430" t="s">
        <v>72</v>
      </c>
      <c r="P1430" t="s">
        <v>73</v>
      </c>
    </row>
    <row r="1431" spans="1:24" ht="15.75" customHeight="1" x14ac:dyDescent="0.3">
      <c r="A1431">
        <v>715</v>
      </c>
      <c r="B1431" s="16" t="s">
        <v>796</v>
      </c>
      <c r="C1431" s="7">
        <f>Rankings!L724</f>
        <v>9.9791789598659602</v>
      </c>
      <c r="D1431" s="7">
        <f>Rankings!M724</f>
        <v>8.1352992851498964</v>
      </c>
      <c r="E1431" s="7">
        <f>Rankings!N724</f>
        <v>6.4874448608216708</v>
      </c>
      <c r="F1431" s="7">
        <f>Rankings!O724</f>
        <v>2.2269780411455038</v>
      </c>
      <c r="G1431" s="7">
        <f>Rankings!P724</f>
        <v>1.3601242124324544</v>
      </c>
      <c r="H1431" s="7">
        <f>Rankings!Q724</f>
        <v>1</v>
      </c>
      <c r="I1431" s="7">
        <f>Rankings!R724</f>
        <v>29.189025359415485</v>
      </c>
      <c r="K1431" s="7">
        <f t="shared" ref="K1431:M1431" si="1215">F1431</f>
        <v>2.2269780411455038</v>
      </c>
      <c r="L1431" s="7">
        <f t="shared" si="1215"/>
        <v>1.3601242124324544</v>
      </c>
      <c r="M1431" s="7">
        <f t="shared" si="1215"/>
        <v>1</v>
      </c>
      <c r="N1431" s="7">
        <f>E1431</f>
        <v>6.4874448608216708</v>
      </c>
      <c r="O1431" s="7">
        <f>D1431</f>
        <v>8.1352992851498964</v>
      </c>
      <c r="P1431" s="7">
        <f>C1431</f>
        <v>9.9791789598659602</v>
      </c>
      <c r="R1431" s="7">
        <f t="shared" ref="R1431:W1431" si="1216">K1431/$I1431</f>
        <v>7.6295046296472144E-2</v>
      </c>
      <c r="S1431" s="7">
        <f t="shared" si="1216"/>
        <v>4.6597109553495934E-2</v>
      </c>
      <c r="T1431" s="7">
        <f t="shared" si="1216"/>
        <v>3.4259451546827024E-2</v>
      </c>
      <c r="U1431" s="7">
        <f t="shared" si="1216"/>
        <v>0.22225630287203199</v>
      </c>
      <c r="V1431" s="7">
        <f t="shared" si="1216"/>
        <v>0.27871089167852936</v>
      </c>
      <c r="W1431" s="7">
        <f t="shared" si="1216"/>
        <v>0.34188119805264355</v>
      </c>
      <c r="X1431" s="7">
        <f>SUM(R1431:W1431)</f>
        <v>1</v>
      </c>
    </row>
    <row r="1432" spans="1:24" ht="15.75" customHeight="1" x14ac:dyDescent="0.3">
      <c r="C1432" t="s">
        <v>73</v>
      </c>
      <c r="D1432" t="s">
        <v>72</v>
      </c>
      <c r="E1432" t="s">
        <v>71</v>
      </c>
      <c r="F1432" t="s">
        <v>68</v>
      </c>
      <c r="G1432" t="s">
        <v>70</v>
      </c>
      <c r="H1432" t="s">
        <v>69</v>
      </c>
      <c r="K1432" t="s">
        <v>68</v>
      </c>
      <c r="L1432" t="s">
        <v>69</v>
      </c>
      <c r="M1432" t="s">
        <v>70</v>
      </c>
      <c r="N1432" t="s">
        <v>71</v>
      </c>
      <c r="O1432" t="s">
        <v>72</v>
      </c>
      <c r="P1432" t="s">
        <v>73</v>
      </c>
    </row>
    <row r="1433" spans="1:24" ht="15.75" customHeight="1" x14ac:dyDescent="0.3">
      <c r="A1433">
        <v>716</v>
      </c>
      <c r="B1433" s="16" t="s">
        <v>797</v>
      </c>
      <c r="C1433" s="7">
        <f>Rankings!L725</f>
        <v>7.4777161067066613</v>
      </c>
      <c r="D1433" s="7">
        <f>Rankings!M725</f>
        <v>6.0960384358375803</v>
      </c>
      <c r="E1433" s="7">
        <f>Rankings!N725</f>
        <v>4.8612487181800335</v>
      </c>
      <c r="F1433" s="7">
        <f>Rankings!O725</f>
        <v>1.668745458371804</v>
      </c>
      <c r="G1433" s="7">
        <f>Rankings!P725</f>
        <v>1.5059827029565431</v>
      </c>
      <c r="H1433" s="7">
        <f>Rankings!Q725</f>
        <v>1</v>
      </c>
      <c r="I1433" s="7">
        <f>Rankings!R725</f>
        <v>22.609731422052626</v>
      </c>
      <c r="K1433" s="7">
        <f>F1433</f>
        <v>1.668745458371804</v>
      </c>
      <c r="L1433" s="7">
        <f>H1433</f>
        <v>1</v>
      </c>
      <c r="M1433" s="7">
        <f>G1433</f>
        <v>1.5059827029565431</v>
      </c>
      <c r="N1433" s="7">
        <f>E1433</f>
        <v>4.8612487181800335</v>
      </c>
      <c r="O1433" s="7">
        <f>D1433</f>
        <v>6.0960384358375803</v>
      </c>
      <c r="P1433" s="7">
        <f>C1433</f>
        <v>7.4777161067066613</v>
      </c>
      <c r="R1433" s="7">
        <f t="shared" ref="R1433:W1433" si="1217">K1433/$I1433</f>
        <v>7.3806513983805069E-2</v>
      </c>
      <c r="S1433" s="7">
        <f t="shared" si="1217"/>
        <v>4.4228742983856949E-2</v>
      </c>
      <c r="T1433" s="7">
        <f t="shared" si="1217"/>
        <v>6.660772190719913E-2</v>
      </c>
      <c r="U1433" s="7">
        <f t="shared" si="1217"/>
        <v>0.21500692013698872</v>
      </c>
      <c r="V1433" s="7">
        <f t="shared" si="1217"/>
        <v>0.26962011719837364</v>
      </c>
      <c r="W1433" s="7">
        <f t="shared" si="1217"/>
        <v>0.33072998378977631</v>
      </c>
      <c r="X1433" s="7">
        <f>SUM(R1433:W1433)</f>
        <v>0.99999999999999978</v>
      </c>
    </row>
    <row r="1434" spans="1:24" ht="15.75" customHeight="1" x14ac:dyDescent="0.3">
      <c r="C1434" t="s">
        <v>73</v>
      </c>
      <c r="D1434" t="s">
        <v>72</v>
      </c>
      <c r="E1434" t="s">
        <v>71</v>
      </c>
      <c r="F1434" t="s">
        <v>69</v>
      </c>
      <c r="G1434" t="s">
        <v>68</v>
      </c>
      <c r="H1434" t="s">
        <v>70</v>
      </c>
      <c r="K1434" t="s">
        <v>68</v>
      </c>
      <c r="L1434" t="s">
        <v>69</v>
      </c>
      <c r="M1434" t="s">
        <v>70</v>
      </c>
      <c r="N1434" t="s">
        <v>71</v>
      </c>
      <c r="O1434" t="s">
        <v>72</v>
      </c>
      <c r="P1434" t="s">
        <v>73</v>
      </c>
    </row>
    <row r="1435" spans="1:24" ht="15.75" customHeight="1" x14ac:dyDescent="0.3">
      <c r="A1435">
        <v>717</v>
      </c>
      <c r="B1435" s="16" t="s">
        <v>798</v>
      </c>
      <c r="C1435" s="7">
        <f>Rankings!L726</f>
        <v>4.2735517062733654</v>
      </c>
      <c r="D1435" s="7">
        <f>Rankings!M726</f>
        <v>3.4839160897825825</v>
      </c>
      <c r="E1435" s="7">
        <f>Rankings!N726</f>
        <v>2.7782276644020838</v>
      </c>
      <c r="F1435" s="7">
        <f>Rankings!O726</f>
        <v>1.9324978106353361</v>
      </c>
      <c r="G1435" s="7">
        <f>Rankings!P726</f>
        <v>1.1080774401297739</v>
      </c>
      <c r="H1435" s="7">
        <f>Rankings!Q726</f>
        <v>1</v>
      </c>
      <c r="I1435" s="7">
        <f>Rankings!R726</f>
        <v>14.576270711223144</v>
      </c>
      <c r="K1435" s="7">
        <f>G1435</f>
        <v>1.1080774401297739</v>
      </c>
      <c r="L1435" s="7">
        <f>F1435</f>
        <v>1.9324978106353361</v>
      </c>
      <c r="M1435" s="7">
        <f>H1435</f>
        <v>1</v>
      </c>
      <c r="N1435" s="7">
        <f>E1435</f>
        <v>2.7782276644020838</v>
      </c>
      <c r="O1435" s="7">
        <f>D1435</f>
        <v>3.4839160897825825</v>
      </c>
      <c r="P1435" s="7">
        <f>C1435</f>
        <v>4.2735517062733654</v>
      </c>
      <c r="R1435" s="7">
        <f t="shared" ref="R1435:W1435" si="1218">K1435/$I1435</f>
        <v>7.6019268719851554E-2</v>
      </c>
      <c r="S1435" s="7">
        <f t="shared" si="1218"/>
        <v>0.13257834249383077</v>
      </c>
      <c r="T1435" s="7">
        <f t="shared" si="1218"/>
        <v>6.860465339944874E-2</v>
      </c>
      <c r="U1435" s="7">
        <f t="shared" si="1218"/>
        <v>0.19059934598106495</v>
      </c>
      <c r="V1435" s="7">
        <f t="shared" si="1218"/>
        <v>0.23901285581229684</v>
      </c>
      <c r="W1435" s="7">
        <f t="shared" si="1218"/>
        <v>0.29318553359350702</v>
      </c>
      <c r="X1435" s="7">
        <f>SUM(R1435:W1435)</f>
        <v>0.99999999999999978</v>
      </c>
    </row>
    <row r="1436" spans="1:24" ht="15.75" customHeight="1" x14ac:dyDescent="0.3">
      <c r="C1436" t="s">
        <v>73</v>
      </c>
      <c r="D1436" t="s">
        <v>72</v>
      </c>
      <c r="E1436" t="s">
        <v>71</v>
      </c>
      <c r="F1436" t="s">
        <v>69</v>
      </c>
      <c r="G1436" t="s">
        <v>70</v>
      </c>
      <c r="H1436" t="s">
        <v>68</v>
      </c>
      <c r="K1436" t="s">
        <v>68</v>
      </c>
      <c r="L1436" t="s">
        <v>69</v>
      </c>
      <c r="M1436" t="s">
        <v>70</v>
      </c>
      <c r="N1436" t="s">
        <v>71</v>
      </c>
      <c r="O1436" t="s">
        <v>72</v>
      </c>
      <c r="P1436" t="s">
        <v>73</v>
      </c>
    </row>
    <row r="1437" spans="1:24" ht="15.75" customHeight="1" x14ac:dyDescent="0.3">
      <c r="A1437">
        <v>718</v>
      </c>
      <c r="B1437" s="16" t="s">
        <v>799</v>
      </c>
      <c r="C1437" s="7">
        <f>Rankings!L727</f>
        <v>5.1198252292452775</v>
      </c>
      <c r="D1437" s="7">
        <f>Rankings!M727</f>
        <v>4.1738213830099475</v>
      </c>
      <c r="E1437" s="7">
        <f>Rankings!N727</f>
        <v>3.3283884381023809</v>
      </c>
      <c r="F1437" s="7">
        <f>Rankings!O727</f>
        <v>2.3151822480182171</v>
      </c>
      <c r="G1437" s="7">
        <f>Rankings!P727</f>
        <v>1.7021844231989158</v>
      </c>
      <c r="H1437" s="7">
        <f>Rankings!Q727</f>
        <v>1</v>
      </c>
      <c r="I1437" s="7">
        <f>Rankings!R727</f>
        <v>17.639401721574739</v>
      </c>
      <c r="K1437" s="7">
        <f>H1437</f>
        <v>1</v>
      </c>
      <c r="L1437" s="7">
        <f t="shared" ref="L1437:M1437" si="1219">F1437</f>
        <v>2.3151822480182171</v>
      </c>
      <c r="M1437" s="7">
        <f t="shared" si="1219"/>
        <v>1.7021844231989158</v>
      </c>
      <c r="N1437" s="7">
        <f>E1437</f>
        <v>3.3283884381023809</v>
      </c>
      <c r="O1437" s="7">
        <f>D1437</f>
        <v>4.1738213830099475</v>
      </c>
      <c r="P1437" s="7">
        <f>C1437</f>
        <v>5.1198252292452775</v>
      </c>
      <c r="R1437" s="7">
        <f t="shared" ref="R1437:W1437" si="1220">K1437/$I1437</f>
        <v>5.6691265145172171E-2</v>
      </c>
      <c r="S1437" s="7">
        <f t="shared" si="1220"/>
        <v>0.1312506106817965</v>
      </c>
      <c r="T1437" s="7">
        <f t="shared" si="1220"/>
        <v>9.6498988461551694E-2</v>
      </c>
      <c r="U1437" s="7">
        <f t="shared" si="1220"/>
        <v>0.18869055145058755</v>
      </c>
      <c r="V1437" s="7">
        <f t="shared" si="1220"/>
        <v>0.23661921469280614</v>
      </c>
      <c r="W1437" s="7">
        <f t="shared" si="1220"/>
        <v>0.29024936956808595</v>
      </c>
      <c r="X1437" s="7">
        <f>SUM(R1437:W1437)</f>
        <v>1</v>
      </c>
    </row>
    <row r="1438" spans="1:24" ht="15.75" customHeight="1" x14ac:dyDescent="0.3">
      <c r="C1438" t="s">
        <v>73</v>
      </c>
      <c r="D1438" t="s">
        <v>72</v>
      </c>
      <c r="E1438" t="s">
        <v>71</v>
      </c>
      <c r="F1438" t="s">
        <v>70</v>
      </c>
      <c r="G1438" t="s">
        <v>68</v>
      </c>
      <c r="H1438" t="s">
        <v>69</v>
      </c>
      <c r="K1438" t="s">
        <v>68</v>
      </c>
      <c r="L1438" t="s">
        <v>69</v>
      </c>
      <c r="M1438" t="s">
        <v>70</v>
      </c>
      <c r="N1438" t="s">
        <v>71</v>
      </c>
      <c r="O1438" t="s">
        <v>72</v>
      </c>
      <c r="P1438" t="s">
        <v>73</v>
      </c>
    </row>
    <row r="1439" spans="1:24" ht="15.75" customHeight="1" x14ac:dyDescent="0.3">
      <c r="A1439">
        <v>719</v>
      </c>
      <c r="B1439" s="16" t="s">
        <v>800</v>
      </c>
      <c r="C1439" s="7">
        <f>Rankings!L728</f>
        <v>9.5982494791628277</v>
      </c>
      <c r="D1439" s="7">
        <f>Rankings!M728</f>
        <v>7.8247551667890498</v>
      </c>
      <c r="E1439" s="7">
        <f>Rankings!N728</f>
        <v>6.2398033452358845</v>
      </c>
      <c r="F1439" s="7">
        <f>Rankings!O728</f>
        <v>2.7870449608896757</v>
      </c>
      <c r="G1439" s="7">
        <f>Rankings!P728</f>
        <v>1.6373343116675814</v>
      </c>
      <c r="H1439" s="7">
        <f>Rankings!Q728</f>
        <v>1</v>
      </c>
      <c r="I1439" s="7">
        <f>Rankings!R728</f>
        <v>29.087187263745019</v>
      </c>
      <c r="K1439" s="7">
        <f t="shared" ref="K1439:L1439" si="1221">G1439</f>
        <v>1.6373343116675814</v>
      </c>
      <c r="L1439" s="7">
        <f t="shared" si="1221"/>
        <v>1</v>
      </c>
      <c r="M1439" s="7">
        <f>F1439</f>
        <v>2.7870449608896757</v>
      </c>
      <c r="N1439" s="7">
        <f>E1439</f>
        <v>6.2398033452358845</v>
      </c>
      <c r="O1439" s="7">
        <f>D1439</f>
        <v>7.8247551667890498</v>
      </c>
      <c r="P1439" s="7">
        <f>C1439</f>
        <v>9.5982494791628277</v>
      </c>
      <c r="R1439" s="7">
        <f t="shared" ref="R1439:W1439" si="1222">K1439/$I1439</f>
        <v>5.629056865558104E-2</v>
      </c>
      <c r="S1439" s="7">
        <f t="shared" si="1222"/>
        <v>3.4379398424901141E-2</v>
      </c>
      <c r="T1439" s="7">
        <f t="shared" si="1222"/>
        <v>9.5816929138539175E-2</v>
      </c>
      <c r="U1439" s="7">
        <f t="shared" si="1222"/>
        <v>0.21452068529889542</v>
      </c>
      <c r="V1439" s="7">
        <f t="shared" si="1222"/>
        <v>0.26901037545634454</v>
      </c>
      <c r="W1439" s="7">
        <f t="shared" si="1222"/>
        <v>0.32998204302573869</v>
      </c>
      <c r="X1439" s="7">
        <f>SUM(R1439:W1439)</f>
        <v>1</v>
      </c>
    </row>
    <row r="1440" spans="1:24" ht="15.75" customHeight="1" x14ac:dyDescent="0.3">
      <c r="C1440" t="s">
        <v>73</v>
      </c>
      <c r="D1440" t="s">
        <v>72</v>
      </c>
      <c r="E1440" t="s">
        <v>71</v>
      </c>
      <c r="F1440" t="s">
        <v>70</v>
      </c>
      <c r="G1440" t="s">
        <v>69</v>
      </c>
      <c r="H1440" t="s">
        <v>68</v>
      </c>
      <c r="K1440" t="s">
        <v>68</v>
      </c>
      <c r="L1440" t="s">
        <v>69</v>
      </c>
      <c r="M1440" t="s">
        <v>70</v>
      </c>
      <c r="N1440" t="s">
        <v>71</v>
      </c>
      <c r="O1440" t="s">
        <v>72</v>
      </c>
      <c r="P1440" t="s">
        <v>73</v>
      </c>
    </row>
    <row r="1441" spans="1:24" ht="15.75" customHeight="1" x14ac:dyDescent="0.3">
      <c r="A1441">
        <v>720</v>
      </c>
      <c r="B1441" s="16" t="s">
        <v>801</v>
      </c>
      <c r="C1441" s="7">
        <f>Rankings!L729</f>
        <v>9.0451743088095355</v>
      </c>
      <c r="D1441" s="7">
        <f>Rankings!M729</f>
        <v>7.3738731797934225</v>
      </c>
      <c r="E1441" s="7">
        <f>Rankings!N729</f>
        <v>5.8802502511399801</v>
      </c>
      <c r="F1441" s="7">
        <f>Rankings!O729</f>
        <v>2.6264484510914334</v>
      </c>
      <c r="G1441" s="7">
        <f>Rankings!P729</f>
        <v>1.7440097060445605</v>
      </c>
      <c r="H1441" s="7">
        <f>Rankings!Q729</f>
        <v>1</v>
      </c>
      <c r="I1441" s="7">
        <f>Rankings!R729</f>
        <v>27.669755896878932</v>
      </c>
      <c r="K1441" s="7">
        <f>H1441</f>
        <v>1</v>
      </c>
      <c r="L1441" s="7">
        <f>G1441</f>
        <v>1.7440097060445605</v>
      </c>
      <c r="M1441" s="7">
        <f>F1441</f>
        <v>2.6264484510914334</v>
      </c>
      <c r="N1441" s="7">
        <f>E1441</f>
        <v>5.8802502511399801</v>
      </c>
      <c r="O1441" s="7">
        <f>D1441</f>
        <v>7.3738731797934225</v>
      </c>
      <c r="P1441" s="7">
        <f>C1441</f>
        <v>9.0451743088095355</v>
      </c>
      <c r="R1441" s="7">
        <f t="shared" ref="R1441:W1441" si="1223">K1441/$I1441</f>
        <v>3.6140542899144153E-2</v>
      </c>
      <c r="S1441" s="7">
        <f t="shared" si="1223"/>
        <v>6.3029457597827229E-2</v>
      </c>
      <c r="T1441" s="7">
        <f t="shared" si="1223"/>
        <v>9.4921272919060662E-2</v>
      </c>
      <c r="U1441" s="7">
        <f t="shared" si="1223"/>
        <v>0.21251543645902765</v>
      </c>
      <c r="V1441" s="7">
        <f t="shared" si="1223"/>
        <v>0.26649577998717272</v>
      </c>
      <c r="W1441" s="7">
        <f t="shared" si="1223"/>
        <v>0.32689751013776758</v>
      </c>
      <c r="X1441" s="7">
        <f>SUM(R1441:W1441)</f>
        <v>1</v>
      </c>
    </row>
  </sheetData>
  <pageMargins left="0.7" right="0.7" top="0.75" bottom="0.75" header="0" footer="0"/>
  <pageSetup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M100"/>
  <sheetViews>
    <sheetView workbookViewId="0"/>
  </sheetViews>
  <sheetFormatPr defaultColWidth="14.44140625" defaultRowHeight="15" customHeight="1" x14ac:dyDescent="0.3"/>
  <cols>
    <col min="1" max="1" width="11.33203125" customWidth="1"/>
    <col min="2" max="11" width="7" customWidth="1"/>
    <col min="12" max="12" width="7.44140625" customWidth="1"/>
    <col min="13" max="13" width="139.88671875" customWidth="1"/>
  </cols>
  <sheetData>
    <row r="1" spans="1:13" ht="12.75" customHeight="1" x14ac:dyDescent="0.3">
      <c r="A1" s="19" t="s">
        <v>802</v>
      </c>
      <c r="B1" s="19" t="s">
        <v>803</v>
      </c>
      <c r="C1" s="19" t="s">
        <v>804</v>
      </c>
      <c r="D1" s="19" t="s">
        <v>805</v>
      </c>
      <c r="E1" s="19" t="s">
        <v>806</v>
      </c>
      <c r="F1" s="19" t="s">
        <v>807</v>
      </c>
      <c r="G1" s="19" t="s">
        <v>808</v>
      </c>
      <c r="H1" s="19" t="s">
        <v>809</v>
      </c>
      <c r="I1" s="19" t="s">
        <v>810</v>
      </c>
      <c r="J1" s="19" t="s">
        <v>811</v>
      </c>
      <c r="K1" s="19" t="s">
        <v>812</v>
      </c>
      <c r="L1" s="20"/>
      <c r="M1" s="20" t="s">
        <v>813</v>
      </c>
    </row>
    <row r="2" spans="1:13" ht="12.75" customHeight="1" x14ac:dyDescent="0.3">
      <c r="A2" s="19">
        <v>0.01</v>
      </c>
      <c r="B2" s="21">
        <v>1E-4</v>
      </c>
      <c r="C2" s="21">
        <v>1.8800000000000001E-2</v>
      </c>
      <c r="D2" s="21">
        <v>0.14949999999999999</v>
      </c>
      <c r="E2" s="21">
        <v>0.30120000000000002</v>
      </c>
      <c r="F2" s="21">
        <v>0.4249</v>
      </c>
      <c r="G2" s="21">
        <v>0.51</v>
      </c>
      <c r="H2" s="21">
        <v>0.57230000000000003</v>
      </c>
      <c r="I2" s="21">
        <v>0.61699999999999999</v>
      </c>
      <c r="J2" s="21">
        <v>0.65210000000000001</v>
      </c>
      <c r="K2" s="21">
        <v>0.68</v>
      </c>
      <c r="L2" s="20"/>
      <c r="M2" s="20"/>
    </row>
    <row r="3" spans="1:13" ht="12.75" customHeight="1" x14ac:dyDescent="0.3">
      <c r="A3" s="19">
        <v>0.02</v>
      </c>
      <c r="B3" s="21">
        <v>2.0000000000000001E-4</v>
      </c>
      <c r="C3" s="21">
        <v>4.1799999999999997E-2</v>
      </c>
      <c r="D3" s="21">
        <v>0.19339999999999999</v>
      </c>
      <c r="E3" s="21">
        <v>0.34620000000000001</v>
      </c>
      <c r="F3" s="21">
        <v>0.46200000000000002</v>
      </c>
      <c r="G3" s="21">
        <v>0.54</v>
      </c>
      <c r="H3" s="21">
        <v>0.59609999999999996</v>
      </c>
      <c r="I3" s="21">
        <v>0.6371</v>
      </c>
      <c r="J3" s="21">
        <v>0.66900000000000004</v>
      </c>
      <c r="K3" s="21">
        <v>0.69450000000000001</v>
      </c>
      <c r="L3" s="20"/>
      <c r="M3" s="20"/>
    </row>
    <row r="4" spans="1:13" ht="12.75" customHeight="1" x14ac:dyDescent="0.3">
      <c r="A4" s="19">
        <v>0.03</v>
      </c>
      <c r="B4" s="21">
        <v>5.0000000000000001E-4</v>
      </c>
      <c r="C4" s="21">
        <v>5.96E-2</v>
      </c>
      <c r="D4" s="21">
        <v>0.223</v>
      </c>
      <c r="E4" s="21">
        <v>0.3745</v>
      </c>
      <c r="F4" s="21">
        <v>0.48470000000000002</v>
      </c>
      <c r="G4" s="21">
        <v>0.55810000000000004</v>
      </c>
      <c r="H4" s="21">
        <v>0.61050000000000004</v>
      </c>
      <c r="I4" s="21">
        <v>0.64929999999999999</v>
      </c>
      <c r="J4" s="21">
        <v>0.67930000000000001</v>
      </c>
      <c r="K4" s="21">
        <v>0.70340000000000003</v>
      </c>
      <c r="L4" s="20"/>
      <c r="M4" s="20"/>
    </row>
    <row r="5" spans="1:13" ht="12.75" customHeight="1" x14ac:dyDescent="0.3">
      <c r="A5" s="19">
        <v>0.04</v>
      </c>
      <c r="B5" s="21">
        <v>8.9999999999999998E-4</v>
      </c>
      <c r="C5" s="21">
        <v>7.4800000000000005E-2</v>
      </c>
      <c r="D5" s="21">
        <v>0.246</v>
      </c>
      <c r="E5" s="21">
        <v>0.39550000000000002</v>
      </c>
      <c r="F5" s="21">
        <v>0.50119999999999998</v>
      </c>
      <c r="G5" s="21">
        <v>0.57130000000000003</v>
      </c>
      <c r="H5" s="21">
        <v>0.62109999999999999</v>
      </c>
      <c r="I5" s="21">
        <v>0.65820000000000001</v>
      </c>
      <c r="J5" s="21">
        <v>0.68679999999999997</v>
      </c>
      <c r="K5" s="21">
        <v>0.71</v>
      </c>
      <c r="L5" s="20"/>
      <c r="M5" s="20"/>
    </row>
    <row r="6" spans="1:13" ht="12.75" customHeight="1" x14ac:dyDescent="0.3">
      <c r="A6" s="19">
        <v>0.05</v>
      </c>
      <c r="B6" s="21">
        <v>1.4E-3</v>
      </c>
      <c r="C6" s="21">
        <v>8.8400000000000006E-2</v>
      </c>
      <c r="D6" s="21">
        <v>0.2651</v>
      </c>
      <c r="E6" s="21">
        <v>0.41239999999999999</v>
      </c>
      <c r="F6" s="21">
        <v>0.51429999999999998</v>
      </c>
      <c r="G6" s="21">
        <v>0.58179999999999998</v>
      </c>
      <c r="H6" s="21">
        <v>0.62949999999999995</v>
      </c>
      <c r="I6" s="21">
        <v>0.6653</v>
      </c>
      <c r="J6" s="21">
        <v>0.69279999999999997</v>
      </c>
      <c r="K6" s="21">
        <v>0.71519999999999995</v>
      </c>
      <c r="L6" s="20"/>
      <c r="M6" s="20"/>
    </row>
    <row r="7" spans="1:13" ht="12.75" customHeight="1" x14ac:dyDescent="0.3">
      <c r="A7" s="19">
        <v>0.06</v>
      </c>
      <c r="B7" s="21">
        <v>2.0999999999999999E-3</v>
      </c>
      <c r="C7" s="21">
        <v>0.1008</v>
      </c>
      <c r="D7" s="21">
        <v>0.28160000000000002</v>
      </c>
      <c r="E7" s="21">
        <v>0.42659999999999998</v>
      </c>
      <c r="F7" s="21">
        <v>0.52529999999999999</v>
      </c>
      <c r="G7" s="21">
        <v>0.59040000000000004</v>
      </c>
      <c r="H7" s="21">
        <v>0.63649999999999995</v>
      </c>
      <c r="I7" s="21">
        <v>0.67120000000000002</v>
      </c>
      <c r="J7" s="21">
        <v>0.69779999999999998</v>
      </c>
      <c r="K7" s="21">
        <v>0.71960000000000002</v>
      </c>
      <c r="L7" s="20"/>
      <c r="M7" s="20"/>
    </row>
    <row r="8" spans="1:13" ht="12.75" customHeight="1" x14ac:dyDescent="0.3">
      <c r="A8" s="19">
        <v>7.0000000000000007E-2</v>
      </c>
      <c r="B8" s="21">
        <v>2.8E-3</v>
      </c>
      <c r="C8" s="21">
        <v>0.1124</v>
      </c>
      <c r="D8" s="21">
        <v>0.29630000000000001</v>
      </c>
      <c r="E8" s="21">
        <v>0.439</v>
      </c>
      <c r="F8" s="21">
        <v>0.53469999999999995</v>
      </c>
      <c r="G8" s="21">
        <v>0.59789999999999999</v>
      </c>
      <c r="H8" s="21">
        <v>0.64249999999999996</v>
      </c>
      <c r="I8" s="21">
        <v>0.67630000000000001</v>
      </c>
      <c r="J8" s="21">
        <v>0.70220000000000005</v>
      </c>
      <c r="K8" s="21">
        <v>0.72340000000000004</v>
      </c>
      <c r="L8" s="20"/>
      <c r="M8" s="20"/>
    </row>
    <row r="9" spans="1:13" ht="12" customHeight="1" x14ac:dyDescent="0.3">
      <c r="A9" s="19">
        <v>0.08</v>
      </c>
      <c r="B9" s="21">
        <v>3.7000000000000002E-3</v>
      </c>
      <c r="C9" s="21">
        <v>0.12330000000000001</v>
      </c>
      <c r="D9" s="21">
        <v>0.3095</v>
      </c>
      <c r="E9" s="21">
        <v>0.44990000000000002</v>
      </c>
      <c r="F9" s="21">
        <v>0.54300000000000004</v>
      </c>
      <c r="G9" s="21">
        <v>0.60450000000000004</v>
      </c>
      <c r="H9" s="21">
        <v>0.64780000000000004</v>
      </c>
      <c r="I9" s="21">
        <v>0.68069999999999997</v>
      </c>
      <c r="J9" s="21">
        <v>0.70599999999999996</v>
      </c>
      <c r="K9" s="21">
        <v>0.72670000000000001</v>
      </c>
      <c r="L9" s="20"/>
      <c r="M9" s="20"/>
    </row>
    <row r="10" spans="1:13" ht="12.75" customHeight="1" x14ac:dyDescent="0.3">
      <c r="A10" s="19">
        <v>0.09</v>
      </c>
      <c r="B10" s="21">
        <v>4.5999999999999999E-3</v>
      </c>
      <c r="C10" s="21">
        <v>0.13370000000000001</v>
      </c>
      <c r="D10" s="21">
        <v>0.32150000000000001</v>
      </c>
      <c r="E10" s="21">
        <v>0.4597</v>
      </c>
      <c r="F10" s="21">
        <v>0.55049999999999999</v>
      </c>
      <c r="G10" s="21">
        <v>0.61040000000000005</v>
      </c>
      <c r="H10" s="21">
        <v>0.65259999999999996</v>
      </c>
      <c r="I10" s="21">
        <v>0.68479999999999996</v>
      </c>
      <c r="J10" s="21">
        <v>0.70950000000000002</v>
      </c>
      <c r="K10" s="21">
        <v>0.7298</v>
      </c>
      <c r="L10" s="20"/>
      <c r="M10" s="20"/>
    </row>
    <row r="11" spans="1:13" ht="12.75" customHeight="1" x14ac:dyDescent="0.3">
      <c r="A11" s="19">
        <v>0.1</v>
      </c>
      <c r="B11" s="21">
        <v>5.7000000000000002E-3</v>
      </c>
      <c r="C11" s="21">
        <v>0.14369999999999999</v>
      </c>
      <c r="D11" s="21">
        <v>0.3327</v>
      </c>
      <c r="E11" s="21">
        <v>0.46860000000000002</v>
      </c>
      <c r="F11" s="21">
        <v>0.55720000000000003</v>
      </c>
      <c r="G11" s="21">
        <v>0.61570000000000003</v>
      </c>
      <c r="H11" s="21">
        <v>0.65690000000000004</v>
      </c>
      <c r="I11" s="21">
        <v>0.68840000000000001</v>
      </c>
      <c r="J11" s="21">
        <v>0.71260000000000001</v>
      </c>
      <c r="K11" s="21">
        <v>0.73250000000000004</v>
      </c>
      <c r="L11" s="20"/>
      <c r="M11" s="20"/>
    </row>
    <row r="12" spans="1:13" ht="12.75" customHeight="1" x14ac:dyDescent="0.3">
      <c r="A12" s="19">
        <v>0.11</v>
      </c>
      <c r="B12" s="21">
        <v>6.8999999999999999E-3</v>
      </c>
      <c r="C12" s="21">
        <v>0.1532</v>
      </c>
      <c r="D12" s="21">
        <v>0.34300000000000003</v>
      </c>
      <c r="E12" s="21">
        <v>0.47689999999999999</v>
      </c>
      <c r="F12" s="21">
        <v>0.56340000000000001</v>
      </c>
      <c r="G12" s="21">
        <v>0.62060000000000004</v>
      </c>
      <c r="H12" s="21">
        <v>0.66090000000000004</v>
      </c>
      <c r="I12" s="21">
        <v>0.69179999999999997</v>
      </c>
      <c r="J12" s="21">
        <v>0.71550000000000002</v>
      </c>
      <c r="K12" s="21">
        <v>0.73499999999999999</v>
      </c>
      <c r="L12" s="20"/>
      <c r="M12" s="20"/>
    </row>
    <row r="13" spans="1:13" ht="12.75" customHeight="1" x14ac:dyDescent="0.3">
      <c r="A13" s="19">
        <v>0.12</v>
      </c>
      <c r="B13" s="21">
        <v>8.3000000000000001E-3</v>
      </c>
      <c r="C13" s="21">
        <v>0.16250000000000001</v>
      </c>
      <c r="D13" s="21">
        <v>0.3528</v>
      </c>
      <c r="E13" s="21">
        <v>0.48449999999999999</v>
      </c>
      <c r="F13" s="21">
        <v>0.56910000000000005</v>
      </c>
      <c r="G13" s="21">
        <v>0.62519999999999998</v>
      </c>
      <c r="H13" s="21">
        <v>0.66459999999999997</v>
      </c>
      <c r="I13" s="21">
        <v>0.69489999999999996</v>
      </c>
      <c r="J13" s="21">
        <v>0.71819999999999995</v>
      </c>
      <c r="K13" s="21">
        <v>0.73740000000000006</v>
      </c>
      <c r="L13" s="20"/>
      <c r="M13" s="20"/>
    </row>
    <row r="14" spans="1:13" ht="12.75" customHeight="1" x14ac:dyDescent="0.3">
      <c r="A14" s="19">
        <v>0.13</v>
      </c>
      <c r="B14" s="21">
        <v>9.7000000000000003E-3</v>
      </c>
      <c r="C14" s="21">
        <v>0.1714</v>
      </c>
      <c r="D14" s="21">
        <v>0.36199999999999999</v>
      </c>
      <c r="E14" s="21">
        <v>0.49159999999999998</v>
      </c>
      <c r="F14" s="21">
        <v>0.57450000000000001</v>
      </c>
      <c r="G14" s="21">
        <v>0.62939999999999996</v>
      </c>
      <c r="H14" s="21">
        <v>0.66810000000000003</v>
      </c>
      <c r="I14" s="21">
        <v>0.69779999999999998</v>
      </c>
      <c r="J14" s="21">
        <v>0.72070000000000001</v>
      </c>
      <c r="K14" s="21">
        <v>0.73960000000000004</v>
      </c>
      <c r="L14" s="20"/>
      <c r="M14" s="20"/>
    </row>
    <row r="15" spans="1:13" ht="12.75" customHeight="1" x14ac:dyDescent="0.3">
      <c r="A15" s="19">
        <v>0.14000000000000001</v>
      </c>
      <c r="B15" s="21">
        <v>1.1299999999999999E-2</v>
      </c>
      <c r="C15" s="21">
        <v>0.18010000000000001</v>
      </c>
      <c r="D15" s="21">
        <v>0.37059999999999998</v>
      </c>
      <c r="E15" s="21">
        <v>0.49830000000000002</v>
      </c>
      <c r="F15" s="21">
        <v>0.57950000000000002</v>
      </c>
      <c r="G15" s="21">
        <v>0.63339999999999996</v>
      </c>
      <c r="H15" s="21">
        <v>0.67130000000000001</v>
      </c>
      <c r="I15" s="21">
        <v>0.70050000000000001</v>
      </c>
      <c r="J15" s="21">
        <v>0.72309999999999997</v>
      </c>
      <c r="K15" s="21">
        <v>0.74170000000000003</v>
      </c>
      <c r="L15" s="20"/>
      <c r="M15" s="20"/>
    </row>
    <row r="16" spans="1:13" ht="12.75" customHeight="1" x14ac:dyDescent="0.3">
      <c r="A16" s="19">
        <v>0.15</v>
      </c>
      <c r="B16" s="21">
        <v>1.29E-2</v>
      </c>
      <c r="C16" s="21">
        <v>0.18859999999999999</v>
      </c>
      <c r="D16" s="21">
        <v>0.37890000000000001</v>
      </c>
      <c r="E16" s="21">
        <v>0.50470000000000004</v>
      </c>
      <c r="F16" s="21">
        <v>0.58420000000000005</v>
      </c>
      <c r="G16" s="21">
        <v>0.6371</v>
      </c>
      <c r="H16" s="21">
        <v>0.67430000000000001</v>
      </c>
      <c r="I16" s="21">
        <v>0.70309999999999995</v>
      </c>
      <c r="J16" s="21">
        <v>0.72529999999999994</v>
      </c>
      <c r="K16" s="21">
        <v>0.74360000000000004</v>
      </c>
      <c r="L16" s="20"/>
      <c r="M16" s="20"/>
    </row>
    <row r="17" spans="1:13" ht="12.75" customHeight="1" x14ac:dyDescent="0.3">
      <c r="A17" s="19">
        <v>0.16</v>
      </c>
      <c r="B17" s="21">
        <v>1.47E-2</v>
      </c>
      <c r="C17" s="21">
        <v>0.19689999999999999</v>
      </c>
      <c r="D17" s="21">
        <v>0.38679999999999998</v>
      </c>
      <c r="E17" s="21">
        <v>0.51060000000000005</v>
      </c>
      <c r="F17" s="21">
        <v>0.5887</v>
      </c>
      <c r="G17" s="21">
        <v>0.64059999999999995</v>
      </c>
      <c r="H17" s="21">
        <v>0.67720000000000002</v>
      </c>
      <c r="I17" s="21">
        <v>0.7056</v>
      </c>
      <c r="J17" s="21">
        <v>0.72740000000000005</v>
      </c>
      <c r="K17" s="21">
        <v>0.74550000000000005</v>
      </c>
      <c r="L17" s="20"/>
      <c r="M17" s="20"/>
    </row>
    <row r="18" spans="1:13" ht="12" customHeight="1" x14ac:dyDescent="0.3">
      <c r="A18" s="19">
        <v>0.17</v>
      </c>
      <c r="B18" s="21">
        <v>1.66E-2</v>
      </c>
      <c r="C18" s="21">
        <v>0.20499999999999999</v>
      </c>
      <c r="D18" s="21">
        <v>0.39439999999999997</v>
      </c>
      <c r="E18" s="21">
        <v>0.51629999999999998</v>
      </c>
      <c r="F18" s="21">
        <v>0.59289999999999998</v>
      </c>
      <c r="G18" s="21">
        <v>0.64400000000000002</v>
      </c>
      <c r="H18" s="21">
        <v>0.68</v>
      </c>
      <c r="I18" s="21">
        <v>0.70789999999999997</v>
      </c>
      <c r="J18" s="21">
        <v>0.72940000000000005</v>
      </c>
      <c r="K18" s="21">
        <v>0.74729999999999996</v>
      </c>
      <c r="L18" s="20"/>
      <c r="M18" s="20"/>
    </row>
    <row r="19" spans="1:13" ht="12.75" customHeight="1" x14ac:dyDescent="0.3">
      <c r="A19" s="19">
        <v>0.18</v>
      </c>
      <c r="B19" s="21">
        <v>1.8700000000000001E-2</v>
      </c>
      <c r="C19" s="21">
        <v>0.21290000000000001</v>
      </c>
      <c r="D19" s="21">
        <v>0.40160000000000001</v>
      </c>
      <c r="E19" s="21">
        <v>0.52180000000000004</v>
      </c>
      <c r="F19" s="21">
        <v>0.59699999999999998</v>
      </c>
      <c r="G19" s="21">
        <v>0.6472</v>
      </c>
      <c r="H19" s="21">
        <v>0.68259999999999998</v>
      </c>
      <c r="I19" s="21">
        <v>0.71009999999999995</v>
      </c>
      <c r="J19" s="21">
        <v>0.73129999999999995</v>
      </c>
      <c r="K19" s="21">
        <v>0.749</v>
      </c>
      <c r="L19" s="20"/>
      <c r="M19" s="20"/>
    </row>
    <row r="20" spans="1:13" ht="12.75" customHeight="1" x14ac:dyDescent="0.3">
      <c r="A20" s="19">
        <v>0.19</v>
      </c>
      <c r="B20" s="21">
        <v>2.07E-2</v>
      </c>
      <c r="C20" s="21">
        <v>0.22070000000000001</v>
      </c>
      <c r="D20" s="21">
        <v>0.40860000000000002</v>
      </c>
      <c r="E20" s="21">
        <v>0.52700000000000002</v>
      </c>
      <c r="F20" s="21">
        <v>0.60089999999999999</v>
      </c>
      <c r="G20" s="21">
        <v>0.6502</v>
      </c>
      <c r="H20" s="21">
        <v>0.68510000000000004</v>
      </c>
      <c r="I20" s="21">
        <v>0.71220000000000006</v>
      </c>
      <c r="J20" s="21">
        <v>0.73319999999999996</v>
      </c>
      <c r="K20" s="21">
        <v>0.75060000000000004</v>
      </c>
      <c r="L20" s="20"/>
      <c r="M20" s="20"/>
    </row>
    <row r="21" spans="1:13" ht="12.75" customHeight="1" x14ac:dyDescent="0.3">
      <c r="A21" s="19">
        <v>0.2</v>
      </c>
      <c r="B21" s="21">
        <v>2.3E-2</v>
      </c>
      <c r="C21" s="21">
        <v>0.2283</v>
      </c>
      <c r="D21" s="21">
        <v>0.41539999999999999</v>
      </c>
      <c r="E21" s="21">
        <v>0.53200000000000003</v>
      </c>
      <c r="F21" s="21">
        <v>0.60460000000000003</v>
      </c>
      <c r="G21" s="21">
        <v>0.6532</v>
      </c>
      <c r="H21" s="21">
        <v>0.6875</v>
      </c>
      <c r="I21" s="21">
        <v>0.71430000000000005</v>
      </c>
      <c r="J21" s="21">
        <v>0.73499999999999999</v>
      </c>
      <c r="K21" s="21">
        <v>0.75209999999999999</v>
      </c>
      <c r="L21" s="20"/>
      <c r="M21" s="20"/>
    </row>
    <row r="22" spans="1:13" ht="12.75" customHeight="1" x14ac:dyDescent="0.3">
      <c r="A22" s="19">
        <v>0.21</v>
      </c>
      <c r="B22" s="21">
        <v>2.5399999999999999E-2</v>
      </c>
      <c r="C22" s="21">
        <v>0.2359</v>
      </c>
      <c r="D22" s="21">
        <v>0.4219</v>
      </c>
      <c r="E22" s="21">
        <v>0.53680000000000005</v>
      </c>
      <c r="F22" s="21">
        <v>0.60809999999999997</v>
      </c>
      <c r="G22" s="21">
        <v>0.65600000000000003</v>
      </c>
      <c r="H22" s="21">
        <v>0.68989999999999996</v>
      </c>
      <c r="I22" s="21">
        <v>0.71630000000000005</v>
      </c>
      <c r="J22" s="21">
        <v>0.73670000000000002</v>
      </c>
      <c r="K22" s="21">
        <v>0.75370000000000004</v>
      </c>
      <c r="L22" s="20"/>
      <c r="M22" s="20"/>
    </row>
    <row r="23" spans="1:13" ht="12.75" customHeight="1" x14ac:dyDescent="0.3">
      <c r="A23" s="19">
        <v>0.22</v>
      </c>
      <c r="B23" s="21">
        <v>2.81E-2</v>
      </c>
      <c r="C23" s="21">
        <v>0.24329999999999999</v>
      </c>
      <c r="D23" s="21">
        <v>0.42820000000000003</v>
      </c>
      <c r="E23" s="21">
        <v>0.54139999999999999</v>
      </c>
      <c r="F23" s="21">
        <v>0.61160000000000003</v>
      </c>
      <c r="G23" s="21">
        <v>0.65869999999999995</v>
      </c>
      <c r="H23" s="21">
        <v>0.69210000000000005</v>
      </c>
      <c r="I23" s="21">
        <v>0.71819999999999995</v>
      </c>
      <c r="J23" s="21">
        <v>0.73829999999999996</v>
      </c>
      <c r="K23" s="21">
        <v>0.75509999999999999</v>
      </c>
      <c r="L23" s="20"/>
      <c r="M23" s="20"/>
    </row>
    <row r="24" spans="1:13" ht="12.75" customHeight="1" x14ac:dyDescent="0.3">
      <c r="A24" s="19">
        <v>0.23</v>
      </c>
      <c r="B24" s="21">
        <v>3.0599999999999999E-2</v>
      </c>
      <c r="C24" s="21">
        <v>0.25059999999999999</v>
      </c>
      <c r="D24" s="21">
        <v>0.43430000000000002</v>
      </c>
      <c r="E24" s="21">
        <v>0.54590000000000005</v>
      </c>
      <c r="F24" s="21">
        <v>0.6149</v>
      </c>
      <c r="G24" s="21">
        <v>0.66139999999999999</v>
      </c>
      <c r="H24" s="21">
        <v>0.69430000000000003</v>
      </c>
      <c r="I24" s="21">
        <v>0.72</v>
      </c>
      <c r="J24" s="21">
        <v>0.7399</v>
      </c>
      <c r="K24" s="21">
        <v>0.75649999999999995</v>
      </c>
      <c r="L24" s="20"/>
      <c r="M24" s="20"/>
    </row>
    <row r="25" spans="1:13" ht="12.75" customHeight="1" x14ac:dyDescent="0.3">
      <c r="A25" s="19">
        <v>0.24</v>
      </c>
      <c r="B25" s="21">
        <v>3.3399999999999999E-2</v>
      </c>
      <c r="C25" s="21">
        <v>0.25779999999999997</v>
      </c>
      <c r="D25" s="21">
        <v>0.44030000000000002</v>
      </c>
      <c r="E25" s="21">
        <v>0.55020000000000002</v>
      </c>
      <c r="F25" s="21">
        <v>0.61809999999999998</v>
      </c>
      <c r="G25" s="21">
        <v>0.66390000000000005</v>
      </c>
      <c r="H25" s="21">
        <v>0.69640000000000002</v>
      </c>
      <c r="I25" s="21">
        <v>0.7218</v>
      </c>
      <c r="J25" s="21">
        <v>0.74150000000000005</v>
      </c>
      <c r="K25" s="21">
        <v>0.75790000000000002</v>
      </c>
      <c r="L25" s="20"/>
      <c r="M25" s="20"/>
    </row>
    <row r="26" spans="1:13" ht="12.75" customHeight="1" x14ac:dyDescent="0.3">
      <c r="A26" s="19">
        <v>0.25</v>
      </c>
      <c r="B26" s="21">
        <v>3.6299999999999999E-2</v>
      </c>
      <c r="C26" s="21">
        <v>0.26479999999999998</v>
      </c>
      <c r="D26" s="21">
        <v>0.4461</v>
      </c>
      <c r="E26" s="21">
        <v>0.5544</v>
      </c>
      <c r="F26" s="21">
        <v>0.62119999999999997</v>
      </c>
      <c r="G26" s="21">
        <v>0.66639999999999999</v>
      </c>
      <c r="H26" s="21">
        <v>0.69840000000000002</v>
      </c>
      <c r="I26" s="21">
        <v>0.72350000000000003</v>
      </c>
      <c r="J26" s="21">
        <v>0.74299999999999999</v>
      </c>
      <c r="K26" s="21">
        <v>0.75919999999999999</v>
      </c>
      <c r="L26" s="20"/>
      <c r="M26" s="20"/>
    </row>
    <row r="27" spans="1:13" ht="12.75" customHeight="1" x14ac:dyDescent="0.3">
      <c r="A27" s="19">
        <v>0.26</v>
      </c>
      <c r="B27" s="21">
        <v>3.9300000000000002E-2</v>
      </c>
      <c r="C27" s="21">
        <v>0.27189999999999998</v>
      </c>
      <c r="D27" s="21">
        <v>0.45169999999999999</v>
      </c>
      <c r="E27" s="21">
        <v>0.5585</v>
      </c>
      <c r="F27" s="21">
        <v>0.62429999999999997</v>
      </c>
      <c r="G27" s="21">
        <v>0.66879999999999995</v>
      </c>
      <c r="H27" s="21">
        <v>0.70040000000000002</v>
      </c>
      <c r="I27" s="21">
        <v>0.72519999999999996</v>
      </c>
      <c r="J27" s="21">
        <v>0.74450000000000005</v>
      </c>
      <c r="K27" s="21">
        <v>0.76049999999999995</v>
      </c>
      <c r="L27" s="20"/>
      <c r="M27" s="20"/>
    </row>
    <row r="28" spans="1:13" ht="12.75" customHeight="1" x14ac:dyDescent="0.3">
      <c r="A28" s="19">
        <v>0.27</v>
      </c>
      <c r="B28" s="21">
        <v>4.2500000000000003E-2</v>
      </c>
      <c r="C28" s="21">
        <v>0.27879999999999999</v>
      </c>
      <c r="D28" s="21">
        <v>0.4572</v>
      </c>
      <c r="E28" s="21">
        <v>0.5625</v>
      </c>
      <c r="F28" s="21">
        <v>0.62719999999999998</v>
      </c>
      <c r="G28" s="21">
        <v>0.67110000000000003</v>
      </c>
      <c r="H28" s="21">
        <v>0.70230000000000004</v>
      </c>
      <c r="I28" s="21">
        <v>0.7268</v>
      </c>
      <c r="J28" s="21">
        <v>0.74590000000000001</v>
      </c>
      <c r="K28" s="21">
        <v>0.76180000000000003</v>
      </c>
      <c r="L28" s="20"/>
      <c r="M28" s="20"/>
    </row>
    <row r="29" spans="1:13" ht="12.75" customHeight="1" x14ac:dyDescent="0.3">
      <c r="A29" s="19">
        <v>0.28000000000000003</v>
      </c>
      <c r="B29" s="21">
        <v>4.5699999999999998E-2</v>
      </c>
      <c r="C29" s="21">
        <v>0.28560000000000002</v>
      </c>
      <c r="D29" s="21">
        <v>0.46260000000000001</v>
      </c>
      <c r="E29" s="21">
        <v>0.56640000000000001</v>
      </c>
      <c r="F29" s="21">
        <v>0.63009999999999999</v>
      </c>
      <c r="G29" s="21">
        <v>0.6734</v>
      </c>
      <c r="H29" s="21">
        <v>0.70420000000000005</v>
      </c>
      <c r="I29" s="21">
        <v>0.72840000000000005</v>
      </c>
      <c r="J29" s="21">
        <v>0.74729999999999996</v>
      </c>
      <c r="K29" s="21">
        <v>0.76300000000000001</v>
      </c>
      <c r="L29" s="20"/>
      <c r="M29" s="20"/>
    </row>
    <row r="30" spans="1:13" ht="12.75" customHeight="1" x14ac:dyDescent="0.3">
      <c r="A30" s="19">
        <v>0.28999999999999998</v>
      </c>
      <c r="B30" s="21">
        <v>4.9099999999999998E-2</v>
      </c>
      <c r="C30" s="21">
        <v>0.29239999999999999</v>
      </c>
      <c r="D30" s="21">
        <v>0.46789999999999998</v>
      </c>
      <c r="E30" s="21">
        <v>0.57010000000000005</v>
      </c>
      <c r="F30" s="21">
        <v>0.63290000000000002</v>
      </c>
      <c r="G30" s="21">
        <v>0.67559999999999998</v>
      </c>
      <c r="H30" s="21">
        <v>0.70609999999999995</v>
      </c>
      <c r="I30" s="21">
        <v>0.73</v>
      </c>
      <c r="J30" s="21">
        <v>0.74870000000000003</v>
      </c>
      <c r="K30" s="21">
        <v>0.76429999999999998</v>
      </c>
      <c r="L30" s="20"/>
      <c r="M30" s="20"/>
    </row>
    <row r="31" spans="1:13" ht="12.75" customHeight="1" x14ac:dyDescent="0.3">
      <c r="A31" s="19">
        <v>0.3</v>
      </c>
      <c r="B31" s="21">
        <v>5.2600000000000001E-2</v>
      </c>
      <c r="C31" s="21">
        <v>0.29909999999999998</v>
      </c>
      <c r="D31" s="21">
        <v>0.47299999999999998</v>
      </c>
      <c r="E31" s="21">
        <v>0.57379999999999998</v>
      </c>
      <c r="F31" s="21">
        <v>0.63560000000000005</v>
      </c>
      <c r="G31" s="21">
        <v>0.67779999999999996</v>
      </c>
      <c r="H31" s="21">
        <v>0.70789999999999997</v>
      </c>
      <c r="I31" s="21">
        <v>0.73150000000000004</v>
      </c>
      <c r="J31" s="21">
        <v>0.75</v>
      </c>
      <c r="K31" s="21">
        <v>0.76539999999999997</v>
      </c>
      <c r="L31" s="20"/>
      <c r="M31" s="20"/>
    </row>
    <row r="32" spans="1:13" ht="12.75" customHeight="1" x14ac:dyDescent="0.3">
      <c r="A32" s="19">
        <v>0.31</v>
      </c>
      <c r="B32" s="21">
        <v>5.6399999999999999E-2</v>
      </c>
      <c r="C32" s="21">
        <v>0.30570000000000003</v>
      </c>
      <c r="D32" s="21">
        <v>0.47799999999999998</v>
      </c>
      <c r="E32" s="21">
        <v>0.57740000000000002</v>
      </c>
      <c r="F32" s="21">
        <v>0.63829999999999998</v>
      </c>
      <c r="G32" s="21">
        <v>0.67989999999999995</v>
      </c>
      <c r="H32" s="21">
        <v>0.70960000000000001</v>
      </c>
      <c r="I32" s="21">
        <v>0.73299999999999998</v>
      </c>
      <c r="J32" s="21">
        <v>0.75129999999999997</v>
      </c>
      <c r="K32" s="21">
        <v>0.76659999999999995</v>
      </c>
      <c r="L32" s="20"/>
      <c r="M32" s="20"/>
    </row>
    <row r="33" spans="1:13" ht="12.75" customHeight="1" x14ac:dyDescent="0.3">
      <c r="A33" s="19">
        <v>0.32</v>
      </c>
      <c r="B33" s="21">
        <v>6.0199999999999997E-2</v>
      </c>
      <c r="C33" s="21">
        <v>0.31230000000000002</v>
      </c>
      <c r="D33" s="21">
        <v>0.48299999999999998</v>
      </c>
      <c r="E33" s="21">
        <v>0.58089999999999997</v>
      </c>
      <c r="F33" s="21">
        <v>0.64090000000000003</v>
      </c>
      <c r="G33" s="21">
        <v>0.68200000000000005</v>
      </c>
      <c r="H33" s="21">
        <v>0.71130000000000004</v>
      </c>
      <c r="I33" s="21">
        <v>0.73450000000000004</v>
      </c>
      <c r="J33" s="21">
        <v>0.75260000000000005</v>
      </c>
      <c r="K33" s="21">
        <v>0.76770000000000005</v>
      </c>
      <c r="L33" s="20"/>
      <c r="M33" s="20"/>
    </row>
    <row r="34" spans="1:13" ht="12" customHeight="1" x14ac:dyDescent="0.3">
      <c r="A34" s="19">
        <v>0.33</v>
      </c>
      <c r="B34" s="21">
        <v>6.4100000000000004E-2</v>
      </c>
      <c r="C34" s="21">
        <v>0.31879999999999997</v>
      </c>
      <c r="D34" s="21">
        <v>0.48780000000000001</v>
      </c>
      <c r="E34" s="21">
        <v>0.58430000000000004</v>
      </c>
      <c r="F34" s="21">
        <v>0.64339999999999997</v>
      </c>
      <c r="G34" s="21">
        <v>0.68400000000000005</v>
      </c>
      <c r="H34" s="21">
        <v>0.71299999999999997</v>
      </c>
      <c r="I34" s="21">
        <v>0.7359</v>
      </c>
      <c r="J34" s="21">
        <v>0.75380000000000003</v>
      </c>
      <c r="K34" s="21">
        <v>0.76890000000000003</v>
      </c>
      <c r="L34" s="20"/>
      <c r="M34" s="20"/>
    </row>
    <row r="35" spans="1:13" ht="12.75" customHeight="1" x14ac:dyDescent="0.3">
      <c r="A35" s="19">
        <v>0.34</v>
      </c>
      <c r="B35" s="21">
        <v>6.8199999999999997E-2</v>
      </c>
      <c r="C35" s="21">
        <v>0.32529999999999998</v>
      </c>
      <c r="D35" s="21">
        <v>0.49259999999999998</v>
      </c>
      <c r="E35" s="21">
        <v>0.5877</v>
      </c>
      <c r="F35" s="21">
        <v>0.64600000000000002</v>
      </c>
      <c r="G35" s="21">
        <v>0.68600000000000005</v>
      </c>
      <c r="H35" s="21">
        <v>0.7147</v>
      </c>
      <c r="I35" s="21">
        <v>0.73740000000000006</v>
      </c>
      <c r="J35" s="21">
        <v>0.75509999999999999</v>
      </c>
      <c r="K35" s="21">
        <v>0.77</v>
      </c>
      <c r="L35" s="20"/>
      <c r="M35" s="20"/>
    </row>
    <row r="36" spans="1:13" ht="12.75" customHeight="1" x14ac:dyDescent="0.3">
      <c r="A36" s="19">
        <v>0.35</v>
      </c>
      <c r="B36" s="21">
        <v>7.2499999999999995E-2</v>
      </c>
      <c r="C36" s="21">
        <v>0.33169999999999999</v>
      </c>
      <c r="D36" s="21">
        <v>0.49719999999999998</v>
      </c>
      <c r="E36" s="21">
        <v>0.59099999999999997</v>
      </c>
      <c r="F36" s="21">
        <v>0.64839999999999998</v>
      </c>
      <c r="G36" s="21">
        <v>0.68799999999999994</v>
      </c>
      <c r="H36" s="21">
        <v>0.71630000000000005</v>
      </c>
      <c r="I36" s="21">
        <v>0.73880000000000001</v>
      </c>
      <c r="J36" s="21">
        <v>0.75629999999999997</v>
      </c>
      <c r="K36" s="21">
        <v>0.77100000000000002</v>
      </c>
      <c r="L36" s="20"/>
      <c r="M36" s="20"/>
    </row>
    <row r="37" spans="1:13" ht="12.75" customHeight="1" x14ac:dyDescent="0.3">
      <c r="A37" s="19">
        <v>0.36</v>
      </c>
      <c r="B37" s="21">
        <v>7.6899999999999996E-2</v>
      </c>
      <c r="C37" s="21">
        <v>0.33800000000000002</v>
      </c>
      <c r="D37" s="21">
        <v>0.50180000000000002</v>
      </c>
      <c r="E37" s="21">
        <v>0.59419999999999995</v>
      </c>
      <c r="F37" s="21">
        <v>0.65080000000000005</v>
      </c>
      <c r="G37" s="21">
        <v>0.68989999999999996</v>
      </c>
      <c r="H37" s="21">
        <v>0.71789999999999998</v>
      </c>
      <c r="I37" s="21">
        <v>0.74009999999999998</v>
      </c>
      <c r="J37" s="21">
        <v>0.75749999999999995</v>
      </c>
      <c r="K37" s="21">
        <v>0.77210000000000001</v>
      </c>
      <c r="L37" s="20"/>
      <c r="M37" s="20"/>
    </row>
    <row r="38" spans="1:13" ht="12.75" customHeight="1" x14ac:dyDescent="0.3">
      <c r="A38" s="19">
        <v>0.37</v>
      </c>
      <c r="B38" s="21">
        <v>8.1500000000000003E-2</v>
      </c>
      <c r="C38" s="21">
        <v>0.34429999999999999</v>
      </c>
      <c r="D38" s="21">
        <v>0.50629999999999997</v>
      </c>
      <c r="E38" s="21">
        <v>0.59740000000000004</v>
      </c>
      <c r="F38" s="21">
        <v>0.6532</v>
      </c>
      <c r="G38" s="21">
        <v>0.69179999999999997</v>
      </c>
      <c r="H38" s="21">
        <v>0.71950000000000003</v>
      </c>
      <c r="I38" s="21">
        <v>0.74150000000000005</v>
      </c>
      <c r="J38" s="21">
        <v>0.75870000000000004</v>
      </c>
      <c r="K38" s="21">
        <v>0.7732</v>
      </c>
      <c r="L38" s="20"/>
      <c r="M38" s="20"/>
    </row>
    <row r="39" spans="1:13" ht="12.75" customHeight="1" x14ac:dyDescent="0.3">
      <c r="A39" s="19">
        <v>0.38</v>
      </c>
      <c r="B39" s="21">
        <v>8.6199999999999999E-2</v>
      </c>
      <c r="C39" s="21">
        <v>0.35060000000000002</v>
      </c>
      <c r="D39" s="21">
        <v>0.51080000000000003</v>
      </c>
      <c r="E39" s="21">
        <v>0.60060000000000002</v>
      </c>
      <c r="F39" s="21">
        <v>0.65549999999999997</v>
      </c>
      <c r="G39" s="21">
        <v>0.69369999999999998</v>
      </c>
      <c r="H39" s="21">
        <v>0.72109999999999996</v>
      </c>
      <c r="I39" s="21">
        <v>0.74280000000000002</v>
      </c>
      <c r="J39" s="21">
        <v>0.75990000000000002</v>
      </c>
      <c r="K39" s="21">
        <v>0.7742</v>
      </c>
      <c r="L39" s="20"/>
      <c r="M39" s="20"/>
    </row>
    <row r="40" spans="1:13" ht="12.75" customHeight="1" x14ac:dyDescent="0.3">
      <c r="A40" s="19">
        <v>0.39</v>
      </c>
      <c r="B40" s="21">
        <v>9.11E-2</v>
      </c>
      <c r="C40" s="21">
        <v>0.35680000000000001</v>
      </c>
      <c r="D40" s="21">
        <v>0.51519999999999999</v>
      </c>
      <c r="E40" s="21">
        <v>0.60370000000000001</v>
      </c>
      <c r="F40" s="21">
        <v>0.65790000000000004</v>
      </c>
      <c r="G40" s="21">
        <v>0.69550000000000001</v>
      </c>
      <c r="H40" s="21">
        <v>0.72260000000000002</v>
      </c>
      <c r="I40" s="21">
        <v>0.74409999999999998</v>
      </c>
      <c r="J40" s="21">
        <v>0.76100000000000001</v>
      </c>
      <c r="K40" s="21">
        <v>0.7752</v>
      </c>
      <c r="L40" s="20"/>
      <c r="M40" s="20"/>
    </row>
    <row r="41" spans="1:13" ht="12.75" customHeight="1" x14ac:dyDescent="0.3">
      <c r="A41" s="19">
        <v>0.4</v>
      </c>
      <c r="B41" s="21">
        <v>9.6000000000000002E-2</v>
      </c>
      <c r="C41" s="21">
        <v>0.36299999999999999</v>
      </c>
      <c r="D41" s="21">
        <v>0.51949999999999996</v>
      </c>
      <c r="E41" s="21">
        <v>0.60670000000000002</v>
      </c>
      <c r="F41" s="21">
        <v>0.66010000000000002</v>
      </c>
      <c r="G41" s="21">
        <v>0.69730000000000003</v>
      </c>
      <c r="H41" s="21">
        <v>0.72409999999999997</v>
      </c>
      <c r="I41" s="21">
        <v>0.74539999999999995</v>
      </c>
      <c r="J41" s="21">
        <v>0.7621</v>
      </c>
      <c r="K41" s="21">
        <v>0.7762</v>
      </c>
      <c r="L41" s="20"/>
      <c r="M41" s="20"/>
    </row>
    <row r="42" spans="1:13" ht="12.75" customHeight="1" x14ac:dyDescent="0.3">
      <c r="A42" s="19">
        <v>0.41</v>
      </c>
      <c r="B42" s="21">
        <v>0.1012</v>
      </c>
      <c r="C42" s="21">
        <v>0.36909999999999998</v>
      </c>
      <c r="D42" s="21">
        <v>0.52370000000000005</v>
      </c>
      <c r="E42" s="21">
        <v>0.60970000000000002</v>
      </c>
      <c r="F42" s="21">
        <v>0.66239999999999999</v>
      </c>
      <c r="G42" s="21">
        <v>0.69910000000000005</v>
      </c>
      <c r="H42" s="21">
        <v>0.72560000000000002</v>
      </c>
      <c r="I42" s="21">
        <v>0.74670000000000003</v>
      </c>
      <c r="J42" s="21">
        <v>0.76329999999999998</v>
      </c>
      <c r="K42" s="21">
        <v>0.7772</v>
      </c>
      <c r="L42" s="20"/>
      <c r="M42" s="20"/>
    </row>
    <row r="43" spans="1:13" ht="12" customHeight="1" x14ac:dyDescent="0.3">
      <c r="A43" s="19">
        <v>0.42</v>
      </c>
      <c r="B43" s="21">
        <v>0.1065</v>
      </c>
      <c r="C43" s="21">
        <v>0.37519999999999998</v>
      </c>
      <c r="D43" s="21">
        <v>0.52790000000000004</v>
      </c>
      <c r="E43" s="21">
        <v>0.61260000000000003</v>
      </c>
      <c r="F43" s="21">
        <v>0.66459999999999997</v>
      </c>
      <c r="G43" s="21">
        <v>0.70089999999999997</v>
      </c>
      <c r="H43" s="21">
        <v>0.72709999999999997</v>
      </c>
      <c r="I43" s="21">
        <v>0.748</v>
      </c>
      <c r="J43" s="21">
        <v>0.76439999999999997</v>
      </c>
      <c r="K43" s="21">
        <v>0.7782</v>
      </c>
      <c r="L43" s="20"/>
      <c r="M43" s="20"/>
    </row>
    <row r="44" spans="1:13" ht="12.75" customHeight="1" x14ac:dyDescent="0.3">
      <c r="A44" s="19">
        <v>0.43</v>
      </c>
      <c r="B44" s="21">
        <v>0.1119</v>
      </c>
      <c r="C44" s="21">
        <v>0.38129999999999997</v>
      </c>
      <c r="D44" s="21">
        <v>0.53210000000000002</v>
      </c>
      <c r="E44" s="21">
        <v>0.61550000000000005</v>
      </c>
      <c r="F44" s="21">
        <v>0.66679999999999995</v>
      </c>
      <c r="G44" s="21">
        <v>0.7026</v>
      </c>
      <c r="H44" s="21">
        <v>0.72860000000000003</v>
      </c>
      <c r="I44" s="21">
        <v>0.74919999999999998</v>
      </c>
      <c r="J44" s="21">
        <v>0.76549999999999996</v>
      </c>
      <c r="K44" s="21">
        <v>0.7792</v>
      </c>
      <c r="L44" s="20"/>
      <c r="M44" s="20"/>
    </row>
    <row r="45" spans="1:13" ht="12.75" customHeight="1" x14ac:dyDescent="0.3">
      <c r="A45" s="19">
        <v>0.44</v>
      </c>
      <c r="B45" s="21">
        <v>0.1174</v>
      </c>
      <c r="C45" s="21">
        <v>0.38729999999999998</v>
      </c>
      <c r="D45" s="21">
        <v>0.53620000000000001</v>
      </c>
      <c r="E45" s="21">
        <v>0.61839999999999995</v>
      </c>
      <c r="F45" s="21">
        <v>0.66890000000000005</v>
      </c>
      <c r="G45" s="21">
        <v>0.70440000000000003</v>
      </c>
      <c r="H45" s="21">
        <v>0.73</v>
      </c>
      <c r="I45" s="21">
        <v>0.75049999999999994</v>
      </c>
      <c r="J45" s="21">
        <v>0.76659999999999995</v>
      </c>
      <c r="K45" s="21">
        <v>0.7802</v>
      </c>
      <c r="L45" s="20"/>
      <c r="M45" s="20"/>
    </row>
    <row r="46" spans="1:13" ht="12.75" customHeight="1" x14ac:dyDescent="0.3">
      <c r="A46" s="19">
        <v>0.45</v>
      </c>
      <c r="B46" s="21">
        <v>0.12330000000000001</v>
      </c>
      <c r="C46" s="21">
        <v>0.39329999999999998</v>
      </c>
      <c r="D46" s="21">
        <v>0.54020000000000001</v>
      </c>
      <c r="E46" s="21">
        <v>0.62129999999999996</v>
      </c>
      <c r="F46" s="21">
        <v>0.67100000000000004</v>
      </c>
      <c r="G46" s="21">
        <v>0.70609999999999995</v>
      </c>
      <c r="H46" s="21">
        <v>0.73140000000000005</v>
      </c>
      <c r="I46" s="21">
        <v>0.75170000000000003</v>
      </c>
      <c r="J46" s="21">
        <v>0.76770000000000005</v>
      </c>
      <c r="K46" s="21">
        <v>0.78120000000000001</v>
      </c>
      <c r="L46" s="20"/>
      <c r="M46" s="20"/>
    </row>
    <row r="47" spans="1:13" ht="12.75" customHeight="1" x14ac:dyDescent="0.3">
      <c r="A47" s="19">
        <v>0.46</v>
      </c>
      <c r="B47" s="21">
        <v>0.12920000000000001</v>
      </c>
      <c r="C47" s="21">
        <v>0.39929999999999999</v>
      </c>
      <c r="D47" s="21">
        <v>0.54430000000000001</v>
      </c>
      <c r="E47" s="21">
        <v>0.62409999999999999</v>
      </c>
      <c r="F47" s="21">
        <v>0.67320000000000002</v>
      </c>
      <c r="G47" s="21">
        <v>0.70779999999999998</v>
      </c>
      <c r="H47" s="21">
        <v>0.7329</v>
      </c>
      <c r="I47" s="21">
        <v>0.75290000000000001</v>
      </c>
      <c r="J47" s="21">
        <v>0.76870000000000005</v>
      </c>
      <c r="K47" s="21">
        <v>0.78210000000000002</v>
      </c>
      <c r="L47" s="20"/>
      <c r="M47" s="20"/>
    </row>
    <row r="48" spans="1:13" ht="12.75" customHeight="1" x14ac:dyDescent="0.3">
      <c r="A48" s="19">
        <v>0.47</v>
      </c>
      <c r="B48" s="21">
        <v>0.1351</v>
      </c>
      <c r="C48" s="21">
        <v>0.4052</v>
      </c>
      <c r="D48" s="21">
        <v>0.54820000000000002</v>
      </c>
      <c r="E48" s="21">
        <v>0.62680000000000002</v>
      </c>
      <c r="F48" s="21">
        <v>0.67520000000000002</v>
      </c>
      <c r="G48" s="21">
        <v>0.70940000000000003</v>
      </c>
      <c r="H48" s="21">
        <v>0.73429999999999995</v>
      </c>
      <c r="I48" s="21">
        <v>0.75409999999999999</v>
      </c>
      <c r="J48" s="21">
        <v>0.76980000000000004</v>
      </c>
      <c r="K48" s="21">
        <v>0.78310000000000002</v>
      </c>
      <c r="L48" s="20"/>
      <c r="M48" s="20"/>
    </row>
    <row r="49" spans="1:13" ht="12.75" customHeight="1" x14ac:dyDescent="0.3">
      <c r="A49" s="19">
        <v>0.48</v>
      </c>
      <c r="B49" s="21">
        <v>0.1411</v>
      </c>
      <c r="C49" s="21">
        <v>0.41120000000000001</v>
      </c>
      <c r="D49" s="21">
        <v>0.55210000000000004</v>
      </c>
      <c r="E49" s="21">
        <v>0.62960000000000005</v>
      </c>
      <c r="F49" s="21">
        <v>0.67730000000000001</v>
      </c>
      <c r="G49" s="21">
        <v>0.71109999999999995</v>
      </c>
      <c r="H49" s="21">
        <v>0.73570000000000002</v>
      </c>
      <c r="I49" s="21">
        <v>0.75529999999999997</v>
      </c>
      <c r="J49" s="21">
        <v>0.77090000000000003</v>
      </c>
      <c r="K49" s="21">
        <v>0.78400000000000003</v>
      </c>
      <c r="L49" s="20"/>
      <c r="M49" s="20"/>
    </row>
    <row r="50" spans="1:13" ht="12.75" customHeight="1" x14ac:dyDescent="0.3">
      <c r="A50" s="19">
        <v>0.49</v>
      </c>
      <c r="B50" s="21">
        <v>0.14729999999999999</v>
      </c>
      <c r="C50" s="21">
        <v>0.41699999999999998</v>
      </c>
      <c r="D50" s="21">
        <v>0.55600000000000005</v>
      </c>
      <c r="E50" s="21">
        <v>0.63229999999999997</v>
      </c>
      <c r="F50" s="21">
        <v>0.6794</v>
      </c>
      <c r="G50" s="21">
        <v>0.71279999999999999</v>
      </c>
      <c r="H50" s="21">
        <v>0.73709999999999998</v>
      </c>
      <c r="I50" s="21">
        <v>0.75649999999999995</v>
      </c>
      <c r="J50" s="21">
        <v>0.77190000000000003</v>
      </c>
      <c r="K50" s="21">
        <v>0.78490000000000004</v>
      </c>
      <c r="L50" s="20"/>
      <c r="M50" s="20"/>
    </row>
    <row r="51" spans="1:13" ht="12.75" customHeight="1" x14ac:dyDescent="0.3">
      <c r="A51" s="19">
        <v>0.5</v>
      </c>
      <c r="B51" s="21">
        <v>0.15390000000000001</v>
      </c>
      <c r="C51" s="21">
        <v>0.4229</v>
      </c>
      <c r="D51" s="21">
        <v>0.55989999999999995</v>
      </c>
      <c r="E51" s="21">
        <v>0.63500000000000001</v>
      </c>
      <c r="F51" s="21">
        <v>0.68140000000000001</v>
      </c>
      <c r="G51" s="21">
        <v>0.71440000000000003</v>
      </c>
      <c r="H51" s="21">
        <v>0.73839999999999995</v>
      </c>
      <c r="I51" s="21">
        <v>0.75770000000000004</v>
      </c>
      <c r="J51" s="21">
        <v>0.77290000000000003</v>
      </c>
      <c r="K51" s="21">
        <v>0.78590000000000004</v>
      </c>
      <c r="L51" s="20"/>
      <c r="M51" s="20"/>
    </row>
    <row r="52" spans="1:13" ht="15.75" customHeight="1" x14ac:dyDescent="0.3">
      <c r="A52" s="20"/>
      <c r="B52" s="20"/>
      <c r="C52" s="20"/>
      <c r="D52" s="20"/>
      <c r="E52" s="20"/>
      <c r="F52" s="20"/>
      <c r="G52" s="20"/>
      <c r="H52" s="20"/>
      <c r="I52" s="20"/>
      <c r="J52" s="20"/>
      <c r="K52" s="20"/>
      <c r="L52" s="20"/>
      <c r="M52" s="20"/>
    </row>
    <row r="53" spans="1:13" ht="15.75" customHeight="1" x14ac:dyDescent="0.3">
      <c r="A53" s="20"/>
      <c r="B53" s="20"/>
      <c r="C53" s="20"/>
      <c r="D53" s="20"/>
      <c r="E53" s="20"/>
      <c r="F53" s="20"/>
      <c r="G53" s="20"/>
      <c r="H53" s="20"/>
      <c r="I53" s="20"/>
      <c r="J53" s="20"/>
      <c r="K53" s="20"/>
      <c r="L53" s="20"/>
      <c r="M53" s="20"/>
    </row>
    <row r="54" spans="1:13" ht="15.75" customHeight="1" x14ac:dyDescent="0.3">
      <c r="A54" s="20"/>
      <c r="B54" s="20"/>
      <c r="C54" s="20"/>
      <c r="D54" s="20"/>
      <c r="E54" s="20"/>
      <c r="F54" s="20"/>
      <c r="G54" s="20"/>
      <c r="H54" s="20"/>
      <c r="I54" s="20"/>
      <c r="J54" s="20"/>
      <c r="K54" s="20"/>
      <c r="L54" s="20"/>
      <c r="M54" s="20"/>
    </row>
    <row r="55" spans="1:13" ht="15.75" customHeight="1" x14ac:dyDescent="0.3">
      <c r="A55" s="20"/>
      <c r="B55" s="20"/>
      <c r="C55" s="20"/>
      <c r="D55" s="20"/>
      <c r="E55" s="20"/>
      <c r="F55" s="20"/>
      <c r="G55" s="20"/>
      <c r="H55" s="20"/>
      <c r="I55" s="20"/>
      <c r="J55" s="20"/>
      <c r="K55" s="20"/>
      <c r="L55" s="20"/>
      <c r="M55" s="20"/>
    </row>
    <row r="56" spans="1:13" ht="15.75" customHeight="1" x14ac:dyDescent="0.3">
      <c r="A56" s="20"/>
      <c r="B56" s="20"/>
      <c r="C56" s="20"/>
      <c r="D56" s="20"/>
      <c r="E56" s="20"/>
      <c r="F56" s="20"/>
      <c r="G56" s="20"/>
      <c r="H56" s="20"/>
      <c r="I56" s="20"/>
      <c r="J56" s="20"/>
      <c r="K56" s="20"/>
      <c r="L56" s="20"/>
      <c r="M56" s="20"/>
    </row>
    <row r="57" spans="1:13" ht="15.75" customHeight="1" x14ac:dyDescent="0.3">
      <c r="A57" s="20"/>
      <c r="B57" s="20"/>
      <c r="C57" s="20"/>
      <c r="D57" s="20"/>
      <c r="E57" s="20"/>
      <c r="F57" s="20"/>
      <c r="G57" s="20"/>
      <c r="H57" s="20"/>
      <c r="I57" s="20"/>
      <c r="J57" s="20"/>
      <c r="K57" s="20"/>
      <c r="L57" s="20"/>
      <c r="M57" s="20"/>
    </row>
    <row r="58" spans="1:13" ht="15.75" customHeight="1" x14ac:dyDescent="0.3">
      <c r="A58" s="20"/>
      <c r="B58" s="20"/>
      <c r="C58" s="20"/>
      <c r="D58" s="20"/>
      <c r="E58" s="20"/>
      <c r="F58" s="20"/>
      <c r="G58" s="20"/>
      <c r="H58" s="20"/>
      <c r="I58" s="20"/>
      <c r="J58" s="20"/>
      <c r="K58" s="20"/>
      <c r="L58" s="20"/>
      <c r="M58" s="20"/>
    </row>
    <row r="59" spans="1:13" ht="15.75" customHeight="1" x14ac:dyDescent="0.3">
      <c r="A59" s="20"/>
      <c r="B59" s="20"/>
      <c r="C59" s="20"/>
      <c r="D59" s="20"/>
      <c r="E59" s="20"/>
      <c r="F59" s="20"/>
      <c r="G59" s="20"/>
      <c r="H59" s="20"/>
      <c r="I59" s="20"/>
      <c r="J59" s="20"/>
      <c r="K59" s="20"/>
      <c r="L59" s="20"/>
      <c r="M59" s="20"/>
    </row>
    <row r="60" spans="1:13" ht="15.75" customHeight="1" x14ac:dyDescent="0.3">
      <c r="A60" s="20"/>
      <c r="B60" s="20"/>
      <c r="C60" s="20"/>
      <c r="D60" s="20"/>
      <c r="E60" s="20"/>
      <c r="F60" s="20"/>
      <c r="G60" s="20"/>
      <c r="H60" s="20"/>
      <c r="I60" s="20"/>
      <c r="J60" s="20"/>
      <c r="K60" s="20"/>
      <c r="L60" s="20"/>
      <c r="M60" s="20"/>
    </row>
    <row r="61" spans="1:13" ht="15.75" customHeight="1" x14ac:dyDescent="0.3">
      <c r="A61" s="20"/>
      <c r="B61" s="20"/>
      <c r="C61" s="20"/>
      <c r="D61" s="20"/>
      <c r="E61" s="20"/>
      <c r="F61" s="20"/>
      <c r="G61" s="20"/>
      <c r="H61" s="20"/>
      <c r="I61" s="20"/>
      <c r="J61" s="20"/>
      <c r="K61" s="20"/>
      <c r="L61" s="20"/>
      <c r="M61" s="20"/>
    </row>
    <row r="62" spans="1:13" ht="15.75" customHeight="1" x14ac:dyDescent="0.3">
      <c r="A62" s="20"/>
      <c r="B62" s="20"/>
      <c r="C62" s="20"/>
      <c r="D62" s="20"/>
      <c r="E62" s="20"/>
      <c r="F62" s="20"/>
      <c r="G62" s="20"/>
      <c r="H62" s="20"/>
      <c r="I62" s="20"/>
      <c r="J62" s="20"/>
      <c r="K62" s="20"/>
      <c r="L62" s="20"/>
      <c r="M62" s="20"/>
    </row>
    <row r="63" spans="1:13" ht="15.75" customHeight="1" x14ac:dyDescent="0.3">
      <c r="A63" s="20"/>
      <c r="B63" s="20"/>
      <c r="C63" s="20"/>
      <c r="D63" s="20"/>
      <c r="E63" s="20"/>
      <c r="F63" s="20"/>
      <c r="G63" s="20"/>
      <c r="H63" s="20"/>
      <c r="I63" s="20"/>
      <c r="J63" s="20"/>
      <c r="K63" s="20"/>
      <c r="L63" s="20"/>
      <c r="M63" s="20"/>
    </row>
    <row r="64" spans="1:13" ht="15.75" customHeight="1" x14ac:dyDescent="0.3">
      <c r="A64" s="20"/>
      <c r="B64" s="20"/>
      <c r="C64" s="20"/>
      <c r="D64" s="20"/>
      <c r="E64" s="20"/>
      <c r="F64" s="20"/>
      <c r="G64" s="20"/>
      <c r="H64" s="20"/>
      <c r="I64" s="20"/>
      <c r="J64" s="20"/>
      <c r="K64" s="20"/>
      <c r="L64" s="20"/>
      <c r="M64" s="20"/>
    </row>
    <row r="65" spans="1:13" ht="15.75" customHeight="1" x14ac:dyDescent="0.3">
      <c r="A65" s="20"/>
      <c r="B65" s="20"/>
      <c r="C65" s="20"/>
      <c r="D65" s="20"/>
      <c r="E65" s="20"/>
      <c r="F65" s="20"/>
      <c r="G65" s="20"/>
      <c r="H65" s="20"/>
      <c r="I65" s="20"/>
      <c r="J65" s="20"/>
      <c r="K65" s="20"/>
      <c r="L65" s="20"/>
      <c r="M65" s="20"/>
    </row>
    <row r="66" spans="1:13" ht="15.75" customHeight="1" x14ac:dyDescent="0.3">
      <c r="A66" s="20"/>
      <c r="B66" s="20"/>
      <c r="C66" s="20"/>
      <c r="D66" s="20"/>
      <c r="E66" s="20"/>
      <c r="F66" s="20"/>
      <c r="G66" s="20"/>
      <c r="H66" s="20"/>
      <c r="I66" s="20"/>
      <c r="J66" s="20"/>
      <c r="K66" s="20"/>
      <c r="L66" s="20"/>
      <c r="M66" s="20"/>
    </row>
    <row r="67" spans="1:13" ht="15.75" customHeight="1" x14ac:dyDescent="0.3">
      <c r="A67" s="20"/>
      <c r="B67" s="20"/>
      <c r="C67" s="20"/>
      <c r="D67" s="20"/>
      <c r="E67" s="20"/>
      <c r="F67" s="20"/>
      <c r="G67" s="20"/>
      <c r="H67" s="20"/>
      <c r="I67" s="20"/>
      <c r="J67" s="20"/>
      <c r="K67" s="20"/>
      <c r="L67" s="20"/>
      <c r="M67" s="20"/>
    </row>
    <row r="68" spans="1:13" ht="15.75" customHeight="1" x14ac:dyDescent="0.3">
      <c r="A68" s="20"/>
      <c r="B68" s="20"/>
      <c r="C68" s="20"/>
      <c r="D68" s="20"/>
      <c r="E68" s="20"/>
      <c r="F68" s="20"/>
      <c r="G68" s="20"/>
      <c r="H68" s="20"/>
      <c r="I68" s="20"/>
      <c r="J68" s="20"/>
      <c r="K68" s="20"/>
      <c r="L68" s="20"/>
      <c r="M68" s="20"/>
    </row>
    <row r="69" spans="1:13" ht="15.75" customHeight="1" x14ac:dyDescent="0.3">
      <c r="A69" s="20"/>
      <c r="B69" s="20"/>
      <c r="C69" s="20"/>
      <c r="D69" s="20"/>
      <c r="E69" s="20"/>
      <c r="F69" s="20"/>
      <c r="G69" s="20"/>
      <c r="H69" s="20"/>
      <c r="I69" s="20"/>
      <c r="J69" s="20"/>
      <c r="K69" s="20"/>
      <c r="L69" s="20"/>
      <c r="M69" s="20"/>
    </row>
    <row r="70" spans="1:13" ht="15.75" customHeight="1" x14ac:dyDescent="0.3">
      <c r="A70" s="20"/>
      <c r="B70" s="20"/>
      <c r="C70" s="20"/>
      <c r="D70" s="20"/>
      <c r="E70" s="20"/>
      <c r="F70" s="20"/>
      <c r="G70" s="20"/>
      <c r="H70" s="20"/>
      <c r="I70" s="20"/>
      <c r="J70" s="20"/>
      <c r="K70" s="20"/>
      <c r="L70" s="20"/>
      <c r="M70" s="20"/>
    </row>
    <row r="71" spans="1:13" ht="15.75" customHeight="1" x14ac:dyDescent="0.3">
      <c r="A71" s="20"/>
      <c r="B71" s="20"/>
      <c r="C71" s="20"/>
      <c r="D71" s="20"/>
      <c r="E71" s="20"/>
      <c r="F71" s="20"/>
      <c r="G71" s="20"/>
      <c r="H71" s="20"/>
      <c r="I71" s="20"/>
      <c r="J71" s="20"/>
      <c r="K71" s="20"/>
      <c r="L71" s="20"/>
      <c r="M71" s="20"/>
    </row>
    <row r="72" spans="1:13" ht="15.75" customHeight="1" x14ac:dyDescent="0.3">
      <c r="A72" s="20"/>
      <c r="B72" s="20"/>
      <c r="C72" s="20"/>
      <c r="D72" s="20"/>
      <c r="E72" s="20"/>
      <c r="F72" s="20"/>
      <c r="G72" s="20"/>
      <c r="H72" s="20"/>
      <c r="I72" s="20"/>
      <c r="J72" s="20"/>
      <c r="K72" s="20"/>
      <c r="L72" s="20"/>
      <c r="M72" s="20"/>
    </row>
    <row r="73" spans="1:13" ht="15.75" customHeight="1" x14ac:dyDescent="0.3">
      <c r="A73" s="20"/>
      <c r="B73" s="20"/>
      <c r="C73" s="20"/>
      <c r="D73" s="20"/>
      <c r="E73" s="20"/>
      <c r="F73" s="20"/>
      <c r="G73" s="20"/>
      <c r="H73" s="20"/>
      <c r="I73" s="20"/>
      <c r="J73" s="20"/>
      <c r="K73" s="20"/>
      <c r="L73" s="20"/>
      <c r="M73" s="20"/>
    </row>
    <row r="74" spans="1:13" ht="15.75" customHeight="1" x14ac:dyDescent="0.3">
      <c r="A74" s="20"/>
      <c r="B74" s="20"/>
      <c r="C74" s="20"/>
      <c r="D74" s="20"/>
      <c r="E74" s="20"/>
      <c r="F74" s="20"/>
      <c r="G74" s="20"/>
      <c r="H74" s="20"/>
      <c r="I74" s="20"/>
      <c r="J74" s="20"/>
      <c r="K74" s="20"/>
      <c r="L74" s="20"/>
      <c r="M74" s="20"/>
    </row>
    <row r="75" spans="1:13" ht="15.75" customHeight="1" x14ac:dyDescent="0.3">
      <c r="A75" s="20"/>
      <c r="B75" s="20"/>
      <c r="C75" s="20"/>
      <c r="D75" s="20"/>
      <c r="E75" s="20"/>
      <c r="F75" s="20"/>
      <c r="G75" s="20"/>
      <c r="H75" s="20"/>
      <c r="I75" s="20"/>
      <c r="J75" s="20"/>
      <c r="K75" s="20"/>
      <c r="L75" s="20"/>
      <c r="M75" s="20"/>
    </row>
    <row r="76" spans="1:13" ht="15.75" customHeight="1" x14ac:dyDescent="0.3">
      <c r="A76" s="20"/>
      <c r="B76" s="20"/>
      <c r="C76" s="20"/>
      <c r="D76" s="20"/>
      <c r="E76" s="20"/>
      <c r="F76" s="20"/>
      <c r="G76" s="20"/>
      <c r="H76" s="20"/>
      <c r="I76" s="20"/>
      <c r="J76" s="20"/>
      <c r="K76" s="20"/>
      <c r="L76" s="20"/>
      <c r="M76" s="20"/>
    </row>
    <row r="77" spans="1:13" ht="15.75" customHeight="1" x14ac:dyDescent="0.3">
      <c r="A77" s="20"/>
      <c r="B77" s="20"/>
      <c r="C77" s="20"/>
      <c r="D77" s="20"/>
      <c r="E77" s="20"/>
      <c r="F77" s="20"/>
      <c r="G77" s="20"/>
      <c r="H77" s="20"/>
      <c r="I77" s="20"/>
      <c r="J77" s="20"/>
      <c r="K77" s="20"/>
      <c r="L77" s="20"/>
      <c r="M77" s="20"/>
    </row>
    <row r="78" spans="1:13" ht="15.75" customHeight="1" x14ac:dyDescent="0.3">
      <c r="A78" s="20"/>
      <c r="B78" s="20"/>
      <c r="C78" s="20"/>
      <c r="D78" s="20"/>
      <c r="E78" s="20"/>
      <c r="F78" s="20"/>
      <c r="G78" s="20"/>
      <c r="H78" s="20"/>
      <c r="I78" s="20"/>
      <c r="J78" s="20"/>
      <c r="K78" s="20"/>
      <c r="L78" s="20"/>
      <c r="M78" s="20"/>
    </row>
    <row r="79" spans="1:13" ht="15.75" customHeight="1" x14ac:dyDescent="0.3">
      <c r="A79" s="20"/>
      <c r="B79" s="20"/>
      <c r="C79" s="20"/>
      <c r="D79" s="20"/>
      <c r="E79" s="20"/>
      <c r="F79" s="20"/>
      <c r="G79" s="20"/>
      <c r="H79" s="20"/>
      <c r="I79" s="20"/>
      <c r="J79" s="20"/>
      <c r="K79" s="20"/>
      <c r="L79" s="20"/>
      <c r="M79" s="20"/>
    </row>
    <row r="80" spans="1:13" ht="15.75" customHeight="1" x14ac:dyDescent="0.3">
      <c r="A80" s="20"/>
      <c r="B80" s="20"/>
      <c r="C80" s="20"/>
      <c r="D80" s="20"/>
      <c r="E80" s="20"/>
      <c r="F80" s="20"/>
      <c r="G80" s="20"/>
      <c r="H80" s="20"/>
      <c r="I80" s="20"/>
      <c r="J80" s="20"/>
      <c r="K80" s="20"/>
      <c r="L80" s="20"/>
      <c r="M80" s="20"/>
    </row>
    <row r="81" spans="1:13" ht="15.75" customHeight="1" x14ac:dyDescent="0.3">
      <c r="A81" s="20"/>
      <c r="B81" s="20"/>
      <c r="C81" s="20"/>
      <c r="D81" s="20"/>
      <c r="E81" s="20"/>
      <c r="F81" s="20"/>
      <c r="G81" s="20"/>
      <c r="H81" s="20"/>
      <c r="I81" s="20"/>
      <c r="J81" s="20"/>
      <c r="K81" s="20"/>
      <c r="L81" s="20"/>
      <c r="M81" s="20"/>
    </row>
    <row r="82" spans="1:13" ht="15.75" customHeight="1" x14ac:dyDescent="0.3">
      <c r="A82" s="20"/>
      <c r="B82" s="20"/>
      <c r="C82" s="20"/>
      <c r="D82" s="20"/>
      <c r="E82" s="20"/>
      <c r="F82" s="20"/>
      <c r="G82" s="20"/>
      <c r="H82" s="20"/>
      <c r="I82" s="20"/>
      <c r="J82" s="20"/>
      <c r="K82" s="20"/>
      <c r="L82" s="20"/>
      <c r="M82" s="20"/>
    </row>
    <row r="83" spans="1:13" ht="15.75" customHeight="1" x14ac:dyDescent="0.3">
      <c r="A83" s="20"/>
      <c r="B83" s="20"/>
      <c r="C83" s="20"/>
      <c r="D83" s="20"/>
      <c r="E83" s="20"/>
      <c r="F83" s="20"/>
      <c r="G83" s="20"/>
      <c r="H83" s="20"/>
      <c r="I83" s="20"/>
      <c r="J83" s="20"/>
      <c r="K83" s="20"/>
      <c r="L83" s="20"/>
      <c r="M83" s="20"/>
    </row>
    <row r="84" spans="1:13" ht="15.75" customHeight="1" x14ac:dyDescent="0.3">
      <c r="A84" s="20"/>
      <c r="B84" s="20"/>
      <c r="C84" s="20"/>
      <c r="D84" s="20"/>
      <c r="E84" s="20"/>
      <c r="F84" s="20"/>
      <c r="G84" s="20"/>
      <c r="H84" s="20"/>
      <c r="I84" s="20"/>
      <c r="J84" s="20"/>
      <c r="K84" s="20"/>
      <c r="L84" s="20"/>
      <c r="M84" s="20"/>
    </row>
    <row r="85" spans="1:13" ht="15.75" customHeight="1" x14ac:dyDescent="0.3">
      <c r="A85" s="20"/>
      <c r="B85" s="20"/>
      <c r="C85" s="20"/>
      <c r="D85" s="20"/>
      <c r="E85" s="20"/>
      <c r="F85" s="20"/>
      <c r="G85" s="20"/>
      <c r="H85" s="20"/>
      <c r="I85" s="20"/>
      <c r="J85" s="20"/>
      <c r="K85" s="20"/>
      <c r="L85" s="20"/>
      <c r="M85" s="20"/>
    </row>
    <row r="86" spans="1:13" ht="15.75" customHeight="1" x14ac:dyDescent="0.3">
      <c r="A86" s="20"/>
      <c r="B86" s="20"/>
      <c r="C86" s="20"/>
      <c r="D86" s="20"/>
      <c r="E86" s="20"/>
      <c r="F86" s="20"/>
      <c r="G86" s="20"/>
      <c r="H86" s="20"/>
      <c r="I86" s="20"/>
      <c r="J86" s="20"/>
      <c r="K86" s="20"/>
      <c r="L86" s="20"/>
      <c r="M86" s="20"/>
    </row>
    <row r="87" spans="1:13" ht="15.75" customHeight="1" x14ac:dyDescent="0.3">
      <c r="A87" s="20"/>
      <c r="B87" s="20"/>
      <c r="C87" s="20"/>
      <c r="D87" s="20"/>
      <c r="E87" s="20"/>
      <c r="F87" s="20"/>
      <c r="G87" s="20"/>
      <c r="H87" s="20"/>
      <c r="I87" s="20"/>
      <c r="J87" s="20"/>
      <c r="K87" s="20"/>
      <c r="L87" s="20"/>
      <c r="M87" s="20"/>
    </row>
    <row r="88" spans="1:13" ht="15.75" customHeight="1" x14ac:dyDescent="0.3">
      <c r="A88" s="20"/>
      <c r="B88" s="20"/>
      <c r="C88" s="20"/>
      <c r="D88" s="20"/>
      <c r="E88" s="20"/>
      <c r="F88" s="20"/>
      <c r="G88" s="20"/>
      <c r="H88" s="20"/>
      <c r="I88" s="20"/>
      <c r="J88" s="20"/>
      <c r="K88" s="20"/>
      <c r="L88" s="20"/>
      <c r="M88" s="20"/>
    </row>
    <row r="89" spans="1:13" ht="15.75" customHeight="1" x14ac:dyDescent="0.3">
      <c r="A89" s="20"/>
      <c r="B89" s="20"/>
      <c r="C89" s="20"/>
      <c r="D89" s="20"/>
      <c r="E89" s="20"/>
      <c r="F89" s="20"/>
      <c r="G89" s="20"/>
      <c r="H89" s="20"/>
      <c r="I89" s="20"/>
      <c r="J89" s="20"/>
      <c r="K89" s="20"/>
      <c r="L89" s="20"/>
      <c r="M89" s="20"/>
    </row>
    <row r="90" spans="1:13" ht="15.75" customHeight="1" x14ac:dyDescent="0.3">
      <c r="A90" s="20"/>
      <c r="B90" s="20"/>
      <c r="C90" s="20"/>
      <c r="D90" s="20"/>
      <c r="E90" s="20"/>
      <c r="F90" s="20"/>
      <c r="G90" s="20"/>
      <c r="H90" s="20"/>
      <c r="I90" s="20"/>
      <c r="J90" s="20"/>
      <c r="K90" s="20"/>
      <c r="L90" s="20"/>
      <c r="M90" s="20"/>
    </row>
    <row r="91" spans="1:13" ht="15.75" customHeight="1" x14ac:dyDescent="0.3">
      <c r="A91" s="20"/>
      <c r="B91" s="20"/>
      <c r="C91" s="20"/>
      <c r="D91" s="20"/>
      <c r="E91" s="20"/>
      <c r="F91" s="20"/>
      <c r="G91" s="20"/>
      <c r="H91" s="20"/>
      <c r="I91" s="20"/>
      <c r="J91" s="20"/>
      <c r="K91" s="20"/>
      <c r="L91" s="20"/>
      <c r="M91" s="20"/>
    </row>
    <row r="92" spans="1:13" ht="15.75" customHeight="1" x14ac:dyDescent="0.3">
      <c r="A92" s="20"/>
      <c r="B92" s="20"/>
      <c r="C92" s="20"/>
      <c r="D92" s="20"/>
      <c r="E92" s="20"/>
      <c r="F92" s="20"/>
      <c r="G92" s="20"/>
      <c r="H92" s="20"/>
      <c r="I92" s="20"/>
      <c r="J92" s="20"/>
      <c r="K92" s="20"/>
      <c r="L92" s="20"/>
      <c r="M92" s="20"/>
    </row>
    <row r="93" spans="1:13" ht="15.75" customHeight="1" x14ac:dyDescent="0.3">
      <c r="A93" s="20"/>
      <c r="B93" s="20"/>
      <c r="C93" s="20"/>
      <c r="D93" s="20"/>
      <c r="E93" s="20"/>
      <c r="F93" s="20"/>
      <c r="G93" s="20"/>
      <c r="H93" s="20"/>
      <c r="I93" s="20"/>
      <c r="J93" s="20"/>
      <c r="K93" s="20"/>
      <c r="L93" s="20"/>
      <c r="M93" s="20"/>
    </row>
    <row r="94" spans="1:13" ht="15.75" customHeight="1" x14ac:dyDescent="0.3">
      <c r="A94" s="20"/>
      <c r="B94" s="20"/>
      <c r="C94" s="20"/>
      <c r="D94" s="20"/>
      <c r="E94" s="20"/>
      <c r="F94" s="20"/>
      <c r="G94" s="20"/>
      <c r="H94" s="20"/>
      <c r="I94" s="20"/>
      <c r="J94" s="20"/>
      <c r="K94" s="20"/>
      <c r="L94" s="20"/>
      <c r="M94" s="20"/>
    </row>
    <row r="95" spans="1:13" ht="15.75" customHeight="1" x14ac:dyDescent="0.3">
      <c r="A95" s="20"/>
      <c r="B95" s="20"/>
      <c r="C95" s="20"/>
      <c r="D95" s="20"/>
      <c r="E95" s="20"/>
      <c r="F95" s="20"/>
      <c r="G95" s="20"/>
      <c r="H95" s="20"/>
      <c r="I95" s="20"/>
      <c r="J95" s="20"/>
      <c r="K95" s="20"/>
      <c r="L95" s="20"/>
      <c r="M95" s="20"/>
    </row>
    <row r="96" spans="1:13" ht="15.75" customHeight="1" x14ac:dyDescent="0.3">
      <c r="A96" s="20"/>
      <c r="B96" s="20"/>
      <c r="C96" s="20"/>
      <c r="D96" s="20"/>
      <c r="E96" s="20"/>
      <c r="F96" s="20"/>
      <c r="G96" s="20"/>
      <c r="H96" s="20"/>
      <c r="I96" s="20"/>
      <c r="J96" s="20"/>
      <c r="K96" s="20"/>
      <c r="L96" s="20"/>
      <c r="M96" s="20"/>
    </row>
    <row r="97" spans="1:13" ht="15.75" customHeight="1" x14ac:dyDescent="0.3">
      <c r="A97" s="20"/>
      <c r="B97" s="20"/>
      <c r="C97" s="20"/>
      <c r="D97" s="20"/>
      <c r="E97" s="20"/>
      <c r="F97" s="20"/>
      <c r="G97" s="20"/>
      <c r="H97" s="20"/>
      <c r="I97" s="20"/>
      <c r="J97" s="20"/>
      <c r="K97" s="20"/>
      <c r="L97" s="20"/>
      <c r="M97" s="20"/>
    </row>
    <row r="98" spans="1:13" ht="15.75" customHeight="1" x14ac:dyDescent="0.3">
      <c r="A98" s="20"/>
      <c r="B98" s="20"/>
      <c r="C98" s="20"/>
      <c r="D98" s="20"/>
      <c r="E98" s="20"/>
      <c r="F98" s="20"/>
      <c r="G98" s="20"/>
      <c r="H98" s="20"/>
      <c r="I98" s="20"/>
      <c r="J98" s="20"/>
      <c r="K98" s="20"/>
      <c r="L98" s="20"/>
      <c r="M98" s="20"/>
    </row>
    <row r="99" spans="1:13" ht="15.75" customHeight="1" x14ac:dyDescent="0.3">
      <c r="A99" s="20"/>
      <c r="B99" s="20"/>
      <c r="C99" s="20"/>
      <c r="D99" s="20"/>
      <c r="E99" s="20"/>
      <c r="F99" s="20"/>
      <c r="G99" s="20"/>
      <c r="H99" s="20"/>
      <c r="I99" s="20"/>
      <c r="J99" s="20"/>
      <c r="K99" s="20"/>
      <c r="L99" s="20"/>
      <c r="M99" s="20"/>
    </row>
    <row r="100" spans="1:13" ht="15.75" customHeight="1" x14ac:dyDescent="0.3">
      <c r="A100" s="20"/>
      <c r="B100" s="20"/>
      <c r="C100" s="20"/>
      <c r="D100" s="20"/>
      <c r="E100" s="20"/>
      <c r="F100" s="20"/>
      <c r="G100" s="20"/>
      <c r="H100" s="20"/>
      <c r="I100" s="20"/>
      <c r="J100" s="20"/>
      <c r="K100" s="20"/>
      <c r="L100" s="20"/>
      <c r="M100" s="20"/>
    </row>
  </sheetData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Note</vt:lpstr>
      <vt:lpstr>Permutations</vt:lpstr>
      <vt:lpstr>Input and Orientations</vt:lpstr>
      <vt:lpstr>Vlookup</vt:lpstr>
      <vt:lpstr>Rankings</vt:lpstr>
      <vt:lpstr>Rotations</vt:lpstr>
      <vt:lpstr>RSV lookup table by #Variables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Aaron Cavanaugh</cp:lastModifiedBy>
  <cp:revision>0</cp:revision>
  <dcterms:created xsi:type="dcterms:W3CDTF">2023-01-26T21:54:14Z</dcterms:created>
  <dcterms:modified xsi:type="dcterms:W3CDTF">2026-10-29T03:32:16Z</dcterms:modified>
  <dc:language>en-US</dc:language>
</cp:coreProperties>
</file>